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dc00dd11266c1b57/Documents/Data Analyst files/"/>
    </mc:Choice>
  </mc:AlternateContent>
  <xr:revisionPtr revIDLastSave="515" documentId="13_ncr:1_{D9E45EE7-95D5-4A75-BBA8-743753B655D0}" xr6:coauthVersionLast="47" xr6:coauthVersionMax="47" xr10:uidLastSave="{6FC679BD-3AD1-4547-8D4B-59E7B5531E00}"/>
  <bookViews>
    <workbookView xWindow="-23148" yWindow="1056" windowWidth="23256" windowHeight="12456" tabRatio="752" xr2:uid="{00000000-000D-0000-FFFF-FFFF00000000}"/>
  </bookViews>
  <sheets>
    <sheet name="Dashboard" sheetId="5" r:id="rId1"/>
    <sheet name="Sales_Data" sheetId="1" r:id="rId2"/>
    <sheet name="Monthly Sales Trend" sheetId="10" r:id="rId3"/>
    <sheet name="Category Performance" sheetId="9" r:id="rId4"/>
    <sheet name="Stores Performance" sheetId="7" r:id="rId5"/>
    <sheet name="Area Manager Performance" sheetId="8" r:id="rId6"/>
    <sheet name="Stores" sheetId="2" r:id="rId7"/>
    <sheet name="Categories" sheetId="3" r:id="rId8"/>
    <sheet name="Sales Performance by Province" sheetId="4" r:id="rId9"/>
  </sheets>
  <definedNames>
    <definedName name="Slicer_Category">#N/A</definedName>
    <definedName name="Slicer_Manager">#N/A</definedName>
    <definedName name="Slicer_Months__Date">#N/A</definedName>
    <definedName name="Slicer_Provinc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3" i="5" l="1"/>
  <c r="BA4" i="5"/>
  <c r="BA5" i="5"/>
  <c r="BB5" i="5" l="1"/>
  <c r="BB4" i="5"/>
  <c r="BB3" i="5"/>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alcChain>
</file>

<file path=xl/sharedStrings.xml><?xml version="1.0" encoding="utf-8"?>
<sst xmlns="http://schemas.openxmlformats.org/spreadsheetml/2006/main" count="7386" uniqueCount="108">
  <si>
    <t>Date</t>
  </si>
  <si>
    <t>Store ID</t>
  </si>
  <si>
    <t>Category ID</t>
  </si>
  <si>
    <t>Sales</t>
  </si>
  <si>
    <t>Budget</t>
  </si>
  <si>
    <t>Transactions</t>
  </si>
  <si>
    <t>S001</t>
  </si>
  <si>
    <t>C01</t>
  </si>
  <si>
    <t>S002</t>
  </si>
  <si>
    <t>C02</t>
  </si>
  <si>
    <t>S003</t>
  </si>
  <si>
    <t>C04</t>
  </si>
  <si>
    <t>S004</t>
  </si>
  <si>
    <t>S005</t>
  </si>
  <si>
    <t>S006</t>
  </si>
  <si>
    <t>S007</t>
  </si>
  <si>
    <t>S008</t>
  </si>
  <si>
    <t>S009</t>
  </si>
  <si>
    <t>S010</t>
  </si>
  <si>
    <t>C05</t>
  </si>
  <si>
    <t>S011</t>
  </si>
  <si>
    <t>S012</t>
  </si>
  <si>
    <t>C03</t>
  </si>
  <si>
    <t>S013</t>
  </si>
  <si>
    <t>S014</t>
  </si>
  <si>
    <t>S015</t>
  </si>
  <si>
    <t>S016</t>
  </si>
  <si>
    <t>S017</t>
  </si>
  <si>
    <t>S018</t>
  </si>
  <si>
    <t>S019</t>
  </si>
  <si>
    <t>S020</t>
  </si>
  <si>
    <t>Store Name</t>
  </si>
  <si>
    <t>Province</t>
  </si>
  <si>
    <t>Manager</t>
  </si>
  <si>
    <t>Durban CBD</t>
  </si>
  <si>
    <t>KZN</t>
  </si>
  <si>
    <t>Sarah Adams</t>
  </si>
  <si>
    <t>Gateway</t>
  </si>
  <si>
    <t>Michael Jones</t>
  </si>
  <si>
    <t>Ballito</t>
  </si>
  <si>
    <t>Linda Smith</t>
  </si>
  <si>
    <t>Pietermaritzburg</t>
  </si>
  <si>
    <t>Peter Brown</t>
  </si>
  <si>
    <t>Richards Bay</t>
  </si>
  <si>
    <t>David Green</t>
  </si>
  <si>
    <t>Sandton</t>
  </si>
  <si>
    <t>Gauteng</t>
  </si>
  <si>
    <t>Karen White</t>
  </si>
  <si>
    <t>Rosebank</t>
  </si>
  <si>
    <t>James Taylor</t>
  </si>
  <si>
    <t>Pretoria</t>
  </si>
  <si>
    <t>Susan Clark</t>
  </si>
  <si>
    <t>Centurion</t>
  </si>
  <si>
    <t>Mark Wilson</t>
  </si>
  <si>
    <t>East Rand</t>
  </si>
  <si>
    <t>Lisa Young</t>
  </si>
  <si>
    <t>Cape Town CBD</t>
  </si>
  <si>
    <t>Western Cape</t>
  </si>
  <si>
    <t>Brian Hall</t>
  </si>
  <si>
    <t>Canal Walk</t>
  </si>
  <si>
    <t>Megan Scott</t>
  </si>
  <si>
    <t>Stellenbosch</t>
  </si>
  <si>
    <t>Jason King</t>
  </si>
  <si>
    <t>George</t>
  </si>
  <si>
    <t>Chloe Hill</t>
  </si>
  <si>
    <t>Paarl</t>
  </si>
  <si>
    <t>Andrew Lee</t>
  </si>
  <si>
    <t>Gqeberha</t>
  </si>
  <si>
    <t>Eastern Cape</t>
  </si>
  <si>
    <t>Emma Baker</t>
  </si>
  <si>
    <t>East London</t>
  </si>
  <si>
    <t>Daniel Evans</t>
  </si>
  <si>
    <t>Bloemfontein</t>
  </si>
  <si>
    <t>Free State</t>
  </si>
  <si>
    <t>Rachel Moore</t>
  </si>
  <si>
    <t>Polokwane</t>
  </si>
  <si>
    <t>Limpopo</t>
  </si>
  <si>
    <t>Kevin Harris</t>
  </si>
  <si>
    <t>Nelspruit</t>
  </si>
  <si>
    <t>Mpumalanga</t>
  </si>
  <si>
    <t>Olivia Turner</t>
  </si>
  <si>
    <t>Category</t>
  </si>
  <si>
    <t>Menswear</t>
  </si>
  <si>
    <t>Ladieswear</t>
  </si>
  <si>
    <t>Kids</t>
  </si>
  <si>
    <t>Footwear</t>
  </si>
  <si>
    <t>Accessories</t>
  </si>
  <si>
    <t>Variance</t>
  </si>
  <si>
    <t>Variance%</t>
  </si>
  <si>
    <t>Avgerage Basket</t>
  </si>
  <si>
    <t>Grand Total</t>
  </si>
  <si>
    <t>Sum of Sales</t>
  </si>
  <si>
    <t>Sum of Budget</t>
  </si>
  <si>
    <t>Sum of Variance</t>
  </si>
  <si>
    <t>Jan</t>
  </si>
  <si>
    <t>Feb</t>
  </si>
  <si>
    <t>Mar</t>
  </si>
  <si>
    <t>Apr</t>
  </si>
  <si>
    <t>May</t>
  </si>
  <si>
    <t>Jun</t>
  </si>
  <si>
    <t>Month</t>
  </si>
  <si>
    <t>Region</t>
  </si>
  <si>
    <t>Stores</t>
  </si>
  <si>
    <t>Area Manager</t>
  </si>
  <si>
    <t>RETAIL SALES EXECUTIVE DASHBOARD</t>
  </si>
  <si>
    <t>January - June 2026</t>
  </si>
  <si>
    <t>p</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</si>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</sst>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R&quot;#,##0"/>
  </numFmts>
  <fonts count="4" x14ac:knownFonts="1">
    <font>
      <sz val="11"/>
      <color theme="1"/>
      <name val="Calibri"/>
      <family val="2"/>
      <scheme val="minor"/>
    </font>
    <font>
      <sz val="8"/>
      <name val="Calibri"/>
      <family val="2"/>
      <scheme val="minor"/>
    </font>
    <font>
      <b/>
      <sz val="24"/>
      <color theme="0"/>
      <name val="Calibri"/>
      <family val="2"/>
      <scheme val="minor"/>
    </font>
    <font>
      <b/>
      <sz val="16"/>
      <color theme="0"/>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165"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2" fillId="2" borderId="0" xfId="0" applyFont="1" applyFill="1" applyAlignment="1">
      <alignment horizontal="center" vertical="center"/>
    </xf>
    <xf numFmtId="0" fontId="3" fillId="2" borderId="0" xfId="0" applyFont="1" applyFill="1" applyAlignment="1">
      <alignment horizontal="center" vertical="center"/>
    </xf>
    <xf numFmtId="0" fontId="0" fillId="0" borderId="0" xfId="0" applyNumberFormat="1"/>
    <xf numFmtId="14" fontId="0" fillId="0" borderId="0" xfId="0" applyNumberFormat="1"/>
  </cellXfs>
  <cellStyles count="1">
    <cellStyle name="Normal" xfId="0" builtinId="0"/>
  </cellStyles>
  <dxfs count="147">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65" formatCode="&quot;R&quot;#,##0"/>
    </dxf>
    <dxf>
      <numFmt numFmtId="13" formatCode="0%"/>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[Retail_Sales_Dashboard_Starter.xlsx]Sales Performance by Province!PivotTable1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600" b="1"/>
              <a:t>Sales</a:t>
            </a:r>
            <a:r>
              <a:rPr lang="en-ZA" sz="1600" b="1" baseline="0"/>
              <a:t> by Province</a:t>
            </a:r>
            <a:endParaRPr lang="en-ZA" sz="1600" b="1"/>
          </a:p>
        </c:rich>
      </c:tx>
      <c:layout>
        <c:manualLayout>
          <c:xMode val="edge"/>
          <c:yMode val="edge"/>
          <c:x val="0.29528758598217514"/>
          <c:y val="2.58684405025868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Performance by Province'!$B$3</c:f>
              <c:strCache>
                <c:ptCount val="1"/>
                <c:pt idx="0">
                  <c:v>Sum of Sales</c:v>
                </c:pt>
              </c:strCache>
            </c:strRef>
          </c:tx>
          <c:spPr>
            <a:solidFill>
              <a:schemeClr val="accent1"/>
            </a:solidFill>
            <a:ln>
              <a:noFill/>
            </a:ln>
            <a:effectLst/>
          </c:spPr>
          <c:invertIfNegative val="0"/>
          <c:cat>
            <c:strRef>
              <c:f>'Sales Performance by Province'!$A$4:$A$11</c:f>
              <c:strCache>
                <c:ptCount val="7"/>
                <c:pt idx="0">
                  <c:v>Western Cape</c:v>
                </c:pt>
                <c:pt idx="1">
                  <c:v>KZN</c:v>
                </c:pt>
                <c:pt idx="2">
                  <c:v>Gauteng</c:v>
                </c:pt>
                <c:pt idx="3">
                  <c:v>Eastern Cape</c:v>
                </c:pt>
                <c:pt idx="4">
                  <c:v>Mpumalanga</c:v>
                </c:pt>
                <c:pt idx="5">
                  <c:v>Free State</c:v>
                </c:pt>
                <c:pt idx="6">
                  <c:v>Limpopo</c:v>
                </c:pt>
              </c:strCache>
            </c:strRef>
          </c:cat>
          <c:val>
            <c:numRef>
              <c:f>'Sales Performance by Province'!$B$4:$B$11</c:f>
              <c:numCache>
                <c:formatCode>"R"#,##0</c:formatCode>
                <c:ptCount val="7"/>
                <c:pt idx="0">
                  <c:v>40719844</c:v>
                </c:pt>
                <c:pt idx="1">
                  <c:v>39600011</c:v>
                </c:pt>
                <c:pt idx="2">
                  <c:v>39150811</c:v>
                </c:pt>
                <c:pt idx="3">
                  <c:v>16790406</c:v>
                </c:pt>
                <c:pt idx="4">
                  <c:v>7948554</c:v>
                </c:pt>
                <c:pt idx="5">
                  <c:v>7672890</c:v>
                </c:pt>
                <c:pt idx="6">
                  <c:v>7507172</c:v>
                </c:pt>
              </c:numCache>
            </c:numRef>
          </c:val>
          <c:extLst>
            <c:ext xmlns:c16="http://schemas.microsoft.com/office/drawing/2014/chart" uri="{C3380CC4-5D6E-409C-BE32-E72D297353CC}">
              <c16:uniqueId val="{00000000-BA2D-4827-97E4-BD29773AFF3D}"/>
            </c:ext>
          </c:extLst>
        </c:ser>
        <c:ser>
          <c:idx val="1"/>
          <c:order val="1"/>
          <c:tx>
            <c:strRef>
              <c:f>'Sales Performance by Province'!$C$3</c:f>
              <c:strCache>
                <c:ptCount val="1"/>
                <c:pt idx="0">
                  <c:v>Sum of Budget</c:v>
                </c:pt>
              </c:strCache>
            </c:strRef>
          </c:tx>
          <c:spPr>
            <a:solidFill>
              <a:schemeClr val="accent2"/>
            </a:solidFill>
            <a:ln>
              <a:noFill/>
            </a:ln>
            <a:effectLst/>
          </c:spPr>
          <c:invertIfNegative val="0"/>
          <c:cat>
            <c:strRef>
              <c:f>'Sales Performance by Province'!$A$4:$A$11</c:f>
              <c:strCache>
                <c:ptCount val="7"/>
                <c:pt idx="0">
                  <c:v>Western Cape</c:v>
                </c:pt>
                <c:pt idx="1">
                  <c:v>KZN</c:v>
                </c:pt>
                <c:pt idx="2">
                  <c:v>Gauteng</c:v>
                </c:pt>
                <c:pt idx="3">
                  <c:v>Eastern Cape</c:v>
                </c:pt>
                <c:pt idx="4">
                  <c:v>Mpumalanga</c:v>
                </c:pt>
                <c:pt idx="5">
                  <c:v>Free State</c:v>
                </c:pt>
                <c:pt idx="6">
                  <c:v>Limpopo</c:v>
                </c:pt>
              </c:strCache>
            </c:strRef>
          </c:cat>
          <c:val>
            <c:numRef>
              <c:f>'Sales Performance by Province'!$C$4:$C$11</c:f>
              <c:numCache>
                <c:formatCode>"R"#,##0</c:formatCode>
                <c:ptCount val="7"/>
                <c:pt idx="0">
                  <c:v>41688035</c:v>
                </c:pt>
                <c:pt idx="1">
                  <c:v>40631571</c:v>
                </c:pt>
                <c:pt idx="2">
                  <c:v>40163613</c:v>
                </c:pt>
                <c:pt idx="3">
                  <c:v>17174667</c:v>
                </c:pt>
                <c:pt idx="4">
                  <c:v>8177748</c:v>
                </c:pt>
                <c:pt idx="5">
                  <c:v>7847444</c:v>
                </c:pt>
                <c:pt idx="6">
                  <c:v>7709468</c:v>
                </c:pt>
              </c:numCache>
            </c:numRef>
          </c:val>
          <c:extLst>
            <c:ext xmlns:c16="http://schemas.microsoft.com/office/drawing/2014/chart" uri="{C3380CC4-5D6E-409C-BE32-E72D297353CC}">
              <c16:uniqueId val="{00000001-BA2D-4827-97E4-BD29773AFF3D}"/>
            </c:ext>
          </c:extLst>
        </c:ser>
        <c:ser>
          <c:idx val="2"/>
          <c:order val="2"/>
          <c:tx>
            <c:strRef>
              <c:f>'Sales Performance by Province'!$D$3</c:f>
              <c:strCache>
                <c:ptCount val="1"/>
                <c:pt idx="0">
                  <c:v>Sum of Variance</c:v>
                </c:pt>
              </c:strCache>
            </c:strRef>
          </c:tx>
          <c:spPr>
            <a:noFill/>
            <a:ln>
              <a:noFill/>
            </a:ln>
            <a:effectLst/>
          </c:spPr>
          <c:invertIfNegative val="0"/>
          <c:cat>
            <c:strRef>
              <c:f>'Sales Performance by Province'!$A$4:$A$11</c:f>
              <c:strCache>
                <c:ptCount val="7"/>
                <c:pt idx="0">
                  <c:v>Western Cape</c:v>
                </c:pt>
                <c:pt idx="1">
                  <c:v>KZN</c:v>
                </c:pt>
                <c:pt idx="2">
                  <c:v>Gauteng</c:v>
                </c:pt>
                <c:pt idx="3">
                  <c:v>Eastern Cape</c:v>
                </c:pt>
                <c:pt idx="4">
                  <c:v>Mpumalanga</c:v>
                </c:pt>
                <c:pt idx="5">
                  <c:v>Free State</c:v>
                </c:pt>
                <c:pt idx="6">
                  <c:v>Limpopo</c:v>
                </c:pt>
              </c:strCache>
            </c:strRef>
          </c:cat>
          <c:val>
            <c:numRef>
              <c:f>'Sales Performance by Province'!$D$4:$D$11</c:f>
              <c:numCache>
                <c:formatCode>"R"#,##0</c:formatCode>
                <c:ptCount val="7"/>
                <c:pt idx="0">
                  <c:v>-968191</c:v>
                </c:pt>
                <c:pt idx="1">
                  <c:v>-1031560</c:v>
                </c:pt>
                <c:pt idx="2">
                  <c:v>-1012802</c:v>
                </c:pt>
                <c:pt idx="3">
                  <c:v>-384261</c:v>
                </c:pt>
                <c:pt idx="4">
                  <c:v>-229194</c:v>
                </c:pt>
                <c:pt idx="5">
                  <c:v>-174554</c:v>
                </c:pt>
                <c:pt idx="6">
                  <c:v>-202296</c:v>
                </c:pt>
              </c:numCache>
            </c:numRef>
          </c:val>
          <c:extLst>
            <c:ext xmlns:c16="http://schemas.microsoft.com/office/drawing/2014/chart" uri="{C3380CC4-5D6E-409C-BE32-E72D297353CC}">
              <c16:uniqueId val="{00000002-BA2D-4827-97E4-BD29773AFF3D}"/>
            </c:ext>
          </c:extLst>
        </c:ser>
        <c:dLbls>
          <c:showLegendKey val="0"/>
          <c:showVal val="0"/>
          <c:showCatName val="0"/>
          <c:showSerName val="0"/>
          <c:showPercent val="0"/>
          <c:showBubbleSize val="0"/>
        </c:dLbls>
        <c:gapWidth val="219"/>
        <c:overlap val="-27"/>
        <c:axId val="391950864"/>
        <c:axId val="391968144"/>
      </c:barChart>
      <c:catAx>
        <c:axId val="39195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68144"/>
        <c:crosses val="autoZero"/>
        <c:auto val="1"/>
        <c:lblAlgn val="ctr"/>
        <c:lblOffset val="100"/>
        <c:noMultiLvlLbl val="0"/>
      </c:catAx>
      <c:valAx>
        <c:axId val="391968144"/>
        <c:scaling>
          <c:orientation val="minMax"/>
        </c:scaling>
        <c:delete val="0"/>
        <c:axPos val="l"/>
        <c:numFmt formatCode="&quot;R&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50864"/>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[Retail_Sales_Dashboard_Starter.xlsx]Monthly Sales Trend!PivotTable5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Monthy</a:t>
            </a:r>
            <a:r>
              <a:rPr lang="en-US" sz="1600" b="1" baseline="0"/>
              <a:t> Sales Trend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35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63500" cap="rnd">
              <a:solidFill>
                <a:schemeClr val="accent1"/>
              </a:solidFill>
              <a:round/>
            </a:ln>
            <a:effectLst/>
          </c:spPr>
          <c:marker>
            <c:symbol val="none"/>
          </c:marker>
          <c:cat>
            <c:strRef>
              <c:f>'Monthly Sales Trend'!$A$4:$A$10</c:f>
              <c:strCache>
                <c:ptCount val="6"/>
                <c:pt idx="0">
                  <c:v>Jan</c:v>
                </c:pt>
                <c:pt idx="1">
                  <c:v>Feb</c:v>
                </c:pt>
                <c:pt idx="2">
                  <c:v>Mar</c:v>
                </c:pt>
                <c:pt idx="3">
                  <c:v>Apr</c:v>
                </c:pt>
                <c:pt idx="4">
                  <c:v>May</c:v>
                </c:pt>
                <c:pt idx="5">
                  <c:v>Jun</c:v>
                </c:pt>
              </c:strCache>
            </c:strRef>
          </c:cat>
          <c:val>
            <c:numRef>
              <c:f>'Monthly Sales Trend'!$B$4:$B$10</c:f>
              <c:numCache>
                <c:formatCode>General</c:formatCode>
                <c:ptCount val="6"/>
                <c:pt idx="0">
                  <c:v>27912773</c:v>
                </c:pt>
                <c:pt idx="1">
                  <c:v>24093911</c:v>
                </c:pt>
                <c:pt idx="2">
                  <c:v>27913538</c:v>
                </c:pt>
                <c:pt idx="3">
                  <c:v>26611663</c:v>
                </c:pt>
                <c:pt idx="4">
                  <c:v>27039204</c:v>
                </c:pt>
                <c:pt idx="5">
                  <c:v>25818599</c:v>
                </c:pt>
              </c:numCache>
            </c:numRef>
          </c:val>
          <c:smooth val="0"/>
          <c:extLst>
            <c:ext xmlns:c16="http://schemas.microsoft.com/office/drawing/2014/chart" uri="{C3380CC4-5D6E-409C-BE32-E72D297353CC}">
              <c16:uniqueId val="{00000000-3394-44CD-A3E9-C69645F4B967}"/>
            </c:ext>
          </c:extLst>
        </c:ser>
        <c:dLbls>
          <c:showLegendKey val="0"/>
          <c:showVal val="0"/>
          <c:showCatName val="0"/>
          <c:showSerName val="0"/>
          <c:showPercent val="0"/>
          <c:showBubbleSize val="0"/>
        </c:dLbls>
        <c:smooth val="0"/>
        <c:axId val="391550976"/>
        <c:axId val="391550016"/>
      </c:lineChart>
      <c:catAx>
        <c:axId val="391550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550016"/>
        <c:crosses val="autoZero"/>
        <c:auto val="1"/>
        <c:lblAlgn val="ctr"/>
        <c:lblOffset val="100"/>
        <c:noMultiLvlLbl val="0"/>
      </c:catAx>
      <c:valAx>
        <c:axId val="391550016"/>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550976"/>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[Retail_Sales_Dashboard_Starter.xlsx]Stores Performance!PivotTable2</c:name>
    <c:fmtId val="2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ZA" sz="1600" b="1"/>
              <a:t>Store</a:t>
            </a:r>
            <a:r>
              <a:rPr lang="en-ZA" sz="1600" b="1" baseline="0"/>
              <a:t> Performance</a:t>
            </a:r>
            <a:endParaRPr lang="en-ZA"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'Stores Performance'!$B$3</c:f>
              <c:strCache>
                <c:ptCount val="1"/>
                <c:pt idx="0">
                  <c:v>Sum of Sales</c:v>
                </c:pt>
              </c:strCache>
            </c:strRef>
          </c:tx>
          <c:spPr>
            <a:solidFill>
              <a:schemeClr val="accent1"/>
            </a:solidFill>
            <a:ln>
              <a:noFill/>
            </a:ln>
            <a:effectLst/>
          </c:spPr>
          <c:invertIfNegative val="0"/>
          <c:cat>
            <c:strRef>
              <c:f>'Stores Performance'!$A$4:$A$14</c:f>
              <c:strCache>
                <c:ptCount val="10"/>
                <c:pt idx="0">
                  <c:v>Pietermaritzburg</c:v>
                </c:pt>
                <c:pt idx="1">
                  <c:v>Gqeberha</c:v>
                </c:pt>
                <c:pt idx="2">
                  <c:v>Paarl</c:v>
                </c:pt>
                <c:pt idx="3">
                  <c:v>Cape Town CBD</c:v>
                </c:pt>
                <c:pt idx="4">
                  <c:v>East London</c:v>
                </c:pt>
                <c:pt idx="5">
                  <c:v>Sandton</c:v>
                </c:pt>
                <c:pt idx="6">
                  <c:v>Stellenbosch</c:v>
                </c:pt>
                <c:pt idx="7">
                  <c:v>Ballito</c:v>
                </c:pt>
                <c:pt idx="8">
                  <c:v>Nelspruit</c:v>
                </c:pt>
                <c:pt idx="9">
                  <c:v>George</c:v>
                </c:pt>
              </c:strCache>
            </c:strRef>
          </c:cat>
          <c:val>
            <c:numRef>
              <c:f>'Stores Performance'!$B$4:$B$14</c:f>
              <c:numCache>
                <c:formatCode>General</c:formatCode>
                <c:ptCount val="10"/>
                <c:pt idx="0">
                  <c:v>8538139</c:v>
                </c:pt>
                <c:pt idx="1">
                  <c:v>8526484</c:v>
                </c:pt>
                <c:pt idx="2">
                  <c:v>8506367</c:v>
                </c:pt>
                <c:pt idx="3">
                  <c:v>8340156</c:v>
                </c:pt>
                <c:pt idx="4">
                  <c:v>8263922</c:v>
                </c:pt>
                <c:pt idx="5">
                  <c:v>8192705</c:v>
                </c:pt>
                <c:pt idx="6">
                  <c:v>8133664</c:v>
                </c:pt>
                <c:pt idx="7">
                  <c:v>8019541</c:v>
                </c:pt>
                <c:pt idx="8">
                  <c:v>7948554</c:v>
                </c:pt>
                <c:pt idx="9">
                  <c:v>7935171</c:v>
                </c:pt>
              </c:numCache>
            </c:numRef>
          </c:val>
          <c:extLst>
            <c:ext xmlns:c16="http://schemas.microsoft.com/office/drawing/2014/chart" uri="{C3380CC4-5D6E-409C-BE32-E72D297353CC}">
              <c16:uniqueId val="{00000000-BCD2-4A6B-94F5-C42D479198DD}"/>
            </c:ext>
          </c:extLst>
        </c:ser>
        <c:ser>
          <c:idx val="1"/>
          <c:order val="1"/>
          <c:tx>
            <c:strRef>
              <c:f>'Stores Performance'!$C$3</c:f>
              <c:strCache>
                <c:ptCount val="1"/>
                <c:pt idx="0">
                  <c:v>Sum of Budget</c:v>
                </c:pt>
              </c:strCache>
            </c:strRef>
          </c:tx>
          <c:spPr>
            <a:solidFill>
              <a:schemeClr val="accent2"/>
            </a:solidFill>
            <a:ln>
              <a:noFill/>
            </a:ln>
            <a:effectLst/>
          </c:spPr>
          <c:invertIfNegative val="0"/>
          <c:cat>
            <c:strRef>
              <c:f>'Stores Performance'!$A$4:$A$14</c:f>
              <c:strCache>
                <c:ptCount val="10"/>
                <c:pt idx="0">
                  <c:v>Pietermaritzburg</c:v>
                </c:pt>
                <c:pt idx="1">
                  <c:v>Gqeberha</c:v>
                </c:pt>
                <c:pt idx="2">
                  <c:v>Paarl</c:v>
                </c:pt>
                <c:pt idx="3">
                  <c:v>Cape Town CBD</c:v>
                </c:pt>
                <c:pt idx="4">
                  <c:v>East London</c:v>
                </c:pt>
                <c:pt idx="5">
                  <c:v>Sandton</c:v>
                </c:pt>
                <c:pt idx="6">
                  <c:v>Stellenbosch</c:v>
                </c:pt>
                <c:pt idx="7">
                  <c:v>Ballito</c:v>
                </c:pt>
                <c:pt idx="8">
                  <c:v>Nelspruit</c:v>
                </c:pt>
                <c:pt idx="9">
                  <c:v>George</c:v>
                </c:pt>
              </c:strCache>
            </c:strRef>
          </c:cat>
          <c:val>
            <c:numRef>
              <c:f>'Stores Performance'!$C$4:$C$14</c:f>
              <c:numCache>
                <c:formatCode>General</c:formatCode>
                <c:ptCount val="10"/>
                <c:pt idx="0">
                  <c:v>8692594</c:v>
                </c:pt>
                <c:pt idx="1">
                  <c:v>8764114</c:v>
                </c:pt>
                <c:pt idx="2">
                  <c:v>8713382</c:v>
                </c:pt>
                <c:pt idx="3">
                  <c:v>8472009</c:v>
                </c:pt>
                <c:pt idx="4">
                  <c:v>8410553</c:v>
                </c:pt>
                <c:pt idx="5">
                  <c:v>8382502</c:v>
                </c:pt>
                <c:pt idx="6">
                  <c:v>8274506</c:v>
                </c:pt>
                <c:pt idx="7">
                  <c:v>8254479</c:v>
                </c:pt>
                <c:pt idx="8">
                  <c:v>8177748</c:v>
                </c:pt>
                <c:pt idx="9">
                  <c:v>8074123</c:v>
                </c:pt>
              </c:numCache>
            </c:numRef>
          </c:val>
          <c:extLst>
            <c:ext xmlns:c16="http://schemas.microsoft.com/office/drawing/2014/chart" uri="{C3380CC4-5D6E-409C-BE32-E72D297353CC}">
              <c16:uniqueId val="{00000001-BCD2-4A6B-94F5-C42D479198DD}"/>
            </c:ext>
          </c:extLst>
        </c:ser>
        <c:ser>
          <c:idx val="2"/>
          <c:order val="2"/>
          <c:tx>
            <c:strRef>
              <c:f>'Stores Performance'!$D$3</c:f>
              <c:strCache>
                <c:ptCount val="1"/>
                <c:pt idx="0">
                  <c:v>Sum of Variance</c:v>
                </c:pt>
              </c:strCache>
            </c:strRef>
          </c:tx>
          <c:spPr>
            <a:noFill/>
            <a:ln>
              <a:noFill/>
            </a:ln>
            <a:effectLst/>
          </c:spPr>
          <c:invertIfNegative val="0"/>
          <c:cat>
            <c:strRef>
              <c:f>'Stores Performance'!$A$4:$A$14</c:f>
              <c:strCache>
                <c:ptCount val="10"/>
                <c:pt idx="0">
                  <c:v>Pietermaritzburg</c:v>
                </c:pt>
                <c:pt idx="1">
                  <c:v>Gqeberha</c:v>
                </c:pt>
                <c:pt idx="2">
                  <c:v>Paarl</c:v>
                </c:pt>
                <c:pt idx="3">
                  <c:v>Cape Town CBD</c:v>
                </c:pt>
                <c:pt idx="4">
                  <c:v>East London</c:v>
                </c:pt>
                <c:pt idx="5">
                  <c:v>Sandton</c:v>
                </c:pt>
                <c:pt idx="6">
                  <c:v>Stellenbosch</c:v>
                </c:pt>
                <c:pt idx="7">
                  <c:v>Ballito</c:v>
                </c:pt>
                <c:pt idx="8">
                  <c:v>Nelspruit</c:v>
                </c:pt>
                <c:pt idx="9">
                  <c:v>George</c:v>
                </c:pt>
              </c:strCache>
            </c:strRef>
          </c:cat>
          <c:val>
            <c:numRef>
              <c:f>'Stores Performance'!$D$4:$D$14</c:f>
              <c:numCache>
                <c:formatCode>General</c:formatCode>
                <c:ptCount val="10"/>
                <c:pt idx="0">
                  <c:v>-154455</c:v>
                </c:pt>
                <c:pt idx="1">
                  <c:v>-237630</c:v>
                </c:pt>
                <c:pt idx="2">
                  <c:v>-207015</c:v>
                </c:pt>
                <c:pt idx="3">
                  <c:v>-131853</c:v>
                </c:pt>
                <c:pt idx="4">
                  <c:v>-146631</c:v>
                </c:pt>
                <c:pt idx="5">
                  <c:v>-189797</c:v>
                </c:pt>
                <c:pt idx="6">
                  <c:v>-140842</c:v>
                </c:pt>
                <c:pt idx="7">
                  <c:v>-234938</c:v>
                </c:pt>
                <c:pt idx="8">
                  <c:v>-229194</c:v>
                </c:pt>
                <c:pt idx="9">
                  <c:v>-138952</c:v>
                </c:pt>
              </c:numCache>
            </c:numRef>
          </c:val>
          <c:extLst>
            <c:ext xmlns:c16="http://schemas.microsoft.com/office/drawing/2014/chart" uri="{C3380CC4-5D6E-409C-BE32-E72D297353CC}">
              <c16:uniqueId val="{00000002-BCD2-4A6B-94F5-C42D479198DD}"/>
            </c:ext>
          </c:extLst>
        </c:ser>
        <c:dLbls>
          <c:showLegendKey val="0"/>
          <c:showVal val="0"/>
          <c:showCatName val="0"/>
          <c:showSerName val="0"/>
          <c:showPercent val="0"/>
          <c:showBubbleSize val="0"/>
        </c:dLbls>
        <c:gapWidth val="24"/>
        <c:overlap val="4"/>
        <c:axId val="2056129056"/>
        <c:axId val="1878446512"/>
      </c:barChart>
      <c:catAx>
        <c:axId val="20561290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446512"/>
        <c:crosses val="autoZero"/>
        <c:auto val="1"/>
        <c:lblAlgn val="ctr"/>
        <c:lblOffset val="100"/>
        <c:noMultiLvlLbl val="0"/>
      </c:catAx>
      <c:valAx>
        <c:axId val="18784465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12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[Retail_Sales_Dashboard_Starter.xlsx]Category Performance!PivotTable4</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ZA" sz="1600" b="1"/>
              <a:t>Category</a:t>
            </a:r>
            <a:r>
              <a:rPr lang="en-ZA" sz="1600" b="1" baseline="0"/>
              <a:t> Performance</a:t>
            </a:r>
            <a:endParaRPr lang="en-ZA"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Performance'!$B$3</c:f>
              <c:strCache>
                <c:ptCount val="1"/>
                <c:pt idx="0">
                  <c:v>Sum of Sales</c:v>
                </c:pt>
              </c:strCache>
            </c:strRef>
          </c:tx>
          <c:spPr>
            <a:solidFill>
              <a:schemeClr val="accent1"/>
            </a:solidFill>
            <a:ln>
              <a:noFill/>
            </a:ln>
            <a:effectLst/>
          </c:spPr>
          <c:invertIfNegative val="0"/>
          <c:cat>
            <c:strRef>
              <c:f>'Category Performance'!$A$4:$A$9</c:f>
              <c:strCache>
                <c:ptCount val="5"/>
                <c:pt idx="0">
                  <c:v>Footwear</c:v>
                </c:pt>
                <c:pt idx="1">
                  <c:v>Ladieswear</c:v>
                </c:pt>
                <c:pt idx="2">
                  <c:v>Accessories</c:v>
                </c:pt>
                <c:pt idx="3">
                  <c:v>Kids</c:v>
                </c:pt>
                <c:pt idx="4">
                  <c:v>Menswear</c:v>
                </c:pt>
              </c:strCache>
            </c:strRef>
          </c:cat>
          <c:val>
            <c:numRef>
              <c:f>'Category Performance'!$B$4:$B$9</c:f>
              <c:numCache>
                <c:formatCode>"R"#,##0</c:formatCode>
                <c:ptCount val="5"/>
                <c:pt idx="0">
                  <c:v>33549469</c:v>
                </c:pt>
                <c:pt idx="1">
                  <c:v>32550908</c:v>
                </c:pt>
                <c:pt idx="2">
                  <c:v>31389367</c:v>
                </c:pt>
                <c:pt idx="3">
                  <c:v>30951573</c:v>
                </c:pt>
                <c:pt idx="4">
                  <c:v>30948371</c:v>
                </c:pt>
              </c:numCache>
            </c:numRef>
          </c:val>
          <c:extLst>
            <c:ext xmlns:c16="http://schemas.microsoft.com/office/drawing/2014/chart" uri="{C3380CC4-5D6E-409C-BE32-E72D297353CC}">
              <c16:uniqueId val="{00000000-97EF-414E-9001-0D3C47B59289}"/>
            </c:ext>
          </c:extLst>
        </c:ser>
        <c:ser>
          <c:idx val="1"/>
          <c:order val="1"/>
          <c:tx>
            <c:strRef>
              <c:f>'Category Performance'!$C$3</c:f>
              <c:strCache>
                <c:ptCount val="1"/>
                <c:pt idx="0">
                  <c:v>Sum of Budget</c:v>
                </c:pt>
              </c:strCache>
            </c:strRef>
          </c:tx>
          <c:spPr>
            <a:solidFill>
              <a:schemeClr val="accent2"/>
            </a:solidFill>
            <a:ln>
              <a:noFill/>
            </a:ln>
            <a:effectLst/>
          </c:spPr>
          <c:invertIfNegative val="0"/>
          <c:cat>
            <c:strRef>
              <c:f>'Category Performance'!$A$4:$A$9</c:f>
              <c:strCache>
                <c:ptCount val="5"/>
                <c:pt idx="0">
                  <c:v>Footwear</c:v>
                </c:pt>
                <c:pt idx="1">
                  <c:v>Ladieswear</c:v>
                </c:pt>
                <c:pt idx="2">
                  <c:v>Accessories</c:v>
                </c:pt>
                <c:pt idx="3">
                  <c:v>Kids</c:v>
                </c:pt>
                <c:pt idx="4">
                  <c:v>Menswear</c:v>
                </c:pt>
              </c:strCache>
            </c:strRef>
          </c:cat>
          <c:val>
            <c:numRef>
              <c:f>'Category Performance'!$C$4:$C$9</c:f>
              <c:numCache>
                <c:formatCode>General</c:formatCode>
                <c:ptCount val="5"/>
                <c:pt idx="0">
                  <c:v>34391957</c:v>
                </c:pt>
                <c:pt idx="1">
                  <c:v>33387028</c:v>
                </c:pt>
                <c:pt idx="2">
                  <c:v>32088459</c:v>
                </c:pt>
                <c:pt idx="3">
                  <c:v>31739581</c:v>
                </c:pt>
                <c:pt idx="4">
                  <c:v>31785521</c:v>
                </c:pt>
              </c:numCache>
            </c:numRef>
          </c:val>
          <c:extLst>
            <c:ext xmlns:c16="http://schemas.microsoft.com/office/drawing/2014/chart" uri="{C3380CC4-5D6E-409C-BE32-E72D297353CC}">
              <c16:uniqueId val="{00000001-97EF-414E-9001-0D3C47B59289}"/>
            </c:ext>
          </c:extLst>
        </c:ser>
        <c:dLbls>
          <c:showLegendKey val="0"/>
          <c:showVal val="0"/>
          <c:showCatName val="0"/>
          <c:showSerName val="0"/>
          <c:showPercent val="0"/>
          <c:showBubbleSize val="0"/>
        </c:dLbls>
        <c:gapWidth val="70"/>
        <c:overlap val="-17"/>
        <c:axId val="517802768"/>
        <c:axId val="517801808"/>
      </c:barChart>
      <c:catAx>
        <c:axId val="517802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01808"/>
        <c:crosses val="autoZero"/>
        <c:auto val="1"/>
        <c:lblAlgn val="ctr"/>
        <c:lblOffset val="100"/>
        <c:noMultiLvlLbl val="0"/>
      </c:catAx>
      <c:valAx>
        <c:axId val="517801808"/>
        <c:scaling>
          <c:orientation val="minMax"/>
        </c:scaling>
        <c:delete val="0"/>
        <c:axPos val="l"/>
        <c:numFmt formatCode="&quot;R&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02768"/>
        <c:crosses val="autoZero"/>
        <c:crossBetween val="between"/>
      </c:valAx>
      <c:spPr>
        <a:noFill/>
        <a:ln>
          <a:solidFill>
            <a:sysClr val="window" lastClr="FFFFFF"/>
          </a:solid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[Retail_Sales_Dashboard_Starter.xlsx]Area Manager Performance!PivotTable3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600" b="1"/>
              <a:t>Manager</a:t>
            </a:r>
            <a:r>
              <a:rPr lang="en-ZA" sz="1600" b="1" baseline="0"/>
              <a:t> Performance</a:t>
            </a:r>
            <a:endParaRPr lang="en-ZA"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'Area Manager Performance'!$B$3</c:f>
              <c:strCache>
                <c:ptCount val="1"/>
                <c:pt idx="0">
                  <c:v>Sum of Sales</c:v>
                </c:pt>
              </c:strCache>
            </c:strRef>
          </c:tx>
          <c:spPr>
            <a:solidFill>
              <a:schemeClr val="accent1"/>
            </a:solidFill>
            <a:ln>
              <a:noFill/>
            </a:ln>
            <a:effectLst/>
          </c:spPr>
          <c:invertIfNegative val="0"/>
          <c:cat>
            <c:strRef>
              <c:f>'Area Manager Performance'!$A$4:$A$24</c:f>
              <c:strCache>
                <c:ptCount val="20"/>
                <c:pt idx="0">
                  <c:v>Peter Brown</c:v>
                </c:pt>
                <c:pt idx="1">
                  <c:v>Emma Baker</c:v>
                </c:pt>
                <c:pt idx="2">
                  <c:v>Andrew Lee</c:v>
                </c:pt>
                <c:pt idx="3">
                  <c:v>Brian Hall</c:v>
                </c:pt>
                <c:pt idx="4">
                  <c:v>Daniel Evans</c:v>
                </c:pt>
                <c:pt idx="5">
                  <c:v>Karen White</c:v>
                </c:pt>
                <c:pt idx="6">
                  <c:v>Jason King</c:v>
                </c:pt>
                <c:pt idx="7">
                  <c:v>Linda Smith</c:v>
                </c:pt>
                <c:pt idx="8">
                  <c:v>Olivia Turner</c:v>
                </c:pt>
                <c:pt idx="9">
                  <c:v>Chloe Hill</c:v>
                </c:pt>
                <c:pt idx="10">
                  <c:v>Mark Wilson</c:v>
                </c:pt>
                <c:pt idx="11">
                  <c:v>Susan Clark</c:v>
                </c:pt>
                <c:pt idx="12">
                  <c:v>David Green</c:v>
                </c:pt>
                <c:pt idx="13">
                  <c:v>Megan Scott</c:v>
                </c:pt>
                <c:pt idx="14">
                  <c:v>James Taylor</c:v>
                </c:pt>
                <c:pt idx="15">
                  <c:v>Rachel Moore</c:v>
                </c:pt>
                <c:pt idx="16">
                  <c:v>Sarah Adams</c:v>
                </c:pt>
                <c:pt idx="17">
                  <c:v>Michael Jones</c:v>
                </c:pt>
                <c:pt idx="18">
                  <c:v>Kevin Harris</c:v>
                </c:pt>
                <c:pt idx="19">
                  <c:v>Lisa Young</c:v>
                </c:pt>
              </c:strCache>
            </c:strRef>
          </c:cat>
          <c:val>
            <c:numRef>
              <c:f>'Area Manager Performance'!$B$4:$B$24</c:f>
              <c:numCache>
                <c:formatCode>"R"#,##0</c:formatCode>
                <c:ptCount val="20"/>
                <c:pt idx="0">
                  <c:v>8538139</c:v>
                </c:pt>
                <c:pt idx="1">
                  <c:v>8526484</c:v>
                </c:pt>
                <c:pt idx="2">
                  <c:v>8506367</c:v>
                </c:pt>
                <c:pt idx="3">
                  <c:v>8340156</c:v>
                </c:pt>
                <c:pt idx="4">
                  <c:v>8263922</c:v>
                </c:pt>
                <c:pt idx="5">
                  <c:v>8192705</c:v>
                </c:pt>
                <c:pt idx="6">
                  <c:v>8133664</c:v>
                </c:pt>
                <c:pt idx="7">
                  <c:v>8019541</c:v>
                </c:pt>
                <c:pt idx="8">
                  <c:v>7948554</c:v>
                </c:pt>
                <c:pt idx="9">
                  <c:v>7935171</c:v>
                </c:pt>
                <c:pt idx="10">
                  <c:v>7877716</c:v>
                </c:pt>
                <c:pt idx="11">
                  <c:v>7851650</c:v>
                </c:pt>
                <c:pt idx="12">
                  <c:v>7808825</c:v>
                </c:pt>
                <c:pt idx="13">
                  <c:v>7804486</c:v>
                </c:pt>
                <c:pt idx="14">
                  <c:v>7751244</c:v>
                </c:pt>
                <c:pt idx="15">
                  <c:v>7672890</c:v>
                </c:pt>
                <c:pt idx="16">
                  <c:v>7635877</c:v>
                </c:pt>
                <c:pt idx="17">
                  <c:v>7597629</c:v>
                </c:pt>
                <c:pt idx="18">
                  <c:v>7507172</c:v>
                </c:pt>
                <c:pt idx="19">
                  <c:v>7477496</c:v>
                </c:pt>
              </c:numCache>
            </c:numRef>
          </c:val>
          <c:extLst>
            <c:ext xmlns:c16="http://schemas.microsoft.com/office/drawing/2014/chart" uri="{C3380CC4-5D6E-409C-BE32-E72D297353CC}">
              <c16:uniqueId val="{00000000-60D9-4B56-96A1-1C3BAE745535}"/>
            </c:ext>
          </c:extLst>
        </c:ser>
        <c:ser>
          <c:idx val="1"/>
          <c:order val="1"/>
          <c:tx>
            <c:strRef>
              <c:f>'Area Manager Performance'!$C$3</c:f>
              <c:strCache>
                <c:ptCount val="1"/>
                <c:pt idx="0">
                  <c:v>Sum of Budget</c:v>
                </c:pt>
              </c:strCache>
            </c:strRef>
          </c:tx>
          <c:spPr>
            <a:solidFill>
              <a:schemeClr val="accent2"/>
            </a:solidFill>
            <a:ln>
              <a:noFill/>
            </a:ln>
            <a:effectLst/>
          </c:spPr>
          <c:invertIfNegative val="0"/>
          <c:cat>
            <c:strRef>
              <c:f>'Area Manager Performance'!$A$4:$A$24</c:f>
              <c:strCache>
                <c:ptCount val="20"/>
                <c:pt idx="0">
                  <c:v>Peter Brown</c:v>
                </c:pt>
                <c:pt idx="1">
                  <c:v>Emma Baker</c:v>
                </c:pt>
                <c:pt idx="2">
                  <c:v>Andrew Lee</c:v>
                </c:pt>
                <c:pt idx="3">
                  <c:v>Brian Hall</c:v>
                </c:pt>
                <c:pt idx="4">
                  <c:v>Daniel Evans</c:v>
                </c:pt>
                <c:pt idx="5">
                  <c:v>Karen White</c:v>
                </c:pt>
                <c:pt idx="6">
                  <c:v>Jason King</c:v>
                </c:pt>
                <c:pt idx="7">
                  <c:v>Linda Smith</c:v>
                </c:pt>
                <c:pt idx="8">
                  <c:v>Olivia Turner</c:v>
                </c:pt>
                <c:pt idx="9">
                  <c:v>Chloe Hill</c:v>
                </c:pt>
                <c:pt idx="10">
                  <c:v>Mark Wilson</c:v>
                </c:pt>
                <c:pt idx="11">
                  <c:v>Susan Clark</c:v>
                </c:pt>
                <c:pt idx="12">
                  <c:v>David Green</c:v>
                </c:pt>
                <c:pt idx="13">
                  <c:v>Megan Scott</c:v>
                </c:pt>
                <c:pt idx="14">
                  <c:v>James Taylor</c:v>
                </c:pt>
                <c:pt idx="15">
                  <c:v>Rachel Moore</c:v>
                </c:pt>
                <c:pt idx="16">
                  <c:v>Sarah Adams</c:v>
                </c:pt>
                <c:pt idx="17">
                  <c:v>Michael Jones</c:v>
                </c:pt>
                <c:pt idx="18">
                  <c:v>Kevin Harris</c:v>
                </c:pt>
                <c:pt idx="19">
                  <c:v>Lisa Young</c:v>
                </c:pt>
              </c:strCache>
            </c:strRef>
          </c:cat>
          <c:val>
            <c:numRef>
              <c:f>'Area Manager Performance'!$C$4:$C$24</c:f>
              <c:numCache>
                <c:formatCode>"R"#,##0</c:formatCode>
                <c:ptCount val="20"/>
                <c:pt idx="0">
                  <c:v>8692594</c:v>
                </c:pt>
                <c:pt idx="1">
                  <c:v>8764114</c:v>
                </c:pt>
                <c:pt idx="2">
                  <c:v>8713382</c:v>
                </c:pt>
                <c:pt idx="3">
                  <c:v>8472009</c:v>
                </c:pt>
                <c:pt idx="4">
                  <c:v>8410553</c:v>
                </c:pt>
                <c:pt idx="5">
                  <c:v>8382502</c:v>
                </c:pt>
                <c:pt idx="6">
                  <c:v>8274506</c:v>
                </c:pt>
                <c:pt idx="7">
                  <c:v>8254479</c:v>
                </c:pt>
                <c:pt idx="8">
                  <c:v>8177748</c:v>
                </c:pt>
                <c:pt idx="9">
                  <c:v>8074123</c:v>
                </c:pt>
                <c:pt idx="10">
                  <c:v>8081402</c:v>
                </c:pt>
                <c:pt idx="11">
                  <c:v>8035233</c:v>
                </c:pt>
                <c:pt idx="12">
                  <c:v>8023754</c:v>
                </c:pt>
                <c:pt idx="13">
                  <c:v>8154015</c:v>
                </c:pt>
                <c:pt idx="14">
                  <c:v>8005993</c:v>
                </c:pt>
                <c:pt idx="15">
                  <c:v>7847444</c:v>
                </c:pt>
                <c:pt idx="16">
                  <c:v>7862525</c:v>
                </c:pt>
                <c:pt idx="17">
                  <c:v>7798219</c:v>
                </c:pt>
                <c:pt idx="18">
                  <c:v>7709468</c:v>
                </c:pt>
                <c:pt idx="19">
                  <c:v>7658483</c:v>
                </c:pt>
              </c:numCache>
            </c:numRef>
          </c:val>
          <c:extLst>
            <c:ext xmlns:c16="http://schemas.microsoft.com/office/drawing/2014/chart" uri="{C3380CC4-5D6E-409C-BE32-E72D297353CC}">
              <c16:uniqueId val="{00000001-60D9-4B56-96A1-1C3BAE745535}"/>
            </c:ext>
          </c:extLst>
        </c:ser>
        <c:ser>
          <c:idx val="2"/>
          <c:order val="2"/>
          <c:tx>
            <c:strRef>
              <c:f>'Area Manager Performance'!$D$3</c:f>
              <c:strCache>
                <c:ptCount val="1"/>
                <c:pt idx="0">
                  <c:v>Sum of Variance</c:v>
                </c:pt>
              </c:strCache>
            </c:strRef>
          </c:tx>
          <c:spPr>
            <a:noFill/>
            <a:ln>
              <a:noFill/>
            </a:ln>
            <a:effectLst/>
          </c:spPr>
          <c:invertIfNegative val="0"/>
          <c:cat>
            <c:strRef>
              <c:f>'Area Manager Performance'!$A$4:$A$24</c:f>
              <c:strCache>
                <c:ptCount val="20"/>
                <c:pt idx="0">
                  <c:v>Peter Brown</c:v>
                </c:pt>
                <c:pt idx="1">
                  <c:v>Emma Baker</c:v>
                </c:pt>
                <c:pt idx="2">
                  <c:v>Andrew Lee</c:v>
                </c:pt>
                <c:pt idx="3">
                  <c:v>Brian Hall</c:v>
                </c:pt>
                <c:pt idx="4">
                  <c:v>Daniel Evans</c:v>
                </c:pt>
                <c:pt idx="5">
                  <c:v>Karen White</c:v>
                </c:pt>
                <c:pt idx="6">
                  <c:v>Jason King</c:v>
                </c:pt>
                <c:pt idx="7">
                  <c:v>Linda Smith</c:v>
                </c:pt>
                <c:pt idx="8">
                  <c:v>Olivia Turner</c:v>
                </c:pt>
                <c:pt idx="9">
                  <c:v>Chloe Hill</c:v>
                </c:pt>
                <c:pt idx="10">
                  <c:v>Mark Wilson</c:v>
                </c:pt>
                <c:pt idx="11">
                  <c:v>Susan Clark</c:v>
                </c:pt>
                <c:pt idx="12">
                  <c:v>David Green</c:v>
                </c:pt>
                <c:pt idx="13">
                  <c:v>Megan Scott</c:v>
                </c:pt>
                <c:pt idx="14">
                  <c:v>James Taylor</c:v>
                </c:pt>
                <c:pt idx="15">
                  <c:v>Rachel Moore</c:v>
                </c:pt>
                <c:pt idx="16">
                  <c:v>Sarah Adams</c:v>
                </c:pt>
                <c:pt idx="17">
                  <c:v>Michael Jones</c:v>
                </c:pt>
                <c:pt idx="18">
                  <c:v>Kevin Harris</c:v>
                </c:pt>
                <c:pt idx="19">
                  <c:v>Lisa Young</c:v>
                </c:pt>
              </c:strCache>
            </c:strRef>
          </c:cat>
          <c:val>
            <c:numRef>
              <c:f>'Area Manager Performance'!$D$4:$D$24</c:f>
              <c:numCache>
                <c:formatCode>General</c:formatCode>
                <c:ptCount val="20"/>
                <c:pt idx="0">
                  <c:v>-154455</c:v>
                </c:pt>
                <c:pt idx="1">
                  <c:v>-237630</c:v>
                </c:pt>
                <c:pt idx="2">
                  <c:v>-207015</c:v>
                </c:pt>
                <c:pt idx="3">
                  <c:v>-131853</c:v>
                </c:pt>
                <c:pt idx="4">
                  <c:v>-146631</c:v>
                </c:pt>
                <c:pt idx="5">
                  <c:v>-189797</c:v>
                </c:pt>
                <c:pt idx="6">
                  <c:v>-140842</c:v>
                </c:pt>
                <c:pt idx="7">
                  <c:v>-234938</c:v>
                </c:pt>
                <c:pt idx="8">
                  <c:v>-229194</c:v>
                </c:pt>
                <c:pt idx="9">
                  <c:v>-138952</c:v>
                </c:pt>
                <c:pt idx="10">
                  <c:v>-203686</c:v>
                </c:pt>
                <c:pt idx="11">
                  <c:v>-183583</c:v>
                </c:pt>
                <c:pt idx="12">
                  <c:v>-214929</c:v>
                </c:pt>
                <c:pt idx="13">
                  <c:v>-349529</c:v>
                </c:pt>
                <c:pt idx="14">
                  <c:v>-254749</c:v>
                </c:pt>
                <c:pt idx="15">
                  <c:v>-174554</c:v>
                </c:pt>
                <c:pt idx="16">
                  <c:v>-226648</c:v>
                </c:pt>
                <c:pt idx="17">
                  <c:v>-200590</c:v>
                </c:pt>
                <c:pt idx="18">
                  <c:v>-202296</c:v>
                </c:pt>
                <c:pt idx="19">
                  <c:v>-180987</c:v>
                </c:pt>
              </c:numCache>
            </c:numRef>
          </c:val>
          <c:extLst>
            <c:ext xmlns:c16="http://schemas.microsoft.com/office/drawing/2014/chart" uri="{C3380CC4-5D6E-409C-BE32-E72D297353CC}">
              <c16:uniqueId val="{00000002-60D9-4B56-96A1-1C3BAE745535}"/>
            </c:ext>
          </c:extLst>
        </c:ser>
        <c:dLbls>
          <c:showLegendKey val="0"/>
          <c:showVal val="0"/>
          <c:showCatName val="0"/>
          <c:showSerName val="0"/>
          <c:showPercent val="0"/>
          <c:showBubbleSize val="0"/>
        </c:dLbls>
        <c:gapWidth val="0"/>
        <c:axId val="78322623"/>
        <c:axId val="104799727"/>
      </c:barChart>
      <c:catAx>
        <c:axId val="78322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99727"/>
        <c:crosses val="autoZero"/>
        <c:auto val="1"/>
        <c:lblAlgn val="ctr"/>
        <c:lblOffset val="100"/>
        <c:noMultiLvlLbl val="0"/>
      </c:catAx>
      <c:valAx>
        <c:axId val="104799727"/>
        <c:scaling>
          <c:orientation val="minMax"/>
        </c:scaling>
        <c:delete val="0"/>
        <c:axPos val="b"/>
        <c:numFmt formatCode="&quot;R&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2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[Retail_Sales_Dashboard_Starter.xlsx]Monthly Sales Trend!PivotTable5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Monthy</a:t>
            </a:r>
            <a:r>
              <a:rPr lang="en-US" sz="1600" b="1" baseline="0"/>
              <a:t> Sales Trend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Trend'!$A$4:$A$10</c:f>
              <c:strCache>
                <c:ptCount val="6"/>
                <c:pt idx="0">
                  <c:v>Jan</c:v>
                </c:pt>
                <c:pt idx="1">
                  <c:v>Feb</c:v>
                </c:pt>
                <c:pt idx="2">
                  <c:v>Mar</c:v>
                </c:pt>
                <c:pt idx="3">
                  <c:v>Apr</c:v>
                </c:pt>
                <c:pt idx="4">
                  <c:v>May</c:v>
                </c:pt>
                <c:pt idx="5">
                  <c:v>Jun</c:v>
                </c:pt>
              </c:strCache>
            </c:strRef>
          </c:cat>
          <c:val>
            <c:numRef>
              <c:f>'Monthly Sales Trend'!$B$4:$B$10</c:f>
              <c:numCache>
                <c:formatCode>General</c:formatCode>
                <c:ptCount val="6"/>
                <c:pt idx="0">
                  <c:v>27912773</c:v>
                </c:pt>
                <c:pt idx="1">
                  <c:v>24093911</c:v>
                </c:pt>
                <c:pt idx="2">
                  <c:v>27913538</c:v>
                </c:pt>
                <c:pt idx="3">
                  <c:v>26611663</c:v>
                </c:pt>
                <c:pt idx="4">
                  <c:v>27039204</c:v>
                </c:pt>
                <c:pt idx="5">
                  <c:v>25818599</c:v>
                </c:pt>
              </c:numCache>
            </c:numRef>
          </c:val>
          <c:smooth val="0"/>
          <c:extLst>
            <c:ext xmlns:c16="http://schemas.microsoft.com/office/drawing/2014/chart" uri="{C3380CC4-5D6E-409C-BE32-E72D297353CC}">
              <c16:uniqueId val="{00000000-6DAD-46FF-B190-4E1C2CA52FD8}"/>
            </c:ext>
          </c:extLst>
        </c:ser>
        <c:dLbls>
          <c:showLegendKey val="0"/>
          <c:showVal val="0"/>
          <c:showCatName val="0"/>
          <c:showSerName val="0"/>
          <c:showPercent val="0"/>
          <c:showBubbleSize val="0"/>
        </c:dLbls>
        <c:smooth val="0"/>
        <c:axId val="391550976"/>
        <c:axId val="391550016"/>
      </c:lineChart>
      <c:catAx>
        <c:axId val="391550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550016"/>
        <c:crosses val="autoZero"/>
        <c:auto val="1"/>
        <c:lblAlgn val="ctr"/>
        <c:lblOffset val="100"/>
        <c:noMultiLvlLbl val="0"/>
      </c:catAx>
      <c:valAx>
        <c:axId val="391550016"/>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550976"/>
        <c:crosses val="autoZero"/>
        <c:crossBetween val="between"/>
      </c:valAx>
      <c:spPr>
        <a:solidFill>
          <a:sysClr val="window" lastClr="FFFFFF"/>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[Retail_Sales_Dashboard_Starter.xlsx]Category Performance!PivotTable4</c:name>
    <c:fmtId val="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ZA" sz="1600" b="1"/>
              <a:t>Category</a:t>
            </a:r>
            <a:r>
              <a:rPr lang="en-ZA" sz="1600" b="1" baseline="0"/>
              <a:t> Performance</a:t>
            </a:r>
            <a:endParaRPr lang="en-ZA"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Performance'!$B$3</c:f>
              <c:strCache>
                <c:ptCount val="1"/>
                <c:pt idx="0">
                  <c:v>Sum of Sales</c:v>
                </c:pt>
              </c:strCache>
            </c:strRef>
          </c:tx>
          <c:spPr>
            <a:solidFill>
              <a:schemeClr val="accent1"/>
            </a:solidFill>
            <a:ln>
              <a:noFill/>
            </a:ln>
            <a:effectLst/>
          </c:spPr>
          <c:invertIfNegative val="0"/>
          <c:cat>
            <c:strRef>
              <c:f>'Category Performance'!$A$4:$A$9</c:f>
              <c:strCache>
                <c:ptCount val="5"/>
                <c:pt idx="0">
                  <c:v>Footwear</c:v>
                </c:pt>
                <c:pt idx="1">
                  <c:v>Ladieswear</c:v>
                </c:pt>
                <c:pt idx="2">
                  <c:v>Accessories</c:v>
                </c:pt>
                <c:pt idx="3">
                  <c:v>Kids</c:v>
                </c:pt>
                <c:pt idx="4">
                  <c:v>Menswear</c:v>
                </c:pt>
              </c:strCache>
            </c:strRef>
          </c:cat>
          <c:val>
            <c:numRef>
              <c:f>'Category Performance'!$B$4:$B$9</c:f>
              <c:numCache>
                <c:formatCode>"R"#,##0</c:formatCode>
                <c:ptCount val="5"/>
                <c:pt idx="0">
                  <c:v>33549469</c:v>
                </c:pt>
                <c:pt idx="1">
                  <c:v>32550908</c:v>
                </c:pt>
                <c:pt idx="2">
                  <c:v>31389367</c:v>
                </c:pt>
                <c:pt idx="3">
                  <c:v>30951573</c:v>
                </c:pt>
                <c:pt idx="4">
                  <c:v>30948371</c:v>
                </c:pt>
              </c:numCache>
            </c:numRef>
          </c:val>
          <c:extLst>
            <c:ext xmlns:c16="http://schemas.microsoft.com/office/drawing/2014/chart" uri="{C3380CC4-5D6E-409C-BE32-E72D297353CC}">
              <c16:uniqueId val="{00000000-1D64-4255-89B0-00159B53DAB8}"/>
            </c:ext>
          </c:extLst>
        </c:ser>
        <c:ser>
          <c:idx val="1"/>
          <c:order val="1"/>
          <c:tx>
            <c:strRef>
              <c:f>'Category Performance'!$C$3</c:f>
              <c:strCache>
                <c:ptCount val="1"/>
                <c:pt idx="0">
                  <c:v>Sum of Budget</c:v>
                </c:pt>
              </c:strCache>
            </c:strRef>
          </c:tx>
          <c:spPr>
            <a:solidFill>
              <a:schemeClr val="accent2"/>
            </a:solidFill>
            <a:ln>
              <a:noFill/>
            </a:ln>
            <a:effectLst/>
          </c:spPr>
          <c:invertIfNegative val="0"/>
          <c:cat>
            <c:strRef>
              <c:f>'Category Performance'!$A$4:$A$9</c:f>
              <c:strCache>
                <c:ptCount val="5"/>
                <c:pt idx="0">
                  <c:v>Footwear</c:v>
                </c:pt>
                <c:pt idx="1">
                  <c:v>Ladieswear</c:v>
                </c:pt>
                <c:pt idx="2">
                  <c:v>Accessories</c:v>
                </c:pt>
                <c:pt idx="3">
                  <c:v>Kids</c:v>
                </c:pt>
                <c:pt idx="4">
                  <c:v>Menswear</c:v>
                </c:pt>
              </c:strCache>
            </c:strRef>
          </c:cat>
          <c:val>
            <c:numRef>
              <c:f>'Category Performance'!$C$4:$C$9</c:f>
              <c:numCache>
                <c:formatCode>General</c:formatCode>
                <c:ptCount val="5"/>
                <c:pt idx="0">
                  <c:v>34391957</c:v>
                </c:pt>
                <c:pt idx="1">
                  <c:v>33387028</c:v>
                </c:pt>
                <c:pt idx="2">
                  <c:v>32088459</c:v>
                </c:pt>
                <c:pt idx="3">
                  <c:v>31739581</c:v>
                </c:pt>
                <c:pt idx="4">
                  <c:v>31785521</c:v>
                </c:pt>
              </c:numCache>
            </c:numRef>
          </c:val>
          <c:extLst>
            <c:ext xmlns:c16="http://schemas.microsoft.com/office/drawing/2014/chart" uri="{C3380CC4-5D6E-409C-BE32-E72D297353CC}">
              <c16:uniqueId val="{00000001-D083-4002-8EAB-FB436F0F7829}"/>
            </c:ext>
          </c:extLst>
        </c:ser>
        <c:dLbls>
          <c:showLegendKey val="0"/>
          <c:showVal val="0"/>
          <c:showCatName val="0"/>
          <c:showSerName val="0"/>
          <c:showPercent val="0"/>
          <c:showBubbleSize val="0"/>
        </c:dLbls>
        <c:gapWidth val="70"/>
        <c:overlap val="-17"/>
        <c:axId val="517802768"/>
        <c:axId val="517801808"/>
      </c:barChart>
      <c:catAx>
        <c:axId val="517802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01808"/>
        <c:crosses val="autoZero"/>
        <c:auto val="1"/>
        <c:lblAlgn val="ctr"/>
        <c:lblOffset val="100"/>
        <c:noMultiLvlLbl val="0"/>
      </c:catAx>
      <c:valAx>
        <c:axId val="517801808"/>
        <c:scaling>
          <c:orientation val="minMax"/>
        </c:scaling>
        <c:delete val="0"/>
        <c:axPos val="l"/>
        <c:numFmt formatCode="&quot;R&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027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[Retail_Sales_Dashboard_Starter.xlsx]Stores Performance!PivotTable2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Store</a:t>
            </a:r>
            <a:r>
              <a:rPr lang="en-ZA" baseline="0"/>
              <a:t> Performance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a:noFill/>
          </a:ln>
          <a:effectLst/>
        </c:spPr>
      </c:pivotFmt>
    </c:pivotFmts>
    <c:plotArea>
      <c:layout/>
      <c:barChart>
        <c:barDir val="bar"/>
        <c:grouping val="clustered"/>
        <c:varyColors val="0"/>
        <c:ser>
          <c:idx val="0"/>
          <c:order val="0"/>
          <c:tx>
            <c:strRef>
              <c:f>'Stores Performance'!$B$3</c:f>
              <c:strCache>
                <c:ptCount val="1"/>
                <c:pt idx="0">
                  <c:v>Sum of Sales</c:v>
                </c:pt>
              </c:strCache>
            </c:strRef>
          </c:tx>
          <c:spPr>
            <a:solidFill>
              <a:schemeClr val="accent1"/>
            </a:solidFill>
            <a:ln>
              <a:noFill/>
            </a:ln>
            <a:effectLst/>
          </c:spPr>
          <c:invertIfNegative val="0"/>
          <c:cat>
            <c:strRef>
              <c:f>'Stores Performance'!$A$4:$A$14</c:f>
              <c:strCache>
                <c:ptCount val="10"/>
                <c:pt idx="0">
                  <c:v>Pietermaritzburg</c:v>
                </c:pt>
                <c:pt idx="1">
                  <c:v>Gqeberha</c:v>
                </c:pt>
                <c:pt idx="2">
                  <c:v>Paarl</c:v>
                </c:pt>
                <c:pt idx="3">
                  <c:v>Cape Town CBD</c:v>
                </c:pt>
                <c:pt idx="4">
                  <c:v>East London</c:v>
                </c:pt>
                <c:pt idx="5">
                  <c:v>Sandton</c:v>
                </c:pt>
                <c:pt idx="6">
                  <c:v>Stellenbosch</c:v>
                </c:pt>
                <c:pt idx="7">
                  <c:v>Ballito</c:v>
                </c:pt>
                <c:pt idx="8">
                  <c:v>Nelspruit</c:v>
                </c:pt>
                <c:pt idx="9">
                  <c:v>George</c:v>
                </c:pt>
              </c:strCache>
            </c:strRef>
          </c:cat>
          <c:val>
            <c:numRef>
              <c:f>'Stores Performance'!$B$4:$B$14</c:f>
              <c:numCache>
                <c:formatCode>General</c:formatCode>
                <c:ptCount val="10"/>
                <c:pt idx="0">
                  <c:v>8538139</c:v>
                </c:pt>
                <c:pt idx="1">
                  <c:v>8526484</c:v>
                </c:pt>
                <c:pt idx="2">
                  <c:v>8506367</c:v>
                </c:pt>
                <c:pt idx="3">
                  <c:v>8340156</c:v>
                </c:pt>
                <c:pt idx="4">
                  <c:v>8263922</c:v>
                </c:pt>
                <c:pt idx="5">
                  <c:v>8192705</c:v>
                </c:pt>
                <c:pt idx="6">
                  <c:v>8133664</c:v>
                </c:pt>
                <c:pt idx="7">
                  <c:v>8019541</c:v>
                </c:pt>
                <c:pt idx="8">
                  <c:v>7948554</c:v>
                </c:pt>
                <c:pt idx="9">
                  <c:v>7935171</c:v>
                </c:pt>
              </c:numCache>
            </c:numRef>
          </c:val>
          <c:extLst>
            <c:ext xmlns:c16="http://schemas.microsoft.com/office/drawing/2014/chart" uri="{C3380CC4-5D6E-409C-BE32-E72D297353CC}">
              <c16:uniqueId val="{00000000-0995-425C-BD94-B11689E2DCB7}"/>
            </c:ext>
          </c:extLst>
        </c:ser>
        <c:ser>
          <c:idx val="1"/>
          <c:order val="1"/>
          <c:tx>
            <c:strRef>
              <c:f>'Stores Performance'!$C$3</c:f>
              <c:strCache>
                <c:ptCount val="1"/>
                <c:pt idx="0">
                  <c:v>Sum of Budget</c:v>
                </c:pt>
              </c:strCache>
            </c:strRef>
          </c:tx>
          <c:spPr>
            <a:solidFill>
              <a:schemeClr val="accent2"/>
            </a:solidFill>
            <a:ln>
              <a:noFill/>
            </a:ln>
            <a:effectLst/>
          </c:spPr>
          <c:invertIfNegative val="0"/>
          <c:cat>
            <c:strRef>
              <c:f>'Stores Performance'!$A$4:$A$14</c:f>
              <c:strCache>
                <c:ptCount val="10"/>
                <c:pt idx="0">
                  <c:v>Pietermaritzburg</c:v>
                </c:pt>
                <c:pt idx="1">
                  <c:v>Gqeberha</c:v>
                </c:pt>
                <c:pt idx="2">
                  <c:v>Paarl</c:v>
                </c:pt>
                <c:pt idx="3">
                  <c:v>Cape Town CBD</c:v>
                </c:pt>
                <c:pt idx="4">
                  <c:v>East London</c:v>
                </c:pt>
                <c:pt idx="5">
                  <c:v>Sandton</c:v>
                </c:pt>
                <c:pt idx="6">
                  <c:v>Stellenbosch</c:v>
                </c:pt>
                <c:pt idx="7">
                  <c:v>Ballito</c:v>
                </c:pt>
                <c:pt idx="8">
                  <c:v>Nelspruit</c:v>
                </c:pt>
                <c:pt idx="9">
                  <c:v>George</c:v>
                </c:pt>
              </c:strCache>
            </c:strRef>
          </c:cat>
          <c:val>
            <c:numRef>
              <c:f>'Stores Performance'!$C$4:$C$14</c:f>
              <c:numCache>
                <c:formatCode>General</c:formatCode>
                <c:ptCount val="10"/>
                <c:pt idx="0">
                  <c:v>8692594</c:v>
                </c:pt>
                <c:pt idx="1">
                  <c:v>8764114</c:v>
                </c:pt>
                <c:pt idx="2">
                  <c:v>8713382</c:v>
                </c:pt>
                <c:pt idx="3">
                  <c:v>8472009</c:v>
                </c:pt>
                <c:pt idx="4">
                  <c:v>8410553</c:v>
                </c:pt>
                <c:pt idx="5">
                  <c:v>8382502</c:v>
                </c:pt>
                <c:pt idx="6">
                  <c:v>8274506</c:v>
                </c:pt>
                <c:pt idx="7">
                  <c:v>8254479</c:v>
                </c:pt>
                <c:pt idx="8">
                  <c:v>8177748</c:v>
                </c:pt>
                <c:pt idx="9">
                  <c:v>8074123</c:v>
                </c:pt>
              </c:numCache>
            </c:numRef>
          </c:val>
          <c:extLst>
            <c:ext xmlns:c16="http://schemas.microsoft.com/office/drawing/2014/chart" uri="{C3380CC4-5D6E-409C-BE32-E72D297353CC}">
              <c16:uniqueId val="{00000001-0995-425C-BD94-B11689E2DCB7}"/>
            </c:ext>
          </c:extLst>
        </c:ser>
        <c:ser>
          <c:idx val="2"/>
          <c:order val="2"/>
          <c:tx>
            <c:strRef>
              <c:f>'Stores Performance'!$D$3</c:f>
              <c:strCache>
                <c:ptCount val="1"/>
                <c:pt idx="0">
                  <c:v>Sum of Variance</c:v>
                </c:pt>
              </c:strCache>
            </c:strRef>
          </c:tx>
          <c:spPr>
            <a:noFill/>
            <a:ln>
              <a:noFill/>
            </a:ln>
            <a:effectLst/>
          </c:spPr>
          <c:invertIfNegative val="0"/>
          <c:cat>
            <c:strRef>
              <c:f>'Stores Performance'!$A$4:$A$14</c:f>
              <c:strCache>
                <c:ptCount val="10"/>
                <c:pt idx="0">
                  <c:v>Pietermaritzburg</c:v>
                </c:pt>
                <c:pt idx="1">
                  <c:v>Gqeberha</c:v>
                </c:pt>
                <c:pt idx="2">
                  <c:v>Paarl</c:v>
                </c:pt>
                <c:pt idx="3">
                  <c:v>Cape Town CBD</c:v>
                </c:pt>
                <c:pt idx="4">
                  <c:v>East London</c:v>
                </c:pt>
                <c:pt idx="5">
                  <c:v>Sandton</c:v>
                </c:pt>
                <c:pt idx="6">
                  <c:v>Stellenbosch</c:v>
                </c:pt>
                <c:pt idx="7">
                  <c:v>Ballito</c:v>
                </c:pt>
                <c:pt idx="8">
                  <c:v>Nelspruit</c:v>
                </c:pt>
                <c:pt idx="9">
                  <c:v>George</c:v>
                </c:pt>
              </c:strCache>
            </c:strRef>
          </c:cat>
          <c:val>
            <c:numRef>
              <c:f>'Stores Performance'!$D$4:$D$14</c:f>
              <c:numCache>
                <c:formatCode>General</c:formatCode>
                <c:ptCount val="10"/>
                <c:pt idx="0">
                  <c:v>-154455</c:v>
                </c:pt>
                <c:pt idx="1">
                  <c:v>-237630</c:v>
                </c:pt>
                <c:pt idx="2">
                  <c:v>-207015</c:v>
                </c:pt>
                <c:pt idx="3">
                  <c:v>-131853</c:v>
                </c:pt>
                <c:pt idx="4">
                  <c:v>-146631</c:v>
                </c:pt>
                <c:pt idx="5">
                  <c:v>-189797</c:v>
                </c:pt>
                <c:pt idx="6">
                  <c:v>-140842</c:v>
                </c:pt>
                <c:pt idx="7">
                  <c:v>-234938</c:v>
                </c:pt>
                <c:pt idx="8">
                  <c:v>-229194</c:v>
                </c:pt>
                <c:pt idx="9">
                  <c:v>-138952</c:v>
                </c:pt>
              </c:numCache>
            </c:numRef>
          </c:val>
          <c:extLst>
            <c:ext xmlns:c16="http://schemas.microsoft.com/office/drawing/2014/chart" uri="{C3380CC4-5D6E-409C-BE32-E72D297353CC}">
              <c16:uniqueId val="{00000005-0995-425C-BD94-B11689E2DCB7}"/>
            </c:ext>
          </c:extLst>
        </c:ser>
        <c:dLbls>
          <c:showLegendKey val="0"/>
          <c:showVal val="0"/>
          <c:showCatName val="0"/>
          <c:showSerName val="0"/>
          <c:showPercent val="0"/>
          <c:showBubbleSize val="0"/>
        </c:dLbls>
        <c:gapWidth val="24"/>
        <c:overlap val="4"/>
        <c:axId val="2056129056"/>
        <c:axId val="1878446512"/>
      </c:barChart>
      <c:catAx>
        <c:axId val="20561290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446512"/>
        <c:crosses val="autoZero"/>
        <c:auto val="1"/>
        <c:lblAlgn val="ctr"/>
        <c:lblOffset val="100"/>
        <c:noMultiLvlLbl val="0"/>
      </c:catAx>
      <c:valAx>
        <c:axId val="18784465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129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[Retail_Sales_Dashboard_Starter.xlsx]Area Manager Performance!PivotTable3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600" b="1"/>
              <a:t>Manager</a:t>
            </a:r>
            <a:r>
              <a:rPr lang="en-ZA" sz="1600" b="1" baseline="0"/>
              <a:t> Performance</a:t>
            </a:r>
            <a:endParaRPr lang="en-ZA"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'Area Manager Performance'!$B$3</c:f>
              <c:strCache>
                <c:ptCount val="1"/>
                <c:pt idx="0">
                  <c:v>Sum of Sales</c:v>
                </c:pt>
              </c:strCache>
            </c:strRef>
          </c:tx>
          <c:spPr>
            <a:solidFill>
              <a:schemeClr val="accent1"/>
            </a:solidFill>
            <a:ln>
              <a:noFill/>
            </a:ln>
            <a:effectLst/>
          </c:spPr>
          <c:invertIfNegative val="0"/>
          <c:cat>
            <c:strRef>
              <c:f>'Area Manager Performance'!$A$4:$A$24</c:f>
              <c:strCache>
                <c:ptCount val="20"/>
                <c:pt idx="0">
                  <c:v>Peter Brown</c:v>
                </c:pt>
                <c:pt idx="1">
                  <c:v>Emma Baker</c:v>
                </c:pt>
                <c:pt idx="2">
                  <c:v>Andrew Lee</c:v>
                </c:pt>
                <c:pt idx="3">
                  <c:v>Brian Hall</c:v>
                </c:pt>
                <c:pt idx="4">
                  <c:v>Daniel Evans</c:v>
                </c:pt>
                <c:pt idx="5">
                  <c:v>Karen White</c:v>
                </c:pt>
                <c:pt idx="6">
                  <c:v>Jason King</c:v>
                </c:pt>
                <c:pt idx="7">
                  <c:v>Linda Smith</c:v>
                </c:pt>
                <c:pt idx="8">
                  <c:v>Olivia Turner</c:v>
                </c:pt>
                <c:pt idx="9">
                  <c:v>Chloe Hill</c:v>
                </c:pt>
                <c:pt idx="10">
                  <c:v>Mark Wilson</c:v>
                </c:pt>
                <c:pt idx="11">
                  <c:v>Susan Clark</c:v>
                </c:pt>
                <c:pt idx="12">
                  <c:v>David Green</c:v>
                </c:pt>
                <c:pt idx="13">
                  <c:v>Megan Scott</c:v>
                </c:pt>
                <c:pt idx="14">
                  <c:v>James Taylor</c:v>
                </c:pt>
                <c:pt idx="15">
                  <c:v>Rachel Moore</c:v>
                </c:pt>
                <c:pt idx="16">
                  <c:v>Sarah Adams</c:v>
                </c:pt>
                <c:pt idx="17">
                  <c:v>Michael Jones</c:v>
                </c:pt>
                <c:pt idx="18">
                  <c:v>Kevin Harris</c:v>
                </c:pt>
                <c:pt idx="19">
                  <c:v>Lisa Young</c:v>
                </c:pt>
              </c:strCache>
            </c:strRef>
          </c:cat>
          <c:val>
            <c:numRef>
              <c:f>'Area Manager Performance'!$B$4:$B$24</c:f>
              <c:numCache>
                <c:formatCode>"R"#,##0</c:formatCode>
                <c:ptCount val="20"/>
                <c:pt idx="0">
                  <c:v>8538139</c:v>
                </c:pt>
                <c:pt idx="1">
                  <c:v>8526484</c:v>
                </c:pt>
                <c:pt idx="2">
                  <c:v>8506367</c:v>
                </c:pt>
                <c:pt idx="3">
                  <c:v>8340156</c:v>
                </c:pt>
                <c:pt idx="4">
                  <c:v>8263922</c:v>
                </c:pt>
                <c:pt idx="5">
                  <c:v>8192705</c:v>
                </c:pt>
                <c:pt idx="6">
                  <c:v>8133664</c:v>
                </c:pt>
                <c:pt idx="7">
                  <c:v>8019541</c:v>
                </c:pt>
                <c:pt idx="8">
                  <c:v>7948554</c:v>
                </c:pt>
                <c:pt idx="9">
                  <c:v>7935171</c:v>
                </c:pt>
                <c:pt idx="10">
                  <c:v>7877716</c:v>
                </c:pt>
                <c:pt idx="11">
                  <c:v>7851650</c:v>
                </c:pt>
                <c:pt idx="12">
                  <c:v>7808825</c:v>
                </c:pt>
                <c:pt idx="13">
                  <c:v>7804486</c:v>
                </c:pt>
                <c:pt idx="14">
                  <c:v>7751244</c:v>
                </c:pt>
                <c:pt idx="15">
                  <c:v>7672890</c:v>
                </c:pt>
                <c:pt idx="16">
                  <c:v>7635877</c:v>
                </c:pt>
                <c:pt idx="17">
                  <c:v>7597629</c:v>
                </c:pt>
                <c:pt idx="18">
                  <c:v>7507172</c:v>
                </c:pt>
                <c:pt idx="19">
                  <c:v>7477496</c:v>
                </c:pt>
              </c:numCache>
            </c:numRef>
          </c:val>
          <c:extLst>
            <c:ext xmlns:c16="http://schemas.microsoft.com/office/drawing/2014/chart" uri="{C3380CC4-5D6E-409C-BE32-E72D297353CC}">
              <c16:uniqueId val="{00000000-095F-4724-B133-05FD1DD56BC0}"/>
            </c:ext>
          </c:extLst>
        </c:ser>
        <c:ser>
          <c:idx val="1"/>
          <c:order val="1"/>
          <c:tx>
            <c:strRef>
              <c:f>'Area Manager Performance'!$C$3</c:f>
              <c:strCache>
                <c:ptCount val="1"/>
                <c:pt idx="0">
                  <c:v>Sum of Budget</c:v>
                </c:pt>
              </c:strCache>
            </c:strRef>
          </c:tx>
          <c:spPr>
            <a:solidFill>
              <a:schemeClr val="accent2"/>
            </a:solidFill>
            <a:ln>
              <a:noFill/>
            </a:ln>
            <a:effectLst/>
          </c:spPr>
          <c:invertIfNegative val="0"/>
          <c:cat>
            <c:strRef>
              <c:f>'Area Manager Performance'!$A$4:$A$24</c:f>
              <c:strCache>
                <c:ptCount val="20"/>
                <c:pt idx="0">
                  <c:v>Peter Brown</c:v>
                </c:pt>
                <c:pt idx="1">
                  <c:v>Emma Baker</c:v>
                </c:pt>
                <c:pt idx="2">
                  <c:v>Andrew Lee</c:v>
                </c:pt>
                <c:pt idx="3">
                  <c:v>Brian Hall</c:v>
                </c:pt>
                <c:pt idx="4">
                  <c:v>Daniel Evans</c:v>
                </c:pt>
                <c:pt idx="5">
                  <c:v>Karen White</c:v>
                </c:pt>
                <c:pt idx="6">
                  <c:v>Jason King</c:v>
                </c:pt>
                <c:pt idx="7">
                  <c:v>Linda Smith</c:v>
                </c:pt>
                <c:pt idx="8">
                  <c:v>Olivia Turner</c:v>
                </c:pt>
                <c:pt idx="9">
                  <c:v>Chloe Hill</c:v>
                </c:pt>
                <c:pt idx="10">
                  <c:v>Mark Wilson</c:v>
                </c:pt>
                <c:pt idx="11">
                  <c:v>Susan Clark</c:v>
                </c:pt>
                <c:pt idx="12">
                  <c:v>David Green</c:v>
                </c:pt>
                <c:pt idx="13">
                  <c:v>Megan Scott</c:v>
                </c:pt>
                <c:pt idx="14">
                  <c:v>James Taylor</c:v>
                </c:pt>
                <c:pt idx="15">
                  <c:v>Rachel Moore</c:v>
                </c:pt>
                <c:pt idx="16">
                  <c:v>Sarah Adams</c:v>
                </c:pt>
                <c:pt idx="17">
                  <c:v>Michael Jones</c:v>
                </c:pt>
                <c:pt idx="18">
                  <c:v>Kevin Harris</c:v>
                </c:pt>
                <c:pt idx="19">
                  <c:v>Lisa Young</c:v>
                </c:pt>
              </c:strCache>
            </c:strRef>
          </c:cat>
          <c:val>
            <c:numRef>
              <c:f>'Area Manager Performance'!$C$4:$C$24</c:f>
              <c:numCache>
                <c:formatCode>"R"#,##0</c:formatCode>
                <c:ptCount val="20"/>
                <c:pt idx="0">
                  <c:v>8692594</c:v>
                </c:pt>
                <c:pt idx="1">
                  <c:v>8764114</c:v>
                </c:pt>
                <c:pt idx="2">
                  <c:v>8713382</c:v>
                </c:pt>
                <c:pt idx="3">
                  <c:v>8472009</c:v>
                </c:pt>
                <c:pt idx="4">
                  <c:v>8410553</c:v>
                </c:pt>
                <c:pt idx="5">
                  <c:v>8382502</c:v>
                </c:pt>
                <c:pt idx="6">
                  <c:v>8274506</c:v>
                </c:pt>
                <c:pt idx="7">
                  <c:v>8254479</c:v>
                </c:pt>
                <c:pt idx="8">
                  <c:v>8177748</c:v>
                </c:pt>
                <c:pt idx="9">
                  <c:v>8074123</c:v>
                </c:pt>
                <c:pt idx="10">
                  <c:v>8081402</c:v>
                </c:pt>
                <c:pt idx="11">
                  <c:v>8035233</c:v>
                </c:pt>
                <c:pt idx="12">
                  <c:v>8023754</c:v>
                </c:pt>
                <c:pt idx="13">
                  <c:v>8154015</c:v>
                </c:pt>
                <c:pt idx="14">
                  <c:v>8005993</c:v>
                </c:pt>
                <c:pt idx="15">
                  <c:v>7847444</c:v>
                </c:pt>
                <c:pt idx="16">
                  <c:v>7862525</c:v>
                </c:pt>
                <c:pt idx="17">
                  <c:v>7798219</c:v>
                </c:pt>
                <c:pt idx="18">
                  <c:v>7709468</c:v>
                </c:pt>
                <c:pt idx="19">
                  <c:v>7658483</c:v>
                </c:pt>
              </c:numCache>
            </c:numRef>
          </c:val>
          <c:extLst>
            <c:ext xmlns:c16="http://schemas.microsoft.com/office/drawing/2014/chart" uri="{C3380CC4-5D6E-409C-BE32-E72D297353CC}">
              <c16:uniqueId val="{00000001-095F-4724-B133-05FD1DD56BC0}"/>
            </c:ext>
          </c:extLst>
        </c:ser>
        <c:ser>
          <c:idx val="2"/>
          <c:order val="2"/>
          <c:tx>
            <c:strRef>
              <c:f>'Area Manager Performance'!$D$3</c:f>
              <c:strCache>
                <c:ptCount val="1"/>
                <c:pt idx="0">
                  <c:v>Sum of Variance</c:v>
                </c:pt>
              </c:strCache>
            </c:strRef>
          </c:tx>
          <c:spPr>
            <a:solidFill>
              <a:schemeClr val="accent3"/>
            </a:solidFill>
            <a:ln>
              <a:noFill/>
            </a:ln>
            <a:effectLst/>
          </c:spPr>
          <c:invertIfNegative val="0"/>
          <c:cat>
            <c:strRef>
              <c:f>'Area Manager Performance'!$A$4:$A$24</c:f>
              <c:strCache>
                <c:ptCount val="20"/>
                <c:pt idx="0">
                  <c:v>Peter Brown</c:v>
                </c:pt>
                <c:pt idx="1">
                  <c:v>Emma Baker</c:v>
                </c:pt>
                <c:pt idx="2">
                  <c:v>Andrew Lee</c:v>
                </c:pt>
                <c:pt idx="3">
                  <c:v>Brian Hall</c:v>
                </c:pt>
                <c:pt idx="4">
                  <c:v>Daniel Evans</c:v>
                </c:pt>
                <c:pt idx="5">
                  <c:v>Karen White</c:v>
                </c:pt>
                <c:pt idx="6">
                  <c:v>Jason King</c:v>
                </c:pt>
                <c:pt idx="7">
                  <c:v>Linda Smith</c:v>
                </c:pt>
                <c:pt idx="8">
                  <c:v>Olivia Turner</c:v>
                </c:pt>
                <c:pt idx="9">
                  <c:v>Chloe Hill</c:v>
                </c:pt>
                <c:pt idx="10">
                  <c:v>Mark Wilson</c:v>
                </c:pt>
                <c:pt idx="11">
                  <c:v>Susan Clark</c:v>
                </c:pt>
                <c:pt idx="12">
                  <c:v>David Green</c:v>
                </c:pt>
                <c:pt idx="13">
                  <c:v>Megan Scott</c:v>
                </c:pt>
                <c:pt idx="14">
                  <c:v>James Taylor</c:v>
                </c:pt>
                <c:pt idx="15">
                  <c:v>Rachel Moore</c:v>
                </c:pt>
                <c:pt idx="16">
                  <c:v>Sarah Adams</c:v>
                </c:pt>
                <c:pt idx="17">
                  <c:v>Michael Jones</c:v>
                </c:pt>
                <c:pt idx="18">
                  <c:v>Kevin Harris</c:v>
                </c:pt>
                <c:pt idx="19">
                  <c:v>Lisa Young</c:v>
                </c:pt>
              </c:strCache>
            </c:strRef>
          </c:cat>
          <c:val>
            <c:numRef>
              <c:f>'Area Manager Performance'!$D$4:$D$24</c:f>
              <c:numCache>
                <c:formatCode>General</c:formatCode>
                <c:ptCount val="20"/>
                <c:pt idx="0">
                  <c:v>-154455</c:v>
                </c:pt>
                <c:pt idx="1">
                  <c:v>-237630</c:v>
                </c:pt>
                <c:pt idx="2">
                  <c:v>-207015</c:v>
                </c:pt>
                <c:pt idx="3">
                  <c:v>-131853</c:v>
                </c:pt>
                <c:pt idx="4">
                  <c:v>-146631</c:v>
                </c:pt>
                <c:pt idx="5">
                  <c:v>-189797</c:v>
                </c:pt>
                <c:pt idx="6">
                  <c:v>-140842</c:v>
                </c:pt>
                <c:pt idx="7">
                  <c:v>-234938</c:v>
                </c:pt>
                <c:pt idx="8">
                  <c:v>-229194</c:v>
                </c:pt>
                <c:pt idx="9">
                  <c:v>-138952</c:v>
                </c:pt>
                <c:pt idx="10">
                  <c:v>-203686</c:v>
                </c:pt>
                <c:pt idx="11">
                  <c:v>-183583</c:v>
                </c:pt>
                <c:pt idx="12">
                  <c:v>-214929</c:v>
                </c:pt>
                <c:pt idx="13">
                  <c:v>-349529</c:v>
                </c:pt>
                <c:pt idx="14">
                  <c:v>-254749</c:v>
                </c:pt>
                <c:pt idx="15">
                  <c:v>-174554</c:v>
                </c:pt>
                <c:pt idx="16">
                  <c:v>-226648</c:v>
                </c:pt>
                <c:pt idx="17">
                  <c:v>-200590</c:v>
                </c:pt>
                <c:pt idx="18">
                  <c:v>-202296</c:v>
                </c:pt>
                <c:pt idx="19">
                  <c:v>-180987</c:v>
                </c:pt>
              </c:numCache>
            </c:numRef>
          </c:val>
          <c:extLst>
            <c:ext xmlns:c16="http://schemas.microsoft.com/office/drawing/2014/chart" uri="{C3380CC4-5D6E-409C-BE32-E72D297353CC}">
              <c16:uniqueId val="{00000002-095F-4724-B133-05FD1DD56BC0}"/>
            </c:ext>
          </c:extLst>
        </c:ser>
        <c:dLbls>
          <c:showLegendKey val="0"/>
          <c:showVal val="0"/>
          <c:showCatName val="0"/>
          <c:showSerName val="0"/>
          <c:showPercent val="0"/>
          <c:showBubbleSize val="0"/>
        </c:dLbls>
        <c:gapWidth val="182"/>
        <c:axId val="78322623"/>
        <c:axId val="104799727"/>
      </c:barChart>
      <c:catAx>
        <c:axId val="78322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99727"/>
        <c:crosses val="autoZero"/>
        <c:auto val="1"/>
        <c:lblAlgn val="ctr"/>
        <c:lblOffset val="100"/>
        <c:noMultiLvlLbl val="0"/>
      </c:catAx>
      <c:valAx>
        <c:axId val="104799727"/>
        <c:scaling>
          <c:orientation val="minMax"/>
        </c:scaling>
        <c:delete val="0"/>
        <c:axPos val="b"/>
        <c:numFmt formatCode="&quot;R&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22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[Retail_Sales_Dashboard_Starter.xlsx]Sales Performance by Province!PivotTable1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Sales</a:t>
            </a:r>
            <a:r>
              <a:rPr lang="en-ZA" baseline="0"/>
              <a:t> Performance by Province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Performance by Province'!$B$3</c:f>
              <c:strCache>
                <c:ptCount val="1"/>
                <c:pt idx="0">
                  <c:v>Sum of Sales</c:v>
                </c:pt>
              </c:strCache>
            </c:strRef>
          </c:tx>
          <c:spPr>
            <a:solidFill>
              <a:schemeClr val="accent1"/>
            </a:solidFill>
            <a:ln>
              <a:noFill/>
            </a:ln>
            <a:effectLst/>
          </c:spPr>
          <c:invertIfNegative val="0"/>
          <c:cat>
            <c:strRef>
              <c:f>'Sales Performance by Province'!$A$4:$A$11</c:f>
              <c:strCache>
                <c:ptCount val="7"/>
                <c:pt idx="0">
                  <c:v>Western Cape</c:v>
                </c:pt>
                <c:pt idx="1">
                  <c:v>KZN</c:v>
                </c:pt>
                <c:pt idx="2">
                  <c:v>Gauteng</c:v>
                </c:pt>
                <c:pt idx="3">
                  <c:v>Eastern Cape</c:v>
                </c:pt>
                <c:pt idx="4">
                  <c:v>Mpumalanga</c:v>
                </c:pt>
                <c:pt idx="5">
                  <c:v>Free State</c:v>
                </c:pt>
                <c:pt idx="6">
                  <c:v>Limpopo</c:v>
                </c:pt>
              </c:strCache>
            </c:strRef>
          </c:cat>
          <c:val>
            <c:numRef>
              <c:f>'Sales Performance by Province'!$B$4:$B$11</c:f>
              <c:numCache>
                <c:formatCode>"R"#,##0</c:formatCode>
                <c:ptCount val="7"/>
                <c:pt idx="0">
                  <c:v>40719844</c:v>
                </c:pt>
                <c:pt idx="1">
                  <c:v>39600011</c:v>
                </c:pt>
                <c:pt idx="2">
                  <c:v>39150811</c:v>
                </c:pt>
                <c:pt idx="3">
                  <c:v>16790406</c:v>
                </c:pt>
                <c:pt idx="4">
                  <c:v>7948554</c:v>
                </c:pt>
                <c:pt idx="5">
                  <c:v>7672890</c:v>
                </c:pt>
                <c:pt idx="6">
                  <c:v>7507172</c:v>
                </c:pt>
              </c:numCache>
            </c:numRef>
          </c:val>
          <c:extLst>
            <c:ext xmlns:c16="http://schemas.microsoft.com/office/drawing/2014/chart" uri="{C3380CC4-5D6E-409C-BE32-E72D297353CC}">
              <c16:uniqueId val="{00000000-8F92-44EB-8AB7-A751478AB155}"/>
            </c:ext>
          </c:extLst>
        </c:ser>
        <c:ser>
          <c:idx val="1"/>
          <c:order val="1"/>
          <c:tx>
            <c:strRef>
              <c:f>'Sales Performance by Province'!$C$3</c:f>
              <c:strCache>
                <c:ptCount val="1"/>
                <c:pt idx="0">
                  <c:v>Sum of Budget</c:v>
                </c:pt>
              </c:strCache>
            </c:strRef>
          </c:tx>
          <c:spPr>
            <a:solidFill>
              <a:schemeClr val="accent2"/>
            </a:solidFill>
            <a:ln>
              <a:noFill/>
            </a:ln>
            <a:effectLst/>
          </c:spPr>
          <c:invertIfNegative val="0"/>
          <c:cat>
            <c:strRef>
              <c:f>'Sales Performance by Province'!$A$4:$A$11</c:f>
              <c:strCache>
                <c:ptCount val="7"/>
                <c:pt idx="0">
                  <c:v>Western Cape</c:v>
                </c:pt>
                <c:pt idx="1">
                  <c:v>KZN</c:v>
                </c:pt>
                <c:pt idx="2">
                  <c:v>Gauteng</c:v>
                </c:pt>
                <c:pt idx="3">
                  <c:v>Eastern Cape</c:v>
                </c:pt>
                <c:pt idx="4">
                  <c:v>Mpumalanga</c:v>
                </c:pt>
                <c:pt idx="5">
                  <c:v>Free State</c:v>
                </c:pt>
                <c:pt idx="6">
                  <c:v>Limpopo</c:v>
                </c:pt>
              </c:strCache>
            </c:strRef>
          </c:cat>
          <c:val>
            <c:numRef>
              <c:f>'Sales Performance by Province'!$C$4:$C$11</c:f>
              <c:numCache>
                <c:formatCode>"R"#,##0</c:formatCode>
                <c:ptCount val="7"/>
                <c:pt idx="0">
                  <c:v>41688035</c:v>
                </c:pt>
                <c:pt idx="1">
                  <c:v>40631571</c:v>
                </c:pt>
                <c:pt idx="2">
                  <c:v>40163613</c:v>
                </c:pt>
                <c:pt idx="3">
                  <c:v>17174667</c:v>
                </c:pt>
                <c:pt idx="4">
                  <c:v>8177748</c:v>
                </c:pt>
                <c:pt idx="5">
                  <c:v>7847444</c:v>
                </c:pt>
                <c:pt idx="6">
                  <c:v>7709468</c:v>
                </c:pt>
              </c:numCache>
            </c:numRef>
          </c:val>
          <c:extLst>
            <c:ext xmlns:c16="http://schemas.microsoft.com/office/drawing/2014/chart" uri="{C3380CC4-5D6E-409C-BE32-E72D297353CC}">
              <c16:uniqueId val="{00000001-8F92-44EB-8AB7-A751478AB155}"/>
            </c:ext>
          </c:extLst>
        </c:ser>
        <c:ser>
          <c:idx val="2"/>
          <c:order val="2"/>
          <c:tx>
            <c:strRef>
              <c:f>'Sales Performance by Province'!$D$3</c:f>
              <c:strCache>
                <c:ptCount val="1"/>
                <c:pt idx="0">
                  <c:v>Sum of Variance</c:v>
                </c:pt>
              </c:strCache>
            </c:strRef>
          </c:tx>
          <c:spPr>
            <a:solidFill>
              <a:schemeClr val="accent3"/>
            </a:solidFill>
            <a:ln>
              <a:noFill/>
            </a:ln>
            <a:effectLst/>
          </c:spPr>
          <c:invertIfNegative val="0"/>
          <c:cat>
            <c:strRef>
              <c:f>'Sales Performance by Province'!$A$4:$A$11</c:f>
              <c:strCache>
                <c:ptCount val="7"/>
                <c:pt idx="0">
                  <c:v>Western Cape</c:v>
                </c:pt>
                <c:pt idx="1">
                  <c:v>KZN</c:v>
                </c:pt>
                <c:pt idx="2">
                  <c:v>Gauteng</c:v>
                </c:pt>
                <c:pt idx="3">
                  <c:v>Eastern Cape</c:v>
                </c:pt>
                <c:pt idx="4">
                  <c:v>Mpumalanga</c:v>
                </c:pt>
                <c:pt idx="5">
                  <c:v>Free State</c:v>
                </c:pt>
                <c:pt idx="6">
                  <c:v>Limpopo</c:v>
                </c:pt>
              </c:strCache>
            </c:strRef>
          </c:cat>
          <c:val>
            <c:numRef>
              <c:f>'Sales Performance by Province'!$D$4:$D$11</c:f>
              <c:numCache>
                <c:formatCode>"R"#,##0</c:formatCode>
                <c:ptCount val="7"/>
                <c:pt idx="0">
                  <c:v>-968191</c:v>
                </c:pt>
                <c:pt idx="1">
                  <c:v>-1031560</c:v>
                </c:pt>
                <c:pt idx="2">
                  <c:v>-1012802</c:v>
                </c:pt>
                <c:pt idx="3">
                  <c:v>-384261</c:v>
                </c:pt>
                <c:pt idx="4">
                  <c:v>-229194</c:v>
                </c:pt>
                <c:pt idx="5">
                  <c:v>-174554</c:v>
                </c:pt>
                <c:pt idx="6">
                  <c:v>-202296</c:v>
                </c:pt>
              </c:numCache>
            </c:numRef>
          </c:val>
          <c:extLst>
            <c:ext xmlns:c16="http://schemas.microsoft.com/office/drawing/2014/chart" uri="{C3380CC4-5D6E-409C-BE32-E72D297353CC}">
              <c16:uniqueId val="{00000002-8F92-44EB-8AB7-A751478AB155}"/>
            </c:ext>
          </c:extLst>
        </c:ser>
        <c:dLbls>
          <c:showLegendKey val="0"/>
          <c:showVal val="0"/>
          <c:showCatName val="0"/>
          <c:showSerName val="0"/>
          <c:showPercent val="0"/>
          <c:showBubbleSize val="0"/>
        </c:dLbls>
        <c:gapWidth val="219"/>
        <c:overlap val="-27"/>
        <c:axId val="391950864"/>
        <c:axId val="391968144"/>
      </c:barChart>
      <c:catAx>
        <c:axId val="39195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68144"/>
        <c:crosses val="autoZero"/>
        <c:auto val="1"/>
        <c:lblAlgn val="ctr"/>
        <c:lblOffset val="100"/>
        <c:noMultiLvlLbl val="0"/>
      </c:catAx>
      <c:valAx>
        <c:axId val="391968144"/>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50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152400</xdr:colOff>
      <xdr:row>4</xdr:row>
      <xdr:rowOff>117474</xdr:rowOff>
    </xdr:from>
    <xdr:to>
      <xdr:col>3</xdr:col>
      <xdr:colOff>160020</xdr:colOff>
      <xdr:row>8</xdr:row>
      <xdr:rowOff>172719</xdr:rowOff>
    </xdr:to>
    <xdr:sp macro="" textlink="">
      <xdr:nvSpPr>
        <xdr:cNvPr id="3" name="Rectangle 2">
          <a:extLst>
            <a:ext uri="{FF2B5EF4-FFF2-40B4-BE49-F238E27FC236}">
              <a16:creationId xmlns:a16="http://schemas.microsoft.com/office/drawing/2014/main" id="{9B473388-8525-68F4-B1E6-E75ADB293EB7}"/>
            </a:ext>
          </a:extLst>
        </xdr:cNvPr>
        <xdr:cNvSpPr/>
      </xdr:nvSpPr>
      <xdr:spPr>
        <a:xfrm>
          <a:off x="152400" y="940434"/>
          <a:ext cx="1836420" cy="82740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29845</xdr:colOff>
      <xdr:row>4</xdr:row>
      <xdr:rowOff>102870</xdr:rowOff>
    </xdr:from>
    <xdr:to>
      <xdr:col>8</xdr:col>
      <xdr:colOff>79375</xdr:colOff>
      <xdr:row>8</xdr:row>
      <xdr:rowOff>132080</xdr:rowOff>
    </xdr:to>
    <xdr:sp macro="" textlink="">
      <xdr:nvSpPr>
        <xdr:cNvPr id="5" name="Rectangle 4">
          <a:extLst>
            <a:ext uri="{FF2B5EF4-FFF2-40B4-BE49-F238E27FC236}">
              <a16:creationId xmlns:a16="http://schemas.microsoft.com/office/drawing/2014/main" id="{928CB26C-9CAB-68DF-5111-FFE8F31337BF}"/>
            </a:ext>
          </a:extLst>
        </xdr:cNvPr>
        <xdr:cNvSpPr/>
      </xdr:nvSpPr>
      <xdr:spPr>
        <a:xfrm>
          <a:off x="3077845" y="925830"/>
          <a:ext cx="1878330" cy="80137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800"/>
        </a:p>
      </xdr:txBody>
    </xdr:sp>
    <xdr:clientData/>
  </xdr:twoCellAnchor>
  <xdr:twoCellAnchor>
    <xdr:from>
      <xdr:col>9</xdr:col>
      <xdr:colOff>584199</xdr:colOff>
      <xdr:row>4</xdr:row>
      <xdr:rowOff>133350</xdr:rowOff>
    </xdr:from>
    <xdr:to>
      <xdr:col>13</xdr:col>
      <xdr:colOff>44449</xdr:colOff>
      <xdr:row>8</xdr:row>
      <xdr:rowOff>166370</xdr:rowOff>
    </xdr:to>
    <xdr:sp macro="" textlink="">
      <xdr:nvSpPr>
        <xdr:cNvPr id="6" name="Rectangle 5">
          <a:extLst>
            <a:ext uri="{FF2B5EF4-FFF2-40B4-BE49-F238E27FC236}">
              <a16:creationId xmlns:a16="http://schemas.microsoft.com/office/drawing/2014/main" id="{92E87312-5172-A628-D14E-637AB903EC1E}"/>
            </a:ext>
          </a:extLst>
        </xdr:cNvPr>
        <xdr:cNvSpPr/>
      </xdr:nvSpPr>
      <xdr:spPr>
        <a:xfrm>
          <a:off x="6070599" y="956310"/>
          <a:ext cx="1898650" cy="805180"/>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800"/>
        </a:p>
      </xdr:txBody>
    </xdr:sp>
    <xdr:clientData/>
  </xdr:twoCellAnchor>
  <xdr:twoCellAnchor>
    <xdr:from>
      <xdr:col>0</xdr:col>
      <xdr:colOff>0</xdr:colOff>
      <xdr:row>10</xdr:row>
      <xdr:rowOff>7620</xdr:rowOff>
    </xdr:from>
    <xdr:to>
      <xdr:col>9</xdr:col>
      <xdr:colOff>99060</xdr:colOff>
      <xdr:row>28</xdr:row>
      <xdr:rowOff>152400</xdr:rowOff>
    </xdr:to>
    <xdr:graphicFrame macro="">
      <xdr:nvGraphicFramePr>
        <xdr:cNvPr id="8" name="Chart 7">
          <a:extLst>
            <a:ext uri="{FF2B5EF4-FFF2-40B4-BE49-F238E27FC236}">
              <a16:creationId xmlns:a16="http://schemas.microsoft.com/office/drawing/2014/main" id="{F05837ED-A44F-482F-A9A8-D84D9FB5A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233257</xdr:colOff>
      <xdr:row>10</xdr:row>
      <xdr:rowOff>80010</xdr:rowOff>
    </xdr:from>
    <xdr:to>
      <xdr:col>18</xdr:col>
      <xdr:colOff>160020</xdr:colOff>
      <xdr:row>28</xdr:row>
      <xdr:rowOff>3810</xdr:rowOff>
    </xdr:to>
    <xdr:graphicFrame macro="">
      <xdr:nvGraphicFramePr>
        <xdr:cNvPr id="13" name="Chart 12">
          <a:extLst>
            <a:ext uri="{FF2B5EF4-FFF2-40B4-BE49-F238E27FC236}">
              <a16:creationId xmlns:a16="http://schemas.microsoft.com/office/drawing/2014/main" id="{433A9F7A-6F5F-44BC-9581-EC827A938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194733</xdr:rowOff>
    </xdr:from>
    <xdr:to>
      <xdr:col>9</xdr:col>
      <xdr:colOff>396240</xdr:colOff>
      <xdr:row>49</xdr:row>
      <xdr:rowOff>179704</xdr:rowOff>
    </xdr:to>
    <xdr:graphicFrame macro="">
      <xdr:nvGraphicFramePr>
        <xdr:cNvPr id="9" name="Chart 8">
          <a:extLst>
            <a:ext uri="{FF2B5EF4-FFF2-40B4-BE49-F238E27FC236}">
              <a16:creationId xmlns:a16="http://schemas.microsoft.com/office/drawing/2014/main" id="{3C7346EE-B1B4-463B-8EB5-07C95C938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262890</xdr:colOff>
      <xdr:row>30</xdr:row>
      <xdr:rowOff>41910</xdr:rowOff>
    </xdr:from>
    <xdr:to>
      <xdr:col>18</xdr:col>
      <xdr:colOff>185820</xdr:colOff>
      <xdr:row>49</xdr:row>
      <xdr:rowOff>38100</xdr:rowOff>
    </xdr:to>
    <xdr:graphicFrame macro="">
      <xdr:nvGraphicFramePr>
        <xdr:cNvPr id="14" name="Chart 13">
          <a:extLst>
            <a:ext uri="{FF2B5EF4-FFF2-40B4-BE49-F238E27FC236}">
              <a16:creationId xmlns:a16="http://schemas.microsoft.com/office/drawing/2014/main" id="{9FBA0AEC-4E2E-4D80-A830-440B3B156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76835</xdr:colOff>
      <xdr:row>74</xdr:row>
      <xdr:rowOff>45720</xdr:rowOff>
    </xdr:from>
    <xdr:to>
      <xdr:col>17</xdr:col>
      <xdr:colOff>585470</xdr:colOff>
      <xdr:row>84</xdr:row>
      <xdr:rowOff>74295</xdr:rowOff>
    </xdr:to>
    <xdr:sp macro="" textlink="">
      <xdr:nvSpPr>
        <xdr:cNvPr id="16" name="Rectangle 15">
          <a:extLst>
            <a:ext uri="{FF2B5EF4-FFF2-40B4-BE49-F238E27FC236}">
              <a16:creationId xmlns:a16="http://schemas.microsoft.com/office/drawing/2014/main" id="{D6863B91-8741-8386-4310-6937F047C1EB}"/>
            </a:ext>
          </a:extLst>
        </xdr:cNvPr>
        <xdr:cNvSpPr/>
      </xdr:nvSpPr>
      <xdr:spPr>
        <a:xfrm>
          <a:off x="76835" y="14381480"/>
          <a:ext cx="10871835" cy="19589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200" b="1">
              <a:solidFill>
                <a:schemeClr val="bg1"/>
              </a:solidFill>
            </a:rPr>
            <a:t>Executive</a:t>
          </a:r>
          <a:r>
            <a:rPr lang="en-ZA" sz="1200" b="1" baseline="0">
              <a:solidFill>
                <a:schemeClr val="bg1"/>
              </a:solidFill>
            </a:rPr>
            <a:t> Insights</a:t>
          </a:r>
        </a:p>
        <a:p>
          <a:pPr algn="l"/>
          <a:endParaRPr lang="en-ZA" sz="1200" b="1" baseline="0">
            <a:solidFill>
              <a:schemeClr val="bg1"/>
            </a:solidFill>
          </a:endParaRPr>
        </a:p>
        <a:p>
          <a:pPr algn="l"/>
          <a:r>
            <a:rPr lang="en-ZA" sz="1200" b="1" baseline="0">
              <a:solidFill>
                <a:schemeClr val="bg1"/>
              </a:solidFill>
            </a:rPr>
            <a:t>- Western Cape generated the highest sales.</a:t>
          </a:r>
        </a:p>
        <a:p>
          <a:pPr algn="l"/>
          <a:endParaRPr lang="en-ZA" sz="1200" b="1" baseline="0">
            <a:solidFill>
              <a:schemeClr val="bg1"/>
            </a:solidFill>
          </a:endParaRPr>
        </a:p>
        <a:p>
          <a:pPr algn="l"/>
          <a:r>
            <a:rPr lang="en-ZA" sz="1200" b="1" baseline="0">
              <a:solidFill>
                <a:schemeClr val="bg1"/>
              </a:solidFill>
            </a:rPr>
            <a:t>- Sales finnished R4.0M below budget.</a:t>
          </a:r>
        </a:p>
        <a:p>
          <a:pPr algn="l"/>
          <a:endParaRPr lang="en-ZA" sz="1200" b="1" baseline="0">
            <a:solidFill>
              <a:schemeClr val="bg1"/>
            </a:solidFill>
          </a:endParaRPr>
        </a:p>
        <a:p>
          <a:pPr algn="l"/>
          <a:r>
            <a:rPr lang="en-ZA" sz="1200" b="1" baseline="0">
              <a:solidFill>
                <a:schemeClr val="bg1"/>
              </a:solidFill>
            </a:rPr>
            <a:t>- Footwear is the highest-selling category</a:t>
          </a:r>
        </a:p>
        <a:p>
          <a:pPr algn="l"/>
          <a:endParaRPr lang="en-ZA" sz="1200" b="1" baseline="0">
            <a:solidFill>
              <a:schemeClr val="bg1"/>
            </a:solidFill>
          </a:endParaRPr>
        </a:p>
        <a:p>
          <a:pPr algn="l"/>
          <a:r>
            <a:rPr lang="en-ZA" sz="1200" b="1" baseline="0">
              <a:solidFill>
                <a:schemeClr val="bg1"/>
              </a:solidFill>
            </a:rPr>
            <a:t>-March delivered the strongest month.</a:t>
          </a:r>
        </a:p>
        <a:p>
          <a:pPr algn="l"/>
          <a:endParaRPr lang="en-ZA" sz="1200" b="1">
            <a:solidFill>
              <a:schemeClr val="bg1"/>
            </a:solidFill>
          </a:endParaRPr>
        </a:p>
      </xdr:txBody>
    </xdr:sp>
    <xdr:clientData/>
  </xdr:twoCellAnchor>
  <xdr:twoCellAnchor>
    <xdr:from>
      <xdr:col>0</xdr:col>
      <xdr:colOff>1</xdr:colOff>
      <xdr:row>51</xdr:row>
      <xdr:rowOff>111760</xdr:rowOff>
    </xdr:from>
    <xdr:to>
      <xdr:col>18</xdr:col>
      <xdr:colOff>132080</xdr:colOff>
      <xdr:row>73</xdr:row>
      <xdr:rowOff>27305</xdr:rowOff>
    </xdr:to>
    <xdr:graphicFrame macro="">
      <xdr:nvGraphicFramePr>
        <xdr:cNvPr id="17" name="Chart 16">
          <a:extLst>
            <a:ext uri="{FF2B5EF4-FFF2-40B4-BE49-F238E27FC236}">
              <a16:creationId xmlns:a16="http://schemas.microsoft.com/office/drawing/2014/main" id="{FB8C07F0-842B-4657-9817-1C7B8C4E2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262857</xdr:colOff>
      <xdr:row>4</xdr:row>
      <xdr:rowOff>148566</xdr:rowOff>
    </xdr:from>
    <xdr:to>
      <xdr:col>24</xdr:col>
      <xdr:colOff>224307</xdr:colOff>
      <xdr:row>26</xdr:row>
      <xdr:rowOff>73926</xdr:rowOff>
    </xdr:to>
    <mc:AlternateContent xmlns:mc="http://schemas.openxmlformats.org/markup-compatibility/2006">
      <mc:Choice xmlns:a14="http://schemas.microsoft.com/office/drawing/2010/main" Requires="a14">
        <xdr:graphicFrame macro="">
          <xdr:nvGraphicFramePr>
            <xdr:cNvPr id="2" name="Province">
              <a:extLst>
                <a:ext uri="{FF2B5EF4-FFF2-40B4-BE49-F238E27FC236}">
                  <a16:creationId xmlns:a16="http://schemas.microsoft.com/office/drawing/2014/main" id="{F3FFEE83-F4EE-43A5-BD3A-9D82AC7795D0}"/>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dr:sp macro="" textlink="">
          <xdr:nvSpPr>
            <xdr:cNvPr id="0" name=""/>
            <xdr:cNvSpPr>
              <a:spLocks noTextEdit="1"/>
            </xdr:cNvSpPr>
          </xdr:nvSpPr>
          <xdr:spPr>
            <a:xfrm>
              <a:off x="11235657" y="971526"/>
              <a:ext cx="3619050" cy="41722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300952</xdr:colOff>
      <xdr:row>30</xdr:row>
      <xdr:rowOff>34241</xdr:rowOff>
    </xdr:from>
    <xdr:to>
      <xdr:col>24</xdr:col>
      <xdr:colOff>269827</xdr:colOff>
      <xdr:row>50</xdr:row>
      <xdr:rowOff>921</xdr:rowOff>
    </xdr:to>
    <mc:AlternateContent xmlns:mc="http://schemas.openxmlformats.org/markup-compatibility/2006">
      <mc:Choice xmlns:a14="http://schemas.microsoft.com/office/drawing/2010/main" Requires="a14">
        <xdr:graphicFrame macro="">
          <xdr:nvGraphicFramePr>
            <xdr:cNvPr id="4" name="Manager">
              <a:extLst>
                <a:ext uri="{FF2B5EF4-FFF2-40B4-BE49-F238E27FC236}">
                  <a16:creationId xmlns:a16="http://schemas.microsoft.com/office/drawing/2014/main" id="{13285B62-B4B3-4102-9E0C-116D6104D66A}"/>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11273752" y="5876241"/>
              <a:ext cx="3626475" cy="38274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453360</xdr:colOff>
      <xdr:row>4</xdr:row>
      <xdr:rowOff>152389</xdr:rowOff>
    </xdr:from>
    <xdr:to>
      <xdr:col>30</xdr:col>
      <xdr:colOff>414810</xdr:colOff>
      <xdr:row>26</xdr:row>
      <xdr:rowOff>41749</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3FE2FB70-6BE0-4070-899B-CDA0E3590C8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083760" y="975349"/>
              <a:ext cx="3619050" cy="41362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405727</xdr:colOff>
      <xdr:row>30</xdr:row>
      <xdr:rowOff>66627</xdr:rowOff>
    </xdr:from>
    <xdr:to>
      <xdr:col>30</xdr:col>
      <xdr:colOff>414607</xdr:colOff>
      <xdr:row>49</xdr:row>
      <xdr:rowOff>192252</xdr:rowOff>
    </xdr:to>
    <mc:AlternateContent xmlns:mc="http://schemas.openxmlformats.org/markup-compatibility/2006">
      <mc:Choice xmlns:a14="http://schemas.microsoft.com/office/drawing/2010/main" Requires="a14">
        <xdr:graphicFrame macro="">
          <xdr:nvGraphicFramePr>
            <xdr:cNvPr id="11" name="Months (Date)">
              <a:extLst>
                <a:ext uri="{FF2B5EF4-FFF2-40B4-BE49-F238E27FC236}">
                  <a16:creationId xmlns:a16="http://schemas.microsoft.com/office/drawing/2014/main" id="{2F0B85A5-FCB0-42D5-ADE4-1D7CD75D4529}"/>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5038032" y="5910532"/>
              <a:ext cx="3664575" cy="37914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497840</xdr:colOff>
      <xdr:row>14</xdr:row>
      <xdr:rowOff>162560</xdr:rowOff>
    </xdr:from>
    <xdr:to>
      <xdr:col>16</xdr:col>
      <xdr:colOff>193040</xdr:colOff>
      <xdr:row>19</xdr:row>
      <xdr:rowOff>111760</xdr:rowOff>
    </xdr:to>
    <xdr:sp macro="" textlink="">
      <xdr:nvSpPr>
        <xdr:cNvPr id="12" name="TextBox 11">
          <a:extLst>
            <a:ext uri="{FF2B5EF4-FFF2-40B4-BE49-F238E27FC236}">
              <a16:creationId xmlns:a16="http://schemas.microsoft.com/office/drawing/2014/main" id="{53679B0A-417E-9572-DA3F-E0A6315E4EE6}"/>
            </a:ext>
          </a:extLst>
        </xdr:cNvPr>
        <xdr:cNvSpPr txBox="1"/>
      </xdr:nvSpPr>
      <xdr:spPr>
        <a:xfrm>
          <a:off x="9032240" y="291592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ZA" sz="1100"/>
        </a:p>
      </xdr:txBody>
    </xdr:sp>
    <xdr:clientData/>
  </xdr:twoCellAnchor>
  <xdr:twoCellAnchor>
    <xdr:from>
      <xdr:col>0</xdr:col>
      <xdr:colOff>179070</xdr:colOff>
      <xdr:row>5</xdr:row>
      <xdr:rowOff>45084</xdr:rowOff>
    </xdr:from>
    <xdr:to>
      <xdr:col>3</xdr:col>
      <xdr:colOff>111760</xdr:colOff>
      <xdr:row>6</xdr:row>
      <xdr:rowOff>81279</xdr:rowOff>
    </xdr:to>
    <xdr:sp macro="" textlink="">
      <xdr:nvSpPr>
        <xdr:cNvPr id="15" name="TextBox 14">
          <a:extLst>
            <a:ext uri="{FF2B5EF4-FFF2-40B4-BE49-F238E27FC236}">
              <a16:creationId xmlns:a16="http://schemas.microsoft.com/office/drawing/2014/main" id="{A8931794-A76B-0CE2-7272-BD6C91E4862D}"/>
            </a:ext>
          </a:extLst>
        </xdr:cNvPr>
        <xdr:cNvSpPr txBox="1"/>
      </xdr:nvSpPr>
      <xdr:spPr>
        <a:xfrm>
          <a:off x="179070" y="1061084"/>
          <a:ext cx="1761490" cy="22923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a:solidFill>
                <a:schemeClr val="bg1"/>
              </a:solidFill>
            </a:rPr>
            <a:t>TOTAL</a:t>
          </a:r>
          <a:r>
            <a:rPr lang="en-ZA" sz="1100" b="1" baseline="0">
              <a:solidFill>
                <a:schemeClr val="bg1"/>
              </a:solidFill>
            </a:rPr>
            <a:t> SALES</a:t>
          </a:r>
          <a:endParaRPr lang="en-ZA" sz="1100" b="1">
            <a:solidFill>
              <a:schemeClr val="bg1"/>
            </a:solidFill>
          </a:endParaRPr>
        </a:p>
      </xdr:txBody>
    </xdr:sp>
    <xdr:clientData/>
  </xdr:twoCellAnchor>
  <xdr:twoCellAnchor>
    <xdr:from>
      <xdr:col>0</xdr:col>
      <xdr:colOff>184785</xdr:colOff>
      <xdr:row>6</xdr:row>
      <xdr:rowOff>116205</xdr:rowOff>
    </xdr:from>
    <xdr:to>
      <xdr:col>3</xdr:col>
      <xdr:colOff>109855</xdr:colOff>
      <xdr:row>8</xdr:row>
      <xdr:rowOff>99060</xdr:rowOff>
    </xdr:to>
    <xdr:sp macro="" textlink="$BB$3">
      <xdr:nvSpPr>
        <xdr:cNvPr id="18" name="TextBox 17">
          <a:extLst>
            <a:ext uri="{FF2B5EF4-FFF2-40B4-BE49-F238E27FC236}">
              <a16:creationId xmlns:a16="http://schemas.microsoft.com/office/drawing/2014/main" id="{EDA0E92D-739C-6AB8-5763-8D5D32636124}"/>
            </a:ext>
          </a:extLst>
        </xdr:cNvPr>
        <xdr:cNvSpPr txBox="1"/>
      </xdr:nvSpPr>
      <xdr:spPr>
        <a:xfrm>
          <a:off x="184785" y="1325245"/>
          <a:ext cx="1753870" cy="36893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167A41-85CA-4F31-9938-49F103D95C3C}" type="TxLink">
            <a:rPr lang="en-US" sz="2000" b="1" i="0" u="none" strike="noStrike">
              <a:solidFill>
                <a:schemeClr val="bg1"/>
              </a:solidFill>
              <a:latin typeface="Calibri"/>
              <a:ea typeface="Calibri"/>
              <a:cs typeface="Calibri"/>
            </a:rPr>
            <a:t>R159.4M</a:t>
          </a:fld>
          <a:endParaRPr lang="en-ZA" sz="2000" b="1">
            <a:solidFill>
              <a:schemeClr val="bg1"/>
            </a:solidFill>
          </a:endParaRPr>
        </a:p>
      </xdr:txBody>
    </xdr:sp>
    <xdr:clientData/>
  </xdr:twoCellAnchor>
  <xdr:twoCellAnchor>
    <xdr:from>
      <xdr:col>5</xdr:col>
      <xdr:colOff>79375</xdr:colOff>
      <xdr:row>5</xdr:row>
      <xdr:rowOff>0</xdr:rowOff>
    </xdr:from>
    <xdr:to>
      <xdr:col>8</xdr:col>
      <xdr:colOff>4445</xdr:colOff>
      <xdr:row>6</xdr:row>
      <xdr:rowOff>40640</xdr:rowOff>
    </xdr:to>
    <xdr:sp macro="" textlink="">
      <xdr:nvSpPr>
        <xdr:cNvPr id="19" name="TextBox 18">
          <a:extLst>
            <a:ext uri="{FF2B5EF4-FFF2-40B4-BE49-F238E27FC236}">
              <a16:creationId xmlns:a16="http://schemas.microsoft.com/office/drawing/2014/main" id="{0ABFE42D-1141-E459-0DFA-C5B58BE73139}"/>
            </a:ext>
          </a:extLst>
        </xdr:cNvPr>
        <xdr:cNvSpPr txBox="1"/>
      </xdr:nvSpPr>
      <xdr:spPr>
        <a:xfrm>
          <a:off x="3127375" y="1016000"/>
          <a:ext cx="1753870" cy="23368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a:solidFill>
                <a:schemeClr val="bg1"/>
              </a:solidFill>
            </a:rPr>
            <a:t>BUDGET</a:t>
          </a:r>
        </a:p>
      </xdr:txBody>
    </xdr:sp>
    <xdr:clientData/>
  </xdr:twoCellAnchor>
  <xdr:twoCellAnchor>
    <xdr:from>
      <xdr:col>5</xdr:col>
      <xdr:colOff>40005</xdr:colOff>
      <xdr:row>6</xdr:row>
      <xdr:rowOff>113665</xdr:rowOff>
    </xdr:from>
    <xdr:to>
      <xdr:col>8</xdr:col>
      <xdr:colOff>1270</xdr:colOff>
      <xdr:row>8</xdr:row>
      <xdr:rowOff>68580</xdr:rowOff>
    </xdr:to>
    <xdr:sp macro="" textlink="Dashboard!$BB$4">
      <xdr:nvSpPr>
        <xdr:cNvPr id="20" name="TextBox 19">
          <a:extLst>
            <a:ext uri="{FF2B5EF4-FFF2-40B4-BE49-F238E27FC236}">
              <a16:creationId xmlns:a16="http://schemas.microsoft.com/office/drawing/2014/main" id="{C9E75970-7A11-E559-E7CA-51D0C6C5946D}"/>
            </a:ext>
          </a:extLst>
        </xdr:cNvPr>
        <xdr:cNvSpPr txBox="1"/>
      </xdr:nvSpPr>
      <xdr:spPr>
        <a:xfrm>
          <a:off x="3088005" y="1322705"/>
          <a:ext cx="1790065" cy="340995"/>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5CE111-1D7C-49E4-8D82-8D0A4AD99D48}" type="TxLink">
            <a:rPr lang="en-US" sz="2000" b="1" i="0" u="none" strike="noStrike">
              <a:solidFill>
                <a:schemeClr val="bg1"/>
              </a:solidFill>
              <a:latin typeface="Calibri"/>
              <a:ea typeface="Calibri"/>
              <a:cs typeface="Calibri"/>
            </a:rPr>
            <a:t>R163.4M</a:t>
          </a:fld>
          <a:endParaRPr lang="en-ZA" sz="2000" b="1">
            <a:solidFill>
              <a:schemeClr val="bg1"/>
            </a:solidFill>
          </a:endParaRPr>
        </a:p>
      </xdr:txBody>
    </xdr:sp>
    <xdr:clientData/>
  </xdr:twoCellAnchor>
  <xdr:twoCellAnchor>
    <xdr:from>
      <xdr:col>10</xdr:col>
      <xdr:colOff>50800</xdr:colOff>
      <xdr:row>5</xdr:row>
      <xdr:rowOff>10160</xdr:rowOff>
    </xdr:from>
    <xdr:to>
      <xdr:col>12</xdr:col>
      <xdr:colOff>518160</xdr:colOff>
      <xdr:row>6</xdr:row>
      <xdr:rowOff>81280</xdr:rowOff>
    </xdr:to>
    <xdr:sp macro="" textlink="">
      <xdr:nvSpPr>
        <xdr:cNvPr id="21" name="TextBox 20">
          <a:extLst>
            <a:ext uri="{FF2B5EF4-FFF2-40B4-BE49-F238E27FC236}">
              <a16:creationId xmlns:a16="http://schemas.microsoft.com/office/drawing/2014/main" id="{0B6AD399-8D81-2FA2-B1C3-D93CBD4FC9B0}"/>
            </a:ext>
          </a:extLst>
        </xdr:cNvPr>
        <xdr:cNvSpPr txBox="1"/>
      </xdr:nvSpPr>
      <xdr:spPr>
        <a:xfrm>
          <a:off x="6146800" y="1026160"/>
          <a:ext cx="1686560" cy="26416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solidFill>
                <a:schemeClr val="bg1"/>
              </a:solidFill>
            </a:rPr>
            <a:t>VARIANCE</a:t>
          </a:r>
        </a:p>
      </xdr:txBody>
    </xdr:sp>
    <xdr:clientData/>
  </xdr:twoCellAnchor>
  <xdr:twoCellAnchor>
    <xdr:from>
      <xdr:col>10</xdr:col>
      <xdr:colOff>48895</xdr:colOff>
      <xdr:row>6</xdr:row>
      <xdr:rowOff>156845</xdr:rowOff>
    </xdr:from>
    <xdr:to>
      <xdr:col>12</xdr:col>
      <xdr:colOff>495300</xdr:colOff>
      <xdr:row>8</xdr:row>
      <xdr:rowOff>120015</xdr:rowOff>
    </xdr:to>
    <xdr:sp macro="" textlink="Dashboard!$BB$5">
      <xdr:nvSpPr>
        <xdr:cNvPr id="22" name="TextBox 21">
          <a:extLst>
            <a:ext uri="{FF2B5EF4-FFF2-40B4-BE49-F238E27FC236}">
              <a16:creationId xmlns:a16="http://schemas.microsoft.com/office/drawing/2014/main" id="{C3A2C20D-98BB-FF23-60B5-643FBB538D69}"/>
            </a:ext>
          </a:extLst>
        </xdr:cNvPr>
        <xdr:cNvSpPr txBox="1"/>
      </xdr:nvSpPr>
      <xdr:spPr>
        <a:xfrm>
          <a:off x="6144895" y="1365885"/>
          <a:ext cx="1665605" cy="34925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5B8533-6AA5-4BB9-9E88-8B23B04A99FF}" type="TxLink">
            <a:rPr lang="en-US" sz="2000" b="1" i="0" u="none" strike="noStrike">
              <a:solidFill>
                <a:schemeClr val="bg1"/>
              </a:solidFill>
              <a:latin typeface="Calibri"/>
              <a:ea typeface="Calibri"/>
              <a:cs typeface="Calibri"/>
            </a:rPr>
            <a:t>-R1.8M</a:t>
          </a:fld>
          <a:endParaRPr lang="en-ZA" sz="20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605790</xdr:colOff>
      <xdr:row>2</xdr:row>
      <xdr:rowOff>30480</xdr:rowOff>
    </xdr:from>
    <xdr:to>
      <xdr:col>10</xdr:col>
      <xdr:colOff>300990</xdr:colOff>
      <xdr:row>17</xdr:row>
      <xdr:rowOff>30480</xdr:rowOff>
    </xdr:to>
    <xdr:graphicFrame macro="">
      <xdr:nvGraphicFramePr>
        <xdr:cNvPr id="3" name="Chart 2">
          <a:extLst>
            <a:ext uri="{FF2B5EF4-FFF2-40B4-BE49-F238E27FC236}">
              <a16:creationId xmlns:a16="http://schemas.microsoft.com/office/drawing/2014/main" id="{C00BF13B-1428-B113-4E9E-A9E2554A6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xdr:colOff>
      <xdr:row>2</xdr:row>
      <xdr:rowOff>3808</xdr:rowOff>
    </xdr:from>
    <xdr:to>
      <xdr:col>12</xdr:col>
      <xdr:colOff>561105</xdr:colOff>
      <xdr:row>18</xdr:row>
      <xdr:rowOff>49530</xdr:rowOff>
    </xdr:to>
    <xdr:graphicFrame macro="">
      <xdr:nvGraphicFramePr>
        <xdr:cNvPr id="2" name="Chart 1">
          <a:extLst>
            <a:ext uri="{FF2B5EF4-FFF2-40B4-BE49-F238E27FC236}">
              <a16:creationId xmlns:a16="http://schemas.microsoft.com/office/drawing/2014/main" id="{93071E69-D8AA-C69E-25E4-DB96A366DA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3809</xdr:colOff>
      <xdr:row>0</xdr:row>
      <xdr:rowOff>152400</xdr:rowOff>
    </xdr:from>
    <xdr:to>
      <xdr:col>17</xdr:col>
      <xdr:colOff>560069</xdr:colOff>
      <xdr:row>23</xdr:row>
      <xdr:rowOff>179070</xdr:rowOff>
    </xdr:to>
    <xdr:graphicFrame macro="">
      <xdr:nvGraphicFramePr>
        <xdr:cNvPr id="3" name="Chart 2">
          <a:extLst>
            <a:ext uri="{FF2B5EF4-FFF2-40B4-BE49-F238E27FC236}">
              <a16:creationId xmlns:a16="http://schemas.microsoft.com/office/drawing/2014/main" id="{33CDBC00-65C0-0670-9E68-601CC6297D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19050</xdr:colOff>
      <xdr:row>2</xdr:row>
      <xdr:rowOff>32385</xdr:rowOff>
    </xdr:from>
    <xdr:to>
      <xdr:col>18</xdr:col>
      <xdr:colOff>571500</xdr:colOff>
      <xdr:row>23</xdr:row>
      <xdr:rowOff>175260</xdr:rowOff>
    </xdr:to>
    <xdr:graphicFrame macro="">
      <xdr:nvGraphicFramePr>
        <xdr:cNvPr id="3" name="Chart 2">
          <a:extLst>
            <a:ext uri="{FF2B5EF4-FFF2-40B4-BE49-F238E27FC236}">
              <a16:creationId xmlns:a16="http://schemas.microsoft.com/office/drawing/2014/main" id="{04C9FD74-180E-0292-B63A-033B04050E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7620</xdr:colOff>
      <xdr:row>2</xdr:row>
      <xdr:rowOff>11430</xdr:rowOff>
    </xdr:from>
    <xdr:to>
      <xdr:col>13</xdr:col>
      <xdr:colOff>602820</xdr:colOff>
      <xdr:row>18</xdr:row>
      <xdr:rowOff>37350</xdr:rowOff>
    </xdr:to>
    <xdr:graphicFrame macro="">
      <xdr:nvGraphicFramePr>
        <xdr:cNvPr id="2" name="Chart 1">
          <a:extLst>
            <a:ext uri="{FF2B5EF4-FFF2-40B4-BE49-F238E27FC236}">
              <a16:creationId xmlns:a16="http://schemas.microsoft.com/office/drawing/2014/main" id="{891DD2BD-B433-F1F5-25DD-A75059226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an" refreshedDate="46203.555352546296" createdVersion="8" refreshedVersion="8" minRefreshableVersion="3" recordCount="3600" xr:uid="{FEEE8135-0EE7-4F35-8D9E-FDD2ABF0045B}">
  <cacheSource type="worksheet">
    <worksheetSource name="tblSales"/>
  </cacheSource>
  <cacheFields count="14">
    <cacheField name="Date" numFmtId="164">
      <sharedItems containsSemiMixedTypes="0" containsNonDate="0" containsDate="1" containsString="0" minDate="2026-01-01T00:00:00" maxDate="2026-06-30T00:00:00" count="18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sharedItems>
      <fieldGroup par="13"/>
    </cacheField>
    <cacheField name="Store ID" numFmtId="0">
      <sharedItems/>
    </cacheField>
    <cacheField name="Category ID" numFmtId="0">
      <sharedItems/>
    </cacheField>
    <cacheField name="Store Name" numFmtId="0">
      <sharedItems count="20">
        <s v="Durban CBD"/>
        <s v="Gateway"/>
        <s v="Ballito"/>
        <s v="Pietermaritzburg"/>
        <s v="Richards Bay"/>
        <s v="Sandton"/>
        <s v="Rosebank"/>
        <s v="Pretoria"/>
        <s v="Centurion"/>
        <s v="East Rand"/>
        <s v="Cape Town CBD"/>
        <s v="Canal Walk"/>
        <s v="Stellenbosch"/>
        <s v="George"/>
        <s v="Paarl"/>
        <s v="Gqeberha"/>
        <s v="East London"/>
        <s v="Bloemfontein"/>
        <s v="Polokwane"/>
        <s v="Nelspruit"/>
      </sharedItems>
    </cacheField>
    <cacheField name="Province" numFmtId="0">
      <sharedItems count="7">
        <s v="KZN"/>
        <s v="Gauteng"/>
        <s v="Western Cape"/>
        <s v="Eastern Cape"/>
        <s v="Free State"/>
        <s v="Limpopo"/>
        <s v="Mpumalanga"/>
      </sharedItems>
    </cacheField>
    <cacheField name="Manager" numFmtId="0">
      <sharedItems count="20">
        <s v="Sarah Adams"/>
        <s v="Michael Jones"/>
        <s v="Linda Smith"/>
        <s v="Peter Brown"/>
        <s v="David Green"/>
        <s v="Karen White"/>
        <s v="James Taylor"/>
        <s v="Susan Clark"/>
        <s v="Mark Wilson"/>
        <s v="Lisa Young"/>
        <s v="Brian Hall"/>
        <s v="Megan Scott"/>
        <s v="Jason King"/>
        <s v="Chloe Hill"/>
        <s v="Andrew Lee"/>
        <s v="Emma Baker"/>
        <s v="Daniel Evans"/>
        <s v="Rachel Moore"/>
        <s v="Kevin Harris"/>
        <s v="Olivia Turner"/>
      </sharedItems>
    </cacheField>
    <cacheField name="Category" numFmtId="0">
      <sharedItems count="5">
        <s v="Menswear"/>
        <s v="Ladieswear"/>
        <s v="Footwear"/>
        <s v="Accessories"/>
        <s v="Kids"/>
      </sharedItems>
    </cacheField>
    <cacheField name="Sales" numFmtId="0">
      <sharedItems containsSemiMixedTypes="0" containsString="0" containsNumber="1" containsInteger="1" minValue="6808" maxValue="112566"/>
    </cacheField>
    <cacheField name="Budget" numFmtId="0">
      <sharedItems containsSemiMixedTypes="0" containsString="0" containsNumber="1" containsInteger="1" minValue="7155" maxValue="126494"/>
    </cacheField>
    <cacheField name="Transactions" numFmtId="0">
      <sharedItems containsSemiMixedTypes="0" containsString="0" containsNumber="1" containsInteger="1" minValue="35" maxValue="220"/>
    </cacheField>
    <cacheField name="Variance" numFmtId="0">
      <sharedItems containsSemiMixedTypes="0" containsString="0" containsNumber="1" containsInteger="1" minValue="-15902" maxValue="9796"/>
    </cacheField>
    <cacheField name="Variance%" numFmtId="9">
      <sharedItems containsSemiMixedTypes="0" containsString="0" containsNumber="1" minValue="-0.13040426726558113" maxValue="0.11103620306074294"/>
    </cacheField>
    <cacheField name="Avgerage Basket" numFmtId="165">
      <sharedItems containsSemiMixedTypes="0" containsString="0" containsNumber="1" containsInteger="1" minValue="180" maxValue="520"/>
    </cacheField>
    <cacheField name="Months (Date)" numFmtId="0" databaseField="0">
      <fieldGroup base="0">
        <rangePr groupBy="months" startDate="2026-01-01T00:00:00" endDate="2026-06-30T00:00:00"/>
        <groupItems count="14">
          <s v="&lt;2026/01/01"/>
          <s v="Jan"/>
          <s v="Feb"/>
          <s v="Mar"/>
          <s v="Apr"/>
          <s v="May"/>
          <s v="Jun"/>
          <s v="Jul"/>
          <s v="Aug"/>
          <s v="Sept"/>
          <s v="Oct"/>
          <s v="Nov"/>
          <s v="Dec"/>
          <s v="&gt;2026/06/30"/>
        </groupItems>
      </fieldGroup>
    </cacheField>
  </cacheFields>
  <extLst>
    <ext xmlns:x14="http://schemas.microsoft.com/office/spreadsheetml/2009/9/main" uri="{725AE2AE-9491-48be-B2B4-4EB974FC3084}">
      <x14:pivotCacheDefinition pivotCacheId="5232510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0">
  <r>
    <x v="0"/>
    <s v="S001"/>
    <s v="C01"/>
    <x v="0"/>
    <x v="0"/>
    <x v="0"/>
    <x v="0"/>
    <n v="13120"/>
    <n v="12611"/>
    <n v="41"/>
    <n v="509"/>
    <n v="4.0361589088890648E-2"/>
    <n v="320"/>
  </r>
  <r>
    <x v="0"/>
    <s v="S002"/>
    <s v="C02"/>
    <x v="1"/>
    <x v="0"/>
    <x v="1"/>
    <x v="1"/>
    <n v="27999"/>
    <n v="25807"/>
    <n v="61"/>
    <n v="2192"/>
    <n v="8.4938195063354899E-2"/>
    <n v="459"/>
  </r>
  <r>
    <x v="0"/>
    <s v="S003"/>
    <s v="C04"/>
    <x v="2"/>
    <x v="0"/>
    <x v="2"/>
    <x v="2"/>
    <n v="8385"/>
    <n v="7742"/>
    <n v="43"/>
    <n v="643"/>
    <n v="8.3053474554378712E-2"/>
    <n v="195"/>
  </r>
  <r>
    <x v="0"/>
    <s v="S004"/>
    <s v="C02"/>
    <x v="3"/>
    <x v="0"/>
    <x v="3"/>
    <x v="1"/>
    <n v="80032"/>
    <n v="72559"/>
    <n v="164"/>
    <n v="7473"/>
    <n v="0.10299204785071459"/>
    <n v="488"/>
  </r>
  <r>
    <x v="0"/>
    <s v="S005"/>
    <s v="C02"/>
    <x v="4"/>
    <x v="0"/>
    <x v="4"/>
    <x v="1"/>
    <n v="111616"/>
    <n v="120024"/>
    <n v="218"/>
    <n v="-8408"/>
    <n v="-7.0052656135439581E-2"/>
    <n v="512"/>
  </r>
  <r>
    <x v="0"/>
    <s v="S006"/>
    <s v="C04"/>
    <x v="5"/>
    <x v="1"/>
    <x v="5"/>
    <x v="2"/>
    <n v="37219"/>
    <n v="38980"/>
    <n v="91"/>
    <n v="-1761"/>
    <n v="-4.5177013853258084E-2"/>
    <n v="409"/>
  </r>
  <r>
    <x v="0"/>
    <s v="S007"/>
    <s v="C01"/>
    <x v="6"/>
    <x v="1"/>
    <x v="6"/>
    <x v="0"/>
    <n v="29700"/>
    <n v="29256"/>
    <n v="75"/>
    <n v="444"/>
    <n v="1.5176374077112387E-2"/>
    <n v="396"/>
  </r>
  <r>
    <x v="0"/>
    <s v="S008"/>
    <s v="C02"/>
    <x v="7"/>
    <x v="1"/>
    <x v="7"/>
    <x v="1"/>
    <n v="31680"/>
    <n v="29321"/>
    <n v="90"/>
    <n v="2359"/>
    <n v="8.0454281913986556E-2"/>
    <n v="352"/>
  </r>
  <r>
    <x v="0"/>
    <s v="S009"/>
    <s v="C04"/>
    <x v="8"/>
    <x v="1"/>
    <x v="8"/>
    <x v="2"/>
    <n v="21417"/>
    <n v="23812"/>
    <n v="59"/>
    <n v="-2395"/>
    <n v="-0.1005795397278683"/>
    <n v="363"/>
  </r>
  <r>
    <x v="0"/>
    <s v="S010"/>
    <s v="C05"/>
    <x v="9"/>
    <x v="1"/>
    <x v="9"/>
    <x v="3"/>
    <n v="20604"/>
    <n v="22302"/>
    <n v="102"/>
    <n v="-1698"/>
    <n v="-7.6136669357008344E-2"/>
    <n v="202"/>
  </r>
  <r>
    <x v="0"/>
    <s v="S011"/>
    <s v="C05"/>
    <x v="10"/>
    <x v="2"/>
    <x v="10"/>
    <x v="3"/>
    <n v="24618"/>
    <n v="22641"/>
    <n v="66"/>
    <n v="1977"/>
    <n v="8.7319464687955484E-2"/>
    <n v="373"/>
  </r>
  <r>
    <x v="0"/>
    <s v="S012"/>
    <s v="C03"/>
    <x v="11"/>
    <x v="2"/>
    <x v="11"/>
    <x v="4"/>
    <n v="96720"/>
    <n v="108458"/>
    <n v="195"/>
    <n v="-11738"/>
    <n v="-0.10822622582013314"/>
    <n v="496"/>
  </r>
  <r>
    <x v="0"/>
    <s v="S013"/>
    <s v="C03"/>
    <x v="12"/>
    <x v="2"/>
    <x v="12"/>
    <x v="4"/>
    <n v="50596"/>
    <n v="54448"/>
    <n v="182"/>
    <n v="-3852"/>
    <n v="-7.0746400235086687E-2"/>
    <n v="278"/>
  </r>
  <r>
    <x v="0"/>
    <s v="S014"/>
    <s v="C01"/>
    <x v="13"/>
    <x v="2"/>
    <x v="13"/>
    <x v="0"/>
    <n v="60384"/>
    <n v="66015"/>
    <n v="204"/>
    <n v="-5631"/>
    <n v="-8.5298795728243587E-2"/>
    <n v="296"/>
  </r>
  <r>
    <x v="0"/>
    <s v="S015"/>
    <s v="C01"/>
    <x v="14"/>
    <x v="2"/>
    <x v="14"/>
    <x v="0"/>
    <n v="21714"/>
    <n v="21606"/>
    <n v="94"/>
    <n v="108"/>
    <n v="4.9986114968064424E-3"/>
    <n v="231"/>
  </r>
  <r>
    <x v="0"/>
    <s v="S016"/>
    <s v="C04"/>
    <x v="15"/>
    <x v="3"/>
    <x v="15"/>
    <x v="2"/>
    <n v="72102"/>
    <n v="67823"/>
    <n v="197"/>
    <n v="4279"/>
    <n v="6.309069194815918E-2"/>
    <n v="366"/>
  </r>
  <r>
    <x v="0"/>
    <s v="S017"/>
    <s v="C03"/>
    <x v="16"/>
    <x v="3"/>
    <x v="16"/>
    <x v="4"/>
    <n v="27808"/>
    <n v="29906"/>
    <n v="88"/>
    <n v="-2098"/>
    <n v="-7.015314652578078E-2"/>
    <n v="316"/>
  </r>
  <r>
    <x v="0"/>
    <s v="S018"/>
    <s v="C01"/>
    <x v="17"/>
    <x v="4"/>
    <x v="17"/>
    <x v="0"/>
    <n v="95950"/>
    <n v="90460"/>
    <n v="190"/>
    <n v="5490"/>
    <n v="6.0689807649789963E-2"/>
    <n v="505"/>
  </r>
  <r>
    <x v="0"/>
    <s v="S019"/>
    <s v="C02"/>
    <x v="18"/>
    <x v="5"/>
    <x v="18"/>
    <x v="1"/>
    <n v="31616"/>
    <n v="31453"/>
    <n v="76"/>
    <n v="163"/>
    <n v="5.1823355482783834E-3"/>
    <n v="416"/>
  </r>
  <r>
    <x v="0"/>
    <s v="S020"/>
    <s v="C05"/>
    <x v="19"/>
    <x v="6"/>
    <x v="19"/>
    <x v="3"/>
    <n v="31486"/>
    <n v="34971"/>
    <n v="91"/>
    <n v="-3485"/>
    <n v="-9.9653999027765866E-2"/>
    <n v="346"/>
  </r>
  <r>
    <x v="1"/>
    <s v="S001"/>
    <s v="C01"/>
    <x v="0"/>
    <x v="0"/>
    <x v="0"/>
    <x v="0"/>
    <n v="18228"/>
    <n v="20073"/>
    <n v="93"/>
    <n v="-1845"/>
    <n v="-9.191451203108654E-2"/>
    <n v="196"/>
  </r>
  <r>
    <x v="1"/>
    <s v="S002"/>
    <s v="C04"/>
    <x v="1"/>
    <x v="0"/>
    <x v="1"/>
    <x v="2"/>
    <n v="21939"/>
    <n v="20902"/>
    <n v="103"/>
    <n v="1037"/>
    <n v="4.9612477274901923E-2"/>
    <n v="213"/>
  </r>
  <r>
    <x v="1"/>
    <s v="S003"/>
    <s v="C05"/>
    <x v="2"/>
    <x v="0"/>
    <x v="2"/>
    <x v="3"/>
    <n v="74338"/>
    <n v="70855"/>
    <n v="218"/>
    <n v="3483"/>
    <n v="4.9156728530096679E-2"/>
    <n v="341"/>
  </r>
  <r>
    <x v="1"/>
    <s v="S004"/>
    <s v="C04"/>
    <x v="3"/>
    <x v="0"/>
    <x v="3"/>
    <x v="2"/>
    <n v="69224"/>
    <n v="70242"/>
    <n v="136"/>
    <n v="-1018"/>
    <n v="-1.4492753623188406E-2"/>
    <n v="509"/>
  </r>
  <r>
    <x v="1"/>
    <s v="S005"/>
    <s v="C03"/>
    <x v="4"/>
    <x v="0"/>
    <x v="4"/>
    <x v="4"/>
    <n v="21420"/>
    <n v="23267"/>
    <n v="70"/>
    <n v="-1847"/>
    <n v="-7.9382816865087899E-2"/>
    <n v="306"/>
  </r>
  <r>
    <x v="1"/>
    <s v="S006"/>
    <s v="C05"/>
    <x v="5"/>
    <x v="1"/>
    <x v="5"/>
    <x v="3"/>
    <n v="48858"/>
    <n v="49205"/>
    <n v="102"/>
    <n v="-347"/>
    <n v="-7.0521288486942385E-3"/>
    <n v="479"/>
  </r>
  <r>
    <x v="1"/>
    <s v="S007"/>
    <s v="C05"/>
    <x v="6"/>
    <x v="1"/>
    <x v="6"/>
    <x v="3"/>
    <n v="50005"/>
    <n v="47746"/>
    <n v="137"/>
    <n v="2259"/>
    <n v="4.7312863904829722E-2"/>
    <n v="365"/>
  </r>
  <r>
    <x v="1"/>
    <s v="S008"/>
    <s v="C02"/>
    <x v="7"/>
    <x v="1"/>
    <x v="7"/>
    <x v="1"/>
    <n v="71280"/>
    <n v="65772"/>
    <n v="165"/>
    <n v="5508"/>
    <n v="8.3743842364532015E-2"/>
    <n v="432"/>
  </r>
  <r>
    <x v="1"/>
    <s v="S009"/>
    <s v="C01"/>
    <x v="8"/>
    <x v="1"/>
    <x v="8"/>
    <x v="0"/>
    <n v="16254"/>
    <n v="17178"/>
    <n v="63"/>
    <n v="-924"/>
    <n v="-5.3789731051344741E-2"/>
    <n v="258"/>
  </r>
  <r>
    <x v="1"/>
    <s v="S010"/>
    <s v="C04"/>
    <x v="9"/>
    <x v="1"/>
    <x v="9"/>
    <x v="2"/>
    <n v="39644"/>
    <n v="39493"/>
    <n v="187"/>
    <n v="151"/>
    <n v="3.8234623857392449E-3"/>
    <n v="212"/>
  </r>
  <r>
    <x v="1"/>
    <s v="S011"/>
    <s v="C05"/>
    <x v="10"/>
    <x v="2"/>
    <x v="10"/>
    <x v="3"/>
    <n v="69300"/>
    <n v="66725"/>
    <n v="154"/>
    <n v="2575"/>
    <n v="3.8591232671412512E-2"/>
    <n v="450"/>
  </r>
  <r>
    <x v="1"/>
    <s v="S012"/>
    <s v="C05"/>
    <x v="11"/>
    <x v="2"/>
    <x v="11"/>
    <x v="3"/>
    <n v="8806"/>
    <n v="9426"/>
    <n v="37"/>
    <n v="-620"/>
    <n v="-6.5775514534266916E-2"/>
    <n v="238"/>
  </r>
  <r>
    <x v="1"/>
    <s v="S013"/>
    <s v="C05"/>
    <x v="12"/>
    <x v="2"/>
    <x v="12"/>
    <x v="3"/>
    <n v="52324"/>
    <n v="51541"/>
    <n v="103"/>
    <n v="783"/>
    <n v="1.5191789061135795E-2"/>
    <n v="508"/>
  </r>
  <r>
    <x v="1"/>
    <s v="S014"/>
    <s v="C03"/>
    <x v="13"/>
    <x v="2"/>
    <x v="13"/>
    <x v="4"/>
    <n v="37960"/>
    <n v="38469"/>
    <n v="146"/>
    <n v="-509"/>
    <n v="-1.3231433101978217E-2"/>
    <n v="260"/>
  </r>
  <r>
    <x v="1"/>
    <s v="S015"/>
    <s v="C03"/>
    <x v="14"/>
    <x v="2"/>
    <x v="14"/>
    <x v="4"/>
    <n v="44173"/>
    <n v="45362"/>
    <n v="163"/>
    <n v="-1189"/>
    <n v="-2.6211366341872051E-2"/>
    <n v="271"/>
  </r>
  <r>
    <x v="1"/>
    <s v="S016"/>
    <s v="C01"/>
    <x v="15"/>
    <x v="3"/>
    <x v="15"/>
    <x v="0"/>
    <n v="64740"/>
    <n v="71888"/>
    <n v="195"/>
    <n v="-7148"/>
    <n v="-9.9432450478522144E-2"/>
    <n v="332"/>
  </r>
  <r>
    <x v="1"/>
    <s v="S017"/>
    <s v="C05"/>
    <x v="16"/>
    <x v="3"/>
    <x v="16"/>
    <x v="3"/>
    <n v="53390"/>
    <n v="50091"/>
    <n v="190"/>
    <n v="3299"/>
    <n v="6.5860134555109695E-2"/>
    <n v="281"/>
  </r>
  <r>
    <x v="1"/>
    <s v="S018"/>
    <s v="C02"/>
    <x v="17"/>
    <x v="4"/>
    <x v="17"/>
    <x v="1"/>
    <n v="78023"/>
    <n v="88136"/>
    <n v="173"/>
    <n v="-10113"/>
    <n v="-0.11474312426250341"/>
    <n v="451"/>
  </r>
  <r>
    <x v="1"/>
    <s v="S019"/>
    <s v="C05"/>
    <x v="18"/>
    <x v="5"/>
    <x v="18"/>
    <x v="3"/>
    <n v="50310"/>
    <n v="45523"/>
    <n v="117"/>
    <n v="4787"/>
    <n v="0.10515563561276717"/>
    <n v="430"/>
  </r>
  <r>
    <x v="1"/>
    <s v="S020"/>
    <s v="C03"/>
    <x v="19"/>
    <x v="6"/>
    <x v="19"/>
    <x v="4"/>
    <n v="34126"/>
    <n v="31207"/>
    <n v="113"/>
    <n v="2919"/>
    <n v="9.3536706508155223E-2"/>
    <n v="302"/>
  </r>
  <r>
    <x v="2"/>
    <s v="S001"/>
    <s v="C05"/>
    <x v="0"/>
    <x v="0"/>
    <x v="0"/>
    <x v="3"/>
    <n v="12265"/>
    <n v="13282"/>
    <n v="55"/>
    <n v="-1017"/>
    <n v="-7.6569793705767206E-2"/>
    <n v="223"/>
  </r>
  <r>
    <x v="2"/>
    <s v="S002"/>
    <s v="C01"/>
    <x v="1"/>
    <x v="0"/>
    <x v="1"/>
    <x v="0"/>
    <n v="41724"/>
    <n v="38890"/>
    <n v="171"/>
    <n v="2834"/>
    <n v="7.2872203651324241E-2"/>
    <n v="244"/>
  </r>
  <r>
    <x v="2"/>
    <s v="S003"/>
    <s v="C04"/>
    <x v="2"/>
    <x v="0"/>
    <x v="2"/>
    <x v="2"/>
    <n v="46200"/>
    <n v="44641"/>
    <n v="175"/>
    <n v="1559"/>
    <n v="3.4923052798996441E-2"/>
    <n v="264"/>
  </r>
  <r>
    <x v="2"/>
    <s v="S004"/>
    <s v="C05"/>
    <x v="3"/>
    <x v="0"/>
    <x v="3"/>
    <x v="3"/>
    <n v="41184"/>
    <n v="46629"/>
    <n v="143"/>
    <n v="-5445"/>
    <n v="-0.11677282377919321"/>
    <n v="288"/>
  </r>
  <r>
    <x v="2"/>
    <s v="S005"/>
    <s v="C02"/>
    <x v="4"/>
    <x v="0"/>
    <x v="4"/>
    <x v="1"/>
    <n v="73563"/>
    <n v="73544"/>
    <n v="217"/>
    <n v="19"/>
    <n v="2.583487436092679E-4"/>
    <n v="339"/>
  </r>
  <r>
    <x v="2"/>
    <s v="S006"/>
    <s v="C03"/>
    <x v="5"/>
    <x v="1"/>
    <x v="5"/>
    <x v="4"/>
    <n v="65268"/>
    <n v="66108"/>
    <n v="147"/>
    <n v="-840"/>
    <n v="-1.2706480304955527E-2"/>
    <n v="444"/>
  </r>
  <r>
    <x v="2"/>
    <s v="S007"/>
    <s v="C02"/>
    <x v="6"/>
    <x v="1"/>
    <x v="6"/>
    <x v="1"/>
    <n v="19504"/>
    <n v="19202"/>
    <n v="92"/>
    <n v="302"/>
    <n v="1.5727528382460162E-2"/>
    <n v="212"/>
  </r>
  <r>
    <x v="2"/>
    <s v="S008"/>
    <s v="C05"/>
    <x v="7"/>
    <x v="1"/>
    <x v="7"/>
    <x v="3"/>
    <n v="52272"/>
    <n v="54734"/>
    <n v="176"/>
    <n v="-2462"/>
    <n v="-4.4981181715204446E-2"/>
    <n v="297"/>
  </r>
  <r>
    <x v="2"/>
    <s v="S009"/>
    <s v="C01"/>
    <x v="8"/>
    <x v="1"/>
    <x v="8"/>
    <x v="0"/>
    <n v="26659"/>
    <n v="24385"/>
    <n v="53"/>
    <n v="2274"/>
    <n v="9.3254049620668439E-2"/>
    <n v="503"/>
  </r>
  <r>
    <x v="2"/>
    <s v="S010"/>
    <s v="C01"/>
    <x v="9"/>
    <x v="1"/>
    <x v="9"/>
    <x v="0"/>
    <n v="15007"/>
    <n v="13772"/>
    <n v="43"/>
    <n v="1235"/>
    <n v="8.9674702294510605E-2"/>
    <n v="349"/>
  </r>
  <r>
    <x v="2"/>
    <s v="S011"/>
    <s v="C02"/>
    <x v="10"/>
    <x v="2"/>
    <x v="10"/>
    <x v="1"/>
    <n v="45368"/>
    <n v="43261"/>
    <n v="106"/>
    <n v="2107"/>
    <n v="4.8704375765701212E-2"/>
    <n v="428"/>
  </r>
  <r>
    <x v="2"/>
    <s v="S012"/>
    <s v="C02"/>
    <x v="11"/>
    <x v="2"/>
    <x v="11"/>
    <x v="1"/>
    <n v="103840"/>
    <n v="108414"/>
    <n v="220"/>
    <n v="-4574"/>
    <n v="-4.2190123046838966E-2"/>
    <n v="472"/>
  </r>
  <r>
    <x v="2"/>
    <s v="S013"/>
    <s v="C02"/>
    <x v="12"/>
    <x v="2"/>
    <x v="12"/>
    <x v="1"/>
    <n v="60528"/>
    <n v="57356"/>
    <n v="156"/>
    <n v="3172"/>
    <n v="5.5303717135086132E-2"/>
    <n v="388"/>
  </r>
  <r>
    <x v="2"/>
    <s v="S014"/>
    <s v="C01"/>
    <x v="13"/>
    <x v="2"/>
    <x v="13"/>
    <x v="0"/>
    <n v="81200"/>
    <n v="80272"/>
    <n v="203"/>
    <n v="928"/>
    <n v="1.1560693641618497E-2"/>
    <n v="400"/>
  </r>
  <r>
    <x v="2"/>
    <s v="S015"/>
    <s v="C04"/>
    <x v="14"/>
    <x v="2"/>
    <x v="14"/>
    <x v="2"/>
    <n v="31878"/>
    <n v="34056"/>
    <n v="154"/>
    <n v="-2178"/>
    <n v="-6.3953488372093026E-2"/>
    <n v="207"/>
  </r>
  <r>
    <x v="2"/>
    <s v="S016"/>
    <s v="C01"/>
    <x v="15"/>
    <x v="3"/>
    <x v="15"/>
    <x v="0"/>
    <n v="19300"/>
    <n v="20883"/>
    <n v="50"/>
    <n v="-1583"/>
    <n v="-7.5803284968634768E-2"/>
    <n v="386"/>
  </r>
  <r>
    <x v="2"/>
    <s v="S017"/>
    <s v="C01"/>
    <x v="16"/>
    <x v="3"/>
    <x v="16"/>
    <x v="0"/>
    <n v="27244"/>
    <n v="25815"/>
    <n v="98"/>
    <n v="1429"/>
    <n v="5.5355413519271743E-2"/>
    <n v="278"/>
  </r>
  <r>
    <x v="2"/>
    <s v="S018"/>
    <s v="C04"/>
    <x v="17"/>
    <x v="4"/>
    <x v="17"/>
    <x v="2"/>
    <n v="27720"/>
    <n v="26219"/>
    <n v="70"/>
    <n v="1501"/>
    <n v="5.7248560204431899E-2"/>
    <n v="396"/>
  </r>
  <r>
    <x v="2"/>
    <s v="S019"/>
    <s v="C04"/>
    <x v="18"/>
    <x v="5"/>
    <x v="18"/>
    <x v="2"/>
    <n v="21364"/>
    <n v="21594"/>
    <n v="98"/>
    <n v="-230"/>
    <n v="-1.0651106788922849E-2"/>
    <n v="218"/>
  </r>
  <r>
    <x v="2"/>
    <s v="S020"/>
    <s v="C05"/>
    <x v="19"/>
    <x v="6"/>
    <x v="19"/>
    <x v="3"/>
    <n v="12300"/>
    <n v="13075"/>
    <n v="60"/>
    <n v="-775"/>
    <n v="-5.9273422562141492E-2"/>
    <n v="205"/>
  </r>
  <r>
    <x v="3"/>
    <s v="S001"/>
    <s v="C05"/>
    <x v="0"/>
    <x v="0"/>
    <x v="0"/>
    <x v="3"/>
    <n v="8626"/>
    <n v="9761"/>
    <n v="38"/>
    <n v="-1135"/>
    <n v="-0.11627906976744186"/>
    <n v="227"/>
  </r>
  <r>
    <x v="3"/>
    <s v="S002"/>
    <s v="C02"/>
    <x v="1"/>
    <x v="0"/>
    <x v="1"/>
    <x v="1"/>
    <n v="29876"/>
    <n v="30515"/>
    <n v="77"/>
    <n v="-639"/>
    <n v="-2.0940521055218746E-2"/>
    <n v="388"/>
  </r>
  <r>
    <x v="3"/>
    <s v="S003"/>
    <s v="C02"/>
    <x v="2"/>
    <x v="0"/>
    <x v="2"/>
    <x v="1"/>
    <n v="28770"/>
    <n v="27077"/>
    <n v="137"/>
    <n v="1693"/>
    <n v="6.2525390552867752E-2"/>
    <n v="210"/>
  </r>
  <r>
    <x v="3"/>
    <s v="S004"/>
    <s v="C01"/>
    <x v="3"/>
    <x v="0"/>
    <x v="3"/>
    <x v="0"/>
    <n v="42210"/>
    <n v="47766"/>
    <n v="134"/>
    <n v="-5556"/>
    <n v="-0.11631704559728677"/>
    <n v="315"/>
  </r>
  <r>
    <x v="3"/>
    <s v="S005"/>
    <s v="C04"/>
    <x v="4"/>
    <x v="0"/>
    <x v="4"/>
    <x v="2"/>
    <n v="42768"/>
    <n v="45939"/>
    <n v="108"/>
    <n v="-3171"/>
    <n v="-6.9026317507999743E-2"/>
    <n v="396"/>
  </r>
  <r>
    <x v="3"/>
    <s v="S006"/>
    <s v="C05"/>
    <x v="5"/>
    <x v="1"/>
    <x v="5"/>
    <x v="3"/>
    <n v="87516"/>
    <n v="82151"/>
    <n v="204"/>
    <n v="5365"/>
    <n v="6.5306569609621307E-2"/>
    <n v="429"/>
  </r>
  <r>
    <x v="3"/>
    <s v="S007"/>
    <s v="C03"/>
    <x v="6"/>
    <x v="1"/>
    <x v="6"/>
    <x v="4"/>
    <n v="18810"/>
    <n v="19652"/>
    <n v="90"/>
    <n v="-842"/>
    <n v="-4.2845511907185017E-2"/>
    <n v="209"/>
  </r>
  <r>
    <x v="3"/>
    <s v="S008"/>
    <s v="C05"/>
    <x v="7"/>
    <x v="1"/>
    <x v="7"/>
    <x v="3"/>
    <n v="17000"/>
    <n v="15542"/>
    <n v="50"/>
    <n v="1458"/>
    <n v="9.3810320422082094E-2"/>
    <n v="340"/>
  </r>
  <r>
    <x v="3"/>
    <s v="S009"/>
    <s v="C05"/>
    <x v="8"/>
    <x v="1"/>
    <x v="8"/>
    <x v="3"/>
    <n v="68609"/>
    <n v="77517"/>
    <n v="157"/>
    <n v="-8908"/>
    <n v="-0.11491672794354786"/>
    <n v="437"/>
  </r>
  <r>
    <x v="3"/>
    <s v="S010"/>
    <s v="C05"/>
    <x v="9"/>
    <x v="1"/>
    <x v="9"/>
    <x v="3"/>
    <n v="15675"/>
    <n v="17872"/>
    <n v="75"/>
    <n v="-2197"/>
    <n v="-0.12292972247090421"/>
    <n v="209"/>
  </r>
  <r>
    <x v="3"/>
    <s v="S011"/>
    <s v="C01"/>
    <x v="10"/>
    <x v="2"/>
    <x v="10"/>
    <x v="0"/>
    <n v="17630"/>
    <n v="18489"/>
    <n v="82"/>
    <n v="-859"/>
    <n v="-4.646005733138623E-2"/>
    <n v="215"/>
  </r>
  <r>
    <x v="3"/>
    <s v="S012"/>
    <s v="C02"/>
    <x v="11"/>
    <x v="2"/>
    <x v="11"/>
    <x v="1"/>
    <n v="33258"/>
    <n v="37761"/>
    <n v="138"/>
    <n v="-4503"/>
    <n v="-0.11925001986176213"/>
    <n v="241"/>
  </r>
  <r>
    <x v="3"/>
    <s v="S013"/>
    <s v="C05"/>
    <x v="12"/>
    <x v="2"/>
    <x v="12"/>
    <x v="3"/>
    <n v="46648"/>
    <n v="48916"/>
    <n v="98"/>
    <n v="-2268"/>
    <n v="-4.6365197481396683E-2"/>
    <n v="476"/>
  </r>
  <r>
    <x v="3"/>
    <s v="S014"/>
    <s v="C05"/>
    <x v="13"/>
    <x v="2"/>
    <x v="13"/>
    <x v="3"/>
    <n v="21670"/>
    <n v="23064"/>
    <n v="55"/>
    <n v="-1394"/>
    <n v="-6.0440513354144985E-2"/>
    <n v="394"/>
  </r>
  <r>
    <x v="3"/>
    <s v="S015"/>
    <s v="C05"/>
    <x v="14"/>
    <x v="2"/>
    <x v="14"/>
    <x v="3"/>
    <n v="57288"/>
    <n v="64946"/>
    <n v="168"/>
    <n v="-7658"/>
    <n v="-0.11791334339297262"/>
    <n v="341"/>
  </r>
  <r>
    <x v="3"/>
    <s v="S016"/>
    <s v="C02"/>
    <x v="15"/>
    <x v="3"/>
    <x v="15"/>
    <x v="1"/>
    <n v="70040"/>
    <n v="67215"/>
    <n v="206"/>
    <n v="2825"/>
    <n v="4.2029308934017705E-2"/>
    <n v="340"/>
  </r>
  <r>
    <x v="3"/>
    <s v="S017"/>
    <s v="C04"/>
    <x v="16"/>
    <x v="3"/>
    <x v="16"/>
    <x v="2"/>
    <n v="34680"/>
    <n v="33812"/>
    <n v="68"/>
    <n v="868"/>
    <n v="2.5671359280728737E-2"/>
    <n v="510"/>
  </r>
  <r>
    <x v="3"/>
    <s v="S018"/>
    <s v="C03"/>
    <x v="17"/>
    <x v="4"/>
    <x v="17"/>
    <x v="4"/>
    <n v="9752"/>
    <n v="9894"/>
    <n v="53"/>
    <n v="-142"/>
    <n v="-1.4352132605619567E-2"/>
    <n v="184"/>
  </r>
  <r>
    <x v="3"/>
    <s v="S019"/>
    <s v="C05"/>
    <x v="18"/>
    <x v="5"/>
    <x v="18"/>
    <x v="3"/>
    <n v="13020"/>
    <n v="13467"/>
    <n v="60"/>
    <n v="-447"/>
    <n v="-3.3192247716640678E-2"/>
    <n v="217"/>
  </r>
  <r>
    <x v="3"/>
    <s v="S020"/>
    <s v="C05"/>
    <x v="19"/>
    <x v="6"/>
    <x v="19"/>
    <x v="3"/>
    <n v="25194"/>
    <n v="28552"/>
    <n v="102"/>
    <n v="-3358"/>
    <n v="-0.11760997478285234"/>
    <n v="247"/>
  </r>
  <r>
    <x v="4"/>
    <s v="S001"/>
    <s v="C01"/>
    <x v="0"/>
    <x v="0"/>
    <x v="0"/>
    <x v="0"/>
    <n v="35793"/>
    <n v="34763"/>
    <n v="97"/>
    <n v="1030"/>
    <n v="2.9629203463452523E-2"/>
    <n v="369"/>
  </r>
  <r>
    <x v="4"/>
    <s v="S002"/>
    <s v="C04"/>
    <x v="1"/>
    <x v="0"/>
    <x v="1"/>
    <x v="2"/>
    <n v="58116"/>
    <n v="61191"/>
    <n v="174"/>
    <n v="-3075"/>
    <n v="-5.0252488110996717E-2"/>
    <n v="334"/>
  </r>
  <r>
    <x v="4"/>
    <s v="S003"/>
    <s v="C05"/>
    <x v="2"/>
    <x v="0"/>
    <x v="2"/>
    <x v="3"/>
    <n v="17131"/>
    <n v="16700"/>
    <n v="37"/>
    <n v="431"/>
    <n v="2.5808383233532933E-2"/>
    <n v="463"/>
  </r>
  <r>
    <x v="4"/>
    <s v="S004"/>
    <s v="C01"/>
    <x v="3"/>
    <x v="0"/>
    <x v="3"/>
    <x v="0"/>
    <n v="21735"/>
    <n v="20188"/>
    <n v="69"/>
    <n v="1547"/>
    <n v="7.6629680998613031E-2"/>
    <n v="315"/>
  </r>
  <r>
    <x v="4"/>
    <s v="S005"/>
    <s v="C01"/>
    <x v="4"/>
    <x v="0"/>
    <x v="4"/>
    <x v="0"/>
    <n v="45584"/>
    <n v="44129"/>
    <n v="176"/>
    <n v="1455"/>
    <n v="3.2971515330055066E-2"/>
    <n v="259"/>
  </r>
  <r>
    <x v="4"/>
    <s v="S006"/>
    <s v="C05"/>
    <x v="5"/>
    <x v="1"/>
    <x v="5"/>
    <x v="3"/>
    <n v="31240"/>
    <n v="29706"/>
    <n v="88"/>
    <n v="1534"/>
    <n v="5.1639399447922979E-2"/>
    <n v="355"/>
  </r>
  <r>
    <x v="4"/>
    <s v="S007"/>
    <s v="C03"/>
    <x v="6"/>
    <x v="1"/>
    <x v="6"/>
    <x v="4"/>
    <n v="70520"/>
    <n v="67895"/>
    <n v="164"/>
    <n v="2625"/>
    <n v="3.8662640842477357E-2"/>
    <n v="430"/>
  </r>
  <r>
    <x v="4"/>
    <s v="S008"/>
    <s v="C01"/>
    <x v="7"/>
    <x v="1"/>
    <x v="7"/>
    <x v="0"/>
    <n v="29232"/>
    <n v="29404"/>
    <n v="58"/>
    <n v="-172"/>
    <n v="-5.8495442796898381E-3"/>
    <n v="504"/>
  </r>
  <r>
    <x v="4"/>
    <s v="S009"/>
    <s v="C03"/>
    <x v="8"/>
    <x v="1"/>
    <x v="8"/>
    <x v="4"/>
    <n v="8326"/>
    <n v="8187"/>
    <n v="46"/>
    <n v="139"/>
    <n v="1.6978136069378282E-2"/>
    <n v="181"/>
  </r>
  <r>
    <x v="4"/>
    <s v="S010"/>
    <s v="C02"/>
    <x v="9"/>
    <x v="1"/>
    <x v="9"/>
    <x v="1"/>
    <n v="62172"/>
    <n v="58466"/>
    <n v="198"/>
    <n v="3706"/>
    <n v="6.3387267813772102E-2"/>
    <n v="314"/>
  </r>
  <r>
    <x v="4"/>
    <s v="S011"/>
    <s v="C04"/>
    <x v="10"/>
    <x v="2"/>
    <x v="10"/>
    <x v="2"/>
    <n v="70048"/>
    <n v="72865"/>
    <n v="176"/>
    <n v="-2817"/>
    <n v="-3.8660536608797091E-2"/>
    <n v="398"/>
  </r>
  <r>
    <x v="4"/>
    <s v="S012"/>
    <s v="C01"/>
    <x v="11"/>
    <x v="2"/>
    <x v="11"/>
    <x v="0"/>
    <n v="13824"/>
    <n v="14327"/>
    <n v="54"/>
    <n v="-503"/>
    <n v="-3.5108536330006282E-2"/>
    <n v="256"/>
  </r>
  <r>
    <x v="4"/>
    <s v="S013"/>
    <s v="C03"/>
    <x v="12"/>
    <x v="2"/>
    <x v="12"/>
    <x v="4"/>
    <n v="85008"/>
    <n v="79654"/>
    <n v="184"/>
    <n v="5354"/>
    <n v="6.7215707936826782E-2"/>
    <n v="462"/>
  </r>
  <r>
    <x v="4"/>
    <s v="S014"/>
    <s v="C02"/>
    <x v="13"/>
    <x v="2"/>
    <x v="13"/>
    <x v="1"/>
    <n v="15165"/>
    <n v="15030"/>
    <n v="45"/>
    <n v="135"/>
    <n v="8.9820359281437123E-3"/>
    <n v="337"/>
  </r>
  <r>
    <x v="4"/>
    <s v="S015"/>
    <s v="C01"/>
    <x v="14"/>
    <x v="2"/>
    <x v="14"/>
    <x v="0"/>
    <n v="36162"/>
    <n v="38712"/>
    <n v="126"/>
    <n v="-2550"/>
    <n v="-6.5871047737135771E-2"/>
    <n v="287"/>
  </r>
  <r>
    <x v="4"/>
    <s v="S016"/>
    <s v="C01"/>
    <x v="15"/>
    <x v="3"/>
    <x v="15"/>
    <x v="0"/>
    <n v="58250"/>
    <n v="65300"/>
    <n v="125"/>
    <n v="-7050"/>
    <n v="-0.10796324655436447"/>
    <n v="466"/>
  </r>
  <r>
    <x v="4"/>
    <s v="S017"/>
    <s v="C04"/>
    <x v="16"/>
    <x v="3"/>
    <x v="16"/>
    <x v="2"/>
    <n v="49987"/>
    <n v="56557"/>
    <n v="193"/>
    <n v="-6570"/>
    <n v="-0.11616599183124988"/>
    <n v="259"/>
  </r>
  <r>
    <x v="4"/>
    <s v="S018"/>
    <s v="C02"/>
    <x v="17"/>
    <x v="4"/>
    <x v="17"/>
    <x v="1"/>
    <n v="20520"/>
    <n v="22989"/>
    <n v="76"/>
    <n v="-2469"/>
    <n v="-0.10739919091739528"/>
    <n v="270"/>
  </r>
  <r>
    <x v="4"/>
    <s v="S019"/>
    <s v="C01"/>
    <x v="18"/>
    <x v="5"/>
    <x v="18"/>
    <x v="0"/>
    <n v="28000"/>
    <n v="30676"/>
    <n v="80"/>
    <n v="-2676"/>
    <n v="-8.723431998956839E-2"/>
    <n v="350"/>
  </r>
  <r>
    <x v="4"/>
    <s v="S020"/>
    <s v="C04"/>
    <x v="19"/>
    <x v="6"/>
    <x v="19"/>
    <x v="2"/>
    <n v="63242"/>
    <n v="61136"/>
    <n v="206"/>
    <n v="2106"/>
    <n v="3.444778853703219E-2"/>
    <n v="307"/>
  </r>
  <r>
    <x v="5"/>
    <s v="S001"/>
    <s v="C01"/>
    <x v="0"/>
    <x v="0"/>
    <x v="0"/>
    <x v="0"/>
    <n v="26268"/>
    <n v="29279"/>
    <n v="132"/>
    <n v="-3011"/>
    <n v="-0.10283821168755763"/>
    <n v="199"/>
  </r>
  <r>
    <x v="5"/>
    <s v="S002"/>
    <s v="C02"/>
    <x v="1"/>
    <x v="0"/>
    <x v="1"/>
    <x v="1"/>
    <n v="35690"/>
    <n v="35240"/>
    <n v="86"/>
    <n v="450"/>
    <n v="1.2769580022701475E-2"/>
    <n v="415"/>
  </r>
  <r>
    <x v="5"/>
    <s v="S003"/>
    <s v="C02"/>
    <x v="2"/>
    <x v="0"/>
    <x v="2"/>
    <x v="1"/>
    <n v="17664"/>
    <n v="18812"/>
    <n v="92"/>
    <n v="-1148"/>
    <n v="-6.1024877737614287E-2"/>
    <n v="192"/>
  </r>
  <r>
    <x v="5"/>
    <s v="S004"/>
    <s v="C04"/>
    <x v="3"/>
    <x v="0"/>
    <x v="3"/>
    <x v="2"/>
    <n v="38318"/>
    <n v="42766"/>
    <n v="119"/>
    <n v="-4448"/>
    <n v="-0.10400785670860029"/>
    <n v="322"/>
  </r>
  <r>
    <x v="5"/>
    <s v="S005"/>
    <s v="C03"/>
    <x v="4"/>
    <x v="0"/>
    <x v="4"/>
    <x v="4"/>
    <n v="62992"/>
    <n v="64714"/>
    <n v="124"/>
    <n v="-1722"/>
    <n v="-2.6609389003924962E-2"/>
    <n v="508"/>
  </r>
  <r>
    <x v="5"/>
    <s v="S006"/>
    <s v="C05"/>
    <x v="5"/>
    <x v="1"/>
    <x v="5"/>
    <x v="3"/>
    <n v="23086"/>
    <n v="21443"/>
    <n v="119"/>
    <n v="1643"/>
    <n v="7.662174136081705E-2"/>
    <n v="194"/>
  </r>
  <r>
    <x v="5"/>
    <s v="S007"/>
    <s v="C03"/>
    <x v="6"/>
    <x v="1"/>
    <x v="6"/>
    <x v="4"/>
    <n v="38160"/>
    <n v="43526"/>
    <n v="80"/>
    <n v="-5366"/>
    <n v="-0.12328263566603868"/>
    <n v="477"/>
  </r>
  <r>
    <x v="5"/>
    <s v="S008"/>
    <s v="C03"/>
    <x v="7"/>
    <x v="1"/>
    <x v="7"/>
    <x v="4"/>
    <n v="10340"/>
    <n v="10848"/>
    <n v="44"/>
    <n v="-508"/>
    <n v="-4.6828908554572272E-2"/>
    <n v="235"/>
  </r>
  <r>
    <x v="5"/>
    <s v="S009"/>
    <s v="C03"/>
    <x v="8"/>
    <x v="1"/>
    <x v="8"/>
    <x v="4"/>
    <n v="46345"/>
    <n v="48734"/>
    <n v="115"/>
    <n v="-2389"/>
    <n v="-4.9021217220010668E-2"/>
    <n v="403"/>
  </r>
  <r>
    <x v="5"/>
    <s v="S010"/>
    <s v="C05"/>
    <x v="9"/>
    <x v="1"/>
    <x v="9"/>
    <x v="3"/>
    <n v="24128"/>
    <n v="27141"/>
    <n v="64"/>
    <n v="-3013"/>
    <n v="-0.11101285877454774"/>
    <n v="377"/>
  </r>
  <r>
    <x v="5"/>
    <s v="S011"/>
    <s v="C02"/>
    <x v="10"/>
    <x v="2"/>
    <x v="10"/>
    <x v="1"/>
    <n v="20200"/>
    <n v="21759"/>
    <n v="100"/>
    <n v="-1559"/>
    <n v="-7.1648513258881386E-2"/>
    <n v="202"/>
  </r>
  <r>
    <x v="5"/>
    <s v="S012"/>
    <s v="C01"/>
    <x v="11"/>
    <x v="2"/>
    <x v="11"/>
    <x v="0"/>
    <n v="76440"/>
    <n v="81921"/>
    <n v="168"/>
    <n v="-5481"/>
    <n v="-6.6905921558574721E-2"/>
    <n v="455"/>
  </r>
  <r>
    <x v="5"/>
    <s v="S013"/>
    <s v="C02"/>
    <x v="12"/>
    <x v="2"/>
    <x v="12"/>
    <x v="1"/>
    <n v="51200"/>
    <n v="46975"/>
    <n v="128"/>
    <n v="4225"/>
    <n v="8.9941458222458748E-2"/>
    <n v="400"/>
  </r>
  <r>
    <x v="5"/>
    <s v="S014"/>
    <s v="C03"/>
    <x v="13"/>
    <x v="2"/>
    <x v="13"/>
    <x v="4"/>
    <n v="65960"/>
    <n v="70303"/>
    <n v="194"/>
    <n v="-4343"/>
    <n v="-6.1775457661835197E-2"/>
    <n v="340"/>
  </r>
  <r>
    <x v="5"/>
    <s v="S015"/>
    <s v="C01"/>
    <x v="14"/>
    <x v="2"/>
    <x v="14"/>
    <x v="0"/>
    <n v="72927"/>
    <n v="74880"/>
    <n v="219"/>
    <n v="-1953"/>
    <n v="-2.608173076923077E-2"/>
    <n v="333"/>
  </r>
  <r>
    <x v="5"/>
    <s v="S016"/>
    <s v="C04"/>
    <x v="15"/>
    <x v="3"/>
    <x v="15"/>
    <x v="2"/>
    <n v="45548"/>
    <n v="48932"/>
    <n v="118"/>
    <n v="-3384"/>
    <n v="-6.9157197743807727E-2"/>
    <n v="386"/>
  </r>
  <r>
    <x v="5"/>
    <s v="S017"/>
    <s v="C05"/>
    <x v="16"/>
    <x v="3"/>
    <x v="16"/>
    <x v="3"/>
    <n v="18626"/>
    <n v="18721"/>
    <n v="67"/>
    <n v="-95"/>
    <n v="-5.0745152502537257E-3"/>
    <n v="278"/>
  </r>
  <r>
    <x v="5"/>
    <s v="S018"/>
    <s v="C04"/>
    <x v="17"/>
    <x v="4"/>
    <x v="17"/>
    <x v="2"/>
    <n v="55952"/>
    <n v="58966"/>
    <n v="208"/>
    <n v="-3014"/>
    <n v="-5.1114201404199033E-2"/>
    <n v="269"/>
  </r>
  <r>
    <x v="5"/>
    <s v="S019"/>
    <s v="C03"/>
    <x v="18"/>
    <x v="5"/>
    <x v="18"/>
    <x v="4"/>
    <n v="63480"/>
    <n v="70363"/>
    <n v="138"/>
    <n v="-6883"/>
    <n v="-9.7821298125435246E-2"/>
    <n v="460"/>
  </r>
  <r>
    <x v="5"/>
    <s v="S020"/>
    <s v="C03"/>
    <x v="19"/>
    <x v="6"/>
    <x v="19"/>
    <x v="4"/>
    <n v="30996"/>
    <n v="31227"/>
    <n v="108"/>
    <n v="-231"/>
    <n v="-7.3974445191661064E-3"/>
    <n v="287"/>
  </r>
  <r>
    <x v="6"/>
    <s v="S001"/>
    <s v="C05"/>
    <x v="0"/>
    <x v="0"/>
    <x v="0"/>
    <x v="3"/>
    <n v="97850"/>
    <n v="95948"/>
    <n v="190"/>
    <n v="1902"/>
    <n v="1.9823237587026307E-2"/>
    <n v="515"/>
  </r>
  <r>
    <x v="6"/>
    <s v="S002"/>
    <s v="C04"/>
    <x v="1"/>
    <x v="0"/>
    <x v="1"/>
    <x v="2"/>
    <n v="42772"/>
    <n v="43960"/>
    <n v="148"/>
    <n v="-1188"/>
    <n v="-2.7024567788898998E-2"/>
    <n v="289"/>
  </r>
  <r>
    <x v="6"/>
    <s v="S003"/>
    <s v="C02"/>
    <x v="2"/>
    <x v="0"/>
    <x v="2"/>
    <x v="1"/>
    <n v="45269"/>
    <n v="43953"/>
    <n v="203"/>
    <n v="1316"/>
    <n v="2.9941073419334288E-2"/>
    <n v="223"/>
  </r>
  <r>
    <x v="6"/>
    <s v="S004"/>
    <s v="C05"/>
    <x v="3"/>
    <x v="0"/>
    <x v="3"/>
    <x v="3"/>
    <n v="27240"/>
    <n v="30089"/>
    <n v="120"/>
    <n v="-2849"/>
    <n v="-9.4685765562165569E-2"/>
    <n v="227"/>
  </r>
  <r>
    <x v="6"/>
    <s v="S005"/>
    <s v="C02"/>
    <x v="4"/>
    <x v="0"/>
    <x v="4"/>
    <x v="1"/>
    <n v="69966"/>
    <n v="66898"/>
    <n v="207"/>
    <n v="3068"/>
    <n v="4.5860862806062962E-2"/>
    <n v="338"/>
  </r>
  <r>
    <x v="6"/>
    <s v="S006"/>
    <s v="C02"/>
    <x v="5"/>
    <x v="1"/>
    <x v="5"/>
    <x v="1"/>
    <n v="13824"/>
    <n v="12601"/>
    <n v="72"/>
    <n v="1223"/>
    <n v="9.7055789223077532E-2"/>
    <n v="192"/>
  </r>
  <r>
    <x v="6"/>
    <s v="S007"/>
    <s v="C04"/>
    <x v="6"/>
    <x v="1"/>
    <x v="6"/>
    <x v="2"/>
    <n v="41447"/>
    <n v="42021"/>
    <n v="191"/>
    <n v="-574"/>
    <n v="-1.365983674829252E-2"/>
    <n v="217"/>
  </r>
  <r>
    <x v="6"/>
    <s v="S008"/>
    <s v="C05"/>
    <x v="7"/>
    <x v="1"/>
    <x v="7"/>
    <x v="3"/>
    <n v="31584"/>
    <n v="32329"/>
    <n v="84"/>
    <n v="-745"/>
    <n v="-2.3044325528163569E-2"/>
    <n v="376"/>
  </r>
  <r>
    <x v="6"/>
    <s v="S009"/>
    <s v="C02"/>
    <x v="8"/>
    <x v="1"/>
    <x v="8"/>
    <x v="1"/>
    <n v="37080"/>
    <n v="39746"/>
    <n v="72"/>
    <n v="-2666"/>
    <n v="-6.7075932169274891E-2"/>
    <n v="515"/>
  </r>
  <r>
    <x v="6"/>
    <s v="S010"/>
    <s v="C01"/>
    <x v="9"/>
    <x v="1"/>
    <x v="9"/>
    <x v="0"/>
    <n v="41756"/>
    <n v="39416"/>
    <n v="143"/>
    <n v="2340"/>
    <n v="5.9366754617414245E-2"/>
    <n v="292"/>
  </r>
  <r>
    <x v="6"/>
    <s v="S011"/>
    <s v="C05"/>
    <x v="10"/>
    <x v="2"/>
    <x v="10"/>
    <x v="3"/>
    <n v="31365"/>
    <n v="32599"/>
    <n v="153"/>
    <n v="-1234"/>
    <n v="-3.7853921899444767E-2"/>
    <n v="205"/>
  </r>
  <r>
    <x v="6"/>
    <s v="S012"/>
    <s v="C01"/>
    <x v="11"/>
    <x v="2"/>
    <x v="11"/>
    <x v="0"/>
    <n v="37448"/>
    <n v="41206"/>
    <n v="151"/>
    <n v="-3758"/>
    <n v="-9.120031063437363E-2"/>
    <n v="248"/>
  </r>
  <r>
    <x v="6"/>
    <s v="S013"/>
    <s v="C05"/>
    <x v="12"/>
    <x v="2"/>
    <x v="12"/>
    <x v="3"/>
    <n v="86152"/>
    <n v="84370"/>
    <n v="178"/>
    <n v="1782"/>
    <n v="2.1121251629726206E-2"/>
    <n v="484"/>
  </r>
  <r>
    <x v="6"/>
    <s v="S014"/>
    <s v="C04"/>
    <x v="13"/>
    <x v="2"/>
    <x v="13"/>
    <x v="2"/>
    <n v="83658"/>
    <n v="84217"/>
    <n v="191"/>
    <n v="-559"/>
    <n v="-6.6376147333673721E-3"/>
    <n v="438"/>
  </r>
  <r>
    <x v="6"/>
    <s v="S015"/>
    <s v="C05"/>
    <x v="14"/>
    <x v="2"/>
    <x v="14"/>
    <x v="3"/>
    <n v="38889"/>
    <n v="42230"/>
    <n v="149"/>
    <n v="-3341"/>
    <n v="-7.9114373668008525E-2"/>
    <n v="261"/>
  </r>
  <r>
    <x v="6"/>
    <s v="S016"/>
    <s v="C04"/>
    <x v="15"/>
    <x v="3"/>
    <x v="15"/>
    <x v="2"/>
    <n v="46800"/>
    <n v="50915"/>
    <n v="150"/>
    <n v="-4115"/>
    <n v="-8.0820976136698419E-2"/>
    <n v="312"/>
  </r>
  <r>
    <x v="6"/>
    <s v="S017"/>
    <s v="C03"/>
    <x v="16"/>
    <x v="3"/>
    <x v="16"/>
    <x v="4"/>
    <n v="71904"/>
    <n v="75980"/>
    <n v="168"/>
    <n v="-4076"/>
    <n v="-5.3645696235851539E-2"/>
    <n v="428"/>
  </r>
  <r>
    <x v="6"/>
    <s v="S018"/>
    <s v="C03"/>
    <x v="17"/>
    <x v="4"/>
    <x v="17"/>
    <x v="4"/>
    <n v="32193"/>
    <n v="34716"/>
    <n v="147"/>
    <n v="-2523"/>
    <n v="-7.267542343587971E-2"/>
    <n v="219"/>
  </r>
  <r>
    <x v="6"/>
    <s v="S019"/>
    <s v="C02"/>
    <x v="18"/>
    <x v="5"/>
    <x v="18"/>
    <x v="1"/>
    <n v="36504"/>
    <n v="35771"/>
    <n v="104"/>
    <n v="733"/>
    <n v="2.0491459562215202E-2"/>
    <n v="351"/>
  </r>
  <r>
    <x v="6"/>
    <s v="S020"/>
    <s v="C05"/>
    <x v="19"/>
    <x v="6"/>
    <x v="19"/>
    <x v="3"/>
    <n v="13750"/>
    <n v="12893"/>
    <n v="55"/>
    <n v="857"/>
    <n v="6.647017761576049E-2"/>
    <n v="250"/>
  </r>
  <r>
    <x v="7"/>
    <s v="S001"/>
    <s v="C04"/>
    <x v="0"/>
    <x v="0"/>
    <x v="0"/>
    <x v="2"/>
    <n v="54696"/>
    <n v="58885"/>
    <n v="212"/>
    <n v="-4189"/>
    <n v="-7.1138660100195303E-2"/>
    <n v="258"/>
  </r>
  <r>
    <x v="7"/>
    <s v="S002"/>
    <s v="C01"/>
    <x v="1"/>
    <x v="0"/>
    <x v="1"/>
    <x v="0"/>
    <n v="54708"/>
    <n v="53762"/>
    <n v="141"/>
    <n v="946"/>
    <n v="1.7596071574718201E-2"/>
    <n v="388"/>
  </r>
  <r>
    <x v="7"/>
    <s v="S003"/>
    <s v="C04"/>
    <x v="2"/>
    <x v="0"/>
    <x v="2"/>
    <x v="2"/>
    <n v="29751"/>
    <n v="28314"/>
    <n v="141"/>
    <n v="1437"/>
    <n v="5.0752278025005294E-2"/>
    <n v="211"/>
  </r>
  <r>
    <x v="7"/>
    <s v="S004"/>
    <s v="C04"/>
    <x v="3"/>
    <x v="0"/>
    <x v="3"/>
    <x v="2"/>
    <n v="64186"/>
    <n v="72948"/>
    <n v="134"/>
    <n v="-8762"/>
    <n v="-0.12011295717497396"/>
    <n v="479"/>
  </r>
  <r>
    <x v="7"/>
    <s v="S005"/>
    <s v="C01"/>
    <x v="4"/>
    <x v="0"/>
    <x v="4"/>
    <x v="0"/>
    <n v="68068"/>
    <n v="69377"/>
    <n v="182"/>
    <n v="-1309"/>
    <n v="-1.8867924528301886E-2"/>
    <n v="374"/>
  </r>
  <r>
    <x v="7"/>
    <s v="S006"/>
    <s v="C03"/>
    <x v="5"/>
    <x v="1"/>
    <x v="5"/>
    <x v="4"/>
    <n v="42069"/>
    <n v="46838"/>
    <n v="111"/>
    <n v="-4769"/>
    <n v="-0.10181903582561168"/>
    <n v="379"/>
  </r>
  <r>
    <x v="7"/>
    <s v="S007"/>
    <s v="C04"/>
    <x v="6"/>
    <x v="1"/>
    <x v="6"/>
    <x v="2"/>
    <n v="78948"/>
    <n v="86840"/>
    <n v="172"/>
    <n v="-7892"/>
    <n v="-9.0879778903731001E-2"/>
    <n v="459"/>
  </r>
  <r>
    <x v="7"/>
    <s v="S008"/>
    <s v="C02"/>
    <x v="7"/>
    <x v="1"/>
    <x v="7"/>
    <x v="1"/>
    <n v="46428"/>
    <n v="44953"/>
    <n v="159"/>
    <n v="1475"/>
    <n v="3.2812048139167577E-2"/>
    <n v="292"/>
  </r>
  <r>
    <x v="7"/>
    <s v="S009"/>
    <s v="C04"/>
    <x v="8"/>
    <x v="1"/>
    <x v="8"/>
    <x v="2"/>
    <n v="15918"/>
    <n v="15663"/>
    <n v="42"/>
    <n v="255"/>
    <n v="1.6280406052480368E-2"/>
    <n v="379"/>
  </r>
  <r>
    <x v="7"/>
    <s v="S010"/>
    <s v="C04"/>
    <x v="9"/>
    <x v="1"/>
    <x v="9"/>
    <x v="2"/>
    <n v="58080"/>
    <n v="64476"/>
    <n v="220"/>
    <n v="-6396"/>
    <n v="-9.9199702214777585E-2"/>
    <n v="264"/>
  </r>
  <r>
    <x v="7"/>
    <s v="S011"/>
    <s v="C02"/>
    <x v="10"/>
    <x v="2"/>
    <x v="10"/>
    <x v="1"/>
    <n v="87882"/>
    <n v="79686"/>
    <n v="194"/>
    <n v="8196"/>
    <n v="0.10285370077554401"/>
    <n v="453"/>
  </r>
  <r>
    <x v="7"/>
    <s v="S012"/>
    <s v="C04"/>
    <x v="11"/>
    <x v="2"/>
    <x v="11"/>
    <x v="2"/>
    <n v="87048"/>
    <n v="92771"/>
    <n v="186"/>
    <n v="-5723"/>
    <n v="-6.1689536600877427E-2"/>
    <n v="468"/>
  </r>
  <r>
    <x v="7"/>
    <s v="S013"/>
    <s v="C01"/>
    <x v="12"/>
    <x v="2"/>
    <x v="12"/>
    <x v="0"/>
    <n v="79401"/>
    <n v="74154"/>
    <n v="199"/>
    <n v="5247"/>
    <n v="7.0758151954041587E-2"/>
    <n v="399"/>
  </r>
  <r>
    <x v="7"/>
    <s v="S014"/>
    <s v="C04"/>
    <x v="13"/>
    <x v="2"/>
    <x v="13"/>
    <x v="2"/>
    <n v="16605"/>
    <n v="16024"/>
    <n v="81"/>
    <n v="581"/>
    <n v="3.6258112830753871E-2"/>
    <n v="205"/>
  </r>
  <r>
    <x v="7"/>
    <s v="S015"/>
    <s v="C03"/>
    <x v="14"/>
    <x v="2"/>
    <x v="14"/>
    <x v="4"/>
    <n v="36668"/>
    <n v="35997"/>
    <n v="89"/>
    <n v="671"/>
    <n v="1.8640442259077145E-2"/>
    <n v="412"/>
  </r>
  <r>
    <x v="7"/>
    <s v="S016"/>
    <s v="C04"/>
    <x v="15"/>
    <x v="3"/>
    <x v="15"/>
    <x v="2"/>
    <n v="41870"/>
    <n v="40323"/>
    <n v="106"/>
    <n v="1547"/>
    <n v="3.8365201001909578E-2"/>
    <n v="395"/>
  </r>
  <r>
    <x v="7"/>
    <s v="S017"/>
    <s v="C01"/>
    <x v="16"/>
    <x v="3"/>
    <x v="16"/>
    <x v="0"/>
    <n v="29295"/>
    <n v="31851"/>
    <n v="155"/>
    <n v="-2556"/>
    <n v="-8.0248657812941507E-2"/>
    <n v="189"/>
  </r>
  <r>
    <x v="7"/>
    <s v="S018"/>
    <s v="C01"/>
    <x v="17"/>
    <x v="4"/>
    <x v="17"/>
    <x v="0"/>
    <n v="36456"/>
    <n v="38735"/>
    <n v="124"/>
    <n v="-2279"/>
    <n v="-5.8835678327094361E-2"/>
    <n v="294"/>
  </r>
  <r>
    <x v="7"/>
    <s v="S019"/>
    <s v="C01"/>
    <x v="18"/>
    <x v="5"/>
    <x v="18"/>
    <x v="0"/>
    <n v="12852"/>
    <n v="12207"/>
    <n v="42"/>
    <n v="645"/>
    <n v="5.2838535266650284E-2"/>
    <n v="306"/>
  </r>
  <r>
    <x v="7"/>
    <s v="S020"/>
    <s v="C01"/>
    <x v="19"/>
    <x v="6"/>
    <x v="19"/>
    <x v="0"/>
    <n v="50052"/>
    <n v="48031"/>
    <n v="194"/>
    <n v="2021"/>
    <n v="4.2076991942703673E-2"/>
    <n v="258"/>
  </r>
  <r>
    <x v="8"/>
    <s v="S001"/>
    <s v="C04"/>
    <x v="0"/>
    <x v="0"/>
    <x v="0"/>
    <x v="2"/>
    <n v="49028"/>
    <n v="51037"/>
    <n v="206"/>
    <n v="-2009"/>
    <n v="-3.9363598957618984E-2"/>
    <n v="238"/>
  </r>
  <r>
    <x v="8"/>
    <s v="S002"/>
    <s v="C02"/>
    <x v="1"/>
    <x v="0"/>
    <x v="1"/>
    <x v="1"/>
    <n v="47894"/>
    <n v="52287"/>
    <n v="154"/>
    <n v="-4393"/>
    <n v="-8.401705968978905E-2"/>
    <n v="311"/>
  </r>
  <r>
    <x v="8"/>
    <s v="S003"/>
    <s v="C02"/>
    <x v="2"/>
    <x v="0"/>
    <x v="2"/>
    <x v="1"/>
    <n v="93100"/>
    <n v="106220"/>
    <n v="190"/>
    <n v="-13120"/>
    <n v="-0.12351722839389945"/>
    <n v="490"/>
  </r>
  <r>
    <x v="8"/>
    <s v="S004"/>
    <s v="C01"/>
    <x v="3"/>
    <x v="0"/>
    <x v="3"/>
    <x v="0"/>
    <n v="25764"/>
    <n v="23883"/>
    <n v="76"/>
    <n v="1881"/>
    <n v="7.8758949880668255E-2"/>
    <n v="339"/>
  </r>
  <r>
    <x v="8"/>
    <s v="S005"/>
    <s v="C01"/>
    <x v="4"/>
    <x v="0"/>
    <x v="4"/>
    <x v="0"/>
    <n v="54036"/>
    <n v="57782"/>
    <n v="114"/>
    <n v="-3746"/>
    <n v="-6.4829877816621098E-2"/>
    <n v="474"/>
  </r>
  <r>
    <x v="8"/>
    <s v="S006"/>
    <s v="C04"/>
    <x v="5"/>
    <x v="1"/>
    <x v="5"/>
    <x v="2"/>
    <n v="38216"/>
    <n v="35120"/>
    <n v="136"/>
    <n v="3096"/>
    <n v="8.8154897494305245E-2"/>
    <n v="281"/>
  </r>
  <r>
    <x v="8"/>
    <s v="S007"/>
    <s v="C02"/>
    <x v="6"/>
    <x v="1"/>
    <x v="6"/>
    <x v="1"/>
    <n v="20374"/>
    <n v="22667"/>
    <n v="61"/>
    <n v="-2293"/>
    <n v="-0.1011602770547492"/>
    <n v="334"/>
  </r>
  <r>
    <x v="8"/>
    <s v="S008"/>
    <s v="C05"/>
    <x v="7"/>
    <x v="1"/>
    <x v="7"/>
    <x v="3"/>
    <n v="30485"/>
    <n v="33401"/>
    <n v="65"/>
    <n v="-2916"/>
    <n v="-8.7302775366007002E-2"/>
    <n v="469"/>
  </r>
  <r>
    <x v="8"/>
    <s v="S009"/>
    <s v="C03"/>
    <x v="8"/>
    <x v="1"/>
    <x v="8"/>
    <x v="4"/>
    <n v="68229"/>
    <n v="72689"/>
    <n v="171"/>
    <n v="-4460"/>
    <n v="-6.1357289273480171E-2"/>
    <n v="399"/>
  </r>
  <r>
    <x v="8"/>
    <s v="S010"/>
    <s v="C01"/>
    <x v="9"/>
    <x v="1"/>
    <x v="9"/>
    <x v="0"/>
    <n v="83804"/>
    <n v="82572"/>
    <n v="164"/>
    <n v="1232"/>
    <n v="1.4920311970159377E-2"/>
    <n v="511"/>
  </r>
  <r>
    <x v="8"/>
    <s v="S011"/>
    <s v="C04"/>
    <x v="10"/>
    <x v="2"/>
    <x v="10"/>
    <x v="2"/>
    <n v="37440"/>
    <n v="37753"/>
    <n v="160"/>
    <n v="-313"/>
    <n v="-8.2907318623685541E-3"/>
    <n v="234"/>
  </r>
  <r>
    <x v="8"/>
    <s v="S012"/>
    <s v="C03"/>
    <x v="11"/>
    <x v="2"/>
    <x v="11"/>
    <x v="4"/>
    <n v="81755"/>
    <n v="88036"/>
    <n v="197"/>
    <n v="-6281"/>
    <n v="-7.1345813076468714E-2"/>
    <n v="415"/>
  </r>
  <r>
    <x v="8"/>
    <s v="S013"/>
    <s v="C04"/>
    <x v="12"/>
    <x v="2"/>
    <x v="12"/>
    <x v="2"/>
    <n v="35760"/>
    <n v="40815"/>
    <n v="80"/>
    <n v="-5055"/>
    <n v="-0.12385152517456817"/>
    <n v="447"/>
  </r>
  <r>
    <x v="8"/>
    <s v="S014"/>
    <s v="C03"/>
    <x v="13"/>
    <x v="2"/>
    <x v="13"/>
    <x v="4"/>
    <n v="87360"/>
    <n v="95542"/>
    <n v="192"/>
    <n v="-8182"/>
    <n v="-8.5637730003558649E-2"/>
    <n v="455"/>
  </r>
  <r>
    <x v="8"/>
    <s v="S015"/>
    <s v="C04"/>
    <x v="14"/>
    <x v="2"/>
    <x v="14"/>
    <x v="2"/>
    <n v="70518"/>
    <n v="68197"/>
    <n v="146"/>
    <n v="2321"/>
    <n v="3.4033755150519818E-2"/>
    <n v="483"/>
  </r>
  <r>
    <x v="8"/>
    <s v="S016"/>
    <s v="C02"/>
    <x v="15"/>
    <x v="3"/>
    <x v="15"/>
    <x v="1"/>
    <n v="18354"/>
    <n v="20563"/>
    <n v="57"/>
    <n v="-2209"/>
    <n v="-0.10742595924719156"/>
    <n v="322"/>
  </r>
  <r>
    <x v="8"/>
    <s v="S017"/>
    <s v="C02"/>
    <x v="16"/>
    <x v="3"/>
    <x v="16"/>
    <x v="1"/>
    <n v="72063"/>
    <n v="75852"/>
    <n v="153"/>
    <n v="-3789"/>
    <n v="-4.9952539155196964E-2"/>
    <n v="471"/>
  </r>
  <r>
    <x v="8"/>
    <s v="S018"/>
    <s v="C04"/>
    <x v="17"/>
    <x v="4"/>
    <x v="17"/>
    <x v="2"/>
    <n v="23474"/>
    <n v="24027"/>
    <n v="121"/>
    <n v="-553"/>
    <n v="-2.3015773921005536E-2"/>
    <n v="194"/>
  </r>
  <r>
    <x v="8"/>
    <s v="S019"/>
    <s v="C03"/>
    <x v="18"/>
    <x v="5"/>
    <x v="18"/>
    <x v="4"/>
    <n v="34749"/>
    <n v="33116"/>
    <n v="81"/>
    <n v="1633"/>
    <n v="4.9311511052059429E-2"/>
    <n v="429"/>
  </r>
  <r>
    <x v="8"/>
    <s v="S020"/>
    <s v="C03"/>
    <x v="19"/>
    <x v="6"/>
    <x v="19"/>
    <x v="4"/>
    <n v="39406"/>
    <n v="44137"/>
    <n v="122"/>
    <n v="-4731"/>
    <n v="-0.10718897976754198"/>
    <n v="323"/>
  </r>
  <r>
    <x v="9"/>
    <s v="S001"/>
    <s v="C03"/>
    <x v="0"/>
    <x v="0"/>
    <x v="0"/>
    <x v="4"/>
    <n v="32745"/>
    <n v="33699"/>
    <n v="177"/>
    <n v="-954"/>
    <n v="-2.8309445384136028E-2"/>
    <n v="185"/>
  </r>
  <r>
    <x v="9"/>
    <s v="S002"/>
    <s v="C02"/>
    <x v="1"/>
    <x v="0"/>
    <x v="1"/>
    <x v="1"/>
    <n v="16968"/>
    <n v="18325"/>
    <n v="56"/>
    <n v="-1357"/>
    <n v="-7.4051841746248293E-2"/>
    <n v="303"/>
  </r>
  <r>
    <x v="9"/>
    <s v="S003"/>
    <s v="C04"/>
    <x v="2"/>
    <x v="0"/>
    <x v="2"/>
    <x v="2"/>
    <n v="53631"/>
    <n v="57527"/>
    <n v="177"/>
    <n v="-3896"/>
    <n v="-6.77247205659951E-2"/>
    <n v="303"/>
  </r>
  <r>
    <x v="9"/>
    <s v="S004"/>
    <s v="C04"/>
    <x v="3"/>
    <x v="0"/>
    <x v="3"/>
    <x v="2"/>
    <n v="28012"/>
    <n v="25862"/>
    <n v="149"/>
    <n v="2150"/>
    <n v="8.3133555022813388E-2"/>
    <n v="188"/>
  </r>
  <r>
    <x v="9"/>
    <s v="S005"/>
    <s v="C02"/>
    <x v="4"/>
    <x v="0"/>
    <x v="4"/>
    <x v="1"/>
    <n v="41952"/>
    <n v="40968"/>
    <n v="138"/>
    <n v="984"/>
    <n v="2.4018746338605741E-2"/>
    <n v="304"/>
  </r>
  <r>
    <x v="9"/>
    <s v="S006"/>
    <s v="C05"/>
    <x v="5"/>
    <x v="1"/>
    <x v="5"/>
    <x v="3"/>
    <n v="54438"/>
    <n v="56526"/>
    <n v="129"/>
    <n v="-2088"/>
    <n v="-3.6938753847786859E-2"/>
    <n v="422"/>
  </r>
  <r>
    <x v="9"/>
    <s v="S007"/>
    <s v="C03"/>
    <x v="6"/>
    <x v="1"/>
    <x v="6"/>
    <x v="4"/>
    <n v="65923"/>
    <n v="64782"/>
    <n v="143"/>
    <n v="1141"/>
    <n v="1.7612917168349233E-2"/>
    <n v="461"/>
  </r>
  <r>
    <x v="9"/>
    <s v="S008"/>
    <s v="C04"/>
    <x v="7"/>
    <x v="1"/>
    <x v="7"/>
    <x v="2"/>
    <n v="34944"/>
    <n v="33645"/>
    <n v="104"/>
    <n v="1299"/>
    <n v="3.8609005795809184E-2"/>
    <n v="336"/>
  </r>
  <r>
    <x v="9"/>
    <s v="S009"/>
    <s v="C01"/>
    <x v="8"/>
    <x v="1"/>
    <x v="8"/>
    <x v="0"/>
    <n v="60882"/>
    <n v="59596"/>
    <n v="219"/>
    <n v="1286"/>
    <n v="2.1578629438217329E-2"/>
    <n v="278"/>
  </r>
  <r>
    <x v="9"/>
    <s v="S010"/>
    <s v="C05"/>
    <x v="9"/>
    <x v="1"/>
    <x v="9"/>
    <x v="3"/>
    <n v="57814"/>
    <n v="54801"/>
    <n v="211"/>
    <n v="3013"/>
    <n v="5.4980748526486746E-2"/>
    <n v="274"/>
  </r>
  <r>
    <x v="9"/>
    <s v="S011"/>
    <s v="C04"/>
    <x v="10"/>
    <x v="2"/>
    <x v="10"/>
    <x v="2"/>
    <n v="50505"/>
    <n v="57785"/>
    <n v="105"/>
    <n v="-7280"/>
    <n v="-0.12598425196850394"/>
    <n v="481"/>
  </r>
  <r>
    <x v="9"/>
    <s v="S012"/>
    <s v="C05"/>
    <x v="11"/>
    <x v="2"/>
    <x v="11"/>
    <x v="3"/>
    <n v="60588"/>
    <n v="69380"/>
    <n v="187"/>
    <n v="-8792"/>
    <n v="-0.12672239838570193"/>
    <n v="324"/>
  </r>
  <r>
    <x v="9"/>
    <s v="S013"/>
    <s v="C02"/>
    <x v="12"/>
    <x v="2"/>
    <x v="12"/>
    <x v="1"/>
    <n v="32560"/>
    <n v="32241"/>
    <n v="110"/>
    <n v="319"/>
    <n v="9.8942340498123504E-3"/>
    <n v="296"/>
  </r>
  <r>
    <x v="9"/>
    <s v="S014"/>
    <s v="C03"/>
    <x v="13"/>
    <x v="2"/>
    <x v="13"/>
    <x v="4"/>
    <n v="17214"/>
    <n v="16037"/>
    <n v="38"/>
    <n v="1177"/>
    <n v="7.3392779198104385E-2"/>
    <n v="453"/>
  </r>
  <r>
    <x v="9"/>
    <s v="S015"/>
    <s v="C01"/>
    <x v="14"/>
    <x v="2"/>
    <x v="14"/>
    <x v="0"/>
    <n v="22224"/>
    <n v="21624"/>
    <n v="48"/>
    <n v="600"/>
    <n v="2.774694783573807E-2"/>
    <n v="463"/>
  </r>
  <r>
    <x v="9"/>
    <s v="S016"/>
    <s v="C02"/>
    <x v="15"/>
    <x v="3"/>
    <x v="15"/>
    <x v="1"/>
    <n v="85338"/>
    <n v="78992"/>
    <n v="198"/>
    <n v="6346"/>
    <n v="8.0337249341705483E-2"/>
    <n v="431"/>
  </r>
  <r>
    <x v="9"/>
    <s v="S017"/>
    <s v="C01"/>
    <x v="16"/>
    <x v="3"/>
    <x v="16"/>
    <x v="0"/>
    <n v="58825"/>
    <n v="59845"/>
    <n v="181"/>
    <n v="-1020"/>
    <n v="-1.7044030411897403E-2"/>
    <n v="325"/>
  </r>
  <r>
    <x v="9"/>
    <s v="S018"/>
    <s v="C04"/>
    <x v="17"/>
    <x v="4"/>
    <x v="17"/>
    <x v="2"/>
    <n v="33428"/>
    <n v="38153"/>
    <n v="122"/>
    <n v="-4725"/>
    <n v="-0.12384347233507195"/>
    <n v="274"/>
  </r>
  <r>
    <x v="9"/>
    <s v="S019"/>
    <s v="C03"/>
    <x v="18"/>
    <x v="5"/>
    <x v="18"/>
    <x v="4"/>
    <n v="37366"/>
    <n v="41309"/>
    <n v="157"/>
    <n v="-3943"/>
    <n v="-9.5451354426396184E-2"/>
    <n v="238"/>
  </r>
  <r>
    <x v="9"/>
    <s v="S020"/>
    <s v="C04"/>
    <x v="19"/>
    <x v="6"/>
    <x v="19"/>
    <x v="2"/>
    <n v="34720"/>
    <n v="36256"/>
    <n v="160"/>
    <n v="-1536"/>
    <n v="-4.2365401588702563E-2"/>
    <n v="217"/>
  </r>
  <r>
    <x v="10"/>
    <s v="S001"/>
    <s v="C01"/>
    <x v="0"/>
    <x v="0"/>
    <x v="0"/>
    <x v="0"/>
    <n v="18688"/>
    <n v="20608"/>
    <n v="73"/>
    <n v="-1920"/>
    <n v="-9.3167701863354033E-2"/>
    <n v="256"/>
  </r>
  <r>
    <x v="10"/>
    <s v="S002"/>
    <s v="C03"/>
    <x v="1"/>
    <x v="0"/>
    <x v="1"/>
    <x v="4"/>
    <n v="17192"/>
    <n v="15981"/>
    <n v="56"/>
    <n v="1211"/>
    <n v="7.5777485764345162E-2"/>
    <n v="307"/>
  </r>
  <r>
    <x v="10"/>
    <s v="S003"/>
    <s v="C04"/>
    <x v="2"/>
    <x v="0"/>
    <x v="2"/>
    <x v="2"/>
    <n v="92150"/>
    <n v="101151"/>
    <n v="190"/>
    <n v="-9001"/>
    <n v="-8.8985773744204216E-2"/>
    <n v="485"/>
  </r>
  <r>
    <x v="10"/>
    <s v="S004"/>
    <s v="C02"/>
    <x v="3"/>
    <x v="0"/>
    <x v="3"/>
    <x v="1"/>
    <n v="62832"/>
    <n v="63625"/>
    <n v="168"/>
    <n v="-793"/>
    <n v="-1.2463654223968565E-2"/>
    <n v="374"/>
  </r>
  <r>
    <x v="10"/>
    <s v="S005"/>
    <s v="C04"/>
    <x v="4"/>
    <x v="0"/>
    <x v="4"/>
    <x v="2"/>
    <n v="53391"/>
    <n v="61266"/>
    <n v="111"/>
    <n v="-7875"/>
    <n v="-0.12853785133679366"/>
    <n v="481"/>
  </r>
  <r>
    <x v="10"/>
    <s v="S006"/>
    <s v="C03"/>
    <x v="5"/>
    <x v="1"/>
    <x v="5"/>
    <x v="4"/>
    <n v="89460"/>
    <n v="81861"/>
    <n v="180"/>
    <n v="7599"/>
    <n v="9.2828086634661189E-2"/>
    <n v="497"/>
  </r>
  <r>
    <x v="10"/>
    <s v="S007"/>
    <s v="C01"/>
    <x v="6"/>
    <x v="1"/>
    <x v="6"/>
    <x v="0"/>
    <n v="44000"/>
    <n v="41921"/>
    <n v="88"/>
    <n v="2079"/>
    <n v="4.959328260299134E-2"/>
    <n v="500"/>
  </r>
  <r>
    <x v="10"/>
    <s v="S008"/>
    <s v="C01"/>
    <x v="7"/>
    <x v="1"/>
    <x v="7"/>
    <x v="0"/>
    <n v="22650"/>
    <n v="21369"/>
    <n v="75"/>
    <n v="1281"/>
    <n v="5.9946651691702935E-2"/>
    <n v="302"/>
  </r>
  <r>
    <x v="10"/>
    <s v="S009"/>
    <s v="C01"/>
    <x v="8"/>
    <x v="1"/>
    <x v="8"/>
    <x v="0"/>
    <n v="13575"/>
    <n v="13603"/>
    <n v="75"/>
    <n v="-28"/>
    <n v="-2.0583694773211791E-3"/>
    <n v="181"/>
  </r>
  <r>
    <x v="10"/>
    <s v="S010"/>
    <s v="C05"/>
    <x v="9"/>
    <x v="1"/>
    <x v="9"/>
    <x v="3"/>
    <n v="50995"/>
    <n v="46311"/>
    <n v="155"/>
    <n v="4684"/>
    <n v="0.10114227721275723"/>
    <n v="329"/>
  </r>
  <r>
    <x v="10"/>
    <s v="S011"/>
    <s v="C03"/>
    <x v="10"/>
    <x v="2"/>
    <x v="10"/>
    <x v="4"/>
    <n v="69660"/>
    <n v="74936"/>
    <n v="215"/>
    <n v="-5276"/>
    <n v="-7.040674709085086E-2"/>
    <n v="324"/>
  </r>
  <r>
    <x v="10"/>
    <s v="S012"/>
    <s v="C04"/>
    <x v="11"/>
    <x v="2"/>
    <x v="11"/>
    <x v="2"/>
    <n v="15847"/>
    <n v="17922"/>
    <n v="53"/>
    <n v="-2075"/>
    <n v="-0.11577948889632854"/>
    <n v="299"/>
  </r>
  <r>
    <x v="10"/>
    <s v="S013"/>
    <s v="C05"/>
    <x v="12"/>
    <x v="2"/>
    <x v="12"/>
    <x v="3"/>
    <n v="57324"/>
    <n v="57684"/>
    <n v="204"/>
    <n v="-360"/>
    <n v="-6.2408986894112754E-3"/>
    <n v="281"/>
  </r>
  <r>
    <x v="10"/>
    <s v="S014"/>
    <s v="C05"/>
    <x v="13"/>
    <x v="2"/>
    <x v="13"/>
    <x v="3"/>
    <n v="47012"/>
    <n v="44061"/>
    <n v="92"/>
    <n v="2951"/>
    <n v="6.6975329656612417E-2"/>
    <n v="511"/>
  </r>
  <r>
    <x v="10"/>
    <s v="S015"/>
    <s v="C03"/>
    <x v="14"/>
    <x v="2"/>
    <x v="14"/>
    <x v="4"/>
    <n v="15336"/>
    <n v="14031"/>
    <n v="71"/>
    <n v="1305"/>
    <n v="9.3008338678640154E-2"/>
    <n v="216"/>
  </r>
  <r>
    <x v="10"/>
    <s v="S016"/>
    <s v="C03"/>
    <x v="15"/>
    <x v="3"/>
    <x v="15"/>
    <x v="4"/>
    <n v="88077"/>
    <n v="99553"/>
    <n v="187"/>
    <n v="-11476"/>
    <n v="-0.11527528050385222"/>
    <n v="471"/>
  </r>
  <r>
    <x v="10"/>
    <s v="S017"/>
    <s v="C04"/>
    <x v="16"/>
    <x v="3"/>
    <x v="16"/>
    <x v="2"/>
    <n v="27654"/>
    <n v="29649"/>
    <n v="66"/>
    <n v="-1995"/>
    <n v="-6.7287260953151878E-2"/>
    <n v="419"/>
  </r>
  <r>
    <x v="10"/>
    <s v="S018"/>
    <s v="C04"/>
    <x v="17"/>
    <x v="4"/>
    <x v="17"/>
    <x v="2"/>
    <n v="45344"/>
    <n v="46930"/>
    <n v="104"/>
    <n v="-1586"/>
    <n v="-3.3795013850415515E-2"/>
    <n v="436"/>
  </r>
  <r>
    <x v="10"/>
    <s v="S019"/>
    <s v="C04"/>
    <x v="18"/>
    <x v="5"/>
    <x v="18"/>
    <x v="2"/>
    <n v="26730"/>
    <n v="24323"/>
    <n v="55"/>
    <n v="2407"/>
    <n v="9.8959832257534019E-2"/>
    <n v="486"/>
  </r>
  <r>
    <x v="10"/>
    <s v="S020"/>
    <s v="C04"/>
    <x v="19"/>
    <x v="6"/>
    <x v="19"/>
    <x v="2"/>
    <n v="57213"/>
    <n v="55072"/>
    <n v="117"/>
    <n v="2141"/>
    <n v="3.8876380011621151E-2"/>
    <n v="489"/>
  </r>
  <r>
    <x v="11"/>
    <s v="S001"/>
    <s v="C01"/>
    <x v="0"/>
    <x v="0"/>
    <x v="0"/>
    <x v="0"/>
    <n v="44082"/>
    <n v="46144"/>
    <n v="93"/>
    <n v="-2062"/>
    <n v="-4.4686199722607491E-2"/>
    <n v="474"/>
  </r>
  <r>
    <x v="11"/>
    <s v="S002"/>
    <s v="C01"/>
    <x v="1"/>
    <x v="0"/>
    <x v="1"/>
    <x v="0"/>
    <n v="65619"/>
    <n v="68510"/>
    <n v="207"/>
    <n v="-2891"/>
    <n v="-4.2198219238067436E-2"/>
    <n v="317"/>
  </r>
  <r>
    <x v="11"/>
    <s v="S003"/>
    <s v="C02"/>
    <x v="2"/>
    <x v="0"/>
    <x v="2"/>
    <x v="1"/>
    <n v="68975"/>
    <n v="73311"/>
    <n v="155"/>
    <n v="-4336"/>
    <n v="-5.9145285155024485E-2"/>
    <n v="445"/>
  </r>
  <r>
    <x v="11"/>
    <s v="S004"/>
    <s v="C03"/>
    <x v="3"/>
    <x v="0"/>
    <x v="3"/>
    <x v="4"/>
    <n v="38799"/>
    <n v="39147"/>
    <n v="81"/>
    <n v="-348"/>
    <n v="-8.8895700819986209E-3"/>
    <n v="479"/>
  </r>
  <r>
    <x v="11"/>
    <s v="S005"/>
    <s v="C04"/>
    <x v="4"/>
    <x v="0"/>
    <x v="4"/>
    <x v="2"/>
    <n v="24360"/>
    <n v="24043"/>
    <n v="58"/>
    <n v="317"/>
    <n v="1.3184710726614816E-2"/>
    <n v="420"/>
  </r>
  <r>
    <x v="11"/>
    <s v="S006"/>
    <s v="C03"/>
    <x v="5"/>
    <x v="1"/>
    <x v="5"/>
    <x v="4"/>
    <n v="27261"/>
    <n v="30380"/>
    <n v="117"/>
    <n v="-3119"/>
    <n v="-0.10266622778143515"/>
    <n v="233"/>
  </r>
  <r>
    <x v="11"/>
    <s v="S007"/>
    <s v="C03"/>
    <x v="6"/>
    <x v="1"/>
    <x v="6"/>
    <x v="4"/>
    <n v="60620"/>
    <n v="58925"/>
    <n v="140"/>
    <n v="1695"/>
    <n v="2.8765379719983029E-2"/>
    <n v="433"/>
  </r>
  <r>
    <x v="11"/>
    <s v="S008"/>
    <s v="C04"/>
    <x v="7"/>
    <x v="1"/>
    <x v="7"/>
    <x v="2"/>
    <n v="34650"/>
    <n v="35124"/>
    <n v="175"/>
    <n v="-474"/>
    <n v="-1.3495046122309532E-2"/>
    <n v="198"/>
  </r>
  <r>
    <x v="11"/>
    <s v="S009"/>
    <s v="C03"/>
    <x v="8"/>
    <x v="1"/>
    <x v="8"/>
    <x v="4"/>
    <n v="34155"/>
    <n v="31729"/>
    <n v="99"/>
    <n v="2426"/>
    <n v="7.6460020801159823E-2"/>
    <n v="345"/>
  </r>
  <r>
    <x v="11"/>
    <s v="S010"/>
    <s v="C04"/>
    <x v="9"/>
    <x v="1"/>
    <x v="9"/>
    <x v="2"/>
    <n v="29880"/>
    <n v="31804"/>
    <n v="166"/>
    <n v="-1924"/>
    <n v="-6.0495535152810968E-2"/>
    <n v="180"/>
  </r>
  <r>
    <x v="11"/>
    <s v="S011"/>
    <s v="C05"/>
    <x v="10"/>
    <x v="2"/>
    <x v="10"/>
    <x v="3"/>
    <n v="59823"/>
    <n v="54651"/>
    <n v="153"/>
    <n v="5172"/>
    <n v="9.4636877641763192E-2"/>
    <n v="391"/>
  </r>
  <r>
    <x v="11"/>
    <s v="S012"/>
    <s v="C05"/>
    <x v="11"/>
    <x v="2"/>
    <x v="11"/>
    <x v="3"/>
    <n v="63246"/>
    <n v="68881"/>
    <n v="127"/>
    <n v="-5635"/>
    <n v="-8.1807755404247909E-2"/>
    <n v="498"/>
  </r>
  <r>
    <x v="11"/>
    <s v="S013"/>
    <s v="C04"/>
    <x v="12"/>
    <x v="2"/>
    <x v="12"/>
    <x v="2"/>
    <n v="13632"/>
    <n v="13178"/>
    <n v="48"/>
    <n v="454"/>
    <n v="3.4451358324480194E-2"/>
    <n v="284"/>
  </r>
  <r>
    <x v="11"/>
    <s v="S014"/>
    <s v="C02"/>
    <x v="13"/>
    <x v="2"/>
    <x v="13"/>
    <x v="1"/>
    <n v="43632"/>
    <n v="48877"/>
    <n v="108"/>
    <n v="-5245"/>
    <n v="-0.10731018679542526"/>
    <n v="404"/>
  </r>
  <r>
    <x v="11"/>
    <s v="S015"/>
    <s v="C04"/>
    <x v="14"/>
    <x v="2"/>
    <x v="14"/>
    <x v="2"/>
    <n v="12804"/>
    <n v="14638"/>
    <n v="66"/>
    <n v="-1834"/>
    <n v="-0.12529034021041127"/>
    <n v="194"/>
  </r>
  <r>
    <x v="11"/>
    <s v="S016"/>
    <s v="C05"/>
    <x v="15"/>
    <x v="3"/>
    <x v="15"/>
    <x v="3"/>
    <n v="25056"/>
    <n v="24496"/>
    <n v="96"/>
    <n v="560"/>
    <n v="2.2860875244937948E-2"/>
    <n v="261"/>
  </r>
  <r>
    <x v="11"/>
    <s v="S017"/>
    <s v="C01"/>
    <x v="16"/>
    <x v="3"/>
    <x v="16"/>
    <x v="0"/>
    <n v="68288"/>
    <n v="63050"/>
    <n v="176"/>
    <n v="5238"/>
    <n v="8.3076923076923076E-2"/>
    <n v="388"/>
  </r>
  <r>
    <x v="11"/>
    <s v="S018"/>
    <s v="C01"/>
    <x v="17"/>
    <x v="4"/>
    <x v="17"/>
    <x v="0"/>
    <n v="36720"/>
    <n v="38993"/>
    <n v="153"/>
    <n v="-2273"/>
    <n v="-5.8292514040981715E-2"/>
    <n v="240"/>
  </r>
  <r>
    <x v="11"/>
    <s v="S019"/>
    <s v="C02"/>
    <x v="18"/>
    <x v="5"/>
    <x v="18"/>
    <x v="1"/>
    <n v="53298"/>
    <n v="54748"/>
    <n v="162"/>
    <n v="-1450"/>
    <n v="-2.6484985752904217E-2"/>
    <n v="329"/>
  </r>
  <r>
    <x v="11"/>
    <s v="S020"/>
    <s v="C03"/>
    <x v="19"/>
    <x v="6"/>
    <x v="19"/>
    <x v="4"/>
    <n v="60207"/>
    <n v="68940"/>
    <n v="141"/>
    <n v="-8733"/>
    <n v="-0.12667536988685812"/>
    <n v="427"/>
  </r>
  <r>
    <x v="12"/>
    <s v="S001"/>
    <s v="C02"/>
    <x v="0"/>
    <x v="0"/>
    <x v="0"/>
    <x v="1"/>
    <n v="69762"/>
    <n v="65308"/>
    <n v="151"/>
    <n v="4454"/>
    <n v="6.8199914252465244E-2"/>
    <n v="462"/>
  </r>
  <r>
    <x v="12"/>
    <s v="S002"/>
    <s v="C02"/>
    <x v="1"/>
    <x v="0"/>
    <x v="1"/>
    <x v="1"/>
    <n v="82720"/>
    <n v="89881"/>
    <n v="188"/>
    <n v="-7161"/>
    <n v="-7.9672010769795618E-2"/>
    <n v="440"/>
  </r>
  <r>
    <x v="12"/>
    <s v="S003"/>
    <s v="C02"/>
    <x v="2"/>
    <x v="0"/>
    <x v="2"/>
    <x v="1"/>
    <n v="16692"/>
    <n v="18247"/>
    <n v="52"/>
    <n v="-1555"/>
    <n v="-8.5219488135035895E-2"/>
    <n v="321"/>
  </r>
  <r>
    <x v="12"/>
    <s v="S004"/>
    <s v="C04"/>
    <x v="3"/>
    <x v="0"/>
    <x v="3"/>
    <x v="2"/>
    <n v="53558"/>
    <n v="51779"/>
    <n v="122"/>
    <n v="1779"/>
    <n v="3.4357558083392879E-2"/>
    <n v="439"/>
  </r>
  <r>
    <x v="12"/>
    <s v="S005"/>
    <s v="C01"/>
    <x v="4"/>
    <x v="0"/>
    <x v="4"/>
    <x v="0"/>
    <n v="35524"/>
    <n v="39409"/>
    <n v="107"/>
    <n v="-3885"/>
    <n v="-9.8581542287294779E-2"/>
    <n v="332"/>
  </r>
  <r>
    <x v="12"/>
    <s v="S006"/>
    <s v="C05"/>
    <x v="5"/>
    <x v="1"/>
    <x v="5"/>
    <x v="3"/>
    <n v="87290"/>
    <n v="97443"/>
    <n v="203"/>
    <n v="-10153"/>
    <n v="-0.10419424689305543"/>
    <n v="430"/>
  </r>
  <r>
    <x v="12"/>
    <s v="S007"/>
    <s v="C04"/>
    <x v="6"/>
    <x v="1"/>
    <x v="6"/>
    <x v="2"/>
    <n v="73444"/>
    <n v="72436"/>
    <n v="172"/>
    <n v="1008"/>
    <n v="1.3915732508697333E-2"/>
    <n v="427"/>
  </r>
  <r>
    <x v="12"/>
    <s v="S008"/>
    <s v="C05"/>
    <x v="7"/>
    <x v="1"/>
    <x v="7"/>
    <x v="3"/>
    <n v="64902"/>
    <n v="65799"/>
    <n v="174"/>
    <n v="-897"/>
    <n v="-1.3632426024711621E-2"/>
    <n v="373"/>
  </r>
  <r>
    <x v="12"/>
    <s v="S009"/>
    <s v="C03"/>
    <x v="8"/>
    <x v="1"/>
    <x v="8"/>
    <x v="4"/>
    <n v="25066"/>
    <n v="26142"/>
    <n v="83"/>
    <n v="-1076"/>
    <n v="-4.1159819447632161E-2"/>
    <n v="302"/>
  </r>
  <r>
    <x v="12"/>
    <s v="S010"/>
    <s v="C02"/>
    <x v="9"/>
    <x v="1"/>
    <x v="9"/>
    <x v="1"/>
    <n v="28280"/>
    <n v="27701"/>
    <n v="140"/>
    <n v="579"/>
    <n v="2.0901772499187756E-2"/>
    <n v="202"/>
  </r>
  <r>
    <x v="12"/>
    <s v="S011"/>
    <s v="C04"/>
    <x v="10"/>
    <x v="2"/>
    <x v="10"/>
    <x v="2"/>
    <n v="80625"/>
    <n v="80344"/>
    <n v="215"/>
    <n v="281"/>
    <n v="3.497460918052375E-3"/>
    <n v="375"/>
  </r>
  <r>
    <x v="12"/>
    <s v="S012"/>
    <s v="C02"/>
    <x v="11"/>
    <x v="2"/>
    <x v="11"/>
    <x v="1"/>
    <n v="31878"/>
    <n v="29696"/>
    <n v="161"/>
    <n v="2182"/>
    <n v="7.3477909482758619E-2"/>
    <n v="198"/>
  </r>
  <r>
    <x v="12"/>
    <s v="S013"/>
    <s v="C05"/>
    <x v="12"/>
    <x v="2"/>
    <x v="12"/>
    <x v="3"/>
    <n v="27489"/>
    <n v="30747"/>
    <n v="119"/>
    <n v="-3258"/>
    <n v="-0.10596155722509513"/>
    <n v="231"/>
  </r>
  <r>
    <x v="12"/>
    <s v="S014"/>
    <s v="C04"/>
    <x v="13"/>
    <x v="2"/>
    <x v="13"/>
    <x v="2"/>
    <n v="26940"/>
    <n v="30377"/>
    <n v="60"/>
    <n v="-3437"/>
    <n v="-0.11314481351022154"/>
    <n v="449"/>
  </r>
  <r>
    <x v="12"/>
    <s v="S015"/>
    <s v="C01"/>
    <x v="14"/>
    <x v="2"/>
    <x v="14"/>
    <x v="0"/>
    <n v="55407"/>
    <n v="55545"/>
    <n v="219"/>
    <n v="-138"/>
    <n v="-2.4844720496894411E-3"/>
    <n v="253"/>
  </r>
  <r>
    <x v="12"/>
    <s v="S016"/>
    <s v="C02"/>
    <x v="15"/>
    <x v="3"/>
    <x v="15"/>
    <x v="1"/>
    <n v="22680"/>
    <n v="24843"/>
    <n v="54"/>
    <n v="-2163"/>
    <n v="-8.7066779374471687E-2"/>
    <n v="420"/>
  </r>
  <r>
    <x v="12"/>
    <s v="S017"/>
    <s v="C03"/>
    <x v="16"/>
    <x v="3"/>
    <x v="16"/>
    <x v="4"/>
    <n v="60379"/>
    <n v="64797"/>
    <n v="121"/>
    <n v="-4418"/>
    <n v="-6.8182168927573811E-2"/>
    <n v="499"/>
  </r>
  <r>
    <x v="12"/>
    <s v="S018"/>
    <s v="C01"/>
    <x v="17"/>
    <x v="4"/>
    <x v="17"/>
    <x v="0"/>
    <n v="53907"/>
    <n v="53637"/>
    <n v="119"/>
    <n v="270"/>
    <n v="5.0338385815761506E-3"/>
    <n v="453"/>
  </r>
  <r>
    <x v="12"/>
    <s v="S019"/>
    <s v="C03"/>
    <x v="18"/>
    <x v="5"/>
    <x v="18"/>
    <x v="4"/>
    <n v="83655"/>
    <n v="93534"/>
    <n v="195"/>
    <n v="-9879"/>
    <n v="-0.10561934697543139"/>
    <n v="429"/>
  </r>
  <r>
    <x v="12"/>
    <s v="S020"/>
    <s v="C01"/>
    <x v="19"/>
    <x v="6"/>
    <x v="19"/>
    <x v="0"/>
    <n v="41495"/>
    <n v="39780"/>
    <n v="193"/>
    <n v="1715"/>
    <n v="4.3112116641528406E-2"/>
    <n v="215"/>
  </r>
  <r>
    <x v="13"/>
    <s v="S001"/>
    <s v="C03"/>
    <x v="0"/>
    <x v="0"/>
    <x v="0"/>
    <x v="4"/>
    <n v="21018"/>
    <n v="21196"/>
    <n v="93"/>
    <n v="-178"/>
    <n v="-8.3978109077184372E-3"/>
    <n v="226"/>
  </r>
  <r>
    <x v="13"/>
    <s v="S002"/>
    <s v="C01"/>
    <x v="1"/>
    <x v="0"/>
    <x v="1"/>
    <x v="0"/>
    <n v="45507"/>
    <n v="46003"/>
    <n v="197"/>
    <n v="-496"/>
    <n v="-1.0781905527900355E-2"/>
    <n v="231"/>
  </r>
  <r>
    <x v="13"/>
    <s v="S003"/>
    <s v="C03"/>
    <x v="2"/>
    <x v="0"/>
    <x v="2"/>
    <x v="4"/>
    <n v="8526"/>
    <n v="8364"/>
    <n v="42"/>
    <n v="162"/>
    <n v="1.9368723098995694E-2"/>
    <n v="203"/>
  </r>
  <r>
    <x v="13"/>
    <s v="S004"/>
    <s v="C01"/>
    <x v="3"/>
    <x v="0"/>
    <x v="3"/>
    <x v="0"/>
    <n v="39930"/>
    <n v="39678"/>
    <n v="110"/>
    <n v="252"/>
    <n v="6.3511265688794795E-3"/>
    <n v="363"/>
  </r>
  <r>
    <x v="13"/>
    <s v="S005"/>
    <s v="C02"/>
    <x v="4"/>
    <x v="0"/>
    <x v="4"/>
    <x v="1"/>
    <n v="43747"/>
    <n v="43878"/>
    <n v="97"/>
    <n v="-131"/>
    <n v="-2.9855508455262319E-3"/>
    <n v="451"/>
  </r>
  <r>
    <x v="13"/>
    <s v="S006"/>
    <s v="C02"/>
    <x v="5"/>
    <x v="1"/>
    <x v="5"/>
    <x v="1"/>
    <n v="20982"/>
    <n v="19298"/>
    <n v="78"/>
    <n v="1684"/>
    <n v="8.7262928800912007E-2"/>
    <n v="269"/>
  </r>
  <r>
    <x v="13"/>
    <s v="S007"/>
    <s v="C04"/>
    <x v="6"/>
    <x v="1"/>
    <x v="6"/>
    <x v="2"/>
    <n v="58479"/>
    <n v="59906"/>
    <n v="193"/>
    <n v="-1427"/>
    <n v="-2.3820652355356724E-2"/>
    <n v="303"/>
  </r>
  <r>
    <x v="13"/>
    <s v="S008"/>
    <s v="C05"/>
    <x v="7"/>
    <x v="1"/>
    <x v="7"/>
    <x v="3"/>
    <n v="21158"/>
    <n v="21481"/>
    <n v="71"/>
    <n v="-323"/>
    <n v="-1.5036543922536194E-2"/>
    <n v="298"/>
  </r>
  <r>
    <x v="13"/>
    <s v="S009"/>
    <s v="C03"/>
    <x v="8"/>
    <x v="1"/>
    <x v="8"/>
    <x v="4"/>
    <n v="47120"/>
    <n v="50263"/>
    <n v="152"/>
    <n v="-3143"/>
    <n v="-6.2531086485088441E-2"/>
    <n v="310"/>
  </r>
  <r>
    <x v="13"/>
    <s v="S010"/>
    <s v="C04"/>
    <x v="9"/>
    <x v="1"/>
    <x v="9"/>
    <x v="2"/>
    <n v="49572"/>
    <n v="46572"/>
    <n v="108"/>
    <n v="3000"/>
    <n v="6.4416387528987373E-2"/>
    <n v="459"/>
  </r>
  <r>
    <x v="13"/>
    <s v="S011"/>
    <s v="C04"/>
    <x v="10"/>
    <x v="2"/>
    <x v="10"/>
    <x v="2"/>
    <n v="59040"/>
    <n v="57551"/>
    <n v="123"/>
    <n v="1489"/>
    <n v="2.5872704210178798E-2"/>
    <n v="480"/>
  </r>
  <r>
    <x v="13"/>
    <s v="S012"/>
    <s v="C04"/>
    <x v="11"/>
    <x v="2"/>
    <x v="11"/>
    <x v="2"/>
    <n v="64988"/>
    <n v="65911"/>
    <n v="211"/>
    <n v="-923"/>
    <n v="-1.4003732305684939E-2"/>
    <n v="308"/>
  </r>
  <r>
    <x v="13"/>
    <s v="S013"/>
    <s v="C03"/>
    <x v="12"/>
    <x v="2"/>
    <x v="12"/>
    <x v="4"/>
    <n v="31960"/>
    <n v="35582"/>
    <n v="85"/>
    <n v="-3622"/>
    <n v="-0.10179304142543982"/>
    <n v="376"/>
  </r>
  <r>
    <x v="13"/>
    <s v="S014"/>
    <s v="C01"/>
    <x v="13"/>
    <x v="2"/>
    <x v="13"/>
    <x v="0"/>
    <n v="35625"/>
    <n v="37156"/>
    <n v="95"/>
    <n v="-1531"/>
    <n v="-4.1204650662073419E-2"/>
    <n v="375"/>
  </r>
  <r>
    <x v="13"/>
    <s v="S015"/>
    <s v="C05"/>
    <x v="14"/>
    <x v="2"/>
    <x v="14"/>
    <x v="3"/>
    <n v="36410"/>
    <n v="32968"/>
    <n v="110"/>
    <n v="3442"/>
    <n v="0.1044042708080563"/>
    <n v="331"/>
  </r>
  <r>
    <x v="13"/>
    <s v="S016"/>
    <s v="C04"/>
    <x v="15"/>
    <x v="3"/>
    <x v="15"/>
    <x v="2"/>
    <n v="19320"/>
    <n v="20121"/>
    <n v="105"/>
    <n v="-801"/>
    <n v="-3.9809154614581781E-2"/>
    <n v="184"/>
  </r>
  <r>
    <x v="13"/>
    <s v="S017"/>
    <s v="C01"/>
    <x v="16"/>
    <x v="3"/>
    <x v="16"/>
    <x v="0"/>
    <n v="82460"/>
    <n v="91382"/>
    <n v="190"/>
    <n v="-8922"/>
    <n v="-9.7634107373443343E-2"/>
    <n v="434"/>
  </r>
  <r>
    <x v="13"/>
    <s v="S018"/>
    <s v="C03"/>
    <x v="17"/>
    <x v="4"/>
    <x v="17"/>
    <x v="4"/>
    <n v="45570"/>
    <n v="50149"/>
    <n v="93"/>
    <n v="-4579"/>
    <n v="-9.1307902450696921E-2"/>
    <n v="490"/>
  </r>
  <r>
    <x v="13"/>
    <s v="S019"/>
    <s v="C02"/>
    <x v="18"/>
    <x v="5"/>
    <x v="18"/>
    <x v="1"/>
    <n v="54569"/>
    <n v="57582"/>
    <n v="197"/>
    <n v="-3013"/>
    <n v="-5.2325379458858672E-2"/>
    <n v="277"/>
  </r>
  <r>
    <x v="13"/>
    <s v="S020"/>
    <s v="C02"/>
    <x v="19"/>
    <x v="6"/>
    <x v="19"/>
    <x v="1"/>
    <n v="44655"/>
    <n v="50274"/>
    <n v="195"/>
    <n v="-5619"/>
    <n v="-0.11176751402315312"/>
    <n v="229"/>
  </r>
  <r>
    <x v="14"/>
    <s v="S001"/>
    <s v="C01"/>
    <x v="0"/>
    <x v="0"/>
    <x v="0"/>
    <x v="0"/>
    <n v="46170"/>
    <n v="41938"/>
    <n v="114"/>
    <n v="4232"/>
    <n v="0.10091086842481758"/>
    <n v="405"/>
  </r>
  <r>
    <x v="14"/>
    <s v="S002"/>
    <s v="C03"/>
    <x v="1"/>
    <x v="0"/>
    <x v="1"/>
    <x v="4"/>
    <n v="15368"/>
    <n v="17325"/>
    <n v="68"/>
    <n v="-1957"/>
    <n v="-0.11295815295815295"/>
    <n v="226"/>
  </r>
  <r>
    <x v="14"/>
    <s v="S003"/>
    <s v="C03"/>
    <x v="2"/>
    <x v="0"/>
    <x v="2"/>
    <x v="4"/>
    <n v="37929"/>
    <n v="36040"/>
    <n v="141"/>
    <n v="1889"/>
    <n v="5.2413984461709209E-2"/>
    <n v="269"/>
  </r>
  <r>
    <x v="14"/>
    <s v="S004"/>
    <s v="C05"/>
    <x v="3"/>
    <x v="0"/>
    <x v="3"/>
    <x v="3"/>
    <n v="57728"/>
    <n v="59197"/>
    <n v="128"/>
    <n v="-1469"/>
    <n v="-2.4815446728719361E-2"/>
    <n v="451"/>
  </r>
  <r>
    <x v="14"/>
    <s v="S005"/>
    <s v="C03"/>
    <x v="4"/>
    <x v="0"/>
    <x v="4"/>
    <x v="4"/>
    <n v="23947"/>
    <n v="27024"/>
    <n v="77"/>
    <n v="-3077"/>
    <n v="-0.11386175251628182"/>
    <n v="311"/>
  </r>
  <r>
    <x v="14"/>
    <s v="S006"/>
    <s v="C04"/>
    <x v="5"/>
    <x v="1"/>
    <x v="5"/>
    <x v="2"/>
    <n v="38830"/>
    <n v="42754"/>
    <n v="110"/>
    <n v="-3924"/>
    <n v="-9.1780885998970857E-2"/>
    <n v="353"/>
  </r>
  <r>
    <x v="14"/>
    <s v="S007"/>
    <s v="C04"/>
    <x v="6"/>
    <x v="1"/>
    <x v="6"/>
    <x v="2"/>
    <n v="13608"/>
    <n v="14812"/>
    <n v="54"/>
    <n v="-1204"/>
    <n v="-8.1285444234404536E-2"/>
    <n v="252"/>
  </r>
  <r>
    <x v="14"/>
    <s v="S008"/>
    <s v="C02"/>
    <x v="7"/>
    <x v="1"/>
    <x v="7"/>
    <x v="1"/>
    <n v="79664"/>
    <n v="90961"/>
    <n v="208"/>
    <n v="-11297"/>
    <n v="-0.12419608403601544"/>
    <n v="383"/>
  </r>
  <r>
    <x v="14"/>
    <s v="S009"/>
    <s v="C05"/>
    <x v="8"/>
    <x v="1"/>
    <x v="8"/>
    <x v="3"/>
    <n v="28928"/>
    <n v="31753"/>
    <n v="128"/>
    <n v="-2825"/>
    <n v="-8.8967971530249115E-2"/>
    <n v="226"/>
  </r>
  <r>
    <x v="14"/>
    <s v="S010"/>
    <s v="C01"/>
    <x v="9"/>
    <x v="1"/>
    <x v="9"/>
    <x v="0"/>
    <n v="46308"/>
    <n v="43107"/>
    <n v="102"/>
    <n v="3201"/>
    <n v="7.4257081216507759E-2"/>
    <n v="454"/>
  </r>
  <r>
    <x v="14"/>
    <s v="S011"/>
    <s v="C03"/>
    <x v="10"/>
    <x v="2"/>
    <x v="10"/>
    <x v="4"/>
    <n v="64998"/>
    <n v="67997"/>
    <n v="207"/>
    <n v="-2999"/>
    <n v="-4.4104886980307956E-2"/>
    <n v="314"/>
  </r>
  <r>
    <x v="14"/>
    <s v="S012"/>
    <s v="C03"/>
    <x v="11"/>
    <x v="2"/>
    <x v="11"/>
    <x v="4"/>
    <n v="18538"/>
    <n v="18869"/>
    <n v="62"/>
    <n v="-331"/>
    <n v="-1.7542000105993959E-2"/>
    <n v="299"/>
  </r>
  <r>
    <x v="14"/>
    <s v="S013"/>
    <s v="C05"/>
    <x v="12"/>
    <x v="2"/>
    <x v="12"/>
    <x v="3"/>
    <n v="61766"/>
    <n v="69722"/>
    <n v="178"/>
    <n v="-7956"/>
    <n v="-0.11411032385760592"/>
    <n v="347"/>
  </r>
  <r>
    <x v="14"/>
    <s v="S014"/>
    <s v="C02"/>
    <x v="13"/>
    <x v="2"/>
    <x v="13"/>
    <x v="1"/>
    <n v="42400"/>
    <n v="44895"/>
    <n v="200"/>
    <n v="-2495"/>
    <n v="-5.5574117385009468E-2"/>
    <n v="212"/>
  </r>
  <r>
    <x v="14"/>
    <s v="S015"/>
    <s v="C04"/>
    <x v="14"/>
    <x v="2"/>
    <x v="14"/>
    <x v="2"/>
    <n v="71476"/>
    <n v="75929"/>
    <n v="214"/>
    <n v="-4453"/>
    <n v="-5.8646893808689697E-2"/>
    <n v="334"/>
  </r>
  <r>
    <x v="14"/>
    <s v="S016"/>
    <s v="C01"/>
    <x v="15"/>
    <x v="3"/>
    <x v="15"/>
    <x v="0"/>
    <n v="14210"/>
    <n v="16150"/>
    <n v="70"/>
    <n v="-1940"/>
    <n v="-0.12012383900928793"/>
    <n v="203"/>
  </r>
  <r>
    <x v="14"/>
    <s v="S017"/>
    <s v="C03"/>
    <x v="16"/>
    <x v="3"/>
    <x v="16"/>
    <x v="4"/>
    <n v="38479"/>
    <n v="35566"/>
    <n v="161"/>
    <n v="2913"/>
    <n v="8.1904065680706295E-2"/>
    <n v="239"/>
  </r>
  <r>
    <x v="14"/>
    <s v="S018"/>
    <s v="C05"/>
    <x v="17"/>
    <x v="4"/>
    <x v="17"/>
    <x v="3"/>
    <n v="26082"/>
    <n v="26431"/>
    <n v="69"/>
    <n v="-349"/>
    <n v="-1.3204192047217282E-2"/>
    <n v="378"/>
  </r>
  <r>
    <x v="14"/>
    <s v="S019"/>
    <s v="C05"/>
    <x v="18"/>
    <x v="5"/>
    <x v="18"/>
    <x v="3"/>
    <n v="68160"/>
    <n v="73992"/>
    <n v="142"/>
    <n v="-5832"/>
    <n v="-7.8819331819656183E-2"/>
    <n v="480"/>
  </r>
  <r>
    <x v="14"/>
    <s v="S020"/>
    <s v="C02"/>
    <x v="19"/>
    <x v="6"/>
    <x v="19"/>
    <x v="1"/>
    <n v="72615"/>
    <n v="67151"/>
    <n v="141"/>
    <n v="5464"/>
    <n v="8.136885526648896E-2"/>
    <n v="515"/>
  </r>
  <r>
    <x v="15"/>
    <s v="S001"/>
    <s v="C04"/>
    <x v="0"/>
    <x v="0"/>
    <x v="0"/>
    <x v="2"/>
    <n v="74496"/>
    <n v="84535"/>
    <n v="192"/>
    <n v="-10039"/>
    <n v="-0.11875554504051576"/>
    <n v="388"/>
  </r>
  <r>
    <x v="15"/>
    <s v="S002"/>
    <s v="C03"/>
    <x v="1"/>
    <x v="0"/>
    <x v="1"/>
    <x v="4"/>
    <n v="15867"/>
    <n v="15142"/>
    <n v="43"/>
    <n v="725"/>
    <n v="4.7880068683133006E-2"/>
    <n v="369"/>
  </r>
  <r>
    <x v="15"/>
    <s v="S003"/>
    <s v="C04"/>
    <x v="2"/>
    <x v="0"/>
    <x v="2"/>
    <x v="2"/>
    <n v="34675"/>
    <n v="32068"/>
    <n v="95"/>
    <n v="2607"/>
    <n v="8.1295996008481974E-2"/>
    <n v="365"/>
  </r>
  <r>
    <x v="15"/>
    <s v="S004"/>
    <s v="C03"/>
    <x v="3"/>
    <x v="0"/>
    <x v="3"/>
    <x v="4"/>
    <n v="88740"/>
    <n v="87823"/>
    <n v="174"/>
    <n v="917"/>
    <n v="1.0441456110586065E-2"/>
    <n v="510"/>
  </r>
  <r>
    <x v="15"/>
    <s v="S005"/>
    <s v="C04"/>
    <x v="4"/>
    <x v="0"/>
    <x v="4"/>
    <x v="2"/>
    <n v="29085"/>
    <n v="33216"/>
    <n v="105"/>
    <n v="-4131"/>
    <n v="-0.12436777456647399"/>
    <n v="277"/>
  </r>
  <r>
    <x v="15"/>
    <s v="S006"/>
    <s v="C04"/>
    <x v="5"/>
    <x v="1"/>
    <x v="5"/>
    <x v="2"/>
    <n v="30102"/>
    <n v="28688"/>
    <n v="58"/>
    <n v="1414"/>
    <n v="4.9288901282766313E-2"/>
    <n v="519"/>
  </r>
  <r>
    <x v="15"/>
    <s v="S007"/>
    <s v="C05"/>
    <x v="6"/>
    <x v="1"/>
    <x v="6"/>
    <x v="3"/>
    <n v="8200"/>
    <n v="8992"/>
    <n v="40"/>
    <n v="-792"/>
    <n v="-8.8078291814946613E-2"/>
    <n v="205"/>
  </r>
  <r>
    <x v="15"/>
    <s v="S008"/>
    <s v="C02"/>
    <x v="7"/>
    <x v="1"/>
    <x v="7"/>
    <x v="1"/>
    <n v="31423"/>
    <n v="29892"/>
    <n v="67"/>
    <n v="1531"/>
    <n v="5.1217717114947145E-2"/>
    <n v="469"/>
  </r>
  <r>
    <x v="15"/>
    <s v="S009"/>
    <s v="C05"/>
    <x v="8"/>
    <x v="1"/>
    <x v="8"/>
    <x v="3"/>
    <n v="42240"/>
    <n v="40296"/>
    <n v="88"/>
    <n v="1944"/>
    <n v="4.8243001786777845E-2"/>
    <n v="480"/>
  </r>
  <r>
    <x v="15"/>
    <s v="S010"/>
    <s v="C02"/>
    <x v="9"/>
    <x v="1"/>
    <x v="9"/>
    <x v="1"/>
    <n v="30345"/>
    <n v="33293"/>
    <n v="119"/>
    <n v="-2948"/>
    <n v="-8.8547142041870669E-2"/>
    <n v="255"/>
  </r>
  <r>
    <x v="15"/>
    <s v="S011"/>
    <s v="C05"/>
    <x v="10"/>
    <x v="2"/>
    <x v="10"/>
    <x v="3"/>
    <n v="11235"/>
    <n v="12522"/>
    <n v="35"/>
    <n v="-1287"/>
    <n v="-0.10277910876856731"/>
    <n v="321"/>
  </r>
  <r>
    <x v="15"/>
    <s v="S012"/>
    <s v="C02"/>
    <x v="11"/>
    <x v="2"/>
    <x v="11"/>
    <x v="1"/>
    <n v="31008"/>
    <n v="29850"/>
    <n v="68"/>
    <n v="1158"/>
    <n v="3.8793969849246233E-2"/>
    <n v="456"/>
  </r>
  <r>
    <x v="15"/>
    <s v="S013"/>
    <s v="C02"/>
    <x v="12"/>
    <x v="2"/>
    <x v="12"/>
    <x v="1"/>
    <n v="32634"/>
    <n v="36439"/>
    <n v="63"/>
    <n v="-3805"/>
    <n v="-0.10442108729657784"/>
    <n v="518"/>
  </r>
  <r>
    <x v="15"/>
    <s v="S014"/>
    <s v="C02"/>
    <x v="13"/>
    <x v="2"/>
    <x v="13"/>
    <x v="1"/>
    <n v="13794"/>
    <n v="15138"/>
    <n v="38"/>
    <n v="-1344"/>
    <n v="-8.8783194609591762E-2"/>
    <n v="363"/>
  </r>
  <r>
    <x v="15"/>
    <s v="S015"/>
    <s v="C02"/>
    <x v="14"/>
    <x v="2"/>
    <x v="14"/>
    <x v="1"/>
    <n v="63825"/>
    <n v="57694"/>
    <n v="185"/>
    <n v="6131"/>
    <n v="0.10626754948521511"/>
    <n v="345"/>
  </r>
  <r>
    <x v="15"/>
    <s v="S016"/>
    <s v="C03"/>
    <x v="15"/>
    <x v="3"/>
    <x v="15"/>
    <x v="4"/>
    <n v="11712"/>
    <n v="12712"/>
    <n v="48"/>
    <n v="-1000"/>
    <n v="-7.8665827564505977E-2"/>
    <n v="244"/>
  </r>
  <r>
    <x v="15"/>
    <s v="S017"/>
    <s v="C05"/>
    <x v="16"/>
    <x v="3"/>
    <x v="16"/>
    <x v="3"/>
    <n v="13568"/>
    <n v="13826"/>
    <n v="64"/>
    <n v="-258"/>
    <n v="-1.8660494720092579E-2"/>
    <n v="212"/>
  </r>
  <r>
    <x v="15"/>
    <s v="S018"/>
    <s v="C03"/>
    <x v="17"/>
    <x v="4"/>
    <x v="17"/>
    <x v="4"/>
    <n v="80178"/>
    <n v="74346"/>
    <n v="166"/>
    <n v="5832"/>
    <n v="7.8444031958679689E-2"/>
    <n v="483"/>
  </r>
  <r>
    <x v="15"/>
    <s v="S019"/>
    <s v="C05"/>
    <x v="18"/>
    <x v="5"/>
    <x v="18"/>
    <x v="3"/>
    <n v="44954"/>
    <n v="40945"/>
    <n v="91"/>
    <n v="4009"/>
    <n v="9.7911832946635732E-2"/>
    <n v="494"/>
  </r>
  <r>
    <x v="15"/>
    <s v="S020"/>
    <s v="C05"/>
    <x v="19"/>
    <x v="6"/>
    <x v="19"/>
    <x v="3"/>
    <n v="46368"/>
    <n v="49188"/>
    <n v="112"/>
    <n v="-2820"/>
    <n v="-5.733105635520859E-2"/>
    <n v="414"/>
  </r>
  <r>
    <x v="16"/>
    <s v="S001"/>
    <s v="C01"/>
    <x v="0"/>
    <x v="0"/>
    <x v="0"/>
    <x v="0"/>
    <n v="21250"/>
    <n v="23626"/>
    <n v="50"/>
    <n v="-2376"/>
    <n v="-0.10056717175992551"/>
    <n v="425"/>
  </r>
  <r>
    <x v="16"/>
    <s v="S002"/>
    <s v="C04"/>
    <x v="1"/>
    <x v="0"/>
    <x v="1"/>
    <x v="2"/>
    <n v="49350"/>
    <n v="50463"/>
    <n v="210"/>
    <n v="-1113"/>
    <n v="-2.2055763628797336E-2"/>
    <n v="235"/>
  </r>
  <r>
    <x v="16"/>
    <s v="S003"/>
    <s v="C04"/>
    <x v="2"/>
    <x v="0"/>
    <x v="2"/>
    <x v="2"/>
    <n v="11713"/>
    <n v="11484"/>
    <n v="53"/>
    <n v="229"/>
    <n v="1.9940787182166492E-2"/>
    <n v="221"/>
  </r>
  <r>
    <x v="16"/>
    <s v="S004"/>
    <s v="C02"/>
    <x v="3"/>
    <x v="0"/>
    <x v="3"/>
    <x v="1"/>
    <n v="12444"/>
    <n v="12055"/>
    <n v="51"/>
    <n v="389"/>
    <n v="3.2268768145997509E-2"/>
    <n v="244"/>
  </r>
  <r>
    <x v="16"/>
    <s v="S005"/>
    <s v="C05"/>
    <x v="4"/>
    <x v="0"/>
    <x v="4"/>
    <x v="3"/>
    <n v="60550"/>
    <n v="60260"/>
    <n v="175"/>
    <n v="290"/>
    <n v="4.8124792565549289E-3"/>
    <n v="346"/>
  </r>
  <r>
    <x v="16"/>
    <s v="S006"/>
    <s v="C05"/>
    <x v="5"/>
    <x v="1"/>
    <x v="5"/>
    <x v="3"/>
    <n v="56100"/>
    <n v="56853"/>
    <n v="170"/>
    <n v="-753"/>
    <n v="-1.3244683657854467E-2"/>
    <n v="330"/>
  </r>
  <r>
    <x v="16"/>
    <s v="S007"/>
    <s v="C05"/>
    <x v="6"/>
    <x v="1"/>
    <x v="6"/>
    <x v="3"/>
    <n v="33350"/>
    <n v="36627"/>
    <n v="145"/>
    <n v="-3277"/>
    <n v="-8.9469517022961201E-2"/>
    <n v="230"/>
  </r>
  <r>
    <x v="16"/>
    <s v="S008"/>
    <s v="C01"/>
    <x v="7"/>
    <x v="1"/>
    <x v="7"/>
    <x v="0"/>
    <n v="103626"/>
    <n v="116001"/>
    <n v="202"/>
    <n v="-12375"/>
    <n v="-0.10668011482659633"/>
    <n v="513"/>
  </r>
  <r>
    <x v="16"/>
    <s v="S009"/>
    <s v="C05"/>
    <x v="8"/>
    <x v="1"/>
    <x v="8"/>
    <x v="3"/>
    <n v="63510"/>
    <n v="63987"/>
    <n v="219"/>
    <n v="-477"/>
    <n v="-7.4546392235922921E-3"/>
    <n v="290"/>
  </r>
  <r>
    <x v="16"/>
    <s v="S010"/>
    <s v="C02"/>
    <x v="9"/>
    <x v="1"/>
    <x v="9"/>
    <x v="1"/>
    <n v="49420"/>
    <n v="54700"/>
    <n v="140"/>
    <n v="-5280"/>
    <n v="-9.6526508226691038E-2"/>
    <n v="353"/>
  </r>
  <r>
    <x v="16"/>
    <s v="S011"/>
    <s v="C04"/>
    <x v="10"/>
    <x v="2"/>
    <x v="10"/>
    <x v="2"/>
    <n v="32148"/>
    <n v="31445"/>
    <n v="141"/>
    <n v="703"/>
    <n v="2.2356495468277945E-2"/>
    <n v="228"/>
  </r>
  <r>
    <x v="16"/>
    <s v="S012"/>
    <s v="C03"/>
    <x v="11"/>
    <x v="2"/>
    <x v="11"/>
    <x v="4"/>
    <n v="63550"/>
    <n v="63141"/>
    <n v="205"/>
    <n v="409"/>
    <n v="6.477566082260338E-3"/>
    <n v="310"/>
  </r>
  <r>
    <x v="16"/>
    <s v="S013"/>
    <s v="C02"/>
    <x v="12"/>
    <x v="2"/>
    <x v="12"/>
    <x v="1"/>
    <n v="88620"/>
    <n v="81245"/>
    <n v="210"/>
    <n v="7375"/>
    <n v="9.0774816911809955E-2"/>
    <n v="422"/>
  </r>
  <r>
    <x v="16"/>
    <s v="S014"/>
    <s v="C01"/>
    <x v="13"/>
    <x v="2"/>
    <x v="13"/>
    <x v="0"/>
    <n v="23258"/>
    <n v="21493"/>
    <n v="58"/>
    <n v="1765"/>
    <n v="8.2119759921835012E-2"/>
    <n v="401"/>
  </r>
  <r>
    <x v="16"/>
    <s v="S015"/>
    <s v="C03"/>
    <x v="14"/>
    <x v="2"/>
    <x v="14"/>
    <x v="4"/>
    <n v="31552"/>
    <n v="28869"/>
    <n v="68"/>
    <n v="2683"/>
    <n v="9.2937060514738989E-2"/>
    <n v="464"/>
  </r>
  <r>
    <x v="16"/>
    <s v="S016"/>
    <s v="C05"/>
    <x v="15"/>
    <x v="3"/>
    <x v="15"/>
    <x v="3"/>
    <n v="61944"/>
    <n v="66125"/>
    <n v="178"/>
    <n v="-4181"/>
    <n v="-6.3228733459357284E-2"/>
    <n v="348"/>
  </r>
  <r>
    <x v="16"/>
    <s v="S017"/>
    <s v="C04"/>
    <x v="16"/>
    <x v="3"/>
    <x v="16"/>
    <x v="2"/>
    <n v="65000"/>
    <n v="73793"/>
    <n v="125"/>
    <n v="-8793"/>
    <n v="-0.11915764367893973"/>
    <n v="520"/>
  </r>
  <r>
    <x v="16"/>
    <s v="S018"/>
    <s v="C04"/>
    <x v="17"/>
    <x v="4"/>
    <x v="17"/>
    <x v="2"/>
    <n v="45114"/>
    <n v="51524"/>
    <n v="219"/>
    <n v="-6410"/>
    <n v="-0.1244080428538157"/>
    <n v="206"/>
  </r>
  <r>
    <x v="16"/>
    <s v="S019"/>
    <s v="C05"/>
    <x v="18"/>
    <x v="5"/>
    <x v="18"/>
    <x v="3"/>
    <n v="41040"/>
    <n v="37998"/>
    <n v="114"/>
    <n v="3042"/>
    <n v="8.0056845097110377E-2"/>
    <n v="360"/>
  </r>
  <r>
    <x v="16"/>
    <s v="S020"/>
    <s v="C05"/>
    <x v="19"/>
    <x v="6"/>
    <x v="19"/>
    <x v="3"/>
    <n v="23051"/>
    <n v="24530"/>
    <n v="89"/>
    <n v="-1479"/>
    <n v="-6.0293518141051772E-2"/>
    <n v="259"/>
  </r>
  <r>
    <x v="17"/>
    <s v="S001"/>
    <s v="C02"/>
    <x v="0"/>
    <x v="0"/>
    <x v="0"/>
    <x v="1"/>
    <n v="22258"/>
    <n v="24736"/>
    <n v="62"/>
    <n v="-2478"/>
    <n v="-0.10017787839586029"/>
    <n v="359"/>
  </r>
  <r>
    <x v="17"/>
    <s v="S002"/>
    <s v="C03"/>
    <x v="1"/>
    <x v="0"/>
    <x v="1"/>
    <x v="4"/>
    <n v="20608"/>
    <n v="21504"/>
    <n v="64"/>
    <n v="-896"/>
    <n v="-4.1666666666666664E-2"/>
    <n v="322"/>
  </r>
  <r>
    <x v="17"/>
    <s v="S003"/>
    <s v="C04"/>
    <x v="2"/>
    <x v="0"/>
    <x v="2"/>
    <x v="2"/>
    <n v="88644"/>
    <n v="93376"/>
    <n v="178"/>
    <n v="-4732"/>
    <n v="-5.0676833447566828E-2"/>
    <n v="498"/>
  </r>
  <r>
    <x v="17"/>
    <s v="S004"/>
    <s v="C05"/>
    <x v="3"/>
    <x v="0"/>
    <x v="3"/>
    <x v="3"/>
    <n v="20131"/>
    <n v="22793"/>
    <n v="41"/>
    <n v="-2662"/>
    <n v="-0.11679024261834774"/>
    <n v="491"/>
  </r>
  <r>
    <x v="17"/>
    <s v="S005"/>
    <s v="C03"/>
    <x v="4"/>
    <x v="0"/>
    <x v="4"/>
    <x v="4"/>
    <n v="11424"/>
    <n v="11062"/>
    <n v="42"/>
    <n v="362"/>
    <n v="3.2724642921713974E-2"/>
    <n v="272"/>
  </r>
  <r>
    <x v="17"/>
    <s v="S006"/>
    <s v="C03"/>
    <x v="5"/>
    <x v="1"/>
    <x v="5"/>
    <x v="4"/>
    <n v="43439"/>
    <n v="39161"/>
    <n v="121"/>
    <n v="4278"/>
    <n v="0.10924133704450857"/>
    <n v="359"/>
  </r>
  <r>
    <x v="17"/>
    <s v="S007"/>
    <s v="C02"/>
    <x v="6"/>
    <x v="1"/>
    <x v="6"/>
    <x v="1"/>
    <n v="92364"/>
    <n v="92382"/>
    <n v="179"/>
    <n v="-18"/>
    <n v="-1.948431512632331E-4"/>
    <n v="516"/>
  </r>
  <r>
    <x v="17"/>
    <s v="S008"/>
    <s v="C02"/>
    <x v="7"/>
    <x v="1"/>
    <x v="7"/>
    <x v="1"/>
    <n v="38415"/>
    <n v="35454"/>
    <n v="197"/>
    <n v="2961"/>
    <n v="8.3516669487222875E-2"/>
    <n v="195"/>
  </r>
  <r>
    <x v="17"/>
    <s v="S009"/>
    <s v="C05"/>
    <x v="8"/>
    <x v="1"/>
    <x v="8"/>
    <x v="3"/>
    <n v="33480"/>
    <n v="33645"/>
    <n v="90"/>
    <n v="-165"/>
    <n v="-4.90414623272403E-3"/>
    <n v="372"/>
  </r>
  <r>
    <x v="17"/>
    <s v="S010"/>
    <s v="C03"/>
    <x v="9"/>
    <x v="1"/>
    <x v="9"/>
    <x v="4"/>
    <n v="27675"/>
    <n v="27063"/>
    <n v="75"/>
    <n v="612"/>
    <n v="2.2613900897904889E-2"/>
    <n v="369"/>
  </r>
  <r>
    <x v="17"/>
    <s v="S011"/>
    <s v="C03"/>
    <x v="10"/>
    <x v="2"/>
    <x v="10"/>
    <x v="4"/>
    <n v="87300"/>
    <n v="80424"/>
    <n v="180"/>
    <n v="6876"/>
    <n v="8.5496866606982996E-2"/>
    <n v="485"/>
  </r>
  <r>
    <x v="17"/>
    <s v="S012"/>
    <s v="C01"/>
    <x v="11"/>
    <x v="2"/>
    <x v="11"/>
    <x v="0"/>
    <n v="19240"/>
    <n v="20944"/>
    <n v="74"/>
    <n v="-1704"/>
    <n v="-8.1359816653934297E-2"/>
    <n v="260"/>
  </r>
  <r>
    <x v="17"/>
    <s v="S013"/>
    <s v="C01"/>
    <x v="12"/>
    <x v="2"/>
    <x v="12"/>
    <x v="0"/>
    <n v="45747"/>
    <n v="44284"/>
    <n v="207"/>
    <n v="1463"/>
    <n v="3.3036762713395354E-2"/>
    <n v="221"/>
  </r>
  <r>
    <x v="17"/>
    <s v="S014"/>
    <s v="C04"/>
    <x v="13"/>
    <x v="2"/>
    <x v="13"/>
    <x v="2"/>
    <n v="77910"/>
    <n v="78728"/>
    <n v="159"/>
    <n v="-818"/>
    <n v="-1.039020424753582E-2"/>
    <n v="490"/>
  </r>
  <r>
    <x v="17"/>
    <s v="S015"/>
    <s v="C03"/>
    <x v="14"/>
    <x v="2"/>
    <x v="14"/>
    <x v="4"/>
    <n v="39780"/>
    <n v="36933"/>
    <n v="90"/>
    <n v="2847"/>
    <n v="7.7085533262935588E-2"/>
    <n v="442"/>
  </r>
  <r>
    <x v="17"/>
    <s v="S016"/>
    <s v="C04"/>
    <x v="15"/>
    <x v="3"/>
    <x v="15"/>
    <x v="2"/>
    <n v="20475"/>
    <n v="21899"/>
    <n v="63"/>
    <n v="-1424"/>
    <n v="-6.5025800264852274E-2"/>
    <n v="325"/>
  </r>
  <r>
    <x v="17"/>
    <s v="S017"/>
    <s v="C05"/>
    <x v="16"/>
    <x v="3"/>
    <x v="16"/>
    <x v="3"/>
    <n v="71391"/>
    <n v="76158"/>
    <n v="159"/>
    <n v="-4767"/>
    <n v="-6.2593555503033166E-2"/>
    <n v="449"/>
  </r>
  <r>
    <x v="17"/>
    <s v="S018"/>
    <s v="C01"/>
    <x v="17"/>
    <x v="4"/>
    <x v="17"/>
    <x v="0"/>
    <n v="34762"/>
    <n v="39841"/>
    <n v="91"/>
    <n v="-5079"/>
    <n v="-0.12748173991616676"/>
    <n v="382"/>
  </r>
  <r>
    <x v="17"/>
    <s v="S019"/>
    <s v="C01"/>
    <x v="18"/>
    <x v="5"/>
    <x v="18"/>
    <x v="0"/>
    <n v="10224"/>
    <n v="9972"/>
    <n v="36"/>
    <n v="252"/>
    <n v="2.5270758122743681E-2"/>
    <n v="284"/>
  </r>
  <r>
    <x v="17"/>
    <s v="S020"/>
    <s v="C02"/>
    <x v="19"/>
    <x v="6"/>
    <x v="19"/>
    <x v="1"/>
    <n v="21700"/>
    <n v="21100"/>
    <n v="70"/>
    <n v="600"/>
    <n v="2.843601895734597E-2"/>
    <n v="310"/>
  </r>
  <r>
    <x v="18"/>
    <s v="S001"/>
    <s v="C01"/>
    <x v="0"/>
    <x v="0"/>
    <x v="0"/>
    <x v="0"/>
    <n v="15624"/>
    <n v="16979"/>
    <n v="36"/>
    <n v="-1355"/>
    <n v="-7.9804464338300254E-2"/>
    <n v="434"/>
  </r>
  <r>
    <x v="18"/>
    <s v="S002"/>
    <s v="C02"/>
    <x v="1"/>
    <x v="0"/>
    <x v="1"/>
    <x v="1"/>
    <n v="25432"/>
    <n v="26274"/>
    <n v="68"/>
    <n v="-842"/>
    <n v="-3.2046890462053744E-2"/>
    <n v="374"/>
  </r>
  <r>
    <x v="18"/>
    <s v="S003"/>
    <s v="C02"/>
    <x v="2"/>
    <x v="0"/>
    <x v="2"/>
    <x v="1"/>
    <n v="75958"/>
    <n v="84187"/>
    <n v="163"/>
    <n v="-8229"/>
    <n v="-9.7746682979557409E-2"/>
    <n v="466"/>
  </r>
  <r>
    <x v="18"/>
    <s v="S004"/>
    <s v="C03"/>
    <x v="3"/>
    <x v="0"/>
    <x v="3"/>
    <x v="4"/>
    <n v="20299"/>
    <n v="22642"/>
    <n v="53"/>
    <n v="-2343"/>
    <n v="-0.1034802579277449"/>
    <n v="383"/>
  </r>
  <r>
    <x v="18"/>
    <s v="S005"/>
    <s v="C01"/>
    <x v="4"/>
    <x v="0"/>
    <x v="4"/>
    <x v="0"/>
    <n v="27594"/>
    <n v="28006"/>
    <n v="146"/>
    <n v="-412"/>
    <n v="-1.4711133328572448E-2"/>
    <n v="189"/>
  </r>
  <r>
    <x v="18"/>
    <s v="S006"/>
    <s v="C01"/>
    <x v="5"/>
    <x v="1"/>
    <x v="5"/>
    <x v="0"/>
    <n v="54510"/>
    <n v="54909"/>
    <n v="115"/>
    <n v="-399"/>
    <n v="-7.2665683221329836E-3"/>
    <n v="474"/>
  </r>
  <r>
    <x v="18"/>
    <s v="S007"/>
    <s v="C04"/>
    <x v="6"/>
    <x v="1"/>
    <x v="6"/>
    <x v="2"/>
    <n v="109512"/>
    <n v="109996"/>
    <n v="216"/>
    <n v="-484"/>
    <n v="-4.4001600058183937E-3"/>
    <n v="507"/>
  </r>
  <r>
    <x v="18"/>
    <s v="S008"/>
    <s v="C01"/>
    <x v="7"/>
    <x v="1"/>
    <x v="7"/>
    <x v="0"/>
    <n v="26220"/>
    <n v="29931"/>
    <n v="138"/>
    <n v="-3711"/>
    <n v="-0.12398516588152751"/>
    <n v="190"/>
  </r>
  <r>
    <x v="18"/>
    <s v="S009"/>
    <s v="C02"/>
    <x v="8"/>
    <x v="1"/>
    <x v="8"/>
    <x v="1"/>
    <n v="80095"/>
    <n v="88745"/>
    <n v="193"/>
    <n v="-8650"/>
    <n v="-9.747028001577554E-2"/>
    <n v="415"/>
  </r>
  <r>
    <x v="18"/>
    <s v="S010"/>
    <s v="C03"/>
    <x v="9"/>
    <x v="1"/>
    <x v="9"/>
    <x v="4"/>
    <n v="22971"/>
    <n v="25523"/>
    <n v="57"/>
    <n v="-2552"/>
    <n v="-9.9988245895858641E-2"/>
    <n v="403"/>
  </r>
  <r>
    <x v="18"/>
    <s v="S011"/>
    <s v="C02"/>
    <x v="10"/>
    <x v="2"/>
    <x v="10"/>
    <x v="1"/>
    <n v="70226"/>
    <n v="70233"/>
    <n v="146"/>
    <n v="-7"/>
    <n v="-9.9668247120299574E-5"/>
    <n v="481"/>
  </r>
  <r>
    <x v="18"/>
    <s v="S012"/>
    <s v="C01"/>
    <x v="11"/>
    <x v="2"/>
    <x v="11"/>
    <x v="0"/>
    <n v="45968"/>
    <n v="49941"/>
    <n v="136"/>
    <n v="-3973"/>
    <n v="-7.955387357081356E-2"/>
    <n v="338"/>
  </r>
  <r>
    <x v="18"/>
    <s v="S013"/>
    <s v="C02"/>
    <x v="12"/>
    <x v="2"/>
    <x v="12"/>
    <x v="1"/>
    <n v="31920"/>
    <n v="29337"/>
    <n v="120"/>
    <n v="2583"/>
    <n v="8.8045812455261274E-2"/>
    <n v="266"/>
  </r>
  <r>
    <x v="18"/>
    <s v="S014"/>
    <s v="C01"/>
    <x v="13"/>
    <x v="2"/>
    <x v="13"/>
    <x v="0"/>
    <n v="74970"/>
    <n v="71107"/>
    <n v="170"/>
    <n v="3863"/>
    <n v="5.4326578255305388E-2"/>
    <n v="441"/>
  </r>
  <r>
    <x v="18"/>
    <s v="S015"/>
    <s v="C03"/>
    <x v="14"/>
    <x v="2"/>
    <x v="14"/>
    <x v="4"/>
    <n v="63240"/>
    <n v="69801"/>
    <n v="124"/>
    <n v="-6561"/>
    <n v="-9.3995788025959509E-2"/>
    <n v="510"/>
  </r>
  <r>
    <x v="18"/>
    <s v="S016"/>
    <s v="C02"/>
    <x v="15"/>
    <x v="3"/>
    <x v="15"/>
    <x v="1"/>
    <n v="15494"/>
    <n v="14936"/>
    <n v="61"/>
    <n v="558"/>
    <n v="3.7359400107123727E-2"/>
    <n v="254"/>
  </r>
  <r>
    <x v="18"/>
    <s v="S017"/>
    <s v="C02"/>
    <x v="16"/>
    <x v="3"/>
    <x v="16"/>
    <x v="1"/>
    <n v="48762"/>
    <n v="53153"/>
    <n v="189"/>
    <n v="-4391"/>
    <n v="-8.261057701352699E-2"/>
    <n v="258"/>
  </r>
  <r>
    <x v="18"/>
    <s v="S018"/>
    <s v="C01"/>
    <x v="17"/>
    <x v="4"/>
    <x v="17"/>
    <x v="0"/>
    <n v="40080"/>
    <n v="41023"/>
    <n v="80"/>
    <n v="-943"/>
    <n v="-2.298710479487117E-2"/>
    <n v="501"/>
  </r>
  <r>
    <x v="18"/>
    <s v="S019"/>
    <s v="C05"/>
    <x v="18"/>
    <x v="5"/>
    <x v="18"/>
    <x v="3"/>
    <n v="74847"/>
    <n v="80107"/>
    <n v="183"/>
    <n v="-5260"/>
    <n v="-6.5662176838478539E-2"/>
    <n v="409"/>
  </r>
  <r>
    <x v="18"/>
    <s v="S020"/>
    <s v="C05"/>
    <x v="19"/>
    <x v="6"/>
    <x v="19"/>
    <x v="3"/>
    <n v="100495"/>
    <n v="115230"/>
    <n v="199"/>
    <n v="-14735"/>
    <n v="-0.12787468541178512"/>
    <n v="505"/>
  </r>
  <r>
    <x v="19"/>
    <s v="S001"/>
    <s v="C03"/>
    <x v="0"/>
    <x v="0"/>
    <x v="0"/>
    <x v="4"/>
    <n v="66495"/>
    <n v="62354"/>
    <n v="195"/>
    <n v="4141"/>
    <n v="6.6411136414664659E-2"/>
    <n v="341"/>
  </r>
  <r>
    <x v="19"/>
    <s v="S002"/>
    <s v="C01"/>
    <x v="1"/>
    <x v="0"/>
    <x v="1"/>
    <x v="0"/>
    <n v="62930"/>
    <n v="66570"/>
    <n v="155"/>
    <n v="-3640"/>
    <n v="-5.4679284963196635E-2"/>
    <n v="406"/>
  </r>
  <r>
    <x v="19"/>
    <s v="S003"/>
    <s v="C03"/>
    <x v="2"/>
    <x v="0"/>
    <x v="2"/>
    <x v="4"/>
    <n v="38688"/>
    <n v="38223"/>
    <n v="186"/>
    <n v="465"/>
    <n v="1.2165450121654502E-2"/>
    <n v="208"/>
  </r>
  <r>
    <x v="19"/>
    <s v="S004"/>
    <s v="C01"/>
    <x v="3"/>
    <x v="0"/>
    <x v="3"/>
    <x v="0"/>
    <n v="47424"/>
    <n v="48039"/>
    <n v="114"/>
    <n v="-615"/>
    <n v="-1.2802098295135202E-2"/>
    <n v="416"/>
  </r>
  <r>
    <x v="19"/>
    <s v="S005"/>
    <s v="C01"/>
    <x v="4"/>
    <x v="0"/>
    <x v="4"/>
    <x v="0"/>
    <n v="42054"/>
    <n v="38655"/>
    <n v="129"/>
    <n v="3399"/>
    <n v="8.7931703531237873E-2"/>
    <n v="326"/>
  </r>
  <r>
    <x v="19"/>
    <s v="S006"/>
    <s v="C01"/>
    <x v="5"/>
    <x v="1"/>
    <x v="5"/>
    <x v="0"/>
    <n v="92928"/>
    <n v="95415"/>
    <n v="192"/>
    <n v="-2487"/>
    <n v="-2.6065084106272597E-2"/>
    <n v="484"/>
  </r>
  <r>
    <x v="19"/>
    <s v="S007"/>
    <s v="C04"/>
    <x v="6"/>
    <x v="1"/>
    <x v="6"/>
    <x v="2"/>
    <n v="84729"/>
    <n v="96468"/>
    <n v="183"/>
    <n v="-11739"/>
    <n v="-0.12168802089812165"/>
    <n v="463"/>
  </r>
  <r>
    <x v="19"/>
    <s v="S008"/>
    <s v="C01"/>
    <x v="7"/>
    <x v="1"/>
    <x v="7"/>
    <x v="0"/>
    <n v="70800"/>
    <n v="75257"/>
    <n v="150"/>
    <n v="-4457"/>
    <n v="-5.9223726696519922E-2"/>
    <n v="472"/>
  </r>
  <r>
    <x v="19"/>
    <s v="S009"/>
    <s v="C03"/>
    <x v="8"/>
    <x v="1"/>
    <x v="8"/>
    <x v="4"/>
    <n v="79947"/>
    <n v="81973"/>
    <n v="189"/>
    <n v="-2026"/>
    <n v="-2.4715455088870724E-2"/>
    <n v="423"/>
  </r>
  <r>
    <x v="19"/>
    <s v="S010"/>
    <s v="C01"/>
    <x v="9"/>
    <x v="1"/>
    <x v="9"/>
    <x v="0"/>
    <n v="34800"/>
    <n v="38375"/>
    <n v="150"/>
    <n v="-3575"/>
    <n v="-9.3159609120521167E-2"/>
    <n v="232"/>
  </r>
  <r>
    <x v="19"/>
    <s v="S011"/>
    <s v="C03"/>
    <x v="10"/>
    <x v="2"/>
    <x v="10"/>
    <x v="4"/>
    <n v="48391"/>
    <n v="49655"/>
    <n v="217"/>
    <n v="-1264"/>
    <n v="-2.5455643943208137E-2"/>
    <n v="223"/>
  </r>
  <r>
    <x v="19"/>
    <s v="S012"/>
    <s v="C02"/>
    <x v="11"/>
    <x v="2"/>
    <x v="11"/>
    <x v="1"/>
    <n v="13770"/>
    <n v="14828"/>
    <n v="45"/>
    <n v="-1058"/>
    <n v="-7.13514971675209E-2"/>
    <n v="306"/>
  </r>
  <r>
    <x v="19"/>
    <s v="S013"/>
    <s v="C04"/>
    <x v="12"/>
    <x v="2"/>
    <x v="12"/>
    <x v="2"/>
    <n v="75543"/>
    <n v="79505"/>
    <n v="169"/>
    <n v="-3962"/>
    <n v="-4.9833343814854408E-2"/>
    <n v="447"/>
  </r>
  <r>
    <x v="19"/>
    <s v="S014"/>
    <s v="C03"/>
    <x v="13"/>
    <x v="2"/>
    <x v="13"/>
    <x v="4"/>
    <n v="42120"/>
    <n v="41987"/>
    <n v="130"/>
    <n v="133"/>
    <n v="3.1676471288732229E-3"/>
    <n v="324"/>
  </r>
  <r>
    <x v="19"/>
    <s v="S015"/>
    <s v="C03"/>
    <x v="14"/>
    <x v="2"/>
    <x v="14"/>
    <x v="4"/>
    <n v="101088"/>
    <n v="92302"/>
    <n v="208"/>
    <n v="8786"/>
    <n v="9.5187536564754829E-2"/>
    <n v="486"/>
  </r>
  <r>
    <x v="19"/>
    <s v="S016"/>
    <s v="C03"/>
    <x v="15"/>
    <x v="3"/>
    <x v="15"/>
    <x v="4"/>
    <n v="17748"/>
    <n v="16392"/>
    <n v="51"/>
    <n v="1356"/>
    <n v="8.272327964860908E-2"/>
    <n v="348"/>
  </r>
  <r>
    <x v="19"/>
    <s v="S017"/>
    <s v="C04"/>
    <x v="16"/>
    <x v="3"/>
    <x v="16"/>
    <x v="2"/>
    <n v="33063"/>
    <n v="35738"/>
    <n v="107"/>
    <n v="-2675"/>
    <n v="-7.4850299401197598E-2"/>
    <n v="309"/>
  </r>
  <r>
    <x v="19"/>
    <s v="S018"/>
    <s v="C05"/>
    <x v="17"/>
    <x v="4"/>
    <x v="17"/>
    <x v="3"/>
    <n v="25550"/>
    <n v="23515"/>
    <n v="73"/>
    <n v="2035"/>
    <n v="8.6540506059961733E-2"/>
    <n v="350"/>
  </r>
  <r>
    <x v="19"/>
    <s v="S019"/>
    <s v="C02"/>
    <x v="18"/>
    <x v="5"/>
    <x v="18"/>
    <x v="1"/>
    <n v="41912"/>
    <n v="47860"/>
    <n v="124"/>
    <n v="-5948"/>
    <n v="-0.12427914751358128"/>
    <n v="338"/>
  </r>
  <r>
    <x v="19"/>
    <s v="S020"/>
    <s v="C04"/>
    <x v="19"/>
    <x v="6"/>
    <x v="19"/>
    <x v="2"/>
    <n v="32912"/>
    <n v="35453"/>
    <n v="68"/>
    <n v="-2541"/>
    <n v="-7.1672354948805458E-2"/>
    <n v="484"/>
  </r>
  <r>
    <x v="20"/>
    <s v="S001"/>
    <s v="C01"/>
    <x v="0"/>
    <x v="0"/>
    <x v="0"/>
    <x v="0"/>
    <n v="53124"/>
    <n v="52814"/>
    <n v="114"/>
    <n v="310"/>
    <n v="5.869655773090468E-3"/>
    <n v="466"/>
  </r>
  <r>
    <x v="20"/>
    <s v="S002"/>
    <s v="C03"/>
    <x v="1"/>
    <x v="0"/>
    <x v="1"/>
    <x v="4"/>
    <n v="30083"/>
    <n v="27777"/>
    <n v="67"/>
    <n v="2306"/>
    <n v="8.301832451308637E-2"/>
    <n v="449"/>
  </r>
  <r>
    <x v="20"/>
    <s v="S003"/>
    <s v="C04"/>
    <x v="2"/>
    <x v="0"/>
    <x v="2"/>
    <x v="2"/>
    <n v="60225"/>
    <n v="54476"/>
    <n v="165"/>
    <n v="5749"/>
    <n v="0.10553271165283795"/>
    <n v="365"/>
  </r>
  <r>
    <x v="20"/>
    <s v="S004"/>
    <s v="C03"/>
    <x v="3"/>
    <x v="0"/>
    <x v="3"/>
    <x v="4"/>
    <n v="23409"/>
    <n v="23068"/>
    <n v="81"/>
    <n v="341"/>
    <n v="1.4782382521241547E-2"/>
    <n v="289"/>
  </r>
  <r>
    <x v="20"/>
    <s v="S005"/>
    <s v="C04"/>
    <x v="4"/>
    <x v="0"/>
    <x v="4"/>
    <x v="2"/>
    <n v="24780"/>
    <n v="28496"/>
    <n v="84"/>
    <n v="-3716"/>
    <n v="-0.13040426726558113"/>
    <n v="295"/>
  </r>
  <r>
    <x v="20"/>
    <s v="S006"/>
    <s v="C02"/>
    <x v="5"/>
    <x v="1"/>
    <x v="5"/>
    <x v="1"/>
    <n v="17874"/>
    <n v="19859"/>
    <n v="54"/>
    <n v="-1985"/>
    <n v="-9.9954680497507428E-2"/>
    <n v="331"/>
  </r>
  <r>
    <x v="20"/>
    <s v="S007"/>
    <s v="C01"/>
    <x v="6"/>
    <x v="1"/>
    <x v="6"/>
    <x v="0"/>
    <n v="74784"/>
    <n v="82919"/>
    <n v="164"/>
    <n v="-8135"/>
    <n v="-9.8107791941533309E-2"/>
    <n v="456"/>
  </r>
  <r>
    <x v="20"/>
    <s v="S008"/>
    <s v="C05"/>
    <x v="7"/>
    <x v="1"/>
    <x v="7"/>
    <x v="3"/>
    <n v="22792"/>
    <n v="22431"/>
    <n v="44"/>
    <n v="361"/>
    <n v="1.6093798760643752E-2"/>
    <n v="518"/>
  </r>
  <r>
    <x v="20"/>
    <s v="S009"/>
    <s v="C05"/>
    <x v="8"/>
    <x v="1"/>
    <x v="8"/>
    <x v="3"/>
    <n v="32980"/>
    <n v="32788"/>
    <n v="68"/>
    <n v="192"/>
    <n v="5.8558009027693059E-3"/>
    <n v="485"/>
  </r>
  <r>
    <x v="20"/>
    <s v="S010"/>
    <s v="C02"/>
    <x v="9"/>
    <x v="1"/>
    <x v="9"/>
    <x v="1"/>
    <n v="40419"/>
    <n v="44552"/>
    <n v="81"/>
    <n v="-4133"/>
    <n v="-9.2768001436523612E-2"/>
    <n v="499"/>
  </r>
  <r>
    <x v="20"/>
    <s v="S011"/>
    <s v="C02"/>
    <x v="10"/>
    <x v="2"/>
    <x v="10"/>
    <x v="1"/>
    <n v="88476"/>
    <n v="80594"/>
    <n v="219"/>
    <n v="7882"/>
    <n v="9.7798843586371198E-2"/>
    <n v="404"/>
  </r>
  <r>
    <x v="20"/>
    <s v="S012"/>
    <s v="C03"/>
    <x v="11"/>
    <x v="2"/>
    <x v="11"/>
    <x v="4"/>
    <n v="62608"/>
    <n v="71523"/>
    <n v="208"/>
    <n v="-8915"/>
    <n v="-0.12464521902045496"/>
    <n v="301"/>
  </r>
  <r>
    <x v="20"/>
    <s v="S013"/>
    <s v="C05"/>
    <x v="12"/>
    <x v="2"/>
    <x v="12"/>
    <x v="3"/>
    <n v="43763"/>
    <n v="41946"/>
    <n v="107"/>
    <n v="1817"/>
    <n v="4.3317598817527295E-2"/>
    <n v="409"/>
  </r>
  <r>
    <x v="20"/>
    <s v="S014"/>
    <s v="C02"/>
    <x v="13"/>
    <x v="2"/>
    <x v="13"/>
    <x v="1"/>
    <n v="47880"/>
    <n v="53912"/>
    <n v="114"/>
    <n v="-6032"/>
    <n v="-0.11188603650393233"/>
    <n v="420"/>
  </r>
  <r>
    <x v="20"/>
    <s v="S015"/>
    <s v="C02"/>
    <x v="14"/>
    <x v="2"/>
    <x v="14"/>
    <x v="1"/>
    <n v="60888"/>
    <n v="69784"/>
    <n v="129"/>
    <n v="-8896"/>
    <n v="-0.12747907829875044"/>
    <n v="472"/>
  </r>
  <r>
    <x v="20"/>
    <s v="S016"/>
    <s v="C04"/>
    <x v="15"/>
    <x v="3"/>
    <x v="15"/>
    <x v="2"/>
    <n v="40125"/>
    <n v="41157"/>
    <n v="107"/>
    <n v="-1032"/>
    <n v="-2.5074713900430059E-2"/>
    <n v="375"/>
  </r>
  <r>
    <x v="20"/>
    <s v="S017"/>
    <s v="C04"/>
    <x v="16"/>
    <x v="3"/>
    <x v="16"/>
    <x v="2"/>
    <n v="21432"/>
    <n v="23581"/>
    <n v="76"/>
    <n v="-2149"/>
    <n v="-9.1132691573724611E-2"/>
    <n v="282"/>
  </r>
  <r>
    <x v="20"/>
    <s v="S018"/>
    <s v="C02"/>
    <x v="17"/>
    <x v="4"/>
    <x v="17"/>
    <x v="1"/>
    <n v="20394"/>
    <n v="21623"/>
    <n v="99"/>
    <n v="-1229"/>
    <n v="-5.6837626601304168E-2"/>
    <n v="206"/>
  </r>
  <r>
    <x v="20"/>
    <s v="S019"/>
    <s v="C03"/>
    <x v="18"/>
    <x v="5"/>
    <x v="18"/>
    <x v="4"/>
    <n v="40832"/>
    <n v="44010"/>
    <n v="176"/>
    <n v="-3178"/>
    <n v="-7.2210861167916376E-2"/>
    <n v="232"/>
  </r>
  <r>
    <x v="20"/>
    <s v="S020"/>
    <s v="C05"/>
    <x v="19"/>
    <x v="6"/>
    <x v="19"/>
    <x v="3"/>
    <n v="21450"/>
    <n v="19754"/>
    <n v="66"/>
    <n v="1696"/>
    <n v="8.5856029158651412E-2"/>
    <n v="325"/>
  </r>
  <r>
    <x v="21"/>
    <s v="S001"/>
    <s v="C02"/>
    <x v="0"/>
    <x v="0"/>
    <x v="0"/>
    <x v="1"/>
    <n v="42640"/>
    <n v="48026"/>
    <n v="104"/>
    <n v="-5386"/>
    <n v="-0.11214758672385791"/>
    <n v="410"/>
  </r>
  <r>
    <x v="21"/>
    <s v="S002"/>
    <s v="C02"/>
    <x v="1"/>
    <x v="0"/>
    <x v="1"/>
    <x v="1"/>
    <n v="32996"/>
    <n v="37503"/>
    <n v="146"/>
    <n v="-4507"/>
    <n v="-0.12017705250246646"/>
    <n v="226"/>
  </r>
  <r>
    <x v="21"/>
    <s v="S003"/>
    <s v="C02"/>
    <x v="2"/>
    <x v="0"/>
    <x v="2"/>
    <x v="1"/>
    <n v="53700"/>
    <n v="60821"/>
    <n v="150"/>
    <n v="-7121"/>
    <n v="-0.11708127127143585"/>
    <n v="358"/>
  </r>
  <r>
    <x v="21"/>
    <s v="S004"/>
    <s v="C04"/>
    <x v="3"/>
    <x v="0"/>
    <x v="3"/>
    <x v="2"/>
    <n v="18336"/>
    <n v="18803"/>
    <n v="48"/>
    <n v="-467"/>
    <n v="-2.4836462266659576E-2"/>
    <n v="382"/>
  </r>
  <r>
    <x v="21"/>
    <s v="S005"/>
    <s v="C02"/>
    <x v="4"/>
    <x v="0"/>
    <x v="4"/>
    <x v="1"/>
    <n v="29393"/>
    <n v="29208"/>
    <n v="133"/>
    <n v="185"/>
    <n v="6.3338811284579565E-3"/>
    <n v="221"/>
  </r>
  <r>
    <x v="21"/>
    <s v="S006"/>
    <s v="C01"/>
    <x v="5"/>
    <x v="1"/>
    <x v="5"/>
    <x v="0"/>
    <n v="26680"/>
    <n v="29609"/>
    <n v="116"/>
    <n v="-2929"/>
    <n v="-9.8922624877571003E-2"/>
    <n v="230"/>
  </r>
  <r>
    <x v="21"/>
    <s v="S007"/>
    <s v="C03"/>
    <x v="6"/>
    <x v="1"/>
    <x v="6"/>
    <x v="4"/>
    <n v="18000"/>
    <n v="16372"/>
    <n v="72"/>
    <n v="1628"/>
    <n v="9.943806498900562E-2"/>
    <n v="250"/>
  </r>
  <r>
    <x v="21"/>
    <s v="S008"/>
    <s v="C04"/>
    <x v="7"/>
    <x v="1"/>
    <x v="7"/>
    <x v="2"/>
    <n v="53463"/>
    <n v="58259"/>
    <n v="213"/>
    <n v="-4796"/>
    <n v="-8.2322044662627228E-2"/>
    <n v="251"/>
  </r>
  <r>
    <x v="21"/>
    <s v="S009"/>
    <s v="C04"/>
    <x v="8"/>
    <x v="1"/>
    <x v="8"/>
    <x v="2"/>
    <n v="73755"/>
    <n v="66476"/>
    <n v="149"/>
    <n v="7279"/>
    <n v="0.1094981647511884"/>
    <n v="495"/>
  </r>
  <r>
    <x v="21"/>
    <s v="S010"/>
    <s v="C01"/>
    <x v="9"/>
    <x v="1"/>
    <x v="9"/>
    <x v="0"/>
    <n v="12129"/>
    <n v="11570"/>
    <n v="39"/>
    <n v="559"/>
    <n v="4.8314606741573035E-2"/>
    <n v="311"/>
  </r>
  <r>
    <x v="21"/>
    <s v="S011"/>
    <s v="C02"/>
    <x v="10"/>
    <x v="2"/>
    <x v="10"/>
    <x v="1"/>
    <n v="85925"/>
    <n v="88669"/>
    <n v="175"/>
    <n v="-2744"/>
    <n v="-3.0946554038051629E-2"/>
    <n v="491"/>
  </r>
  <r>
    <x v="21"/>
    <s v="S012"/>
    <s v="C01"/>
    <x v="11"/>
    <x v="2"/>
    <x v="11"/>
    <x v="0"/>
    <n v="32508"/>
    <n v="31704"/>
    <n v="108"/>
    <n v="804"/>
    <n v="2.5359576078728237E-2"/>
    <n v="301"/>
  </r>
  <r>
    <x v="21"/>
    <s v="S013"/>
    <s v="C01"/>
    <x v="12"/>
    <x v="2"/>
    <x v="12"/>
    <x v="0"/>
    <n v="37824"/>
    <n v="40083"/>
    <n v="96"/>
    <n v="-2259"/>
    <n v="-5.635805703165931E-2"/>
    <n v="394"/>
  </r>
  <r>
    <x v="21"/>
    <s v="S014"/>
    <s v="C05"/>
    <x v="13"/>
    <x v="2"/>
    <x v="13"/>
    <x v="3"/>
    <n v="32224"/>
    <n v="29894"/>
    <n v="152"/>
    <n v="2330"/>
    <n v="7.7942061952231217E-2"/>
    <n v="212"/>
  </r>
  <r>
    <x v="21"/>
    <s v="S015"/>
    <s v="C04"/>
    <x v="14"/>
    <x v="2"/>
    <x v="14"/>
    <x v="2"/>
    <n v="84898"/>
    <n v="76757"/>
    <n v="187"/>
    <n v="8141"/>
    <n v="0.1060619878317287"/>
    <n v="454"/>
  </r>
  <r>
    <x v="21"/>
    <s v="S016"/>
    <s v="C05"/>
    <x v="15"/>
    <x v="3"/>
    <x v="15"/>
    <x v="3"/>
    <n v="55146"/>
    <n v="59537"/>
    <n v="182"/>
    <n v="-4391"/>
    <n v="-7.3752456455649429E-2"/>
    <n v="303"/>
  </r>
  <r>
    <x v="21"/>
    <s v="S017"/>
    <s v="C03"/>
    <x v="16"/>
    <x v="3"/>
    <x v="16"/>
    <x v="4"/>
    <n v="25920"/>
    <n v="27311"/>
    <n v="144"/>
    <n v="-1391"/>
    <n v="-5.0931858957929038E-2"/>
    <n v="180"/>
  </r>
  <r>
    <x v="21"/>
    <s v="S018"/>
    <s v="C02"/>
    <x v="17"/>
    <x v="4"/>
    <x v="17"/>
    <x v="1"/>
    <n v="71133"/>
    <n v="67350"/>
    <n v="181"/>
    <n v="3783"/>
    <n v="5.6169265033407571E-2"/>
    <n v="393"/>
  </r>
  <r>
    <x v="21"/>
    <s v="S019"/>
    <s v="C01"/>
    <x v="18"/>
    <x v="5"/>
    <x v="18"/>
    <x v="0"/>
    <n v="61516"/>
    <n v="56405"/>
    <n v="169"/>
    <n v="5111"/>
    <n v="9.061253434979169E-2"/>
    <n v="364"/>
  </r>
  <r>
    <x v="21"/>
    <s v="S020"/>
    <s v="C05"/>
    <x v="19"/>
    <x v="6"/>
    <x v="19"/>
    <x v="3"/>
    <n v="76386"/>
    <n v="83765"/>
    <n v="174"/>
    <n v="-7379"/>
    <n v="-8.8091685071330514E-2"/>
    <n v="439"/>
  </r>
  <r>
    <x v="22"/>
    <s v="S001"/>
    <s v="C05"/>
    <x v="0"/>
    <x v="0"/>
    <x v="0"/>
    <x v="3"/>
    <n v="33440"/>
    <n v="33360"/>
    <n v="176"/>
    <n v="80"/>
    <n v="2.3980815347721821E-3"/>
    <n v="190"/>
  </r>
  <r>
    <x v="22"/>
    <s v="S002"/>
    <s v="C04"/>
    <x v="1"/>
    <x v="0"/>
    <x v="1"/>
    <x v="2"/>
    <n v="23230"/>
    <n v="23153"/>
    <n v="46"/>
    <n v="77"/>
    <n v="3.3257029326653133E-3"/>
    <n v="505"/>
  </r>
  <r>
    <x v="22"/>
    <s v="S003"/>
    <s v="C03"/>
    <x v="2"/>
    <x v="0"/>
    <x v="2"/>
    <x v="4"/>
    <n v="18612"/>
    <n v="18412"/>
    <n v="99"/>
    <n v="200"/>
    <n v="1.0862480990658266E-2"/>
    <n v="188"/>
  </r>
  <r>
    <x v="22"/>
    <s v="S004"/>
    <s v="C01"/>
    <x v="3"/>
    <x v="0"/>
    <x v="3"/>
    <x v="0"/>
    <n v="37269"/>
    <n v="40371"/>
    <n v="123"/>
    <n v="-3102"/>
    <n v="-7.6837333729657425E-2"/>
    <n v="303"/>
  </r>
  <r>
    <x v="22"/>
    <s v="S005"/>
    <s v="C01"/>
    <x v="4"/>
    <x v="0"/>
    <x v="4"/>
    <x v="0"/>
    <n v="64050"/>
    <n v="59781"/>
    <n v="183"/>
    <n v="4269"/>
    <n v="7.141064886836955E-2"/>
    <n v="350"/>
  </r>
  <r>
    <x v="22"/>
    <s v="S006"/>
    <s v="C03"/>
    <x v="5"/>
    <x v="1"/>
    <x v="5"/>
    <x v="4"/>
    <n v="61422"/>
    <n v="67771"/>
    <n v="174"/>
    <n v="-6349"/>
    <n v="-9.3683138805683852E-2"/>
    <n v="353"/>
  </r>
  <r>
    <x v="22"/>
    <s v="S007"/>
    <s v="C02"/>
    <x v="6"/>
    <x v="1"/>
    <x v="6"/>
    <x v="1"/>
    <n v="87570"/>
    <n v="100285"/>
    <n v="210"/>
    <n v="-12715"/>
    <n v="-0.12678865234082864"/>
    <n v="417"/>
  </r>
  <r>
    <x v="22"/>
    <s v="S008"/>
    <s v="C04"/>
    <x v="7"/>
    <x v="1"/>
    <x v="7"/>
    <x v="2"/>
    <n v="53508"/>
    <n v="59012"/>
    <n v="196"/>
    <n v="-5504"/>
    <n v="-9.3269165593438619E-2"/>
    <n v="273"/>
  </r>
  <r>
    <x v="22"/>
    <s v="S009"/>
    <s v="C01"/>
    <x v="8"/>
    <x v="1"/>
    <x v="8"/>
    <x v="0"/>
    <n v="90252"/>
    <n v="82061"/>
    <n v="218"/>
    <n v="8191"/>
    <n v="9.981599054361999E-2"/>
    <n v="414"/>
  </r>
  <r>
    <x v="22"/>
    <s v="S010"/>
    <s v="C02"/>
    <x v="9"/>
    <x v="1"/>
    <x v="9"/>
    <x v="1"/>
    <n v="12972"/>
    <n v="14547"/>
    <n v="46"/>
    <n v="-1575"/>
    <n v="-0.10826974633945144"/>
    <n v="282"/>
  </r>
  <r>
    <x v="22"/>
    <s v="S011"/>
    <s v="C03"/>
    <x v="10"/>
    <x v="2"/>
    <x v="10"/>
    <x v="4"/>
    <n v="50502"/>
    <n v="50479"/>
    <n v="114"/>
    <n v="23"/>
    <n v="4.5563501654153211E-4"/>
    <n v="443"/>
  </r>
  <r>
    <x v="22"/>
    <s v="S012"/>
    <s v="C05"/>
    <x v="11"/>
    <x v="2"/>
    <x v="11"/>
    <x v="3"/>
    <n v="48204"/>
    <n v="43824"/>
    <n v="156"/>
    <n v="4380"/>
    <n v="9.9945235487404166E-2"/>
    <n v="309"/>
  </r>
  <r>
    <x v="22"/>
    <s v="S013"/>
    <s v="C02"/>
    <x v="12"/>
    <x v="2"/>
    <x v="12"/>
    <x v="1"/>
    <n v="39096"/>
    <n v="43612"/>
    <n v="108"/>
    <n v="-4516"/>
    <n v="-0.10354948179400165"/>
    <n v="362"/>
  </r>
  <r>
    <x v="22"/>
    <s v="S014"/>
    <s v="C01"/>
    <x v="13"/>
    <x v="2"/>
    <x v="13"/>
    <x v="0"/>
    <n v="70498"/>
    <n v="68263"/>
    <n v="202"/>
    <n v="2235"/>
    <n v="3.2741016363183571E-2"/>
    <n v="349"/>
  </r>
  <r>
    <x v="22"/>
    <s v="S015"/>
    <s v="C03"/>
    <x v="14"/>
    <x v="2"/>
    <x v="14"/>
    <x v="4"/>
    <n v="56064"/>
    <n v="60875"/>
    <n v="146"/>
    <n v="-4811"/>
    <n v="-7.9030800821355232E-2"/>
    <n v="384"/>
  </r>
  <r>
    <x v="22"/>
    <s v="S016"/>
    <s v="C04"/>
    <x v="15"/>
    <x v="3"/>
    <x v="15"/>
    <x v="2"/>
    <n v="33275"/>
    <n v="34075"/>
    <n v="121"/>
    <n v="-800"/>
    <n v="-2.347762289068232E-2"/>
    <n v="275"/>
  </r>
  <r>
    <x v="22"/>
    <s v="S017"/>
    <s v="C04"/>
    <x v="16"/>
    <x v="3"/>
    <x v="16"/>
    <x v="2"/>
    <n v="57405"/>
    <n v="55492"/>
    <n v="129"/>
    <n v="1913"/>
    <n v="3.4473437612628846E-2"/>
    <n v="445"/>
  </r>
  <r>
    <x v="22"/>
    <s v="S018"/>
    <s v="C01"/>
    <x v="17"/>
    <x v="4"/>
    <x v="17"/>
    <x v="0"/>
    <n v="31460"/>
    <n v="31700"/>
    <n v="143"/>
    <n v="-240"/>
    <n v="-7.5709779179810727E-3"/>
    <n v="220"/>
  </r>
  <r>
    <x v="22"/>
    <s v="S019"/>
    <s v="C02"/>
    <x v="18"/>
    <x v="5"/>
    <x v="18"/>
    <x v="1"/>
    <n v="57420"/>
    <n v="56288"/>
    <n v="174"/>
    <n v="1132"/>
    <n v="2.0110858442296761E-2"/>
    <n v="330"/>
  </r>
  <r>
    <x v="22"/>
    <s v="S020"/>
    <s v="C01"/>
    <x v="19"/>
    <x v="6"/>
    <x v="19"/>
    <x v="0"/>
    <n v="61124"/>
    <n v="59529"/>
    <n v="118"/>
    <n v="1595"/>
    <n v="2.6793663592534732E-2"/>
    <n v="518"/>
  </r>
  <r>
    <x v="23"/>
    <s v="S001"/>
    <s v="C04"/>
    <x v="0"/>
    <x v="0"/>
    <x v="0"/>
    <x v="2"/>
    <n v="75222"/>
    <n v="70833"/>
    <n v="189"/>
    <n v="4389"/>
    <n v="6.1962644530091905E-2"/>
    <n v="398"/>
  </r>
  <r>
    <x v="23"/>
    <s v="S002"/>
    <s v="C04"/>
    <x v="1"/>
    <x v="0"/>
    <x v="1"/>
    <x v="2"/>
    <n v="50592"/>
    <n v="46068"/>
    <n v="124"/>
    <n v="4524"/>
    <n v="9.820265694191195E-2"/>
    <n v="408"/>
  </r>
  <r>
    <x v="23"/>
    <s v="S003"/>
    <s v="C03"/>
    <x v="2"/>
    <x v="0"/>
    <x v="2"/>
    <x v="4"/>
    <n v="77184"/>
    <n v="74763"/>
    <n v="192"/>
    <n v="2421"/>
    <n v="3.2382328156976045E-2"/>
    <n v="402"/>
  </r>
  <r>
    <x v="23"/>
    <s v="S004"/>
    <s v="C01"/>
    <x v="3"/>
    <x v="0"/>
    <x v="3"/>
    <x v="0"/>
    <n v="27324"/>
    <n v="27366"/>
    <n v="54"/>
    <n v="-42"/>
    <n v="-1.5347511510633632E-3"/>
    <n v="506"/>
  </r>
  <r>
    <x v="23"/>
    <s v="S005"/>
    <s v="C05"/>
    <x v="4"/>
    <x v="0"/>
    <x v="4"/>
    <x v="3"/>
    <n v="54288"/>
    <n v="61790"/>
    <n v="208"/>
    <n v="-7502"/>
    <n v="-0.1214112315908723"/>
    <n v="261"/>
  </r>
  <r>
    <x v="23"/>
    <s v="S006"/>
    <s v="C02"/>
    <x v="5"/>
    <x v="1"/>
    <x v="5"/>
    <x v="1"/>
    <n v="76760"/>
    <n v="69751"/>
    <n v="190"/>
    <n v="7009"/>
    <n v="0.10048601453742599"/>
    <n v="404"/>
  </r>
  <r>
    <x v="23"/>
    <s v="S007"/>
    <s v="C01"/>
    <x v="6"/>
    <x v="1"/>
    <x v="6"/>
    <x v="0"/>
    <n v="48450"/>
    <n v="48042"/>
    <n v="95"/>
    <n v="408"/>
    <n v="8.4925690021231421E-3"/>
    <n v="510"/>
  </r>
  <r>
    <x v="23"/>
    <s v="S008"/>
    <s v="C04"/>
    <x v="7"/>
    <x v="1"/>
    <x v="7"/>
    <x v="2"/>
    <n v="35280"/>
    <n v="37088"/>
    <n v="180"/>
    <n v="-1808"/>
    <n v="-4.8748921484037963E-2"/>
    <n v="196"/>
  </r>
  <r>
    <x v="23"/>
    <s v="S009"/>
    <s v="C04"/>
    <x v="8"/>
    <x v="1"/>
    <x v="8"/>
    <x v="2"/>
    <n v="47730"/>
    <n v="48254"/>
    <n v="129"/>
    <n v="-524"/>
    <n v="-1.0859203382103038E-2"/>
    <n v="370"/>
  </r>
  <r>
    <x v="23"/>
    <s v="S010"/>
    <s v="C01"/>
    <x v="9"/>
    <x v="1"/>
    <x v="9"/>
    <x v="0"/>
    <n v="45250"/>
    <n v="46714"/>
    <n v="181"/>
    <n v="-1464"/>
    <n v="-3.1339641221047224E-2"/>
    <n v="250"/>
  </r>
  <r>
    <x v="23"/>
    <s v="S011"/>
    <s v="C04"/>
    <x v="10"/>
    <x v="2"/>
    <x v="10"/>
    <x v="2"/>
    <n v="58880"/>
    <n v="57094"/>
    <n v="115"/>
    <n v="1786"/>
    <n v="3.1281745892738293E-2"/>
    <n v="512"/>
  </r>
  <r>
    <x v="23"/>
    <s v="S012"/>
    <s v="C01"/>
    <x v="11"/>
    <x v="2"/>
    <x v="11"/>
    <x v="0"/>
    <n v="11275"/>
    <n v="11554"/>
    <n v="41"/>
    <n v="-279"/>
    <n v="-2.414748139172581E-2"/>
    <n v="275"/>
  </r>
  <r>
    <x v="23"/>
    <s v="S013"/>
    <s v="C04"/>
    <x v="12"/>
    <x v="2"/>
    <x v="12"/>
    <x v="2"/>
    <n v="42720"/>
    <n v="41243"/>
    <n v="178"/>
    <n v="1477"/>
    <n v="3.5812137817326575E-2"/>
    <n v="240"/>
  </r>
  <r>
    <x v="23"/>
    <s v="S014"/>
    <s v="C03"/>
    <x v="13"/>
    <x v="2"/>
    <x v="13"/>
    <x v="4"/>
    <n v="87720"/>
    <n v="83653"/>
    <n v="215"/>
    <n v="4067"/>
    <n v="4.8617503257504212E-2"/>
    <n v="408"/>
  </r>
  <r>
    <x v="23"/>
    <s v="S015"/>
    <s v="C05"/>
    <x v="14"/>
    <x v="2"/>
    <x v="14"/>
    <x v="3"/>
    <n v="46548"/>
    <n v="44222"/>
    <n v="108"/>
    <n v="2326"/>
    <n v="5.2598254262584236E-2"/>
    <n v="431"/>
  </r>
  <r>
    <x v="23"/>
    <s v="S016"/>
    <s v="C02"/>
    <x v="15"/>
    <x v="3"/>
    <x v="15"/>
    <x v="1"/>
    <n v="21783"/>
    <n v="20544"/>
    <n v="53"/>
    <n v="1239"/>
    <n v="6.0309579439252338E-2"/>
    <n v="411"/>
  </r>
  <r>
    <x v="23"/>
    <s v="S017"/>
    <s v="C04"/>
    <x v="16"/>
    <x v="3"/>
    <x v="16"/>
    <x v="2"/>
    <n v="19551"/>
    <n v="20860"/>
    <n v="57"/>
    <n v="-1309"/>
    <n v="-6.2751677852348989E-2"/>
    <n v="343"/>
  </r>
  <r>
    <x v="23"/>
    <s v="S018"/>
    <s v="C01"/>
    <x v="17"/>
    <x v="4"/>
    <x v="17"/>
    <x v="0"/>
    <n v="79975"/>
    <n v="77782"/>
    <n v="175"/>
    <n v="2193"/>
    <n v="2.8194183744311024E-2"/>
    <n v="457"/>
  </r>
  <r>
    <x v="23"/>
    <s v="S019"/>
    <s v="C03"/>
    <x v="18"/>
    <x v="5"/>
    <x v="18"/>
    <x v="4"/>
    <n v="37950"/>
    <n v="35806"/>
    <n v="75"/>
    <n v="2144"/>
    <n v="5.9878232698430428E-2"/>
    <n v="506"/>
  </r>
  <r>
    <x v="23"/>
    <s v="S020"/>
    <s v="C03"/>
    <x v="19"/>
    <x v="6"/>
    <x v="19"/>
    <x v="4"/>
    <n v="48510"/>
    <n v="45130"/>
    <n v="165"/>
    <n v="3380"/>
    <n v="7.4894748504320846E-2"/>
    <n v="294"/>
  </r>
  <r>
    <x v="24"/>
    <s v="S001"/>
    <s v="C02"/>
    <x v="0"/>
    <x v="0"/>
    <x v="0"/>
    <x v="1"/>
    <n v="21070"/>
    <n v="23126"/>
    <n v="70"/>
    <n v="-2056"/>
    <n v="-8.890426359941192E-2"/>
    <n v="301"/>
  </r>
  <r>
    <x v="24"/>
    <s v="S002"/>
    <s v="C01"/>
    <x v="1"/>
    <x v="0"/>
    <x v="1"/>
    <x v="0"/>
    <n v="58801"/>
    <n v="61333"/>
    <n v="127"/>
    <n v="-2532"/>
    <n v="-4.1282833058875319E-2"/>
    <n v="463"/>
  </r>
  <r>
    <x v="24"/>
    <s v="S003"/>
    <s v="C04"/>
    <x v="2"/>
    <x v="0"/>
    <x v="2"/>
    <x v="2"/>
    <n v="43296"/>
    <n v="45590"/>
    <n v="176"/>
    <n v="-2294"/>
    <n v="-5.0318052204430794E-2"/>
    <n v="246"/>
  </r>
  <r>
    <x v="24"/>
    <s v="S004"/>
    <s v="C01"/>
    <x v="3"/>
    <x v="0"/>
    <x v="3"/>
    <x v="0"/>
    <n v="17238"/>
    <n v="17230"/>
    <n v="51"/>
    <n v="8"/>
    <n v="4.6430644225188626E-4"/>
    <n v="338"/>
  </r>
  <r>
    <x v="24"/>
    <s v="S005"/>
    <s v="C04"/>
    <x v="4"/>
    <x v="0"/>
    <x v="4"/>
    <x v="2"/>
    <n v="65910"/>
    <n v="71992"/>
    <n v="169"/>
    <n v="-6082"/>
    <n v="-8.4481609067674185E-2"/>
    <n v="390"/>
  </r>
  <r>
    <x v="24"/>
    <s v="S006"/>
    <s v="C05"/>
    <x v="5"/>
    <x v="1"/>
    <x v="5"/>
    <x v="3"/>
    <n v="12932"/>
    <n v="14782"/>
    <n v="53"/>
    <n v="-1850"/>
    <n v="-0.12515221214991207"/>
    <n v="244"/>
  </r>
  <r>
    <x v="24"/>
    <s v="S007"/>
    <s v="C01"/>
    <x v="6"/>
    <x v="1"/>
    <x v="6"/>
    <x v="0"/>
    <n v="62700"/>
    <n v="67090"/>
    <n v="150"/>
    <n v="-4390"/>
    <n v="-6.543449098226263E-2"/>
    <n v="418"/>
  </r>
  <r>
    <x v="24"/>
    <s v="S008"/>
    <s v="C03"/>
    <x v="7"/>
    <x v="1"/>
    <x v="7"/>
    <x v="4"/>
    <n v="30954"/>
    <n v="32809"/>
    <n v="67"/>
    <n v="-1855"/>
    <n v="-5.6539364198847877E-2"/>
    <n v="462"/>
  </r>
  <r>
    <x v="24"/>
    <s v="S009"/>
    <s v="C02"/>
    <x v="8"/>
    <x v="1"/>
    <x v="8"/>
    <x v="1"/>
    <n v="27268"/>
    <n v="27969"/>
    <n v="68"/>
    <n v="-701"/>
    <n v="-2.5063463119882726E-2"/>
    <n v="401"/>
  </r>
  <r>
    <x v="24"/>
    <s v="S010"/>
    <s v="C01"/>
    <x v="9"/>
    <x v="1"/>
    <x v="9"/>
    <x v="0"/>
    <n v="29370"/>
    <n v="27556"/>
    <n v="66"/>
    <n v="1814"/>
    <n v="6.5829583393816227E-2"/>
    <n v="445"/>
  </r>
  <r>
    <x v="24"/>
    <s v="S011"/>
    <s v="C02"/>
    <x v="10"/>
    <x v="2"/>
    <x v="10"/>
    <x v="1"/>
    <n v="26220"/>
    <n v="29725"/>
    <n v="76"/>
    <n v="-3505"/>
    <n v="-0.11791421362489488"/>
    <n v="345"/>
  </r>
  <r>
    <x v="24"/>
    <s v="S012"/>
    <s v="C02"/>
    <x v="11"/>
    <x v="2"/>
    <x v="11"/>
    <x v="1"/>
    <n v="54735"/>
    <n v="61507"/>
    <n v="123"/>
    <n v="-6772"/>
    <n v="-0.11010128928414652"/>
    <n v="445"/>
  </r>
  <r>
    <x v="24"/>
    <s v="S013"/>
    <s v="C01"/>
    <x v="12"/>
    <x v="2"/>
    <x v="12"/>
    <x v="0"/>
    <n v="27720"/>
    <n v="29348"/>
    <n v="99"/>
    <n v="-1628"/>
    <n v="-5.5472263868065967E-2"/>
    <n v="280"/>
  </r>
  <r>
    <x v="24"/>
    <s v="S014"/>
    <s v="C05"/>
    <x v="13"/>
    <x v="2"/>
    <x v="13"/>
    <x v="3"/>
    <n v="25620"/>
    <n v="27061"/>
    <n v="105"/>
    <n v="-1441"/>
    <n v="-5.3250064668711433E-2"/>
    <n v="244"/>
  </r>
  <r>
    <x v="24"/>
    <s v="S015"/>
    <s v="C05"/>
    <x v="14"/>
    <x v="2"/>
    <x v="14"/>
    <x v="3"/>
    <n v="38817"/>
    <n v="39812"/>
    <n v="171"/>
    <n v="-995"/>
    <n v="-2.4992464583542651E-2"/>
    <n v="227"/>
  </r>
  <r>
    <x v="24"/>
    <s v="S016"/>
    <s v="C02"/>
    <x v="15"/>
    <x v="3"/>
    <x v="15"/>
    <x v="1"/>
    <n v="88722"/>
    <n v="83269"/>
    <n v="186"/>
    <n v="5453"/>
    <n v="6.5486555620939371E-2"/>
    <n v="477"/>
  </r>
  <r>
    <x v="24"/>
    <s v="S017"/>
    <s v="C05"/>
    <x v="16"/>
    <x v="3"/>
    <x v="16"/>
    <x v="3"/>
    <n v="107091"/>
    <n v="105420"/>
    <n v="219"/>
    <n v="1671"/>
    <n v="1.5850882185543539E-2"/>
    <n v="489"/>
  </r>
  <r>
    <x v="24"/>
    <s v="S018"/>
    <s v="C05"/>
    <x v="17"/>
    <x v="4"/>
    <x v="17"/>
    <x v="3"/>
    <n v="8730"/>
    <n v="8034"/>
    <n v="45"/>
    <n v="696"/>
    <n v="8.6631814787154593E-2"/>
    <n v="194"/>
  </r>
  <r>
    <x v="24"/>
    <s v="S019"/>
    <s v="C05"/>
    <x v="18"/>
    <x v="5"/>
    <x v="18"/>
    <x v="3"/>
    <n v="52326"/>
    <n v="49851"/>
    <n v="102"/>
    <n v="2475"/>
    <n v="4.9647950893663119E-2"/>
    <n v="513"/>
  </r>
  <r>
    <x v="24"/>
    <s v="S020"/>
    <s v="C05"/>
    <x v="19"/>
    <x v="6"/>
    <x v="19"/>
    <x v="3"/>
    <n v="69936"/>
    <n v="74114"/>
    <n v="141"/>
    <n v="-4178"/>
    <n v="-5.6372615160428532E-2"/>
    <n v="496"/>
  </r>
  <r>
    <x v="25"/>
    <s v="S001"/>
    <s v="C04"/>
    <x v="0"/>
    <x v="0"/>
    <x v="0"/>
    <x v="2"/>
    <n v="89505"/>
    <n v="87036"/>
    <n v="195"/>
    <n v="2469"/>
    <n v="2.836757203915621E-2"/>
    <n v="459"/>
  </r>
  <r>
    <x v="25"/>
    <s v="S002"/>
    <s v="C03"/>
    <x v="1"/>
    <x v="0"/>
    <x v="1"/>
    <x v="4"/>
    <n v="48190"/>
    <n v="53065"/>
    <n v="158"/>
    <n v="-4875"/>
    <n v="-9.1868463205502682E-2"/>
    <n v="305"/>
  </r>
  <r>
    <x v="25"/>
    <s v="S003"/>
    <s v="C04"/>
    <x v="2"/>
    <x v="0"/>
    <x v="2"/>
    <x v="2"/>
    <n v="45732"/>
    <n v="41993"/>
    <n v="111"/>
    <n v="3739"/>
    <n v="8.9038649298692638E-2"/>
    <n v="412"/>
  </r>
  <r>
    <x v="25"/>
    <s v="S004"/>
    <s v="C01"/>
    <x v="3"/>
    <x v="0"/>
    <x v="3"/>
    <x v="0"/>
    <n v="30375"/>
    <n v="30493"/>
    <n v="75"/>
    <n v="-118"/>
    <n v="-3.8697405962024073E-3"/>
    <n v="405"/>
  </r>
  <r>
    <x v="25"/>
    <s v="S005"/>
    <s v="C04"/>
    <x v="4"/>
    <x v="0"/>
    <x v="4"/>
    <x v="2"/>
    <n v="30798"/>
    <n v="32389"/>
    <n v="87"/>
    <n v="-1591"/>
    <n v="-4.9121615363240605E-2"/>
    <n v="354"/>
  </r>
  <r>
    <x v="25"/>
    <s v="S006"/>
    <s v="C03"/>
    <x v="5"/>
    <x v="1"/>
    <x v="5"/>
    <x v="4"/>
    <n v="74774"/>
    <n v="81021"/>
    <n v="218"/>
    <n v="-6247"/>
    <n v="-7.7103467002382103E-2"/>
    <n v="343"/>
  </r>
  <r>
    <x v="25"/>
    <s v="S007"/>
    <s v="C03"/>
    <x v="6"/>
    <x v="1"/>
    <x v="6"/>
    <x v="4"/>
    <n v="33702"/>
    <n v="36740"/>
    <n v="137"/>
    <n v="-3038"/>
    <n v="-8.2689167120304843E-2"/>
    <n v="246"/>
  </r>
  <r>
    <x v="25"/>
    <s v="S008"/>
    <s v="C05"/>
    <x v="7"/>
    <x v="1"/>
    <x v="7"/>
    <x v="3"/>
    <n v="41652"/>
    <n v="40809"/>
    <n v="178"/>
    <n v="843"/>
    <n v="2.0657207968830405E-2"/>
    <n v="234"/>
  </r>
  <r>
    <x v="25"/>
    <s v="S009"/>
    <s v="C04"/>
    <x v="8"/>
    <x v="1"/>
    <x v="8"/>
    <x v="2"/>
    <n v="20856"/>
    <n v="21114"/>
    <n v="66"/>
    <n v="-258"/>
    <n v="-1.2219380505825519E-2"/>
    <n v="316"/>
  </r>
  <r>
    <x v="25"/>
    <s v="S010"/>
    <s v="C02"/>
    <x v="9"/>
    <x v="1"/>
    <x v="9"/>
    <x v="1"/>
    <n v="12095"/>
    <n v="11763"/>
    <n v="59"/>
    <n v="332"/>
    <n v="2.8224092493411543E-2"/>
    <n v="205"/>
  </r>
  <r>
    <x v="25"/>
    <s v="S011"/>
    <s v="C04"/>
    <x v="10"/>
    <x v="2"/>
    <x v="10"/>
    <x v="2"/>
    <n v="75648"/>
    <n v="72778"/>
    <n v="192"/>
    <n v="2870"/>
    <n v="3.9434994091621094E-2"/>
    <n v="394"/>
  </r>
  <r>
    <x v="25"/>
    <s v="S012"/>
    <s v="C02"/>
    <x v="11"/>
    <x v="2"/>
    <x v="11"/>
    <x v="1"/>
    <n v="56050"/>
    <n v="60549"/>
    <n v="118"/>
    <n v="-4499"/>
    <n v="-7.4303456704487278E-2"/>
    <n v="475"/>
  </r>
  <r>
    <x v="25"/>
    <s v="S013"/>
    <s v="C02"/>
    <x v="12"/>
    <x v="2"/>
    <x v="12"/>
    <x v="1"/>
    <n v="32625"/>
    <n v="37485"/>
    <n v="75"/>
    <n v="-4860"/>
    <n v="-0.12965186074429771"/>
    <n v="435"/>
  </r>
  <r>
    <x v="25"/>
    <s v="S014"/>
    <s v="C04"/>
    <x v="13"/>
    <x v="2"/>
    <x v="13"/>
    <x v="2"/>
    <n v="54594"/>
    <n v="55922"/>
    <n v="162"/>
    <n v="-1328"/>
    <n v="-2.3747362397625264E-2"/>
    <n v="337"/>
  </r>
  <r>
    <x v="25"/>
    <s v="S015"/>
    <s v="C01"/>
    <x v="14"/>
    <x v="2"/>
    <x v="14"/>
    <x v="0"/>
    <n v="59130"/>
    <n v="59976"/>
    <n v="135"/>
    <n v="-846"/>
    <n v="-1.4105642256902761E-2"/>
    <n v="438"/>
  </r>
  <r>
    <x v="25"/>
    <s v="S016"/>
    <s v="C02"/>
    <x v="15"/>
    <x v="3"/>
    <x v="15"/>
    <x v="1"/>
    <n v="43020"/>
    <n v="42513"/>
    <n v="90"/>
    <n v="507"/>
    <n v="1.1925763883988427E-2"/>
    <n v="478"/>
  </r>
  <r>
    <x v="25"/>
    <s v="S017"/>
    <s v="C01"/>
    <x v="16"/>
    <x v="3"/>
    <x v="16"/>
    <x v="0"/>
    <n v="46331"/>
    <n v="48618"/>
    <n v="107"/>
    <n v="-2287"/>
    <n v="-4.7040190875807311E-2"/>
    <n v="433"/>
  </r>
  <r>
    <x v="25"/>
    <s v="S018"/>
    <s v="C04"/>
    <x v="17"/>
    <x v="4"/>
    <x v="17"/>
    <x v="2"/>
    <n v="49032"/>
    <n v="44229"/>
    <n v="108"/>
    <n v="4803"/>
    <n v="0.10859390897375025"/>
    <n v="454"/>
  </r>
  <r>
    <x v="25"/>
    <s v="S019"/>
    <s v="C01"/>
    <x v="18"/>
    <x v="5"/>
    <x v="18"/>
    <x v="0"/>
    <n v="35960"/>
    <n v="40297"/>
    <n v="145"/>
    <n v="-4337"/>
    <n v="-0.10762587785691242"/>
    <n v="248"/>
  </r>
  <r>
    <x v="25"/>
    <s v="S020"/>
    <s v="C03"/>
    <x v="19"/>
    <x v="6"/>
    <x v="19"/>
    <x v="4"/>
    <n v="50646"/>
    <n v="46154"/>
    <n v="138"/>
    <n v="4492"/>
    <n v="9.7326342245525846E-2"/>
    <n v="367"/>
  </r>
  <r>
    <x v="26"/>
    <s v="S001"/>
    <s v="C01"/>
    <x v="0"/>
    <x v="0"/>
    <x v="0"/>
    <x v="0"/>
    <n v="84060"/>
    <n v="79744"/>
    <n v="180"/>
    <n v="4316"/>
    <n v="5.4123194221508832E-2"/>
    <n v="467"/>
  </r>
  <r>
    <x v="26"/>
    <s v="S002"/>
    <s v="C05"/>
    <x v="1"/>
    <x v="0"/>
    <x v="1"/>
    <x v="3"/>
    <n v="23436"/>
    <n v="23356"/>
    <n v="108"/>
    <n v="80"/>
    <n v="3.4252440486384657E-3"/>
    <n v="217"/>
  </r>
  <r>
    <x v="26"/>
    <s v="S003"/>
    <s v="C04"/>
    <x v="2"/>
    <x v="0"/>
    <x v="2"/>
    <x v="2"/>
    <n v="56525"/>
    <n v="62535"/>
    <n v="175"/>
    <n v="-6010"/>
    <n v="-9.6106180538898217E-2"/>
    <n v="323"/>
  </r>
  <r>
    <x v="26"/>
    <s v="S004"/>
    <s v="C05"/>
    <x v="3"/>
    <x v="0"/>
    <x v="3"/>
    <x v="3"/>
    <n v="102828"/>
    <n v="95599"/>
    <n v="209"/>
    <n v="7229"/>
    <n v="7.561794579441207E-2"/>
    <n v="492"/>
  </r>
  <r>
    <x v="26"/>
    <s v="S005"/>
    <s v="C01"/>
    <x v="4"/>
    <x v="0"/>
    <x v="4"/>
    <x v="0"/>
    <n v="50085"/>
    <n v="55029"/>
    <n v="135"/>
    <n v="-4944"/>
    <n v="-8.9843537044104013E-2"/>
    <n v="371"/>
  </r>
  <r>
    <x v="26"/>
    <s v="S006"/>
    <s v="C03"/>
    <x v="5"/>
    <x v="1"/>
    <x v="5"/>
    <x v="4"/>
    <n v="64959"/>
    <n v="70723"/>
    <n v="177"/>
    <n v="-5764"/>
    <n v="-8.1501067545211595E-2"/>
    <n v="367"/>
  </r>
  <r>
    <x v="26"/>
    <s v="S007"/>
    <s v="C02"/>
    <x v="6"/>
    <x v="1"/>
    <x v="6"/>
    <x v="1"/>
    <n v="83160"/>
    <n v="83188"/>
    <n v="189"/>
    <n v="-28"/>
    <n v="-3.3658700774150119E-4"/>
    <n v="440"/>
  </r>
  <r>
    <x v="26"/>
    <s v="S008"/>
    <s v="C01"/>
    <x v="7"/>
    <x v="1"/>
    <x v="7"/>
    <x v="0"/>
    <n v="9154"/>
    <n v="8552"/>
    <n v="46"/>
    <n v="602"/>
    <n v="7.0392890551917678E-2"/>
    <n v="199"/>
  </r>
  <r>
    <x v="26"/>
    <s v="S009"/>
    <s v="C03"/>
    <x v="8"/>
    <x v="1"/>
    <x v="8"/>
    <x v="4"/>
    <n v="69420"/>
    <n v="70409"/>
    <n v="156"/>
    <n v="-989"/>
    <n v="-1.40464997372495E-2"/>
    <n v="445"/>
  </r>
  <r>
    <x v="26"/>
    <s v="S010"/>
    <s v="C05"/>
    <x v="9"/>
    <x v="1"/>
    <x v="9"/>
    <x v="3"/>
    <n v="41666"/>
    <n v="40915"/>
    <n v="166"/>
    <n v="751"/>
    <n v="1.8355126481730415E-2"/>
    <n v="251"/>
  </r>
  <r>
    <x v="26"/>
    <s v="S011"/>
    <s v="C05"/>
    <x v="10"/>
    <x v="2"/>
    <x v="10"/>
    <x v="3"/>
    <n v="30508"/>
    <n v="30454"/>
    <n v="116"/>
    <n v="54"/>
    <n v="1.7731660865567742E-3"/>
    <n v="263"/>
  </r>
  <r>
    <x v="26"/>
    <s v="S012"/>
    <s v="C05"/>
    <x v="11"/>
    <x v="2"/>
    <x v="11"/>
    <x v="3"/>
    <n v="53613"/>
    <n v="52760"/>
    <n v="111"/>
    <n v="853"/>
    <n v="1.6167551175132678E-2"/>
    <n v="483"/>
  </r>
  <r>
    <x v="26"/>
    <s v="S013"/>
    <s v="C05"/>
    <x v="12"/>
    <x v="2"/>
    <x v="12"/>
    <x v="3"/>
    <n v="73530"/>
    <n v="79205"/>
    <n v="171"/>
    <n v="-5675"/>
    <n v="-7.1649517075942179E-2"/>
    <n v="430"/>
  </r>
  <r>
    <x v="26"/>
    <s v="S014"/>
    <s v="C03"/>
    <x v="13"/>
    <x v="2"/>
    <x v="13"/>
    <x v="4"/>
    <n v="29328"/>
    <n v="29095"/>
    <n v="156"/>
    <n v="233"/>
    <n v="8.0082488400068739E-3"/>
    <n v="188"/>
  </r>
  <r>
    <x v="26"/>
    <s v="S015"/>
    <s v="C01"/>
    <x v="14"/>
    <x v="2"/>
    <x v="14"/>
    <x v="0"/>
    <n v="67398"/>
    <n v="65842"/>
    <n v="141"/>
    <n v="1556"/>
    <n v="2.3632331946174173E-2"/>
    <n v="478"/>
  </r>
  <r>
    <x v="26"/>
    <s v="S016"/>
    <s v="C01"/>
    <x v="15"/>
    <x v="3"/>
    <x v="15"/>
    <x v="0"/>
    <n v="78914"/>
    <n v="76261"/>
    <n v="187"/>
    <n v="2653"/>
    <n v="3.4788423965067337E-2"/>
    <n v="422"/>
  </r>
  <r>
    <x v="26"/>
    <s v="S017"/>
    <s v="C05"/>
    <x v="16"/>
    <x v="3"/>
    <x v="16"/>
    <x v="3"/>
    <n v="53872"/>
    <n v="58200"/>
    <n v="182"/>
    <n v="-4328"/>
    <n v="-7.4364261168384876E-2"/>
    <n v="296"/>
  </r>
  <r>
    <x v="26"/>
    <s v="S018"/>
    <s v="C05"/>
    <x v="17"/>
    <x v="4"/>
    <x v="17"/>
    <x v="3"/>
    <n v="41919"/>
    <n v="43220"/>
    <n v="157"/>
    <n v="-1301"/>
    <n v="-3.0101804720037019E-2"/>
    <n v="267"/>
  </r>
  <r>
    <x v="26"/>
    <s v="S019"/>
    <s v="C05"/>
    <x v="18"/>
    <x v="5"/>
    <x v="18"/>
    <x v="3"/>
    <n v="33660"/>
    <n v="37208"/>
    <n v="132"/>
    <n v="-3548"/>
    <n v="-9.5355837454310907E-2"/>
    <n v="255"/>
  </r>
  <r>
    <x v="26"/>
    <s v="S020"/>
    <s v="C02"/>
    <x v="19"/>
    <x v="6"/>
    <x v="19"/>
    <x v="1"/>
    <n v="20339"/>
    <n v="23126"/>
    <n v="43"/>
    <n v="-2787"/>
    <n v="-0.12051370751535069"/>
    <n v="473"/>
  </r>
  <r>
    <x v="27"/>
    <s v="S001"/>
    <s v="C01"/>
    <x v="0"/>
    <x v="0"/>
    <x v="0"/>
    <x v="0"/>
    <n v="15687"/>
    <n v="15847"/>
    <n v="83"/>
    <n v="-160"/>
    <n v="-1.0096548242569571E-2"/>
    <n v="189"/>
  </r>
  <r>
    <x v="27"/>
    <s v="S002"/>
    <s v="C04"/>
    <x v="1"/>
    <x v="0"/>
    <x v="1"/>
    <x v="2"/>
    <n v="28543"/>
    <n v="30615"/>
    <n v="73"/>
    <n v="-2072"/>
    <n v="-6.7679242201535192E-2"/>
    <n v="391"/>
  </r>
  <r>
    <x v="27"/>
    <s v="S003"/>
    <s v="C04"/>
    <x v="2"/>
    <x v="0"/>
    <x v="2"/>
    <x v="2"/>
    <n v="80359"/>
    <n v="90816"/>
    <n v="163"/>
    <n v="-10457"/>
    <n v="-0.11514490838618746"/>
    <n v="493"/>
  </r>
  <r>
    <x v="27"/>
    <s v="S004"/>
    <s v="C01"/>
    <x v="3"/>
    <x v="0"/>
    <x v="3"/>
    <x v="0"/>
    <n v="53750"/>
    <n v="55344"/>
    <n v="215"/>
    <n v="-1594"/>
    <n v="-2.8801676785198033E-2"/>
    <n v="250"/>
  </r>
  <r>
    <x v="27"/>
    <s v="S005"/>
    <s v="C05"/>
    <x v="4"/>
    <x v="0"/>
    <x v="4"/>
    <x v="3"/>
    <n v="61242"/>
    <n v="62441"/>
    <n v="118"/>
    <n v="-1199"/>
    <n v="-1.9202126807706475E-2"/>
    <n v="519"/>
  </r>
  <r>
    <x v="27"/>
    <s v="S006"/>
    <s v="C04"/>
    <x v="5"/>
    <x v="1"/>
    <x v="5"/>
    <x v="2"/>
    <n v="30820"/>
    <n v="31279"/>
    <n v="115"/>
    <n v="-459"/>
    <n v="-1.4674382173343138E-2"/>
    <n v="268"/>
  </r>
  <r>
    <x v="27"/>
    <s v="S007"/>
    <s v="C05"/>
    <x v="6"/>
    <x v="1"/>
    <x v="6"/>
    <x v="3"/>
    <n v="55998"/>
    <n v="55358"/>
    <n v="122"/>
    <n v="640"/>
    <n v="1.156111131182485E-2"/>
    <n v="459"/>
  </r>
  <r>
    <x v="27"/>
    <s v="S008"/>
    <s v="C03"/>
    <x v="7"/>
    <x v="1"/>
    <x v="7"/>
    <x v="4"/>
    <n v="81557"/>
    <n v="77321"/>
    <n v="191"/>
    <n v="4236"/>
    <n v="5.4784599267986706E-2"/>
    <n v="427"/>
  </r>
  <r>
    <x v="27"/>
    <s v="S009"/>
    <s v="C02"/>
    <x v="8"/>
    <x v="1"/>
    <x v="8"/>
    <x v="1"/>
    <n v="49290"/>
    <n v="48039"/>
    <n v="106"/>
    <n v="1251"/>
    <n v="2.604134141010429E-2"/>
    <n v="465"/>
  </r>
  <r>
    <x v="27"/>
    <s v="S010"/>
    <s v="C03"/>
    <x v="9"/>
    <x v="1"/>
    <x v="9"/>
    <x v="4"/>
    <n v="30888"/>
    <n v="33129"/>
    <n v="108"/>
    <n v="-2241"/>
    <n v="-6.7644661776691123E-2"/>
    <n v="286"/>
  </r>
  <r>
    <x v="27"/>
    <s v="S011"/>
    <s v="C04"/>
    <x v="10"/>
    <x v="2"/>
    <x v="10"/>
    <x v="2"/>
    <n v="49300"/>
    <n v="48668"/>
    <n v="116"/>
    <n v="632"/>
    <n v="1.2985945590531766E-2"/>
    <n v="425"/>
  </r>
  <r>
    <x v="27"/>
    <s v="S012"/>
    <s v="C03"/>
    <x v="11"/>
    <x v="2"/>
    <x v="11"/>
    <x v="4"/>
    <n v="26136"/>
    <n v="27269"/>
    <n v="108"/>
    <n v="-1133"/>
    <n v="-4.1549011698265428E-2"/>
    <n v="242"/>
  </r>
  <r>
    <x v="27"/>
    <s v="S013"/>
    <s v="C05"/>
    <x v="12"/>
    <x v="2"/>
    <x v="12"/>
    <x v="3"/>
    <n v="50424"/>
    <n v="55698"/>
    <n v="132"/>
    <n v="-5274"/>
    <n v="-9.4689216848001717E-2"/>
    <n v="382"/>
  </r>
  <r>
    <x v="27"/>
    <s v="S014"/>
    <s v="C02"/>
    <x v="13"/>
    <x v="2"/>
    <x v="13"/>
    <x v="1"/>
    <n v="21909"/>
    <n v="21293"/>
    <n v="109"/>
    <n v="616"/>
    <n v="2.8929695204996948E-2"/>
    <n v="201"/>
  </r>
  <r>
    <x v="27"/>
    <s v="S015"/>
    <s v="C01"/>
    <x v="14"/>
    <x v="2"/>
    <x v="14"/>
    <x v="0"/>
    <n v="49938"/>
    <n v="53133"/>
    <n v="123"/>
    <n v="-3195"/>
    <n v="-6.0132121280560107E-2"/>
    <n v="406"/>
  </r>
  <r>
    <x v="27"/>
    <s v="S016"/>
    <s v="C04"/>
    <x v="15"/>
    <x v="3"/>
    <x v="15"/>
    <x v="2"/>
    <n v="25187"/>
    <n v="27881"/>
    <n v="89"/>
    <n v="-2694"/>
    <n v="-9.6624941716581189E-2"/>
    <n v="283"/>
  </r>
  <r>
    <x v="27"/>
    <s v="S017"/>
    <s v="C03"/>
    <x v="16"/>
    <x v="3"/>
    <x v="16"/>
    <x v="4"/>
    <n v="56782"/>
    <n v="53052"/>
    <n v="178"/>
    <n v="3730"/>
    <n v="7.0308376687024055E-2"/>
    <n v="319"/>
  </r>
  <r>
    <x v="27"/>
    <s v="S018"/>
    <s v="C05"/>
    <x v="17"/>
    <x v="4"/>
    <x v="17"/>
    <x v="3"/>
    <n v="55870"/>
    <n v="53669"/>
    <n v="185"/>
    <n v="2201"/>
    <n v="4.1010639288975012E-2"/>
    <n v="302"/>
  </r>
  <r>
    <x v="27"/>
    <s v="S019"/>
    <s v="C05"/>
    <x v="18"/>
    <x v="5"/>
    <x v="18"/>
    <x v="3"/>
    <n v="46552"/>
    <n v="44606"/>
    <n v="92"/>
    <n v="1946"/>
    <n v="4.3626417970676588E-2"/>
    <n v="506"/>
  </r>
  <r>
    <x v="27"/>
    <s v="S020"/>
    <s v="C01"/>
    <x v="19"/>
    <x v="6"/>
    <x v="19"/>
    <x v="0"/>
    <n v="48860"/>
    <n v="52736"/>
    <n v="140"/>
    <n v="-3876"/>
    <n v="-7.3498179611650491E-2"/>
    <n v="349"/>
  </r>
  <r>
    <x v="28"/>
    <s v="S001"/>
    <s v="C01"/>
    <x v="0"/>
    <x v="0"/>
    <x v="0"/>
    <x v="0"/>
    <n v="52250"/>
    <n v="47092"/>
    <n v="209"/>
    <n v="5158"/>
    <n v="0.10953028115178799"/>
    <n v="250"/>
  </r>
  <r>
    <x v="28"/>
    <s v="S002"/>
    <s v="C05"/>
    <x v="1"/>
    <x v="0"/>
    <x v="1"/>
    <x v="3"/>
    <n v="29100"/>
    <n v="30939"/>
    <n v="75"/>
    <n v="-1839"/>
    <n v="-5.9439542325220598E-2"/>
    <n v="388"/>
  </r>
  <r>
    <x v="28"/>
    <s v="S003"/>
    <s v="C04"/>
    <x v="2"/>
    <x v="0"/>
    <x v="2"/>
    <x v="2"/>
    <n v="80541"/>
    <n v="76502"/>
    <n v="157"/>
    <n v="4039"/>
    <n v="5.2796005333193903E-2"/>
    <n v="513"/>
  </r>
  <r>
    <x v="28"/>
    <s v="S004"/>
    <s v="C03"/>
    <x v="3"/>
    <x v="0"/>
    <x v="3"/>
    <x v="4"/>
    <n v="38142"/>
    <n v="40486"/>
    <n v="117"/>
    <n v="-2344"/>
    <n v="-5.7896556834461294E-2"/>
    <n v="326"/>
  </r>
  <r>
    <x v="28"/>
    <s v="S005"/>
    <s v="C01"/>
    <x v="4"/>
    <x v="0"/>
    <x v="4"/>
    <x v="0"/>
    <n v="95073"/>
    <n v="91085"/>
    <n v="201"/>
    <n v="3988"/>
    <n v="4.3783279354449138E-2"/>
    <n v="473"/>
  </r>
  <r>
    <x v="28"/>
    <s v="S006"/>
    <s v="C01"/>
    <x v="5"/>
    <x v="1"/>
    <x v="5"/>
    <x v="0"/>
    <n v="31047"/>
    <n v="34790"/>
    <n v="79"/>
    <n v="-3743"/>
    <n v="-0.10758838746766312"/>
    <n v="393"/>
  </r>
  <r>
    <x v="28"/>
    <s v="S007"/>
    <s v="C02"/>
    <x v="6"/>
    <x v="1"/>
    <x v="6"/>
    <x v="1"/>
    <n v="16852"/>
    <n v="18486"/>
    <n v="44"/>
    <n v="-1634"/>
    <n v="-8.8391214973493448E-2"/>
    <n v="383"/>
  </r>
  <r>
    <x v="28"/>
    <s v="S008"/>
    <s v="C02"/>
    <x v="7"/>
    <x v="1"/>
    <x v="7"/>
    <x v="1"/>
    <n v="21691"/>
    <n v="19572"/>
    <n v="109"/>
    <n v="2119"/>
    <n v="0.10826691191498058"/>
    <n v="199"/>
  </r>
  <r>
    <x v="28"/>
    <s v="S009"/>
    <s v="C05"/>
    <x v="8"/>
    <x v="1"/>
    <x v="8"/>
    <x v="3"/>
    <n v="44226"/>
    <n v="50068"/>
    <n v="189"/>
    <n v="-5842"/>
    <n v="-0.11668131341375729"/>
    <n v="234"/>
  </r>
  <r>
    <x v="28"/>
    <s v="S010"/>
    <s v="C03"/>
    <x v="9"/>
    <x v="1"/>
    <x v="9"/>
    <x v="4"/>
    <n v="44084"/>
    <n v="50576"/>
    <n v="107"/>
    <n v="-6492"/>
    <n v="-0.12836127807655806"/>
    <n v="412"/>
  </r>
  <r>
    <x v="28"/>
    <s v="S011"/>
    <s v="C05"/>
    <x v="10"/>
    <x v="2"/>
    <x v="10"/>
    <x v="3"/>
    <n v="73008"/>
    <n v="81937"/>
    <n v="169"/>
    <n v="-8929"/>
    <n v="-0.10897396780453275"/>
    <n v="432"/>
  </r>
  <r>
    <x v="28"/>
    <s v="S012"/>
    <s v="C02"/>
    <x v="11"/>
    <x v="2"/>
    <x v="11"/>
    <x v="1"/>
    <n v="68716"/>
    <n v="66531"/>
    <n v="164"/>
    <n v="2185"/>
    <n v="3.2841833130420404E-2"/>
    <n v="419"/>
  </r>
  <r>
    <x v="28"/>
    <s v="S013"/>
    <s v="C01"/>
    <x v="12"/>
    <x v="2"/>
    <x v="12"/>
    <x v="0"/>
    <n v="31297"/>
    <n v="33887"/>
    <n v="119"/>
    <n v="-2590"/>
    <n v="-7.6430489568271018E-2"/>
    <n v="263"/>
  </r>
  <r>
    <x v="28"/>
    <s v="S014"/>
    <s v="C03"/>
    <x v="13"/>
    <x v="2"/>
    <x v="13"/>
    <x v="4"/>
    <n v="59950"/>
    <n v="54166"/>
    <n v="218"/>
    <n v="5784"/>
    <n v="0.10678285271203337"/>
    <n v="275"/>
  </r>
  <r>
    <x v="28"/>
    <s v="S015"/>
    <s v="C03"/>
    <x v="14"/>
    <x v="2"/>
    <x v="14"/>
    <x v="4"/>
    <n v="51700"/>
    <n v="55246"/>
    <n v="110"/>
    <n v="-3546"/>
    <n v="-6.4185642399449738E-2"/>
    <n v="470"/>
  </r>
  <r>
    <x v="28"/>
    <s v="S016"/>
    <s v="C02"/>
    <x v="15"/>
    <x v="3"/>
    <x v="15"/>
    <x v="1"/>
    <n v="38868"/>
    <n v="43300"/>
    <n v="79"/>
    <n v="-4432"/>
    <n v="-0.10235565819861432"/>
    <n v="492"/>
  </r>
  <r>
    <x v="28"/>
    <s v="S017"/>
    <s v="C04"/>
    <x v="16"/>
    <x v="3"/>
    <x v="16"/>
    <x v="2"/>
    <n v="63792"/>
    <n v="62642"/>
    <n v="144"/>
    <n v="1150"/>
    <n v="1.8358289965199066E-2"/>
    <n v="443"/>
  </r>
  <r>
    <x v="28"/>
    <s v="S018"/>
    <s v="C04"/>
    <x v="17"/>
    <x v="4"/>
    <x v="17"/>
    <x v="2"/>
    <n v="46968"/>
    <n v="44440"/>
    <n v="206"/>
    <n v="2528"/>
    <n v="5.6885688568856889E-2"/>
    <n v="228"/>
  </r>
  <r>
    <x v="28"/>
    <s v="S019"/>
    <s v="C02"/>
    <x v="18"/>
    <x v="5"/>
    <x v="18"/>
    <x v="1"/>
    <n v="54165"/>
    <n v="61420"/>
    <n v="157"/>
    <n v="-7255"/>
    <n v="-0.11812113318137414"/>
    <n v="345"/>
  </r>
  <r>
    <x v="28"/>
    <s v="S020"/>
    <s v="C01"/>
    <x v="19"/>
    <x v="6"/>
    <x v="19"/>
    <x v="0"/>
    <n v="37976"/>
    <n v="36414"/>
    <n v="101"/>
    <n v="1562"/>
    <n v="4.2895589608392376E-2"/>
    <n v="376"/>
  </r>
  <r>
    <x v="29"/>
    <s v="S001"/>
    <s v="C03"/>
    <x v="0"/>
    <x v="0"/>
    <x v="0"/>
    <x v="4"/>
    <n v="39746"/>
    <n v="41559"/>
    <n v="119"/>
    <n v="-1813"/>
    <n v="-4.3624726292740439E-2"/>
    <n v="334"/>
  </r>
  <r>
    <x v="29"/>
    <s v="S002"/>
    <s v="C05"/>
    <x v="1"/>
    <x v="0"/>
    <x v="1"/>
    <x v="3"/>
    <n v="11581"/>
    <n v="12315"/>
    <n v="37"/>
    <n v="-734"/>
    <n v="-5.9602111246447424E-2"/>
    <n v="313"/>
  </r>
  <r>
    <x v="29"/>
    <s v="S003"/>
    <s v="C02"/>
    <x v="2"/>
    <x v="0"/>
    <x v="2"/>
    <x v="1"/>
    <n v="12000"/>
    <n v="12196"/>
    <n v="50"/>
    <n v="-196"/>
    <n v="-1.6070842899311249E-2"/>
    <n v="240"/>
  </r>
  <r>
    <x v="29"/>
    <s v="S004"/>
    <s v="C02"/>
    <x v="3"/>
    <x v="0"/>
    <x v="3"/>
    <x v="1"/>
    <n v="60306"/>
    <n v="68192"/>
    <n v="138"/>
    <n v="-7886"/>
    <n v="-0.11564406381980291"/>
    <n v="437"/>
  </r>
  <r>
    <x v="29"/>
    <s v="S005"/>
    <s v="C03"/>
    <x v="4"/>
    <x v="0"/>
    <x v="4"/>
    <x v="4"/>
    <n v="50640"/>
    <n v="53662"/>
    <n v="211"/>
    <n v="-3022"/>
    <n v="-5.63154560023853E-2"/>
    <n v="240"/>
  </r>
  <r>
    <x v="29"/>
    <s v="S006"/>
    <s v="C03"/>
    <x v="5"/>
    <x v="1"/>
    <x v="5"/>
    <x v="4"/>
    <n v="63726"/>
    <n v="60871"/>
    <n v="129"/>
    <n v="2855"/>
    <n v="4.6902465870447337E-2"/>
    <n v="494"/>
  </r>
  <r>
    <x v="29"/>
    <s v="S007"/>
    <s v="C02"/>
    <x v="6"/>
    <x v="1"/>
    <x v="6"/>
    <x v="1"/>
    <n v="40506"/>
    <n v="41062"/>
    <n v="157"/>
    <n v="-556"/>
    <n v="-1.3540499732112415E-2"/>
    <n v="258"/>
  </r>
  <r>
    <x v="29"/>
    <s v="S008"/>
    <s v="C05"/>
    <x v="7"/>
    <x v="1"/>
    <x v="7"/>
    <x v="3"/>
    <n v="50960"/>
    <n v="54806"/>
    <n v="130"/>
    <n v="-3846"/>
    <n v="-7.0174798379739445E-2"/>
    <n v="392"/>
  </r>
  <r>
    <x v="29"/>
    <s v="S009"/>
    <s v="C04"/>
    <x v="8"/>
    <x v="1"/>
    <x v="8"/>
    <x v="2"/>
    <n v="89440"/>
    <n v="98956"/>
    <n v="172"/>
    <n v="-9516"/>
    <n v="-9.6163951655281132E-2"/>
    <n v="520"/>
  </r>
  <r>
    <x v="29"/>
    <s v="S010"/>
    <s v="C02"/>
    <x v="9"/>
    <x v="1"/>
    <x v="9"/>
    <x v="1"/>
    <n v="101365"/>
    <n v="113354"/>
    <n v="209"/>
    <n v="-11989"/>
    <n v="-0.10576600737512572"/>
    <n v="485"/>
  </r>
  <r>
    <x v="29"/>
    <s v="S011"/>
    <s v="C01"/>
    <x v="10"/>
    <x v="2"/>
    <x v="10"/>
    <x v="0"/>
    <n v="68952"/>
    <n v="71161"/>
    <n v="169"/>
    <n v="-2209"/>
    <n v="-3.1042284397352484E-2"/>
    <n v="408"/>
  </r>
  <r>
    <x v="29"/>
    <s v="S012"/>
    <s v="C03"/>
    <x v="11"/>
    <x v="2"/>
    <x v="11"/>
    <x v="4"/>
    <n v="25272"/>
    <n v="23453"/>
    <n v="54"/>
    <n v="1819"/>
    <n v="7.7559374067283499E-2"/>
    <n v="468"/>
  </r>
  <r>
    <x v="29"/>
    <s v="S013"/>
    <s v="C05"/>
    <x v="12"/>
    <x v="2"/>
    <x v="12"/>
    <x v="3"/>
    <n v="46412"/>
    <n v="48415"/>
    <n v="164"/>
    <n v="-2003"/>
    <n v="-4.1371475782298876E-2"/>
    <n v="283"/>
  </r>
  <r>
    <x v="29"/>
    <s v="S014"/>
    <s v="C02"/>
    <x v="13"/>
    <x v="2"/>
    <x v="13"/>
    <x v="1"/>
    <n v="26719"/>
    <n v="29754"/>
    <n v="77"/>
    <n v="-3035"/>
    <n v="-0.10200309202124085"/>
    <n v="347"/>
  </r>
  <r>
    <x v="29"/>
    <s v="S015"/>
    <s v="C04"/>
    <x v="14"/>
    <x v="2"/>
    <x v="14"/>
    <x v="2"/>
    <n v="18240"/>
    <n v="19685"/>
    <n v="64"/>
    <n v="-1445"/>
    <n v="-7.3406146812293627E-2"/>
    <n v="285"/>
  </r>
  <r>
    <x v="29"/>
    <s v="S016"/>
    <s v="C04"/>
    <x v="15"/>
    <x v="3"/>
    <x v="15"/>
    <x v="2"/>
    <n v="25578"/>
    <n v="25868"/>
    <n v="58"/>
    <n v="-290"/>
    <n v="-1.1210762331838564E-2"/>
    <n v="441"/>
  </r>
  <r>
    <x v="29"/>
    <s v="S017"/>
    <s v="C01"/>
    <x v="16"/>
    <x v="3"/>
    <x v="16"/>
    <x v="0"/>
    <n v="37297"/>
    <n v="38352"/>
    <n v="151"/>
    <n v="-1055"/>
    <n v="-2.7508343763037131E-2"/>
    <n v="247"/>
  </r>
  <r>
    <x v="29"/>
    <s v="S018"/>
    <s v="C04"/>
    <x v="17"/>
    <x v="4"/>
    <x v="17"/>
    <x v="2"/>
    <n v="37411"/>
    <n v="38896"/>
    <n v="179"/>
    <n v="-1485"/>
    <n v="-3.8178733031674211E-2"/>
    <n v="209"/>
  </r>
  <r>
    <x v="29"/>
    <s v="S019"/>
    <s v="C03"/>
    <x v="18"/>
    <x v="5"/>
    <x v="18"/>
    <x v="4"/>
    <n v="42020"/>
    <n v="41977"/>
    <n v="220"/>
    <n v="43"/>
    <n v="1.0243704886009005E-3"/>
    <n v="191"/>
  </r>
  <r>
    <x v="29"/>
    <s v="S020"/>
    <s v="C01"/>
    <x v="19"/>
    <x v="6"/>
    <x v="19"/>
    <x v="0"/>
    <n v="42840"/>
    <n v="39338"/>
    <n v="90"/>
    <n v="3502"/>
    <n v="8.9023336214347451E-2"/>
    <n v="476"/>
  </r>
  <r>
    <x v="30"/>
    <s v="S001"/>
    <s v="C04"/>
    <x v="0"/>
    <x v="0"/>
    <x v="0"/>
    <x v="2"/>
    <n v="26076"/>
    <n v="26996"/>
    <n v="123"/>
    <n v="-920"/>
    <n v="-3.4079122833012301E-2"/>
    <n v="212"/>
  </r>
  <r>
    <x v="30"/>
    <s v="S002"/>
    <s v="C01"/>
    <x v="1"/>
    <x v="0"/>
    <x v="1"/>
    <x v="0"/>
    <n v="21892"/>
    <n v="19876"/>
    <n v="52"/>
    <n v="2016"/>
    <n v="0.1014288589253371"/>
    <n v="421"/>
  </r>
  <r>
    <x v="30"/>
    <s v="S003"/>
    <s v="C04"/>
    <x v="2"/>
    <x v="0"/>
    <x v="2"/>
    <x v="2"/>
    <n v="20169"/>
    <n v="22013"/>
    <n v="81"/>
    <n v="-1844"/>
    <n v="-8.3768682142370418E-2"/>
    <n v="249"/>
  </r>
  <r>
    <x v="30"/>
    <s v="S004"/>
    <s v="C04"/>
    <x v="3"/>
    <x v="0"/>
    <x v="3"/>
    <x v="2"/>
    <n v="48750"/>
    <n v="49341"/>
    <n v="130"/>
    <n v="-591"/>
    <n v="-1.1977868304250015E-2"/>
    <n v="375"/>
  </r>
  <r>
    <x v="30"/>
    <s v="S005"/>
    <s v="C04"/>
    <x v="4"/>
    <x v="0"/>
    <x v="4"/>
    <x v="2"/>
    <n v="28951"/>
    <n v="30997"/>
    <n v="131"/>
    <n v="-2046"/>
    <n v="-6.6006387714940162E-2"/>
    <n v="221"/>
  </r>
  <r>
    <x v="30"/>
    <s v="S006"/>
    <s v="C05"/>
    <x v="5"/>
    <x v="1"/>
    <x v="5"/>
    <x v="3"/>
    <n v="35466"/>
    <n v="39547"/>
    <n v="69"/>
    <n v="-4081"/>
    <n v="-0.10319366829342301"/>
    <n v="514"/>
  </r>
  <r>
    <x v="30"/>
    <s v="S007"/>
    <s v="C01"/>
    <x v="6"/>
    <x v="1"/>
    <x v="6"/>
    <x v="0"/>
    <n v="36400"/>
    <n v="36336"/>
    <n v="80"/>
    <n v="64"/>
    <n v="1.7613386173491853E-3"/>
    <n v="455"/>
  </r>
  <r>
    <x v="30"/>
    <s v="S008"/>
    <s v="C02"/>
    <x v="7"/>
    <x v="1"/>
    <x v="7"/>
    <x v="1"/>
    <n v="16652"/>
    <n v="18134"/>
    <n v="92"/>
    <n v="-1482"/>
    <n v="-8.172493658321385E-2"/>
    <n v="181"/>
  </r>
  <r>
    <x v="30"/>
    <s v="S009"/>
    <s v="C03"/>
    <x v="8"/>
    <x v="1"/>
    <x v="8"/>
    <x v="4"/>
    <n v="70074"/>
    <n v="70496"/>
    <n v="153"/>
    <n v="-422"/>
    <n v="-5.9861552428506579E-3"/>
    <n v="458"/>
  </r>
  <r>
    <x v="30"/>
    <s v="S010"/>
    <s v="C04"/>
    <x v="9"/>
    <x v="1"/>
    <x v="9"/>
    <x v="2"/>
    <n v="28458"/>
    <n v="28889"/>
    <n v="93"/>
    <n v="-431"/>
    <n v="-1.4919173387794662E-2"/>
    <n v="306"/>
  </r>
  <r>
    <x v="30"/>
    <s v="S011"/>
    <s v="C02"/>
    <x v="10"/>
    <x v="2"/>
    <x v="10"/>
    <x v="1"/>
    <n v="28980"/>
    <n v="32873"/>
    <n v="105"/>
    <n v="-3893"/>
    <n v="-0.1184254555410215"/>
    <n v="276"/>
  </r>
  <r>
    <x v="30"/>
    <s v="S012"/>
    <s v="C01"/>
    <x v="11"/>
    <x v="2"/>
    <x v="11"/>
    <x v="0"/>
    <n v="22274"/>
    <n v="22381"/>
    <n v="43"/>
    <n v="-107"/>
    <n v="-4.7808408918278899E-3"/>
    <n v="518"/>
  </r>
  <r>
    <x v="30"/>
    <s v="S013"/>
    <s v="C01"/>
    <x v="12"/>
    <x v="2"/>
    <x v="12"/>
    <x v="0"/>
    <n v="27360"/>
    <n v="25084"/>
    <n v="96"/>
    <n v="2276"/>
    <n v="9.0735129963323238E-2"/>
    <n v="285"/>
  </r>
  <r>
    <x v="30"/>
    <s v="S014"/>
    <s v="C05"/>
    <x v="13"/>
    <x v="2"/>
    <x v="13"/>
    <x v="3"/>
    <n v="17544"/>
    <n v="18411"/>
    <n v="43"/>
    <n v="-867"/>
    <n v="-4.7091412742382273E-2"/>
    <n v="408"/>
  </r>
  <r>
    <x v="30"/>
    <s v="S015"/>
    <s v="C01"/>
    <x v="14"/>
    <x v="2"/>
    <x v="14"/>
    <x v="0"/>
    <n v="19594"/>
    <n v="19605"/>
    <n v="97"/>
    <n v="-11"/>
    <n v="-5.6108135679673555E-4"/>
    <n v="202"/>
  </r>
  <r>
    <x v="30"/>
    <s v="S016"/>
    <s v="C02"/>
    <x v="15"/>
    <x v="3"/>
    <x v="15"/>
    <x v="1"/>
    <n v="50343"/>
    <n v="54803"/>
    <n v="173"/>
    <n v="-4460"/>
    <n v="-8.1382406072660257E-2"/>
    <n v="291"/>
  </r>
  <r>
    <x v="30"/>
    <s v="S017"/>
    <s v="C01"/>
    <x v="16"/>
    <x v="3"/>
    <x v="16"/>
    <x v="0"/>
    <n v="30590"/>
    <n v="35128"/>
    <n v="70"/>
    <n v="-4538"/>
    <n v="-0.12918469596902757"/>
    <n v="437"/>
  </r>
  <r>
    <x v="30"/>
    <s v="S018"/>
    <s v="C02"/>
    <x v="17"/>
    <x v="4"/>
    <x v="17"/>
    <x v="1"/>
    <n v="62426"/>
    <n v="65195"/>
    <n v="182"/>
    <n v="-2769"/>
    <n v="-4.2472582253240278E-2"/>
    <n v="343"/>
  </r>
  <r>
    <x v="30"/>
    <s v="S019"/>
    <s v="C03"/>
    <x v="18"/>
    <x v="5"/>
    <x v="18"/>
    <x v="4"/>
    <n v="31730"/>
    <n v="35507"/>
    <n v="95"/>
    <n v="-3777"/>
    <n v="-0.10637339116230603"/>
    <n v="334"/>
  </r>
  <r>
    <x v="30"/>
    <s v="S020"/>
    <s v="C05"/>
    <x v="19"/>
    <x v="6"/>
    <x v="19"/>
    <x v="3"/>
    <n v="35581"/>
    <n v="34695"/>
    <n v="91"/>
    <n v="886"/>
    <n v="2.5536820867560168E-2"/>
    <n v="391"/>
  </r>
  <r>
    <x v="31"/>
    <s v="S001"/>
    <s v="C01"/>
    <x v="0"/>
    <x v="0"/>
    <x v="0"/>
    <x v="0"/>
    <n v="85314"/>
    <n v="95545"/>
    <n v="177"/>
    <n v="-10231"/>
    <n v="-0.10708043330367889"/>
    <n v="482"/>
  </r>
  <r>
    <x v="31"/>
    <s v="S002"/>
    <s v="C02"/>
    <x v="1"/>
    <x v="0"/>
    <x v="1"/>
    <x v="1"/>
    <n v="77610"/>
    <n v="80633"/>
    <n v="195"/>
    <n v="-3023"/>
    <n v="-3.7490853620726003E-2"/>
    <n v="398"/>
  </r>
  <r>
    <x v="31"/>
    <s v="S003"/>
    <s v="C01"/>
    <x v="2"/>
    <x v="0"/>
    <x v="2"/>
    <x v="0"/>
    <n v="62607"/>
    <n v="66853"/>
    <n v="123"/>
    <n v="-4246"/>
    <n v="-6.351248261110197E-2"/>
    <n v="509"/>
  </r>
  <r>
    <x v="31"/>
    <s v="S004"/>
    <s v="C05"/>
    <x v="3"/>
    <x v="0"/>
    <x v="3"/>
    <x v="3"/>
    <n v="45588"/>
    <n v="45682"/>
    <n v="116"/>
    <n v="-94"/>
    <n v="-2.0577032529223763E-3"/>
    <n v="393"/>
  </r>
  <r>
    <x v="31"/>
    <s v="S005"/>
    <s v="C03"/>
    <x v="4"/>
    <x v="0"/>
    <x v="4"/>
    <x v="4"/>
    <n v="35894"/>
    <n v="39074"/>
    <n v="131"/>
    <n v="-3180"/>
    <n v="-8.1384040538465471E-2"/>
    <n v="274"/>
  </r>
  <r>
    <x v="31"/>
    <s v="S006"/>
    <s v="C04"/>
    <x v="5"/>
    <x v="1"/>
    <x v="5"/>
    <x v="2"/>
    <n v="28320"/>
    <n v="27617"/>
    <n v="96"/>
    <n v="703"/>
    <n v="2.5455335481768475E-2"/>
    <n v="295"/>
  </r>
  <r>
    <x v="31"/>
    <s v="S007"/>
    <s v="C02"/>
    <x v="6"/>
    <x v="1"/>
    <x v="6"/>
    <x v="1"/>
    <n v="31977"/>
    <n v="33275"/>
    <n v="153"/>
    <n v="-1298"/>
    <n v="-3.9008264462809916E-2"/>
    <n v="209"/>
  </r>
  <r>
    <x v="31"/>
    <s v="S008"/>
    <s v="C04"/>
    <x v="7"/>
    <x v="1"/>
    <x v="7"/>
    <x v="2"/>
    <n v="79827"/>
    <n v="74520"/>
    <n v="177"/>
    <n v="5307"/>
    <n v="7.1215780998389697E-2"/>
    <n v="451"/>
  </r>
  <r>
    <x v="31"/>
    <s v="S009"/>
    <s v="C02"/>
    <x v="8"/>
    <x v="1"/>
    <x v="8"/>
    <x v="1"/>
    <n v="28400"/>
    <n v="27904"/>
    <n v="100"/>
    <n v="496"/>
    <n v="1.7775229357798166E-2"/>
    <n v="284"/>
  </r>
  <r>
    <x v="31"/>
    <s v="S010"/>
    <s v="C01"/>
    <x v="9"/>
    <x v="1"/>
    <x v="9"/>
    <x v="0"/>
    <n v="55350"/>
    <n v="51094"/>
    <n v="150"/>
    <n v="4256"/>
    <n v="8.329745175558774E-2"/>
    <n v="369"/>
  </r>
  <r>
    <x v="31"/>
    <s v="S011"/>
    <s v="C02"/>
    <x v="10"/>
    <x v="2"/>
    <x v="10"/>
    <x v="1"/>
    <n v="15216"/>
    <n v="15129"/>
    <n v="48"/>
    <n v="87"/>
    <n v="5.7505453103311524E-3"/>
    <n v="317"/>
  </r>
  <r>
    <x v="31"/>
    <s v="S012"/>
    <s v="C05"/>
    <x v="11"/>
    <x v="2"/>
    <x v="11"/>
    <x v="3"/>
    <n v="37800"/>
    <n v="42275"/>
    <n v="189"/>
    <n v="-4475"/>
    <n v="-0.10585452395032525"/>
    <n v="200"/>
  </r>
  <r>
    <x v="31"/>
    <s v="S013"/>
    <s v="C02"/>
    <x v="12"/>
    <x v="2"/>
    <x v="12"/>
    <x v="1"/>
    <n v="86210"/>
    <n v="82266"/>
    <n v="185"/>
    <n v="3944"/>
    <n v="4.7942041669705587E-2"/>
    <n v="466"/>
  </r>
  <r>
    <x v="31"/>
    <s v="S014"/>
    <s v="C02"/>
    <x v="13"/>
    <x v="2"/>
    <x v="13"/>
    <x v="1"/>
    <n v="40200"/>
    <n v="45798"/>
    <n v="120"/>
    <n v="-5598"/>
    <n v="-0.12223241189571597"/>
    <n v="335"/>
  </r>
  <r>
    <x v="31"/>
    <s v="S015"/>
    <s v="C01"/>
    <x v="14"/>
    <x v="2"/>
    <x v="14"/>
    <x v="0"/>
    <n v="24653"/>
    <n v="28117"/>
    <n v="89"/>
    <n v="-3464"/>
    <n v="-0.12319948785432301"/>
    <n v="277"/>
  </r>
  <r>
    <x v="31"/>
    <s v="S016"/>
    <s v="C01"/>
    <x v="15"/>
    <x v="3"/>
    <x v="15"/>
    <x v="0"/>
    <n v="47728"/>
    <n v="51255"/>
    <n v="157"/>
    <n v="-3527"/>
    <n v="-6.8812798751341331E-2"/>
    <n v="304"/>
  </r>
  <r>
    <x v="31"/>
    <s v="S017"/>
    <s v="C02"/>
    <x v="16"/>
    <x v="3"/>
    <x v="16"/>
    <x v="1"/>
    <n v="41072"/>
    <n v="42633"/>
    <n v="136"/>
    <n v="-1561"/>
    <n v="-3.661482888841977E-2"/>
    <n v="302"/>
  </r>
  <r>
    <x v="31"/>
    <s v="S018"/>
    <s v="C03"/>
    <x v="17"/>
    <x v="4"/>
    <x v="17"/>
    <x v="4"/>
    <n v="55176"/>
    <n v="57019"/>
    <n v="132"/>
    <n v="-1843"/>
    <n v="-3.2322559146951015E-2"/>
    <n v="418"/>
  </r>
  <r>
    <x v="31"/>
    <s v="S019"/>
    <s v="C03"/>
    <x v="18"/>
    <x v="5"/>
    <x v="18"/>
    <x v="4"/>
    <n v="35369"/>
    <n v="35012"/>
    <n v="113"/>
    <n v="357"/>
    <n v="1.0196504055752313E-2"/>
    <n v="313"/>
  </r>
  <r>
    <x v="31"/>
    <s v="S020"/>
    <s v="C04"/>
    <x v="19"/>
    <x v="6"/>
    <x v="19"/>
    <x v="2"/>
    <n v="35420"/>
    <n v="38986"/>
    <n v="154"/>
    <n v="-3566"/>
    <n v="-9.1468732365464531E-2"/>
    <n v="230"/>
  </r>
  <r>
    <x v="32"/>
    <s v="S001"/>
    <s v="C04"/>
    <x v="0"/>
    <x v="0"/>
    <x v="0"/>
    <x v="2"/>
    <n v="32944"/>
    <n v="32702"/>
    <n v="116"/>
    <n v="242"/>
    <n v="7.4001590116812427E-3"/>
    <n v="284"/>
  </r>
  <r>
    <x v="32"/>
    <s v="S002"/>
    <s v="C04"/>
    <x v="1"/>
    <x v="0"/>
    <x v="1"/>
    <x v="2"/>
    <n v="21528"/>
    <n v="24025"/>
    <n v="46"/>
    <n v="-2497"/>
    <n v="-0.10393340270551508"/>
    <n v="468"/>
  </r>
  <r>
    <x v="32"/>
    <s v="S003"/>
    <s v="C02"/>
    <x v="2"/>
    <x v="0"/>
    <x v="2"/>
    <x v="1"/>
    <n v="12207"/>
    <n v="12674"/>
    <n v="39"/>
    <n v="-467"/>
    <n v="-3.6847088527694492E-2"/>
    <n v="313"/>
  </r>
  <r>
    <x v="32"/>
    <s v="S004"/>
    <s v="C05"/>
    <x v="3"/>
    <x v="0"/>
    <x v="3"/>
    <x v="3"/>
    <n v="71919"/>
    <n v="70034"/>
    <n v="183"/>
    <n v="1885"/>
    <n v="2.6915498186595083E-2"/>
    <n v="393"/>
  </r>
  <r>
    <x v="32"/>
    <s v="S005"/>
    <s v="C02"/>
    <x v="4"/>
    <x v="0"/>
    <x v="4"/>
    <x v="1"/>
    <n v="35343"/>
    <n v="35164"/>
    <n v="119"/>
    <n v="179"/>
    <n v="5.0904333977931978E-3"/>
    <n v="297"/>
  </r>
  <r>
    <x v="32"/>
    <s v="S006"/>
    <s v="C02"/>
    <x v="5"/>
    <x v="1"/>
    <x v="5"/>
    <x v="1"/>
    <n v="74682"/>
    <n v="79435"/>
    <n v="162"/>
    <n v="-4753"/>
    <n v="-5.9835085289859632E-2"/>
    <n v="461"/>
  </r>
  <r>
    <x v="32"/>
    <s v="S007"/>
    <s v="C03"/>
    <x v="6"/>
    <x v="1"/>
    <x v="6"/>
    <x v="4"/>
    <n v="43000"/>
    <n v="49089"/>
    <n v="100"/>
    <n v="-6089"/>
    <n v="-0.12404000896331153"/>
    <n v="430"/>
  </r>
  <r>
    <x v="32"/>
    <s v="S008"/>
    <s v="C04"/>
    <x v="7"/>
    <x v="1"/>
    <x v="7"/>
    <x v="2"/>
    <n v="40432"/>
    <n v="43795"/>
    <n v="152"/>
    <n v="-3363"/>
    <n v="-7.6789587852494581E-2"/>
    <n v="266"/>
  </r>
  <r>
    <x v="32"/>
    <s v="S009"/>
    <s v="C03"/>
    <x v="8"/>
    <x v="1"/>
    <x v="8"/>
    <x v="4"/>
    <n v="19578"/>
    <n v="21145"/>
    <n v="78"/>
    <n v="-1567"/>
    <n v="-7.410735398439347E-2"/>
    <n v="251"/>
  </r>
  <r>
    <x v="32"/>
    <s v="S010"/>
    <s v="C04"/>
    <x v="9"/>
    <x v="1"/>
    <x v="9"/>
    <x v="2"/>
    <n v="37474"/>
    <n v="43004"/>
    <n v="82"/>
    <n v="-5530"/>
    <n v="-0.12859268905218119"/>
    <n v="457"/>
  </r>
  <r>
    <x v="32"/>
    <s v="S011"/>
    <s v="C01"/>
    <x v="10"/>
    <x v="2"/>
    <x v="10"/>
    <x v="0"/>
    <n v="33293"/>
    <n v="36947"/>
    <n v="169"/>
    <n v="-3654"/>
    <n v="-9.8898422064037678E-2"/>
    <n v="197"/>
  </r>
  <r>
    <x v="32"/>
    <s v="S012"/>
    <s v="C01"/>
    <x v="11"/>
    <x v="2"/>
    <x v="11"/>
    <x v="0"/>
    <n v="42024"/>
    <n v="45851"/>
    <n v="206"/>
    <n v="-3827"/>
    <n v="-8.3466009465442415E-2"/>
    <n v="204"/>
  </r>
  <r>
    <x v="32"/>
    <s v="S013"/>
    <s v="C04"/>
    <x v="12"/>
    <x v="2"/>
    <x v="12"/>
    <x v="2"/>
    <n v="35140"/>
    <n v="33659"/>
    <n v="70"/>
    <n v="1481"/>
    <n v="4.4000118838943524E-2"/>
    <n v="502"/>
  </r>
  <r>
    <x v="32"/>
    <s v="S014"/>
    <s v="C02"/>
    <x v="13"/>
    <x v="2"/>
    <x v="13"/>
    <x v="1"/>
    <n v="10767"/>
    <n v="11051"/>
    <n v="37"/>
    <n v="-284"/>
    <n v="-2.5699031761831508E-2"/>
    <n v="291"/>
  </r>
  <r>
    <x v="32"/>
    <s v="S015"/>
    <s v="C03"/>
    <x v="14"/>
    <x v="2"/>
    <x v="14"/>
    <x v="4"/>
    <n v="24800"/>
    <n v="26273"/>
    <n v="50"/>
    <n v="-1473"/>
    <n v="-5.6065161953336128E-2"/>
    <n v="496"/>
  </r>
  <r>
    <x v="32"/>
    <s v="S016"/>
    <s v="C05"/>
    <x v="15"/>
    <x v="3"/>
    <x v="15"/>
    <x v="3"/>
    <n v="81686"/>
    <n v="83480"/>
    <n v="158"/>
    <n v="-1794"/>
    <n v="-2.1490177287973169E-2"/>
    <n v="517"/>
  </r>
  <r>
    <x v="32"/>
    <s v="S017"/>
    <s v="C01"/>
    <x v="16"/>
    <x v="3"/>
    <x v="16"/>
    <x v="0"/>
    <n v="79002"/>
    <n v="79225"/>
    <n v="171"/>
    <n v="-223"/>
    <n v="-2.8147680656358471E-3"/>
    <n v="462"/>
  </r>
  <r>
    <x v="32"/>
    <s v="S018"/>
    <s v="C01"/>
    <x v="17"/>
    <x v="4"/>
    <x v="17"/>
    <x v="0"/>
    <n v="54400"/>
    <n v="56246"/>
    <n v="170"/>
    <n v="-1846"/>
    <n v="-3.2820111652384167E-2"/>
    <n v="320"/>
  </r>
  <r>
    <x v="32"/>
    <s v="S019"/>
    <s v="C03"/>
    <x v="18"/>
    <x v="5"/>
    <x v="18"/>
    <x v="4"/>
    <n v="17043"/>
    <n v="18803"/>
    <n v="39"/>
    <n v="-1760"/>
    <n v="-9.3602084773706323E-2"/>
    <n v="437"/>
  </r>
  <r>
    <x v="32"/>
    <s v="S020"/>
    <s v="C04"/>
    <x v="19"/>
    <x v="6"/>
    <x v="19"/>
    <x v="2"/>
    <n v="18720"/>
    <n v="21144"/>
    <n v="80"/>
    <n v="-2424"/>
    <n v="-0.11464245175936436"/>
    <n v="234"/>
  </r>
  <r>
    <x v="33"/>
    <s v="S001"/>
    <s v="C05"/>
    <x v="0"/>
    <x v="0"/>
    <x v="0"/>
    <x v="3"/>
    <n v="22119"/>
    <n v="20968"/>
    <n v="73"/>
    <n v="1151"/>
    <n v="5.4893170545593284E-2"/>
    <n v="303"/>
  </r>
  <r>
    <x v="33"/>
    <s v="S002"/>
    <s v="C05"/>
    <x v="1"/>
    <x v="0"/>
    <x v="1"/>
    <x v="3"/>
    <n v="35739"/>
    <n v="34553"/>
    <n v="99"/>
    <n v="1186"/>
    <n v="3.4324081845281164E-2"/>
    <n v="361"/>
  </r>
  <r>
    <x v="33"/>
    <s v="S003"/>
    <s v="C04"/>
    <x v="2"/>
    <x v="0"/>
    <x v="2"/>
    <x v="2"/>
    <n v="20405"/>
    <n v="23258"/>
    <n v="55"/>
    <n v="-2853"/>
    <n v="-0.12266746925788975"/>
    <n v="371"/>
  </r>
  <r>
    <x v="33"/>
    <s v="S004"/>
    <s v="C04"/>
    <x v="3"/>
    <x v="0"/>
    <x v="3"/>
    <x v="2"/>
    <n v="54416"/>
    <n v="62445"/>
    <n v="179"/>
    <n v="-8029"/>
    <n v="-0.12857714789014332"/>
    <n v="304"/>
  </r>
  <r>
    <x v="33"/>
    <s v="S005"/>
    <s v="C02"/>
    <x v="4"/>
    <x v="0"/>
    <x v="4"/>
    <x v="1"/>
    <n v="24531"/>
    <n v="26087"/>
    <n v="111"/>
    <n v="-1556"/>
    <n v="-5.964656725572124E-2"/>
    <n v="221"/>
  </r>
  <r>
    <x v="33"/>
    <s v="S006"/>
    <s v="C01"/>
    <x v="5"/>
    <x v="1"/>
    <x v="5"/>
    <x v="0"/>
    <n v="22446"/>
    <n v="22329"/>
    <n v="58"/>
    <n v="117"/>
    <n v="5.2398226521563887E-3"/>
    <n v="387"/>
  </r>
  <r>
    <x v="33"/>
    <s v="S007"/>
    <s v="C05"/>
    <x v="6"/>
    <x v="1"/>
    <x v="6"/>
    <x v="3"/>
    <n v="32448"/>
    <n v="34368"/>
    <n v="156"/>
    <n v="-1920"/>
    <n v="-5.5865921787709494E-2"/>
    <n v="208"/>
  </r>
  <r>
    <x v="33"/>
    <s v="S008"/>
    <s v="C02"/>
    <x v="7"/>
    <x v="1"/>
    <x v="7"/>
    <x v="1"/>
    <n v="24360"/>
    <n v="27072"/>
    <n v="56"/>
    <n v="-2712"/>
    <n v="-0.10017730496453901"/>
    <n v="435"/>
  </r>
  <r>
    <x v="33"/>
    <s v="S009"/>
    <s v="C03"/>
    <x v="8"/>
    <x v="1"/>
    <x v="8"/>
    <x v="4"/>
    <n v="40812"/>
    <n v="45860"/>
    <n v="179"/>
    <n v="-5048"/>
    <n v="-0.1100741386829481"/>
    <n v="228"/>
  </r>
  <r>
    <x v="33"/>
    <s v="S010"/>
    <s v="C01"/>
    <x v="9"/>
    <x v="1"/>
    <x v="9"/>
    <x v="0"/>
    <n v="26784"/>
    <n v="30140"/>
    <n v="93"/>
    <n v="-3356"/>
    <n v="-0.11134704711347047"/>
    <n v="288"/>
  </r>
  <r>
    <x v="33"/>
    <s v="S011"/>
    <s v="C05"/>
    <x v="10"/>
    <x v="2"/>
    <x v="10"/>
    <x v="3"/>
    <n v="49608"/>
    <n v="45224"/>
    <n v="156"/>
    <n v="4384"/>
    <n v="9.6939678047054667E-2"/>
    <n v="318"/>
  </r>
  <r>
    <x v="33"/>
    <s v="S012"/>
    <s v="C01"/>
    <x v="11"/>
    <x v="2"/>
    <x v="11"/>
    <x v="0"/>
    <n v="67830"/>
    <n v="76297"/>
    <n v="210"/>
    <n v="-8467"/>
    <n v="-0.1109742191698232"/>
    <n v="323"/>
  </r>
  <r>
    <x v="33"/>
    <s v="S013"/>
    <s v="C05"/>
    <x v="12"/>
    <x v="2"/>
    <x v="12"/>
    <x v="3"/>
    <n v="39788"/>
    <n v="37593"/>
    <n v="203"/>
    <n v="2195"/>
    <n v="5.8388529779480225E-2"/>
    <n v="196"/>
  </r>
  <r>
    <x v="33"/>
    <s v="S014"/>
    <s v="C03"/>
    <x v="13"/>
    <x v="2"/>
    <x v="13"/>
    <x v="4"/>
    <n v="11154"/>
    <n v="11675"/>
    <n v="39"/>
    <n v="-521"/>
    <n v="-4.4625267665952893E-2"/>
    <n v="286"/>
  </r>
  <r>
    <x v="33"/>
    <s v="S015"/>
    <s v="C04"/>
    <x v="14"/>
    <x v="2"/>
    <x v="14"/>
    <x v="2"/>
    <n v="17982"/>
    <n v="16914"/>
    <n v="54"/>
    <n v="1068"/>
    <n v="6.314295849592054E-2"/>
    <n v="333"/>
  </r>
  <r>
    <x v="33"/>
    <s v="S016"/>
    <s v="C02"/>
    <x v="15"/>
    <x v="3"/>
    <x v="15"/>
    <x v="1"/>
    <n v="68220"/>
    <n v="72944"/>
    <n v="180"/>
    <n v="-4724"/>
    <n v="-6.4762009212546615E-2"/>
    <n v="379"/>
  </r>
  <r>
    <x v="33"/>
    <s v="S017"/>
    <s v="C05"/>
    <x v="16"/>
    <x v="3"/>
    <x v="16"/>
    <x v="3"/>
    <n v="44744"/>
    <n v="48721"/>
    <n v="119"/>
    <n v="-3977"/>
    <n v="-8.1628045401366964E-2"/>
    <n v="376"/>
  </r>
  <r>
    <x v="33"/>
    <s v="S018"/>
    <s v="C02"/>
    <x v="17"/>
    <x v="4"/>
    <x v="17"/>
    <x v="1"/>
    <n v="46420"/>
    <n v="47589"/>
    <n v="211"/>
    <n v="-1169"/>
    <n v="-2.4564500199625965E-2"/>
    <n v="220"/>
  </r>
  <r>
    <x v="33"/>
    <s v="S019"/>
    <s v="C03"/>
    <x v="18"/>
    <x v="5"/>
    <x v="18"/>
    <x v="4"/>
    <n v="11040"/>
    <n v="11142"/>
    <n v="48"/>
    <n v="-102"/>
    <n v="-9.154550350026925E-3"/>
    <n v="230"/>
  </r>
  <r>
    <x v="33"/>
    <s v="S020"/>
    <s v="C01"/>
    <x v="19"/>
    <x v="6"/>
    <x v="19"/>
    <x v="0"/>
    <n v="59658"/>
    <n v="65161"/>
    <n v="122"/>
    <n v="-5503"/>
    <n v="-8.4452356470895162E-2"/>
    <n v="489"/>
  </r>
  <r>
    <x v="34"/>
    <s v="S001"/>
    <s v="C05"/>
    <x v="0"/>
    <x v="0"/>
    <x v="0"/>
    <x v="3"/>
    <n v="47192"/>
    <n v="42822"/>
    <n v="136"/>
    <n v="4370"/>
    <n v="0.10205034795198729"/>
    <n v="347"/>
  </r>
  <r>
    <x v="34"/>
    <s v="S002"/>
    <s v="C03"/>
    <x v="1"/>
    <x v="0"/>
    <x v="1"/>
    <x v="4"/>
    <n v="64650"/>
    <n v="61872"/>
    <n v="150"/>
    <n v="2778"/>
    <n v="4.4899146625290924E-2"/>
    <n v="431"/>
  </r>
  <r>
    <x v="34"/>
    <s v="S003"/>
    <s v="C05"/>
    <x v="2"/>
    <x v="0"/>
    <x v="2"/>
    <x v="3"/>
    <n v="52531"/>
    <n v="49717"/>
    <n v="131"/>
    <n v="2814"/>
    <n v="5.6600358026429591E-2"/>
    <n v="401"/>
  </r>
  <r>
    <x v="34"/>
    <s v="S004"/>
    <s v="C05"/>
    <x v="3"/>
    <x v="0"/>
    <x v="3"/>
    <x v="3"/>
    <n v="76296"/>
    <n v="70300"/>
    <n v="204"/>
    <n v="5996"/>
    <n v="8.5291607396870556E-2"/>
    <n v="374"/>
  </r>
  <r>
    <x v="34"/>
    <s v="S005"/>
    <s v="C05"/>
    <x v="4"/>
    <x v="0"/>
    <x v="4"/>
    <x v="3"/>
    <n v="33660"/>
    <n v="36294"/>
    <n v="110"/>
    <n v="-2634"/>
    <n v="-7.2573979170110756E-2"/>
    <n v="306"/>
  </r>
  <r>
    <x v="34"/>
    <s v="S006"/>
    <s v="C01"/>
    <x v="5"/>
    <x v="1"/>
    <x v="5"/>
    <x v="0"/>
    <n v="26574"/>
    <n v="26441"/>
    <n v="103"/>
    <n v="133"/>
    <n v="5.0300669414923794E-3"/>
    <n v="258"/>
  </r>
  <r>
    <x v="34"/>
    <s v="S007"/>
    <s v="C02"/>
    <x v="6"/>
    <x v="1"/>
    <x v="6"/>
    <x v="1"/>
    <n v="45828"/>
    <n v="45377"/>
    <n v="134"/>
    <n v="451"/>
    <n v="9.9389558586949339E-3"/>
    <n v="342"/>
  </r>
  <r>
    <x v="34"/>
    <s v="S008"/>
    <s v="C01"/>
    <x v="7"/>
    <x v="1"/>
    <x v="7"/>
    <x v="0"/>
    <n v="12132"/>
    <n v="12267"/>
    <n v="36"/>
    <n v="-135"/>
    <n v="-1.1005135730007337E-2"/>
    <n v="337"/>
  </r>
  <r>
    <x v="34"/>
    <s v="S009"/>
    <s v="C03"/>
    <x v="8"/>
    <x v="1"/>
    <x v="8"/>
    <x v="4"/>
    <n v="15067"/>
    <n v="13889"/>
    <n v="61"/>
    <n v="1178"/>
    <n v="8.4815321477428179E-2"/>
    <n v="247"/>
  </r>
  <r>
    <x v="34"/>
    <s v="S010"/>
    <s v="C04"/>
    <x v="9"/>
    <x v="1"/>
    <x v="9"/>
    <x v="2"/>
    <n v="69285"/>
    <n v="71965"/>
    <n v="149"/>
    <n v="-2680"/>
    <n v="-3.7240325158062949E-2"/>
    <n v="465"/>
  </r>
  <r>
    <x v="34"/>
    <s v="S011"/>
    <s v="C04"/>
    <x v="10"/>
    <x v="2"/>
    <x v="10"/>
    <x v="2"/>
    <n v="11773"/>
    <n v="10859"/>
    <n v="61"/>
    <n v="914"/>
    <n v="8.4169813058292658E-2"/>
    <n v="193"/>
  </r>
  <r>
    <x v="34"/>
    <s v="S012"/>
    <s v="C05"/>
    <x v="11"/>
    <x v="2"/>
    <x v="11"/>
    <x v="3"/>
    <n v="28130"/>
    <n v="29522"/>
    <n v="58"/>
    <n v="-1392"/>
    <n v="-4.7151277013752456E-2"/>
    <n v="485"/>
  </r>
  <r>
    <x v="34"/>
    <s v="S013"/>
    <s v="C03"/>
    <x v="12"/>
    <x v="2"/>
    <x v="12"/>
    <x v="4"/>
    <n v="24738"/>
    <n v="24069"/>
    <n v="133"/>
    <n v="669"/>
    <n v="2.7795089118783499E-2"/>
    <n v="186"/>
  </r>
  <r>
    <x v="34"/>
    <s v="S014"/>
    <s v="C04"/>
    <x v="13"/>
    <x v="2"/>
    <x v="13"/>
    <x v="2"/>
    <n v="26096"/>
    <n v="29391"/>
    <n v="56"/>
    <n v="-3295"/>
    <n v="-0.11210914905923582"/>
    <n v="466"/>
  </r>
  <r>
    <x v="34"/>
    <s v="S015"/>
    <s v="C02"/>
    <x v="14"/>
    <x v="2"/>
    <x v="14"/>
    <x v="1"/>
    <n v="80726"/>
    <n v="76075"/>
    <n v="181"/>
    <n v="4651"/>
    <n v="6.1137035819914559E-2"/>
    <n v="446"/>
  </r>
  <r>
    <x v="34"/>
    <s v="S016"/>
    <s v="C04"/>
    <x v="15"/>
    <x v="3"/>
    <x v="15"/>
    <x v="2"/>
    <n v="19578"/>
    <n v="18936"/>
    <n v="78"/>
    <n v="642"/>
    <n v="3.390367553865653E-2"/>
    <n v="251"/>
  </r>
  <r>
    <x v="34"/>
    <s v="S017"/>
    <s v="C03"/>
    <x v="16"/>
    <x v="3"/>
    <x v="16"/>
    <x v="4"/>
    <n v="40894"/>
    <n v="37451"/>
    <n v="161"/>
    <n v="3443"/>
    <n v="9.1933459720701716E-2"/>
    <n v="254"/>
  </r>
  <r>
    <x v="34"/>
    <s v="S018"/>
    <s v="C04"/>
    <x v="17"/>
    <x v="4"/>
    <x v="17"/>
    <x v="2"/>
    <n v="41475"/>
    <n v="40435"/>
    <n v="105"/>
    <n v="1040"/>
    <n v="2.572029182638803E-2"/>
    <n v="395"/>
  </r>
  <r>
    <x v="34"/>
    <s v="S019"/>
    <s v="C01"/>
    <x v="18"/>
    <x v="5"/>
    <x v="18"/>
    <x v="0"/>
    <n v="39116"/>
    <n v="44437"/>
    <n v="127"/>
    <n v="-5321"/>
    <n v="-0.11974255687827712"/>
    <n v="308"/>
  </r>
  <r>
    <x v="34"/>
    <s v="S020"/>
    <s v="C04"/>
    <x v="19"/>
    <x v="6"/>
    <x v="19"/>
    <x v="2"/>
    <n v="92565"/>
    <n v="87833"/>
    <n v="187"/>
    <n v="4732"/>
    <n v="5.3874967267427958E-2"/>
    <n v="495"/>
  </r>
  <r>
    <x v="35"/>
    <s v="S001"/>
    <s v="C01"/>
    <x v="0"/>
    <x v="0"/>
    <x v="0"/>
    <x v="0"/>
    <n v="23115"/>
    <n v="20842"/>
    <n v="69"/>
    <n v="2273"/>
    <n v="0.10905863160925056"/>
    <n v="335"/>
  </r>
  <r>
    <x v="35"/>
    <s v="S002"/>
    <s v="C04"/>
    <x v="1"/>
    <x v="0"/>
    <x v="1"/>
    <x v="2"/>
    <n v="59640"/>
    <n v="59340"/>
    <n v="120"/>
    <n v="300"/>
    <n v="5.0556117290192111E-3"/>
    <n v="497"/>
  </r>
  <r>
    <x v="35"/>
    <s v="S003"/>
    <s v="C03"/>
    <x v="2"/>
    <x v="0"/>
    <x v="2"/>
    <x v="4"/>
    <n v="51597"/>
    <n v="51991"/>
    <n v="147"/>
    <n v="-394"/>
    <n v="-7.5782346944663495E-3"/>
    <n v="351"/>
  </r>
  <r>
    <x v="35"/>
    <s v="S004"/>
    <s v="C05"/>
    <x v="3"/>
    <x v="0"/>
    <x v="3"/>
    <x v="3"/>
    <n v="22977"/>
    <n v="22521"/>
    <n v="69"/>
    <n v="456"/>
    <n v="2.0247768749167443E-2"/>
    <n v="333"/>
  </r>
  <r>
    <x v="35"/>
    <s v="S005"/>
    <s v="C02"/>
    <x v="4"/>
    <x v="0"/>
    <x v="4"/>
    <x v="1"/>
    <n v="53380"/>
    <n v="50412"/>
    <n v="157"/>
    <n v="2968"/>
    <n v="5.8874871062445447E-2"/>
    <n v="340"/>
  </r>
  <r>
    <x v="35"/>
    <s v="S006"/>
    <s v="C04"/>
    <x v="5"/>
    <x v="1"/>
    <x v="5"/>
    <x v="2"/>
    <n v="38164"/>
    <n v="41359"/>
    <n v="116"/>
    <n v="-3195"/>
    <n v="-7.7250417079716624E-2"/>
    <n v="329"/>
  </r>
  <r>
    <x v="35"/>
    <s v="S007"/>
    <s v="C04"/>
    <x v="6"/>
    <x v="1"/>
    <x v="6"/>
    <x v="2"/>
    <n v="55328"/>
    <n v="54302"/>
    <n v="182"/>
    <n v="1026"/>
    <n v="1.8894331700489854E-2"/>
    <n v="304"/>
  </r>
  <r>
    <x v="35"/>
    <s v="S008"/>
    <s v="C03"/>
    <x v="7"/>
    <x v="1"/>
    <x v="7"/>
    <x v="4"/>
    <n v="49410"/>
    <n v="45875"/>
    <n v="135"/>
    <n v="3535"/>
    <n v="7.7057220708446866E-2"/>
    <n v="366"/>
  </r>
  <r>
    <x v="35"/>
    <s v="S009"/>
    <s v="C05"/>
    <x v="8"/>
    <x v="1"/>
    <x v="8"/>
    <x v="3"/>
    <n v="41538"/>
    <n v="47740"/>
    <n v="86"/>
    <n v="-6202"/>
    <n v="-0.12991202346041056"/>
    <n v="483"/>
  </r>
  <r>
    <x v="35"/>
    <s v="S010"/>
    <s v="C02"/>
    <x v="9"/>
    <x v="1"/>
    <x v="9"/>
    <x v="1"/>
    <n v="96349"/>
    <n v="87362"/>
    <n v="209"/>
    <n v="8987"/>
    <n v="0.10287081339712918"/>
    <n v="461"/>
  </r>
  <r>
    <x v="35"/>
    <s v="S011"/>
    <s v="C04"/>
    <x v="10"/>
    <x v="2"/>
    <x v="10"/>
    <x v="2"/>
    <n v="61992"/>
    <n v="62587"/>
    <n v="216"/>
    <n v="-595"/>
    <n v="-9.5067665809193611E-3"/>
    <n v="287"/>
  </r>
  <r>
    <x v="35"/>
    <s v="S012"/>
    <s v="C03"/>
    <x v="11"/>
    <x v="2"/>
    <x v="11"/>
    <x v="4"/>
    <n v="45580"/>
    <n v="50354"/>
    <n v="212"/>
    <n v="-4774"/>
    <n v="-9.480875402152758E-2"/>
    <n v="215"/>
  </r>
  <r>
    <x v="35"/>
    <s v="S013"/>
    <s v="C04"/>
    <x v="12"/>
    <x v="2"/>
    <x v="12"/>
    <x v="2"/>
    <n v="90045"/>
    <n v="84173"/>
    <n v="207"/>
    <n v="5872"/>
    <n v="6.976108728452117E-2"/>
    <n v="435"/>
  </r>
  <r>
    <x v="35"/>
    <s v="S014"/>
    <s v="C03"/>
    <x v="13"/>
    <x v="2"/>
    <x v="13"/>
    <x v="4"/>
    <n v="29664"/>
    <n v="31582"/>
    <n v="96"/>
    <n v="-1918"/>
    <n v="-6.0730796023051106E-2"/>
    <n v="309"/>
  </r>
  <r>
    <x v="35"/>
    <s v="S015"/>
    <s v="C04"/>
    <x v="14"/>
    <x v="2"/>
    <x v="14"/>
    <x v="2"/>
    <n v="28427"/>
    <n v="28775"/>
    <n v="131"/>
    <n v="-348"/>
    <n v="-1.209383145091225E-2"/>
    <n v="217"/>
  </r>
  <r>
    <x v="35"/>
    <s v="S016"/>
    <s v="C05"/>
    <x v="15"/>
    <x v="3"/>
    <x v="15"/>
    <x v="3"/>
    <n v="75046"/>
    <n v="75061"/>
    <n v="157"/>
    <n v="-15"/>
    <n v="-1.998374655280372E-4"/>
    <n v="478"/>
  </r>
  <r>
    <x v="35"/>
    <s v="S017"/>
    <s v="C05"/>
    <x v="16"/>
    <x v="3"/>
    <x v="16"/>
    <x v="3"/>
    <n v="83528"/>
    <n v="86527"/>
    <n v="212"/>
    <n v="-2999"/>
    <n v="-3.4659701596033606E-2"/>
    <n v="394"/>
  </r>
  <r>
    <x v="35"/>
    <s v="S018"/>
    <s v="C03"/>
    <x v="17"/>
    <x v="4"/>
    <x v="17"/>
    <x v="4"/>
    <n v="97156"/>
    <n v="101863"/>
    <n v="214"/>
    <n v="-4707"/>
    <n v="-4.6209124019516407E-2"/>
    <n v="454"/>
  </r>
  <r>
    <x v="35"/>
    <s v="S019"/>
    <s v="C01"/>
    <x v="18"/>
    <x v="5"/>
    <x v="18"/>
    <x v="0"/>
    <n v="19034"/>
    <n v="20259"/>
    <n v="62"/>
    <n v="-1225"/>
    <n v="-6.0466952959178637E-2"/>
    <n v="307"/>
  </r>
  <r>
    <x v="35"/>
    <s v="S020"/>
    <s v="C03"/>
    <x v="19"/>
    <x v="6"/>
    <x v="19"/>
    <x v="4"/>
    <n v="39347"/>
    <n v="41439"/>
    <n v="77"/>
    <n v="-2092"/>
    <n v="-5.0483843722097542E-2"/>
    <n v="511"/>
  </r>
  <r>
    <x v="36"/>
    <s v="S001"/>
    <s v="C05"/>
    <x v="0"/>
    <x v="0"/>
    <x v="0"/>
    <x v="3"/>
    <n v="102200"/>
    <n v="102190"/>
    <n v="200"/>
    <n v="10"/>
    <n v="9.7856933163714655E-5"/>
    <n v="511"/>
  </r>
  <r>
    <x v="36"/>
    <s v="S002"/>
    <s v="C03"/>
    <x v="1"/>
    <x v="0"/>
    <x v="1"/>
    <x v="4"/>
    <n v="33930"/>
    <n v="30626"/>
    <n v="145"/>
    <n v="3304"/>
    <n v="0.10788219160190687"/>
    <n v="234"/>
  </r>
  <r>
    <x v="36"/>
    <s v="S003"/>
    <s v="C03"/>
    <x v="2"/>
    <x v="0"/>
    <x v="2"/>
    <x v="4"/>
    <n v="40131"/>
    <n v="43610"/>
    <n v="91"/>
    <n v="-3479"/>
    <n v="-7.9775280898876408E-2"/>
    <n v="441"/>
  </r>
  <r>
    <x v="36"/>
    <s v="S004"/>
    <s v="C05"/>
    <x v="3"/>
    <x v="0"/>
    <x v="3"/>
    <x v="3"/>
    <n v="86742"/>
    <n v="82860"/>
    <n v="183"/>
    <n v="3882"/>
    <n v="4.685010861694424E-2"/>
    <n v="474"/>
  </r>
  <r>
    <x v="36"/>
    <s v="S005"/>
    <s v="C03"/>
    <x v="4"/>
    <x v="0"/>
    <x v="4"/>
    <x v="4"/>
    <n v="56295"/>
    <n v="61535"/>
    <n v="135"/>
    <n v="-5240"/>
    <n v="-8.5154789956935081E-2"/>
    <n v="417"/>
  </r>
  <r>
    <x v="36"/>
    <s v="S006"/>
    <s v="C05"/>
    <x v="5"/>
    <x v="1"/>
    <x v="5"/>
    <x v="3"/>
    <n v="91996"/>
    <n v="86263"/>
    <n v="211"/>
    <n v="5733"/>
    <n v="6.6459548126079543E-2"/>
    <n v="436"/>
  </r>
  <r>
    <x v="36"/>
    <s v="S007"/>
    <s v="C01"/>
    <x v="6"/>
    <x v="1"/>
    <x v="6"/>
    <x v="0"/>
    <n v="36814"/>
    <n v="35851"/>
    <n v="158"/>
    <n v="963"/>
    <n v="2.6861175420490362E-2"/>
    <n v="233"/>
  </r>
  <r>
    <x v="36"/>
    <s v="S008"/>
    <s v="C01"/>
    <x v="7"/>
    <x v="1"/>
    <x v="7"/>
    <x v="0"/>
    <n v="16128"/>
    <n v="15919"/>
    <n v="64"/>
    <n v="209"/>
    <n v="1.3128965387273071E-2"/>
    <n v="252"/>
  </r>
  <r>
    <x v="36"/>
    <s v="S009"/>
    <s v="C03"/>
    <x v="8"/>
    <x v="1"/>
    <x v="8"/>
    <x v="4"/>
    <n v="43035"/>
    <n v="44338"/>
    <n v="151"/>
    <n v="-1303"/>
    <n v="-2.9387883982137219E-2"/>
    <n v="285"/>
  </r>
  <r>
    <x v="36"/>
    <s v="S010"/>
    <s v="C03"/>
    <x v="9"/>
    <x v="1"/>
    <x v="9"/>
    <x v="4"/>
    <n v="35724"/>
    <n v="36064"/>
    <n v="156"/>
    <n v="-340"/>
    <n v="-9.4276841171251104E-3"/>
    <n v="229"/>
  </r>
  <r>
    <x v="36"/>
    <s v="S011"/>
    <s v="C04"/>
    <x v="10"/>
    <x v="2"/>
    <x v="10"/>
    <x v="2"/>
    <n v="24824"/>
    <n v="24205"/>
    <n v="116"/>
    <n v="619"/>
    <n v="2.5573228671762031E-2"/>
    <n v="214"/>
  </r>
  <r>
    <x v="36"/>
    <s v="S012"/>
    <s v="C01"/>
    <x v="11"/>
    <x v="2"/>
    <x v="11"/>
    <x v="0"/>
    <n v="14200"/>
    <n v="15080"/>
    <n v="40"/>
    <n v="-880"/>
    <n v="-5.8355437665782495E-2"/>
    <n v="355"/>
  </r>
  <r>
    <x v="36"/>
    <s v="S013"/>
    <s v="C02"/>
    <x v="12"/>
    <x v="2"/>
    <x v="12"/>
    <x v="1"/>
    <n v="43068"/>
    <n v="40639"/>
    <n v="97"/>
    <n v="2429"/>
    <n v="5.9770171510125744E-2"/>
    <n v="444"/>
  </r>
  <r>
    <x v="36"/>
    <s v="S014"/>
    <s v="C02"/>
    <x v="13"/>
    <x v="2"/>
    <x v="13"/>
    <x v="1"/>
    <n v="55454"/>
    <n v="55819"/>
    <n v="119"/>
    <n v="-365"/>
    <n v="-6.53899209946434E-3"/>
    <n v="466"/>
  </r>
  <r>
    <x v="36"/>
    <s v="S015"/>
    <s v="C04"/>
    <x v="14"/>
    <x v="2"/>
    <x v="14"/>
    <x v="2"/>
    <n v="36378"/>
    <n v="38467"/>
    <n v="94"/>
    <n v="-2089"/>
    <n v="-5.4306288507032001E-2"/>
    <n v="387"/>
  </r>
  <r>
    <x v="36"/>
    <s v="S016"/>
    <s v="C02"/>
    <x v="15"/>
    <x v="3"/>
    <x v="15"/>
    <x v="1"/>
    <n v="102168"/>
    <n v="102988"/>
    <n v="198"/>
    <n v="-820"/>
    <n v="-7.9620926709907947E-3"/>
    <n v="516"/>
  </r>
  <r>
    <x v="36"/>
    <s v="S017"/>
    <s v="C01"/>
    <x v="16"/>
    <x v="3"/>
    <x v="16"/>
    <x v="0"/>
    <n v="53952"/>
    <n v="54620"/>
    <n v="192"/>
    <n v="-668"/>
    <n v="-1.2229952398388869E-2"/>
    <n v="281"/>
  </r>
  <r>
    <x v="36"/>
    <s v="S018"/>
    <s v="C04"/>
    <x v="17"/>
    <x v="4"/>
    <x v="17"/>
    <x v="2"/>
    <n v="24388"/>
    <n v="26245"/>
    <n v="134"/>
    <n v="-1857"/>
    <n v="-7.0756334539912369E-2"/>
    <n v="182"/>
  </r>
  <r>
    <x v="36"/>
    <s v="S019"/>
    <s v="C02"/>
    <x v="18"/>
    <x v="5"/>
    <x v="18"/>
    <x v="1"/>
    <n v="22472"/>
    <n v="23468"/>
    <n v="106"/>
    <n v="-996"/>
    <n v="-4.2440770410772113E-2"/>
    <n v="212"/>
  </r>
  <r>
    <x v="36"/>
    <s v="S020"/>
    <s v="C05"/>
    <x v="19"/>
    <x v="6"/>
    <x v="19"/>
    <x v="3"/>
    <n v="30094"/>
    <n v="29537"/>
    <n v="82"/>
    <n v="557"/>
    <n v="1.8857703896807396E-2"/>
    <n v="367"/>
  </r>
  <r>
    <x v="37"/>
    <s v="S001"/>
    <s v="C04"/>
    <x v="0"/>
    <x v="0"/>
    <x v="0"/>
    <x v="2"/>
    <n v="20096"/>
    <n v="21456"/>
    <n v="64"/>
    <n v="-1360"/>
    <n v="-6.3385533184190906E-2"/>
    <n v="314"/>
  </r>
  <r>
    <x v="37"/>
    <s v="S002"/>
    <s v="C04"/>
    <x v="1"/>
    <x v="0"/>
    <x v="1"/>
    <x v="2"/>
    <n v="86190"/>
    <n v="84324"/>
    <n v="170"/>
    <n v="1866"/>
    <n v="2.212893126512025E-2"/>
    <n v="507"/>
  </r>
  <r>
    <x v="37"/>
    <s v="S003"/>
    <s v="C04"/>
    <x v="2"/>
    <x v="0"/>
    <x v="2"/>
    <x v="2"/>
    <n v="72580"/>
    <n v="75973"/>
    <n v="191"/>
    <n v="-3393"/>
    <n v="-4.4660603108999247E-2"/>
    <n v="380"/>
  </r>
  <r>
    <x v="37"/>
    <s v="S004"/>
    <s v="C03"/>
    <x v="3"/>
    <x v="0"/>
    <x v="3"/>
    <x v="4"/>
    <n v="51750"/>
    <n v="54562"/>
    <n v="125"/>
    <n v="-2812"/>
    <n v="-5.1537700230929955E-2"/>
    <n v="414"/>
  </r>
  <r>
    <x v="37"/>
    <s v="S005"/>
    <s v="C03"/>
    <x v="4"/>
    <x v="0"/>
    <x v="4"/>
    <x v="4"/>
    <n v="92544"/>
    <n v="85250"/>
    <n v="192"/>
    <n v="7294"/>
    <n v="8.5560117302052791E-2"/>
    <n v="482"/>
  </r>
  <r>
    <x v="37"/>
    <s v="S006"/>
    <s v="C02"/>
    <x v="5"/>
    <x v="1"/>
    <x v="5"/>
    <x v="1"/>
    <n v="27600"/>
    <n v="26486"/>
    <n v="115"/>
    <n v="1114"/>
    <n v="4.2059956203277203E-2"/>
    <n v="240"/>
  </r>
  <r>
    <x v="37"/>
    <s v="S007"/>
    <s v="C01"/>
    <x v="6"/>
    <x v="1"/>
    <x v="6"/>
    <x v="0"/>
    <n v="30051"/>
    <n v="32255"/>
    <n v="81"/>
    <n v="-2204"/>
    <n v="-6.833049139668268E-2"/>
    <n v="371"/>
  </r>
  <r>
    <x v="37"/>
    <s v="S008"/>
    <s v="C05"/>
    <x v="7"/>
    <x v="1"/>
    <x v="7"/>
    <x v="3"/>
    <n v="52796"/>
    <n v="55388"/>
    <n v="134"/>
    <n v="-2592"/>
    <n v="-4.6797140174767098E-2"/>
    <n v="394"/>
  </r>
  <r>
    <x v="37"/>
    <s v="S009"/>
    <s v="C05"/>
    <x v="8"/>
    <x v="1"/>
    <x v="8"/>
    <x v="3"/>
    <n v="52668"/>
    <n v="49847"/>
    <n v="133"/>
    <n v="2821"/>
    <n v="5.6593175115854516E-2"/>
    <n v="396"/>
  </r>
  <r>
    <x v="37"/>
    <s v="S010"/>
    <s v="C05"/>
    <x v="9"/>
    <x v="1"/>
    <x v="9"/>
    <x v="3"/>
    <n v="108120"/>
    <n v="122464"/>
    <n v="212"/>
    <n v="-14344"/>
    <n v="-0.11712829892866475"/>
    <n v="510"/>
  </r>
  <r>
    <x v="37"/>
    <s v="S011"/>
    <s v="C02"/>
    <x v="10"/>
    <x v="2"/>
    <x v="10"/>
    <x v="1"/>
    <n v="46905"/>
    <n v="47956"/>
    <n v="177"/>
    <n v="-1051"/>
    <n v="-2.1915922929351905E-2"/>
    <n v="265"/>
  </r>
  <r>
    <x v="37"/>
    <s v="S012"/>
    <s v="C02"/>
    <x v="11"/>
    <x v="2"/>
    <x v="11"/>
    <x v="1"/>
    <n v="27962"/>
    <n v="31051"/>
    <n v="82"/>
    <n v="-3089"/>
    <n v="-9.9481498180412867E-2"/>
    <n v="341"/>
  </r>
  <r>
    <x v="37"/>
    <s v="S013"/>
    <s v="C05"/>
    <x v="12"/>
    <x v="2"/>
    <x v="12"/>
    <x v="3"/>
    <n v="17424"/>
    <n v="19827"/>
    <n v="48"/>
    <n v="-2403"/>
    <n v="-0.12119836586472992"/>
    <n v="363"/>
  </r>
  <r>
    <x v="37"/>
    <s v="S014"/>
    <s v="C04"/>
    <x v="13"/>
    <x v="2"/>
    <x v="13"/>
    <x v="2"/>
    <n v="19251"/>
    <n v="21249"/>
    <n v="69"/>
    <n v="-1998"/>
    <n v="-9.4027954256670904E-2"/>
    <n v="279"/>
  </r>
  <r>
    <x v="37"/>
    <s v="S015"/>
    <s v="C05"/>
    <x v="14"/>
    <x v="2"/>
    <x v="14"/>
    <x v="3"/>
    <n v="84296"/>
    <n v="86297"/>
    <n v="164"/>
    <n v="-2001"/>
    <n v="-2.3187364566555037E-2"/>
    <n v="514"/>
  </r>
  <r>
    <x v="37"/>
    <s v="S016"/>
    <s v="C04"/>
    <x v="15"/>
    <x v="3"/>
    <x v="15"/>
    <x v="2"/>
    <n v="57387"/>
    <n v="58659"/>
    <n v="141"/>
    <n v="-1272"/>
    <n v="-2.1684651971564467E-2"/>
    <n v="407"/>
  </r>
  <r>
    <x v="37"/>
    <s v="S017"/>
    <s v="C01"/>
    <x v="16"/>
    <x v="3"/>
    <x v="16"/>
    <x v="0"/>
    <n v="34905"/>
    <n v="38359"/>
    <n v="179"/>
    <n v="-3454"/>
    <n v="-9.0044057457180846E-2"/>
    <n v="195"/>
  </r>
  <r>
    <x v="37"/>
    <s v="S018"/>
    <s v="C02"/>
    <x v="17"/>
    <x v="4"/>
    <x v="17"/>
    <x v="1"/>
    <n v="21364"/>
    <n v="20695"/>
    <n v="109"/>
    <n v="669"/>
    <n v="3.23266489490215E-2"/>
    <n v="196"/>
  </r>
  <r>
    <x v="37"/>
    <s v="S019"/>
    <s v="C05"/>
    <x v="18"/>
    <x v="5"/>
    <x v="18"/>
    <x v="3"/>
    <n v="28728"/>
    <n v="31462"/>
    <n v="108"/>
    <n v="-2734"/>
    <n v="-8.6898480706884496E-2"/>
    <n v="266"/>
  </r>
  <r>
    <x v="37"/>
    <s v="S020"/>
    <s v="C05"/>
    <x v="19"/>
    <x v="6"/>
    <x v="19"/>
    <x v="3"/>
    <n v="74221"/>
    <n v="76277"/>
    <n v="161"/>
    <n v="-2056"/>
    <n v="-2.6954389920946027E-2"/>
    <n v="461"/>
  </r>
  <r>
    <x v="38"/>
    <s v="S001"/>
    <s v="C05"/>
    <x v="0"/>
    <x v="0"/>
    <x v="0"/>
    <x v="3"/>
    <n v="20288"/>
    <n v="22190"/>
    <n v="64"/>
    <n v="-1902"/>
    <n v="-8.5714285714285715E-2"/>
    <n v="317"/>
  </r>
  <r>
    <x v="38"/>
    <s v="S002"/>
    <s v="C03"/>
    <x v="1"/>
    <x v="0"/>
    <x v="1"/>
    <x v="4"/>
    <n v="34773"/>
    <n v="37902"/>
    <n v="173"/>
    <n v="-3129"/>
    <n v="-8.2555010289694475E-2"/>
    <n v="201"/>
  </r>
  <r>
    <x v="38"/>
    <s v="S003"/>
    <s v="C04"/>
    <x v="2"/>
    <x v="0"/>
    <x v="2"/>
    <x v="2"/>
    <n v="50634"/>
    <n v="58099"/>
    <n v="174"/>
    <n v="-7465"/>
    <n v="-0.12848758154185097"/>
    <n v="291"/>
  </r>
  <r>
    <x v="38"/>
    <s v="S004"/>
    <s v="C01"/>
    <x v="3"/>
    <x v="0"/>
    <x v="3"/>
    <x v="0"/>
    <n v="61812"/>
    <n v="60231"/>
    <n v="202"/>
    <n v="1581"/>
    <n v="2.6248941574936496E-2"/>
    <n v="306"/>
  </r>
  <r>
    <x v="38"/>
    <s v="S005"/>
    <s v="C01"/>
    <x v="4"/>
    <x v="0"/>
    <x v="4"/>
    <x v="0"/>
    <n v="47100"/>
    <n v="46494"/>
    <n v="150"/>
    <n v="606"/>
    <n v="1.3033939863208156E-2"/>
    <n v="314"/>
  </r>
  <r>
    <x v="38"/>
    <s v="S006"/>
    <s v="C01"/>
    <x v="5"/>
    <x v="1"/>
    <x v="5"/>
    <x v="0"/>
    <n v="35280"/>
    <n v="38593"/>
    <n v="147"/>
    <n v="-3313"/>
    <n v="-8.5844583214572584E-2"/>
    <n v="240"/>
  </r>
  <r>
    <x v="38"/>
    <s v="S007"/>
    <s v="C02"/>
    <x v="6"/>
    <x v="1"/>
    <x v="6"/>
    <x v="1"/>
    <n v="42328"/>
    <n v="45387"/>
    <n v="88"/>
    <n v="-3059"/>
    <n v="-6.7398153656333309E-2"/>
    <n v="481"/>
  </r>
  <r>
    <x v="38"/>
    <s v="S008"/>
    <s v="C05"/>
    <x v="7"/>
    <x v="1"/>
    <x v="7"/>
    <x v="3"/>
    <n v="78204"/>
    <n v="73628"/>
    <n v="196"/>
    <n v="4576"/>
    <n v="6.2150268919432823E-2"/>
    <n v="399"/>
  </r>
  <r>
    <x v="38"/>
    <s v="S009"/>
    <s v="C02"/>
    <x v="8"/>
    <x v="1"/>
    <x v="8"/>
    <x v="1"/>
    <n v="24795"/>
    <n v="27308"/>
    <n v="87"/>
    <n v="-2513"/>
    <n v="-9.2024315218983452E-2"/>
    <n v="285"/>
  </r>
  <r>
    <x v="38"/>
    <s v="S010"/>
    <s v="C05"/>
    <x v="9"/>
    <x v="1"/>
    <x v="9"/>
    <x v="3"/>
    <n v="56048"/>
    <n v="54381"/>
    <n v="124"/>
    <n v="1667"/>
    <n v="3.065408874423052E-2"/>
    <n v="452"/>
  </r>
  <r>
    <x v="38"/>
    <s v="S011"/>
    <s v="C05"/>
    <x v="10"/>
    <x v="2"/>
    <x v="10"/>
    <x v="3"/>
    <n v="26910"/>
    <n v="30805"/>
    <n v="78"/>
    <n v="-3895"/>
    <n v="-0.12644051290374939"/>
    <n v="345"/>
  </r>
  <r>
    <x v="38"/>
    <s v="S012"/>
    <s v="C03"/>
    <x v="11"/>
    <x v="2"/>
    <x v="11"/>
    <x v="4"/>
    <n v="51557"/>
    <n v="49847"/>
    <n v="109"/>
    <n v="1710"/>
    <n v="3.4304973218047222E-2"/>
    <n v="473"/>
  </r>
  <r>
    <x v="38"/>
    <s v="S013"/>
    <s v="C05"/>
    <x v="12"/>
    <x v="2"/>
    <x v="12"/>
    <x v="3"/>
    <n v="47424"/>
    <n v="44289"/>
    <n v="208"/>
    <n v="3135"/>
    <n v="7.0785070785070792E-2"/>
    <n v="228"/>
  </r>
  <r>
    <x v="38"/>
    <s v="S014"/>
    <s v="C04"/>
    <x v="13"/>
    <x v="2"/>
    <x v="13"/>
    <x v="2"/>
    <n v="16050"/>
    <n v="17924"/>
    <n v="50"/>
    <n v="-1874"/>
    <n v="-0.10455255523320688"/>
    <n v="321"/>
  </r>
  <r>
    <x v="38"/>
    <s v="S015"/>
    <s v="C02"/>
    <x v="14"/>
    <x v="2"/>
    <x v="14"/>
    <x v="1"/>
    <n v="52858"/>
    <n v="50871"/>
    <n v="214"/>
    <n v="1987"/>
    <n v="3.9059582080163552E-2"/>
    <n v="247"/>
  </r>
  <r>
    <x v="38"/>
    <s v="S016"/>
    <s v="C03"/>
    <x v="15"/>
    <x v="3"/>
    <x v="15"/>
    <x v="4"/>
    <n v="37338"/>
    <n v="38173"/>
    <n v="98"/>
    <n v="-835"/>
    <n v="-2.1874099494407041E-2"/>
    <n v="381"/>
  </r>
  <r>
    <x v="38"/>
    <s v="S017"/>
    <s v="C05"/>
    <x v="16"/>
    <x v="3"/>
    <x v="16"/>
    <x v="3"/>
    <n v="62132"/>
    <n v="65670"/>
    <n v="196"/>
    <n v="-3538"/>
    <n v="-5.3875437795035785E-2"/>
    <n v="317"/>
  </r>
  <r>
    <x v="38"/>
    <s v="S018"/>
    <s v="C04"/>
    <x v="17"/>
    <x v="4"/>
    <x v="17"/>
    <x v="2"/>
    <n v="32700"/>
    <n v="34609"/>
    <n v="150"/>
    <n v="-1909"/>
    <n v="-5.5159062671559421E-2"/>
    <n v="218"/>
  </r>
  <r>
    <x v="38"/>
    <s v="S019"/>
    <s v="C01"/>
    <x v="18"/>
    <x v="5"/>
    <x v="18"/>
    <x v="0"/>
    <n v="61134"/>
    <n v="66480"/>
    <n v="138"/>
    <n v="-5346"/>
    <n v="-8.0415162454873651E-2"/>
    <n v="443"/>
  </r>
  <r>
    <x v="38"/>
    <s v="S020"/>
    <s v="C03"/>
    <x v="19"/>
    <x v="6"/>
    <x v="19"/>
    <x v="4"/>
    <n v="64779"/>
    <n v="63601"/>
    <n v="151"/>
    <n v="1178"/>
    <n v="1.8521721356582442E-2"/>
    <n v="429"/>
  </r>
  <r>
    <x v="39"/>
    <s v="S001"/>
    <s v="C01"/>
    <x v="0"/>
    <x v="0"/>
    <x v="0"/>
    <x v="0"/>
    <n v="24012"/>
    <n v="25421"/>
    <n v="58"/>
    <n v="-1409"/>
    <n v="-5.5426615790094801E-2"/>
    <n v="414"/>
  </r>
  <r>
    <x v="39"/>
    <s v="S002"/>
    <s v="C03"/>
    <x v="1"/>
    <x v="0"/>
    <x v="1"/>
    <x v="4"/>
    <n v="23103"/>
    <n v="23089"/>
    <n v="51"/>
    <n v="14"/>
    <n v="6.0634934384338861E-4"/>
    <n v="453"/>
  </r>
  <r>
    <x v="39"/>
    <s v="S003"/>
    <s v="C04"/>
    <x v="2"/>
    <x v="0"/>
    <x v="2"/>
    <x v="2"/>
    <n v="38537"/>
    <n v="37270"/>
    <n v="89"/>
    <n v="1267"/>
    <n v="3.3995170378320366E-2"/>
    <n v="433"/>
  </r>
  <r>
    <x v="39"/>
    <s v="S004"/>
    <s v="C03"/>
    <x v="3"/>
    <x v="0"/>
    <x v="3"/>
    <x v="4"/>
    <n v="55660"/>
    <n v="58135"/>
    <n v="121"/>
    <n v="-2475"/>
    <n v="-4.2573320719016081E-2"/>
    <n v="460"/>
  </r>
  <r>
    <x v="39"/>
    <s v="S005"/>
    <s v="C05"/>
    <x v="4"/>
    <x v="0"/>
    <x v="4"/>
    <x v="3"/>
    <n v="56445"/>
    <n v="63418"/>
    <n v="159"/>
    <n v="-6973"/>
    <n v="-0.10995301018638241"/>
    <n v="355"/>
  </r>
  <r>
    <x v="39"/>
    <s v="S006"/>
    <s v="C01"/>
    <x v="5"/>
    <x v="1"/>
    <x v="5"/>
    <x v="0"/>
    <n v="10580"/>
    <n v="11178"/>
    <n v="46"/>
    <n v="-598"/>
    <n v="-5.3497942386831275E-2"/>
    <n v="230"/>
  </r>
  <r>
    <x v="39"/>
    <s v="S007"/>
    <s v="C04"/>
    <x v="6"/>
    <x v="1"/>
    <x v="6"/>
    <x v="2"/>
    <n v="9477"/>
    <n v="10731"/>
    <n v="39"/>
    <n v="-1254"/>
    <n v="-0.11685770198490356"/>
    <n v="243"/>
  </r>
  <r>
    <x v="39"/>
    <s v="S008"/>
    <s v="C02"/>
    <x v="7"/>
    <x v="1"/>
    <x v="7"/>
    <x v="1"/>
    <n v="60711"/>
    <n v="54650"/>
    <n v="147"/>
    <n v="6061"/>
    <n v="0.11090576395242452"/>
    <n v="413"/>
  </r>
  <r>
    <x v="39"/>
    <s v="S009"/>
    <s v="C04"/>
    <x v="8"/>
    <x v="1"/>
    <x v="8"/>
    <x v="2"/>
    <n v="21242"/>
    <n v="23802"/>
    <n v="86"/>
    <n v="-2560"/>
    <n v="-0.10755398705991093"/>
    <n v="247"/>
  </r>
  <r>
    <x v="39"/>
    <s v="S010"/>
    <s v="C03"/>
    <x v="9"/>
    <x v="1"/>
    <x v="9"/>
    <x v="4"/>
    <n v="24000"/>
    <n v="22160"/>
    <n v="75"/>
    <n v="1840"/>
    <n v="8.3032490974729242E-2"/>
    <n v="320"/>
  </r>
  <r>
    <x v="39"/>
    <s v="S011"/>
    <s v="C03"/>
    <x v="10"/>
    <x v="2"/>
    <x v="10"/>
    <x v="4"/>
    <n v="21978"/>
    <n v="21823"/>
    <n v="99"/>
    <n v="155"/>
    <n v="7.1025981762360812E-3"/>
    <n v="222"/>
  </r>
  <r>
    <x v="39"/>
    <s v="S012"/>
    <s v="C02"/>
    <x v="11"/>
    <x v="2"/>
    <x v="11"/>
    <x v="1"/>
    <n v="18336"/>
    <n v="19370"/>
    <n v="48"/>
    <n v="-1034"/>
    <n v="-5.338151781104801E-2"/>
    <n v="382"/>
  </r>
  <r>
    <x v="39"/>
    <s v="S013"/>
    <s v="C02"/>
    <x v="12"/>
    <x v="2"/>
    <x v="12"/>
    <x v="1"/>
    <n v="74160"/>
    <n v="68434"/>
    <n v="144"/>
    <n v="5726"/>
    <n v="8.3671859017447461E-2"/>
    <n v="515"/>
  </r>
  <r>
    <x v="39"/>
    <s v="S014"/>
    <s v="C01"/>
    <x v="13"/>
    <x v="2"/>
    <x v="13"/>
    <x v="0"/>
    <n v="10115"/>
    <n v="10309"/>
    <n v="35"/>
    <n v="-194"/>
    <n v="-1.8818508099718693E-2"/>
    <n v="289"/>
  </r>
  <r>
    <x v="39"/>
    <s v="S015"/>
    <s v="C02"/>
    <x v="14"/>
    <x v="2"/>
    <x v="14"/>
    <x v="1"/>
    <n v="54870"/>
    <n v="56508"/>
    <n v="186"/>
    <n v="-1638"/>
    <n v="-2.8987046081970693E-2"/>
    <n v="295"/>
  </r>
  <r>
    <x v="39"/>
    <s v="S016"/>
    <s v="C04"/>
    <x v="15"/>
    <x v="3"/>
    <x v="15"/>
    <x v="2"/>
    <n v="6808"/>
    <n v="7311"/>
    <n v="37"/>
    <n v="-503"/>
    <n v="-6.880043769662153E-2"/>
    <n v="184"/>
  </r>
  <r>
    <x v="39"/>
    <s v="S017"/>
    <s v="C01"/>
    <x v="16"/>
    <x v="3"/>
    <x v="16"/>
    <x v="0"/>
    <n v="35321"/>
    <n v="36007"/>
    <n v="143"/>
    <n v="-686"/>
    <n v="-1.9051851028966591E-2"/>
    <n v="247"/>
  </r>
  <r>
    <x v="39"/>
    <s v="S018"/>
    <s v="C02"/>
    <x v="17"/>
    <x v="4"/>
    <x v="17"/>
    <x v="1"/>
    <n v="29925"/>
    <n v="32399"/>
    <n v="133"/>
    <n v="-2474"/>
    <n v="-7.6360381493255969E-2"/>
    <n v="225"/>
  </r>
  <r>
    <x v="39"/>
    <s v="S019"/>
    <s v="C01"/>
    <x v="18"/>
    <x v="5"/>
    <x v="18"/>
    <x v="0"/>
    <n v="20740"/>
    <n v="20571"/>
    <n v="61"/>
    <n v="169"/>
    <n v="8.2154489329638817E-3"/>
    <n v="340"/>
  </r>
  <r>
    <x v="39"/>
    <s v="S020"/>
    <s v="C03"/>
    <x v="19"/>
    <x v="6"/>
    <x v="19"/>
    <x v="4"/>
    <n v="26250"/>
    <n v="28700"/>
    <n v="70"/>
    <n v="-2450"/>
    <n v="-8.5365853658536592E-2"/>
    <n v="375"/>
  </r>
  <r>
    <x v="40"/>
    <s v="S001"/>
    <s v="C02"/>
    <x v="0"/>
    <x v="0"/>
    <x v="0"/>
    <x v="1"/>
    <n v="50347"/>
    <n v="46173"/>
    <n v="199"/>
    <n v="4174"/>
    <n v="9.039915101899379E-2"/>
    <n v="253"/>
  </r>
  <r>
    <x v="40"/>
    <s v="S002"/>
    <s v="C05"/>
    <x v="1"/>
    <x v="0"/>
    <x v="1"/>
    <x v="3"/>
    <n v="18204"/>
    <n v="19341"/>
    <n v="37"/>
    <n v="-1137"/>
    <n v="-5.8787032728400808E-2"/>
    <n v="492"/>
  </r>
  <r>
    <x v="40"/>
    <s v="S003"/>
    <s v="C04"/>
    <x v="2"/>
    <x v="0"/>
    <x v="2"/>
    <x v="2"/>
    <n v="35836"/>
    <n v="37879"/>
    <n v="124"/>
    <n v="-2043"/>
    <n v="-5.3934897964571397E-2"/>
    <n v="289"/>
  </r>
  <r>
    <x v="40"/>
    <s v="S004"/>
    <s v="C02"/>
    <x v="3"/>
    <x v="0"/>
    <x v="3"/>
    <x v="1"/>
    <n v="69300"/>
    <n v="74264"/>
    <n v="140"/>
    <n v="-4964"/>
    <n v="-6.684261553377141E-2"/>
    <n v="495"/>
  </r>
  <r>
    <x v="40"/>
    <s v="S005"/>
    <s v="C02"/>
    <x v="4"/>
    <x v="0"/>
    <x v="4"/>
    <x v="1"/>
    <n v="13167"/>
    <n v="12311"/>
    <n v="57"/>
    <n v="856"/>
    <n v="6.9531313459507763E-2"/>
    <n v="231"/>
  </r>
  <r>
    <x v="40"/>
    <s v="S006"/>
    <s v="C01"/>
    <x v="5"/>
    <x v="1"/>
    <x v="5"/>
    <x v="0"/>
    <n v="69560"/>
    <n v="68717"/>
    <n v="185"/>
    <n v="843"/>
    <n v="1.2267706681025075E-2"/>
    <n v="376"/>
  </r>
  <r>
    <x v="40"/>
    <s v="S007"/>
    <s v="C04"/>
    <x v="6"/>
    <x v="1"/>
    <x v="6"/>
    <x v="2"/>
    <n v="28865"/>
    <n v="27766"/>
    <n v="115"/>
    <n v="1099"/>
    <n v="3.9580782251674711E-2"/>
    <n v="251"/>
  </r>
  <r>
    <x v="40"/>
    <s v="S008"/>
    <s v="C01"/>
    <x v="7"/>
    <x v="1"/>
    <x v="7"/>
    <x v="0"/>
    <n v="45374"/>
    <n v="47654"/>
    <n v="98"/>
    <n v="-2280"/>
    <n v="-4.7844881856717168E-2"/>
    <n v="463"/>
  </r>
  <r>
    <x v="40"/>
    <s v="S009"/>
    <s v="C05"/>
    <x v="8"/>
    <x v="1"/>
    <x v="8"/>
    <x v="3"/>
    <n v="20651"/>
    <n v="22963"/>
    <n v="107"/>
    <n v="-2312"/>
    <n v="-0.10068370857466359"/>
    <n v="193"/>
  </r>
  <r>
    <x v="40"/>
    <s v="S010"/>
    <s v="C03"/>
    <x v="9"/>
    <x v="1"/>
    <x v="9"/>
    <x v="4"/>
    <n v="38715"/>
    <n v="40717"/>
    <n v="87"/>
    <n v="-2002"/>
    <n v="-4.9168651914433772E-2"/>
    <n v="445"/>
  </r>
  <r>
    <x v="40"/>
    <s v="S011"/>
    <s v="C02"/>
    <x v="10"/>
    <x v="2"/>
    <x v="10"/>
    <x v="1"/>
    <n v="44685"/>
    <n v="47435"/>
    <n v="135"/>
    <n v="-2750"/>
    <n v="-5.7974069779698538E-2"/>
    <n v="331"/>
  </r>
  <r>
    <x v="40"/>
    <s v="S012"/>
    <s v="C02"/>
    <x v="11"/>
    <x v="2"/>
    <x v="11"/>
    <x v="1"/>
    <n v="60697"/>
    <n v="56338"/>
    <n v="161"/>
    <n v="4359"/>
    <n v="7.7372288686144347E-2"/>
    <n v="377"/>
  </r>
  <r>
    <x v="40"/>
    <s v="S013"/>
    <s v="C04"/>
    <x v="12"/>
    <x v="2"/>
    <x v="12"/>
    <x v="2"/>
    <n v="95832"/>
    <n v="87950"/>
    <n v="198"/>
    <n v="7882"/>
    <n v="8.9619101762364983E-2"/>
    <n v="484"/>
  </r>
  <r>
    <x v="40"/>
    <s v="S014"/>
    <s v="C01"/>
    <x v="13"/>
    <x v="2"/>
    <x v="13"/>
    <x v="0"/>
    <n v="43434"/>
    <n v="40523"/>
    <n v="127"/>
    <n v="2911"/>
    <n v="7.1835747600128327E-2"/>
    <n v="342"/>
  </r>
  <r>
    <x v="40"/>
    <s v="S015"/>
    <s v="C05"/>
    <x v="14"/>
    <x v="2"/>
    <x v="14"/>
    <x v="3"/>
    <n v="52114"/>
    <n v="54020"/>
    <n v="142"/>
    <n v="-1906"/>
    <n v="-3.5283228433913363E-2"/>
    <n v="367"/>
  </r>
  <r>
    <x v="40"/>
    <s v="S016"/>
    <s v="C02"/>
    <x v="15"/>
    <x v="3"/>
    <x v="15"/>
    <x v="1"/>
    <n v="33635"/>
    <n v="30411"/>
    <n v="155"/>
    <n v="3224"/>
    <n v="0.10601427115188583"/>
    <n v="217"/>
  </r>
  <r>
    <x v="40"/>
    <s v="S017"/>
    <s v="C01"/>
    <x v="16"/>
    <x v="3"/>
    <x v="16"/>
    <x v="0"/>
    <n v="11932"/>
    <n v="11382"/>
    <n v="38"/>
    <n v="550"/>
    <n v="4.8321911790546478E-2"/>
    <n v="314"/>
  </r>
  <r>
    <x v="40"/>
    <s v="S018"/>
    <s v="C01"/>
    <x v="17"/>
    <x v="4"/>
    <x v="17"/>
    <x v="0"/>
    <n v="59704"/>
    <n v="58009"/>
    <n v="136"/>
    <n v="1695"/>
    <n v="2.921960385457429E-2"/>
    <n v="439"/>
  </r>
  <r>
    <x v="40"/>
    <s v="S019"/>
    <s v="C05"/>
    <x v="18"/>
    <x v="5"/>
    <x v="18"/>
    <x v="3"/>
    <n v="55836"/>
    <n v="60048"/>
    <n v="141"/>
    <n v="-4212"/>
    <n v="-7.0143884892086325E-2"/>
    <n v="396"/>
  </r>
  <r>
    <x v="40"/>
    <s v="S020"/>
    <s v="C01"/>
    <x v="19"/>
    <x v="6"/>
    <x v="19"/>
    <x v="0"/>
    <n v="89892"/>
    <n v="92985"/>
    <n v="198"/>
    <n v="-3093"/>
    <n v="-3.3263429585417004E-2"/>
    <n v="454"/>
  </r>
  <r>
    <x v="41"/>
    <s v="S001"/>
    <s v="C02"/>
    <x v="0"/>
    <x v="0"/>
    <x v="0"/>
    <x v="1"/>
    <n v="23532"/>
    <n v="23001"/>
    <n v="106"/>
    <n v="531"/>
    <n v="2.3085952784661537E-2"/>
    <n v="222"/>
  </r>
  <r>
    <x v="41"/>
    <s v="S002"/>
    <s v="C05"/>
    <x v="1"/>
    <x v="0"/>
    <x v="1"/>
    <x v="3"/>
    <n v="22533"/>
    <n v="23301"/>
    <n v="87"/>
    <n v="-768"/>
    <n v="-3.2959958800051502E-2"/>
    <n v="259"/>
  </r>
  <r>
    <x v="41"/>
    <s v="S003"/>
    <s v="C04"/>
    <x v="2"/>
    <x v="0"/>
    <x v="2"/>
    <x v="2"/>
    <n v="93240"/>
    <n v="101706"/>
    <n v="185"/>
    <n v="-8466"/>
    <n v="-8.3239926847973572E-2"/>
    <n v="504"/>
  </r>
  <r>
    <x v="41"/>
    <s v="S004"/>
    <s v="C01"/>
    <x v="3"/>
    <x v="0"/>
    <x v="3"/>
    <x v="0"/>
    <n v="45942"/>
    <n v="49731"/>
    <n v="114"/>
    <n v="-3789"/>
    <n v="-7.6189901670989921E-2"/>
    <n v="403"/>
  </r>
  <r>
    <x v="41"/>
    <s v="S005"/>
    <s v="C02"/>
    <x v="4"/>
    <x v="0"/>
    <x v="4"/>
    <x v="1"/>
    <n v="14945"/>
    <n v="13772"/>
    <n v="49"/>
    <n v="1173"/>
    <n v="8.5172814406041242E-2"/>
    <n v="305"/>
  </r>
  <r>
    <x v="41"/>
    <s v="S006"/>
    <s v="C04"/>
    <x v="5"/>
    <x v="1"/>
    <x v="5"/>
    <x v="2"/>
    <n v="26368"/>
    <n v="27767"/>
    <n v="64"/>
    <n v="-1399"/>
    <n v="-5.0383548816940973E-2"/>
    <n v="412"/>
  </r>
  <r>
    <x v="41"/>
    <s v="S007"/>
    <s v="C01"/>
    <x v="6"/>
    <x v="1"/>
    <x v="6"/>
    <x v="0"/>
    <n v="58824"/>
    <n v="63833"/>
    <n v="114"/>
    <n v="-5009"/>
    <n v="-7.847038365735591E-2"/>
    <n v="516"/>
  </r>
  <r>
    <x v="41"/>
    <s v="S008"/>
    <s v="C01"/>
    <x v="7"/>
    <x v="1"/>
    <x v="7"/>
    <x v="0"/>
    <n v="9500"/>
    <n v="10216"/>
    <n v="38"/>
    <n v="-716"/>
    <n v="-7.0086139389193419E-2"/>
    <n v="250"/>
  </r>
  <r>
    <x v="41"/>
    <s v="S009"/>
    <s v="C02"/>
    <x v="8"/>
    <x v="1"/>
    <x v="8"/>
    <x v="1"/>
    <n v="57834"/>
    <n v="59612"/>
    <n v="162"/>
    <n v="-1778"/>
    <n v="-2.9826209488022545E-2"/>
    <n v="357"/>
  </r>
  <r>
    <x v="41"/>
    <s v="S010"/>
    <s v="C03"/>
    <x v="9"/>
    <x v="1"/>
    <x v="9"/>
    <x v="4"/>
    <n v="28490"/>
    <n v="26545"/>
    <n v="77"/>
    <n v="1945"/>
    <n v="7.3271802599359573E-2"/>
    <n v="370"/>
  </r>
  <r>
    <x v="41"/>
    <s v="S011"/>
    <s v="C03"/>
    <x v="10"/>
    <x v="2"/>
    <x v="10"/>
    <x v="4"/>
    <n v="12675"/>
    <n v="12469"/>
    <n v="65"/>
    <n v="206"/>
    <n v="1.6520972010586252E-2"/>
    <n v="195"/>
  </r>
  <r>
    <x v="41"/>
    <s v="S012"/>
    <s v="C04"/>
    <x v="11"/>
    <x v="2"/>
    <x v="11"/>
    <x v="2"/>
    <n v="46592"/>
    <n v="42676"/>
    <n v="104"/>
    <n v="3916"/>
    <n v="9.1761177242478204E-2"/>
    <n v="448"/>
  </r>
  <r>
    <x v="41"/>
    <s v="S013"/>
    <s v="C05"/>
    <x v="12"/>
    <x v="2"/>
    <x v="12"/>
    <x v="3"/>
    <n v="42705"/>
    <n v="43731"/>
    <n v="195"/>
    <n v="-1026"/>
    <n v="-2.3461617616793579E-2"/>
    <n v="219"/>
  </r>
  <r>
    <x v="41"/>
    <s v="S014"/>
    <s v="C05"/>
    <x v="13"/>
    <x v="2"/>
    <x v="13"/>
    <x v="3"/>
    <n v="26416"/>
    <n v="27073"/>
    <n v="127"/>
    <n v="-657"/>
    <n v="-2.4267720607247072E-2"/>
    <n v="208"/>
  </r>
  <r>
    <x v="41"/>
    <s v="S015"/>
    <s v="C05"/>
    <x v="14"/>
    <x v="2"/>
    <x v="14"/>
    <x v="3"/>
    <n v="28336"/>
    <n v="26616"/>
    <n v="77"/>
    <n v="1720"/>
    <n v="6.4622783288247665E-2"/>
    <n v="368"/>
  </r>
  <r>
    <x v="41"/>
    <s v="S016"/>
    <s v="C01"/>
    <x v="15"/>
    <x v="3"/>
    <x v="15"/>
    <x v="0"/>
    <n v="43259"/>
    <n v="41403"/>
    <n v="181"/>
    <n v="1856"/>
    <n v="4.4827669492548849E-2"/>
    <n v="239"/>
  </r>
  <r>
    <x v="41"/>
    <s v="S017"/>
    <s v="C05"/>
    <x v="16"/>
    <x v="3"/>
    <x v="16"/>
    <x v="3"/>
    <n v="7070"/>
    <n v="7880"/>
    <n v="35"/>
    <n v="-810"/>
    <n v="-0.10279187817258884"/>
    <n v="202"/>
  </r>
  <r>
    <x v="41"/>
    <s v="S018"/>
    <s v="C01"/>
    <x v="17"/>
    <x v="4"/>
    <x v="17"/>
    <x v="0"/>
    <n v="19691"/>
    <n v="20044"/>
    <n v="97"/>
    <n v="-353"/>
    <n v="-1.7611255238475353E-2"/>
    <n v="203"/>
  </r>
  <r>
    <x v="41"/>
    <s v="S019"/>
    <s v="C04"/>
    <x v="18"/>
    <x v="5"/>
    <x v="18"/>
    <x v="2"/>
    <n v="19783"/>
    <n v="22409"/>
    <n v="73"/>
    <n v="-2626"/>
    <n v="-0.11718505957427819"/>
    <n v="271"/>
  </r>
  <r>
    <x v="41"/>
    <s v="S020"/>
    <s v="C01"/>
    <x v="19"/>
    <x v="6"/>
    <x v="19"/>
    <x v="0"/>
    <n v="90640"/>
    <n v="91078"/>
    <n v="176"/>
    <n v="-438"/>
    <n v="-4.8090647576802302E-3"/>
    <n v="515"/>
  </r>
  <r>
    <x v="42"/>
    <s v="S001"/>
    <s v="C03"/>
    <x v="0"/>
    <x v="0"/>
    <x v="0"/>
    <x v="4"/>
    <n v="38514"/>
    <n v="43480"/>
    <n v="98"/>
    <n v="-4966"/>
    <n v="-0.11421343146274149"/>
    <n v="393"/>
  </r>
  <r>
    <x v="42"/>
    <s v="S002"/>
    <s v="C03"/>
    <x v="1"/>
    <x v="0"/>
    <x v="1"/>
    <x v="4"/>
    <n v="22776"/>
    <n v="23752"/>
    <n v="104"/>
    <n v="-976"/>
    <n v="-4.1091276524082183E-2"/>
    <n v="219"/>
  </r>
  <r>
    <x v="42"/>
    <s v="S003"/>
    <s v="C01"/>
    <x v="2"/>
    <x v="0"/>
    <x v="2"/>
    <x v="0"/>
    <n v="33578"/>
    <n v="31725"/>
    <n v="163"/>
    <n v="1853"/>
    <n v="5.8408195429472023E-2"/>
    <n v="206"/>
  </r>
  <r>
    <x v="42"/>
    <s v="S004"/>
    <s v="C05"/>
    <x v="3"/>
    <x v="0"/>
    <x v="3"/>
    <x v="3"/>
    <n v="17710"/>
    <n v="16244"/>
    <n v="46"/>
    <n v="1466"/>
    <n v="9.0248707214971677E-2"/>
    <n v="385"/>
  </r>
  <r>
    <x v="42"/>
    <s v="S005"/>
    <s v="C04"/>
    <x v="4"/>
    <x v="0"/>
    <x v="4"/>
    <x v="2"/>
    <n v="36273"/>
    <n v="35613"/>
    <n v="107"/>
    <n v="660"/>
    <n v="1.8532558335439306E-2"/>
    <n v="339"/>
  </r>
  <r>
    <x v="42"/>
    <s v="S006"/>
    <s v="C05"/>
    <x v="5"/>
    <x v="1"/>
    <x v="5"/>
    <x v="3"/>
    <n v="27784"/>
    <n v="27568"/>
    <n v="151"/>
    <n v="216"/>
    <n v="7.8351712130005809E-3"/>
    <n v="184"/>
  </r>
  <r>
    <x v="42"/>
    <s v="S007"/>
    <s v="C03"/>
    <x v="6"/>
    <x v="1"/>
    <x v="6"/>
    <x v="4"/>
    <n v="59965"/>
    <n v="65055"/>
    <n v="179"/>
    <n v="-5090"/>
    <n v="-7.8241487971716234E-2"/>
    <n v="335"/>
  </r>
  <r>
    <x v="42"/>
    <s v="S008"/>
    <s v="C02"/>
    <x v="7"/>
    <x v="1"/>
    <x v="7"/>
    <x v="1"/>
    <n v="56304"/>
    <n v="59002"/>
    <n v="153"/>
    <n v="-2698"/>
    <n v="-4.5727263482593809E-2"/>
    <n v="368"/>
  </r>
  <r>
    <x v="42"/>
    <s v="S009"/>
    <s v="C04"/>
    <x v="8"/>
    <x v="1"/>
    <x v="8"/>
    <x v="2"/>
    <n v="39015"/>
    <n v="42531"/>
    <n v="85"/>
    <n v="-3516"/>
    <n v="-8.266911194187769E-2"/>
    <n v="459"/>
  </r>
  <r>
    <x v="42"/>
    <s v="S010"/>
    <s v="C02"/>
    <x v="9"/>
    <x v="1"/>
    <x v="9"/>
    <x v="1"/>
    <n v="13359"/>
    <n v="15137"/>
    <n v="73"/>
    <n v="-1778"/>
    <n v="-0.11746052718504327"/>
    <n v="183"/>
  </r>
  <r>
    <x v="42"/>
    <s v="S011"/>
    <s v="C01"/>
    <x v="10"/>
    <x v="2"/>
    <x v="10"/>
    <x v="0"/>
    <n v="42958"/>
    <n v="42382"/>
    <n v="94"/>
    <n v="576"/>
    <n v="1.3590675286678306E-2"/>
    <n v="457"/>
  </r>
  <r>
    <x v="42"/>
    <s v="S012"/>
    <s v="C01"/>
    <x v="11"/>
    <x v="2"/>
    <x v="11"/>
    <x v="0"/>
    <n v="21600"/>
    <n v="23538"/>
    <n v="120"/>
    <n v="-1938"/>
    <n v="-8.233494774407342E-2"/>
    <n v="180"/>
  </r>
  <r>
    <x v="42"/>
    <s v="S013"/>
    <s v="C04"/>
    <x v="12"/>
    <x v="2"/>
    <x v="12"/>
    <x v="2"/>
    <n v="26329"/>
    <n v="25046"/>
    <n v="113"/>
    <n v="1283"/>
    <n v="5.1225744629881019E-2"/>
    <n v="233"/>
  </r>
  <r>
    <x v="42"/>
    <s v="S014"/>
    <s v="C02"/>
    <x v="13"/>
    <x v="2"/>
    <x v="13"/>
    <x v="1"/>
    <n v="61202"/>
    <n v="69788"/>
    <n v="142"/>
    <n v="-8586"/>
    <n v="-0.12302974723448157"/>
    <n v="431"/>
  </r>
  <r>
    <x v="42"/>
    <s v="S015"/>
    <s v="C02"/>
    <x v="14"/>
    <x v="2"/>
    <x v="14"/>
    <x v="1"/>
    <n v="70091"/>
    <n v="64711"/>
    <n v="217"/>
    <n v="5380"/>
    <n v="8.3138879015932379E-2"/>
    <n v="323"/>
  </r>
  <r>
    <x v="42"/>
    <s v="S016"/>
    <s v="C02"/>
    <x v="15"/>
    <x v="3"/>
    <x v="15"/>
    <x v="1"/>
    <n v="65688"/>
    <n v="70628"/>
    <n v="168"/>
    <n v="-4940"/>
    <n v="-6.9943931585206995E-2"/>
    <n v="391"/>
  </r>
  <r>
    <x v="42"/>
    <s v="S017"/>
    <s v="C03"/>
    <x v="16"/>
    <x v="3"/>
    <x v="16"/>
    <x v="4"/>
    <n v="33896"/>
    <n v="35427"/>
    <n v="152"/>
    <n v="-1531"/>
    <n v="-4.3215626499562482E-2"/>
    <n v="223"/>
  </r>
  <r>
    <x v="42"/>
    <s v="S018"/>
    <s v="C05"/>
    <x v="17"/>
    <x v="4"/>
    <x v="17"/>
    <x v="3"/>
    <n v="34914"/>
    <n v="38579"/>
    <n v="69"/>
    <n v="-3665"/>
    <n v="-9.499987039581119E-2"/>
    <n v="506"/>
  </r>
  <r>
    <x v="42"/>
    <s v="S019"/>
    <s v="C01"/>
    <x v="18"/>
    <x v="5"/>
    <x v="18"/>
    <x v="0"/>
    <n v="87420"/>
    <n v="80039"/>
    <n v="186"/>
    <n v="7381"/>
    <n v="9.2217543947325675E-2"/>
    <n v="470"/>
  </r>
  <r>
    <x v="42"/>
    <s v="S020"/>
    <s v="C02"/>
    <x v="19"/>
    <x v="6"/>
    <x v="19"/>
    <x v="1"/>
    <n v="31255"/>
    <n v="30168"/>
    <n v="95"/>
    <n v="1087"/>
    <n v="3.6031556616282157E-2"/>
    <n v="329"/>
  </r>
  <r>
    <x v="43"/>
    <s v="S001"/>
    <s v="C03"/>
    <x v="0"/>
    <x v="0"/>
    <x v="0"/>
    <x v="4"/>
    <n v="46845"/>
    <n v="45885"/>
    <n v="135"/>
    <n v="960"/>
    <n v="2.0921869892121608E-2"/>
    <n v="347"/>
  </r>
  <r>
    <x v="43"/>
    <s v="S002"/>
    <s v="C03"/>
    <x v="1"/>
    <x v="0"/>
    <x v="1"/>
    <x v="4"/>
    <n v="20492"/>
    <n v="23276"/>
    <n v="94"/>
    <n v="-2784"/>
    <n v="-0.11960818009967349"/>
    <n v="218"/>
  </r>
  <r>
    <x v="43"/>
    <s v="S003"/>
    <s v="C02"/>
    <x v="2"/>
    <x v="0"/>
    <x v="2"/>
    <x v="1"/>
    <n v="43240"/>
    <n v="40595"/>
    <n v="184"/>
    <n v="2645"/>
    <n v="6.5155807365439092E-2"/>
    <n v="235"/>
  </r>
  <r>
    <x v="43"/>
    <s v="S004"/>
    <s v="C02"/>
    <x v="3"/>
    <x v="0"/>
    <x v="3"/>
    <x v="1"/>
    <n v="62700"/>
    <n v="61352"/>
    <n v="150"/>
    <n v="1348"/>
    <n v="2.1971573868822532E-2"/>
    <n v="418"/>
  </r>
  <r>
    <x v="43"/>
    <s v="S005"/>
    <s v="C01"/>
    <x v="4"/>
    <x v="0"/>
    <x v="4"/>
    <x v="0"/>
    <n v="62436"/>
    <n v="71249"/>
    <n v="172"/>
    <n v="-8813"/>
    <n v="-0.12369296411177701"/>
    <n v="363"/>
  </r>
  <r>
    <x v="43"/>
    <s v="S006"/>
    <s v="C02"/>
    <x v="5"/>
    <x v="1"/>
    <x v="5"/>
    <x v="1"/>
    <n v="50550"/>
    <n v="51350"/>
    <n v="150"/>
    <n v="-800"/>
    <n v="-1.5579357351509251E-2"/>
    <n v="337"/>
  </r>
  <r>
    <x v="43"/>
    <s v="S007"/>
    <s v="C01"/>
    <x v="6"/>
    <x v="1"/>
    <x v="6"/>
    <x v="0"/>
    <n v="15080"/>
    <n v="16616"/>
    <n v="58"/>
    <n v="-1536"/>
    <n v="-9.244102070293693E-2"/>
    <n v="260"/>
  </r>
  <r>
    <x v="43"/>
    <s v="S008"/>
    <s v="C03"/>
    <x v="7"/>
    <x v="1"/>
    <x v="7"/>
    <x v="4"/>
    <n v="104920"/>
    <n v="95485"/>
    <n v="215"/>
    <n v="9435"/>
    <n v="9.8811331622767978E-2"/>
    <n v="488"/>
  </r>
  <r>
    <x v="43"/>
    <s v="S009"/>
    <s v="C03"/>
    <x v="8"/>
    <x v="1"/>
    <x v="8"/>
    <x v="4"/>
    <n v="16272"/>
    <n v="17537"/>
    <n v="72"/>
    <n v="-1265"/>
    <n v="-7.2133204082796373E-2"/>
    <n v="226"/>
  </r>
  <r>
    <x v="43"/>
    <s v="S010"/>
    <s v="C03"/>
    <x v="9"/>
    <x v="1"/>
    <x v="9"/>
    <x v="4"/>
    <n v="60112"/>
    <n v="54836"/>
    <n v="136"/>
    <n v="5276"/>
    <n v="9.6214165876431543E-2"/>
    <n v="442"/>
  </r>
  <r>
    <x v="43"/>
    <s v="S011"/>
    <s v="C03"/>
    <x v="10"/>
    <x v="2"/>
    <x v="10"/>
    <x v="4"/>
    <n v="27169"/>
    <n v="24663"/>
    <n v="101"/>
    <n v="2506"/>
    <n v="0.10160969873900175"/>
    <n v="269"/>
  </r>
  <r>
    <x v="43"/>
    <s v="S012"/>
    <s v="C04"/>
    <x v="11"/>
    <x v="2"/>
    <x v="11"/>
    <x v="2"/>
    <n v="69600"/>
    <n v="75656"/>
    <n v="150"/>
    <n v="-6056"/>
    <n v="-8.0046526382573757E-2"/>
    <n v="464"/>
  </r>
  <r>
    <x v="43"/>
    <s v="S013"/>
    <s v="C02"/>
    <x v="12"/>
    <x v="2"/>
    <x v="12"/>
    <x v="1"/>
    <n v="24544"/>
    <n v="22714"/>
    <n v="59"/>
    <n v="1830"/>
    <n v="8.0567051157876199E-2"/>
    <n v="416"/>
  </r>
  <r>
    <x v="43"/>
    <s v="S014"/>
    <s v="C02"/>
    <x v="13"/>
    <x v="2"/>
    <x v="13"/>
    <x v="1"/>
    <n v="12276"/>
    <n v="11237"/>
    <n v="66"/>
    <n v="1039"/>
    <n v="9.24624009967073E-2"/>
    <n v="186"/>
  </r>
  <r>
    <x v="43"/>
    <s v="S015"/>
    <s v="C02"/>
    <x v="14"/>
    <x v="2"/>
    <x v="14"/>
    <x v="1"/>
    <n v="19108"/>
    <n v="21131"/>
    <n v="68"/>
    <n v="-2023"/>
    <n v="-9.5736122284794847E-2"/>
    <n v="281"/>
  </r>
  <r>
    <x v="43"/>
    <s v="S016"/>
    <s v="C03"/>
    <x v="15"/>
    <x v="3"/>
    <x v="15"/>
    <x v="4"/>
    <n v="105420"/>
    <n v="119587"/>
    <n v="210"/>
    <n v="-14167"/>
    <n v="-0.11846605400252536"/>
    <n v="502"/>
  </r>
  <r>
    <x v="43"/>
    <s v="S017"/>
    <s v="C01"/>
    <x v="16"/>
    <x v="3"/>
    <x v="16"/>
    <x v="0"/>
    <n v="88320"/>
    <n v="85202"/>
    <n v="184"/>
    <n v="3118"/>
    <n v="3.6595385084857164E-2"/>
    <n v="480"/>
  </r>
  <r>
    <x v="43"/>
    <s v="S018"/>
    <s v="C01"/>
    <x v="17"/>
    <x v="4"/>
    <x v="17"/>
    <x v="0"/>
    <n v="8520"/>
    <n v="8089"/>
    <n v="40"/>
    <n v="431"/>
    <n v="5.3282235134132772E-2"/>
    <n v="213"/>
  </r>
  <r>
    <x v="43"/>
    <s v="S019"/>
    <s v="C04"/>
    <x v="18"/>
    <x v="5"/>
    <x v="18"/>
    <x v="2"/>
    <n v="15209"/>
    <n v="17129"/>
    <n v="67"/>
    <n v="-1920"/>
    <n v="-0.11209060657364703"/>
    <n v="227"/>
  </r>
  <r>
    <x v="43"/>
    <s v="S020"/>
    <s v="C03"/>
    <x v="19"/>
    <x v="6"/>
    <x v="19"/>
    <x v="4"/>
    <n v="13266"/>
    <n v="15064"/>
    <n v="66"/>
    <n v="-1798"/>
    <n v="-0.11935740839086564"/>
    <n v="201"/>
  </r>
  <r>
    <x v="44"/>
    <s v="S001"/>
    <s v="C01"/>
    <x v="0"/>
    <x v="0"/>
    <x v="0"/>
    <x v="0"/>
    <n v="36894"/>
    <n v="37199"/>
    <n v="78"/>
    <n v="-305"/>
    <n v="-8.1991451383101703E-3"/>
    <n v="473"/>
  </r>
  <r>
    <x v="44"/>
    <s v="S002"/>
    <s v="C04"/>
    <x v="1"/>
    <x v="0"/>
    <x v="1"/>
    <x v="2"/>
    <n v="31590"/>
    <n v="31453"/>
    <n v="162"/>
    <n v="137"/>
    <n v="4.3557053381235496E-3"/>
    <n v="195"/>
  </r>
  <r>
    <x v="44"/>
    <s v="S003"/>
    <s v="C04"/>
    <x v="2"/>
    <x v="0"/>
    <x v="2"/>
    <x v="2"/>
    <n v="28519"/>
    <n v="27197"/>
    <n v="79"/>
    <n v="1322"/>
    <n v="4.8608302386292608E-2"/>
    <n v="361"/>
  </r>
  <r>
    <x v="44"/>
    <s v="S004"/>
    <s v="C02"/>
    <x v="3"/>
    <x v="0"/>
    <x v="3"/>
    <x v="1"/>
    <n v="33915"/>
    <n v="34305"/>
    <n v="105"/>
    <n v="-390"/>
    <n v="-1.1368605159597726E-2"/>
    <n v="323"/>
  </r>
  <r>
    <x v="44"/>
    <s v="S005"/>
    <s v="C02"/>
    <x v="4"/>
    <x v="0"/>
    <x v="4"/>
    <x v="1"/>
    <n v="21242"/>
    <n v="22405"/>
    <n v="43"/>
    <n v="-1163"/>
    <n v="-5.1908056237447001E-2"/>
    <n v="494"/>
  </r>
  <r>
    <x v="44"/>
    <s v="S006"/>
    <s v="C02"/>
    <x v="5"/>
    <x v="1"/>
    <x v="5"/>
    <x v="1"/>
    <n v="66200"/>
    <n v="67836"/>
    <n v="200"/>
    <n v="-1636"/>
    <n v="-2.4116988029954597E-2"/>
    <n v="331"/>
  </r>
  <r>
    <x v="44"/>
    <s v="S007"/>
    <s v="C05"/>
    <x v="6"/>
    <x v="1"/>
    <x v="6"/>
    <x v="3"/>
    <n v="33127"/>
    <n v="30540"/>
    <n v="157"/>
    <n v="2587"/>
    <n v="8.4708578912901109E-2"/>
    <n v="211"/>
  </r>
  <r>
    <x v="44"/>
    <s v="S008"/>
    <s v="C04"/>
    <x v="7"/>
    <x v="1"/>
    <x v="7"/>
    <x v="2"/>
    <n v="27580"/>
    <n v="26197"/>
    <n v="70"/>
    <n v="1383"/>
    <n v="5.2792304462343016E-2"/>
    <n v="394"/>
  </r>
  <r>
    <x v="44"/>
    <s v="S009"/>
    <s v="C05"/>
    <x v="8"/>
    <x v="1"/>
    <x v="8"/>
    <x v="3"/>
    <n v="49196"/>
    <n v="56502"/>
    <n v="98"/>
    <n v="-7306"/>
    <n v="-0.12930515733956321"/>
    <n v="502"/>
  </r>
  <r>
    <x v="44"/>
    <s v="S010"/>
    <s v="C05"/>
    <x v="9"/>
    <x v="1"/>
    <x v="9"/>
    <x v="3"/>
    <n v="14625"/>
    <n v="16021"/>
    <n v="39"/>
    <n v="-1396"/>
    <n v="-8.713563447974533E-2"/>
    <n v="375"/>
  </r>
  <r>
    <x v="44"/>
    <s v="S011"/>
    <s v="C03"/>
    <x v="10"/>
    <x v="2"/>
    <x v="10"/>
    <x v="4"/>
    <n v="71906"/>
    <n v="78762"/>
    <n v="157"/>
    <n v="-6856"/>
    <n v="-8.7047053147456893E-2"/>
    <n v="458"/>
  </r>
  <r>
    <x v="44"/>
    <s v="S012"/>
    <s v="C03"/>
    <x v="11"/>
    <x v="2"/>
    <x v="11"/>
    <x v="4"/>
    <n v="78223"/>
    <n v="76689"/>
    <n v="179"/>
    <n v="1534"/>
    <n v="2.0002868729544002E-2"/>
    <n v="437"/>
  </r>
  <r>
    <x v="44"/>
    <s v="S013"/>
    <s v="C03"/>
    <x v="12"/>
    <x v="2"/>
    <x v="12"/>
    <x v="4"/>
    <n v="15633"/>
    <n v="15315"/>
    <n v="81"/>
    <n v="318"/>
    <n v="2.0763956904995103E-2"/>
    <n v="193"/>
  </r>
  <r>
    <x v="44"/>
    <s v="S014"/>
    <s v="C02"/>
    <x v="13"/>
    <x v="2"/>
    <x v="13"/>
    <x v="1"/>
    <n v="13566"/>
    <n v="12408"/>
    <n v="42"/>
    <n v="1158"/>
    <n v="9.332688588007737E-2"/>
    <n v="323"/>
  </r>
  <r>
    <x v="44"/>
    <s v="S015"/>
    <s v="C04"/>
    <x v="14"/>
    <x v="2"/>
    <x v="14"/>
    <x v="2"/>
    <n v="61710"/>
    <n v="67369"/>
    <n v="170"/>
    <n v="-5659"/>
    <n v="-8.4000059374489747E-2"/>
    <n v="363"/>
  </r>
  <r>
    <x v="44"/>
    <s v="S016"/>
    <s v="C02"/>
    <x v="15"/>
    <x v="3"/>
    <x v="15"/>
    <x v="1"/>
    <n v="17325"/>
    <n v="16666"/>
    <n v="75"/>
    <n v="659"/>
    <n v="3.9541581663266531E-2"/>
    <n v="231"/>
  </r>
  <r>
    <x v="44"/>
    <s v="S017"/>
    <s v="C02"/>
    <x v="16"/>
    <x v="3"/>
    <x v="16"/>
    <x v="1"/>
    <n v="46659"/>
    <n v="51514"/>
    <n v="103"/>
    <n v="-4855"/>
    <n v="-9.4246224327367317E-2"/>
    <n v="453"/>
  </r>
  <r>
    <x v="44"/>
    <s v="S018"/>
    <s v="C01"/>
    <x v="17"/>
    <x v="4"/>
    <x v="17"/>
    <x v="0"/>
    <n v="43134"/>
    <n v="47948"/>
    <n v="91"/>
    <n v="-4814"/>
    <n v="-0.10040043380328689"/>
    <n v="474"/>
  </r>
  <r>
    <x v="44"/>
    <s v="S019"/>
    <s v="C04"/>
    <x v="18"/>
    <x v="5"/>
    <x v="18"/>
    <x v="2"/>
    <n v="33500"/>
    <n v="31624"/>
    <n v="125"/>
    <n v="1876"/>
    <n v="5.9322033898305086E-2"/>
    <n v="268"/>
  </r>
  <r>
    <x v="44"/>
    <s v="S020"/>
    <s v="C05"/>
    <x v="19"/>
    <x v="6"/>
    <x v="19"/>
    <x v="3"/>
    <n v="42108"/>
    <n v="47518"/>
    <n v="116"/>
    <n v="-5410"/>
    <n v="-0.11385159308051686"/>
    <n v="363"/>
  </r>
  <r>
    <x v="45"/>
    <s v="S001"/>
    <s v="C01"/>
    <x v="0"/>
    <x v="0"/>
    <x v="0"/>
    <x v="0"/>
    <n v="77400"/>
    <n v="87995"/>
    <n v="215"/>
    <n v="-10595"/>
    <n v="-0.12040456844138872"/>
    <n v="360"/>
  </r>
  <r>
    <x v="45"/>
    <s v="S002"/>
    <s v="C05"/>
    <x v="1"/>
    <x v="0"/>
    <x v="1"/>
    <x v="3"/>
    <n v="33228"/>
    <n v="37783"/>
    <n v="71"/>
    <n v="-4555"/>
    <n v="-0.12055686419818437"/>
    <n v="468"/>
  </r>
  <r>
    <x v="45"/>
    <s v="S003"/>
    <s v="C04"/>
    <x v="2"/>
    <x v="0"/>
    <x v="2"/>
    <x v="2"/>
    <n v="58474"/>
    <n v="55192"/>
    <n v="173"/>
    <n v="3282"/>
    <n v="5.9465139875344256E-2"/>
    <n v="338"/>
  </r>
  <r>
    <x v="45"/>
    <s v="S004"/>
    <s v="C01"/>
    <x v="3"/>
    <x v="0"/>
    <x v="3"/>
    <x v="0"/>
    <n v="12064"/>
    <n v="11559"/>
    <n v="58"/>
    <n v="505"/>
    <n v="4.3688900423912103E-2"/>
    <n v="208"/>
  </r>
  <r>
    <x v="45"/>
    <s v="S005"/>
    <s v="C02"/>
    <x v="4"/>
    <x v="0"/>
    <x v="4"/>
    <x v="1"/>
    <n v="17960"/>
    <n v="18310"/>
    <n v="40"/>
    <n v="-350"/>
    <n v="-1.9115237575095576E-2"/>
    <n v="449"/>
  </r>
  <r>
    <x v="45"/>
    <s v="S006"/>
    <s v="C03"/>
    <x v="5"/>
    <x v="1"/>
    <x v="5"/>
    <x v="4"/>
    <n v="54336"/>
    <n v="59857"/>
    <n v="192"/>
    <n v="-5521"/>
    <n v="-9.2236496984479679E-2"/>
    <n v="283"/>
  </r>
  <r>
    <x v="45"/>
    <s v="S007"/>
    <s v="C03"/>
    <x v="6"/>
    <x v="1"/>
    <x v="6"/>
    <x v="4"/>
    <n v="58860"/>
    <n v="66493"/>
    <n v="218"/>
    <n v="-7633"/>
    <n v="-0.11479403847021491"/>
    <n v="270"/>
  </r>
  <r>
    <x v="45"/>
    <s v="S008"/>
    <s v="C03"/>
    <x v="7"/>
    <x v="1"/>
    <x v="7"/>
    <x v="4"/>
    <n v="9550"/>
    <n v="8947"/>
    <n v="50"/>
    <n v="603"/>
    <n v="6.739689281323348E-2"/>
    <n v="191"/>
  </r>
  <r>
    <x v="45"/>
    <s v="S009"/>
    <s v="C02"/>
    <x v="8"/>
    <x v="1"/>
    <x v="8"/>
    <x v="1"/>
    <n v="28287"/>
    <n v="31544"/>
    <n v="63"/>
    <n v="-3257"/>
    <n v="-0.10325259954349481"/>
    <n v="449"/>
  </r>
  <r>
    <x v="45"/>
    <s v="S010"/>
    <s v="C01"/>
    <x v="9"/>
    <x v="1"/>
    <x v="9"/>
    <x v="0"/>
    <n v="67470"/>
    <n v="67395"/>
    <n v="130"/>
    <n v="75"/>
    <n v="1.1128421989761851E-3"/>
    <n v="519"/>
  </r>
  <r>
    <x v="45"/>
    <s v="S011"/>
    <s v="C01"/>
    <x v="10"/>
    <x v="2"/>
    <x v="10"/>
    <x v="0"/>
    <n v="40414"/>
    <n v="39632"/>
    <n v="121"/>
    <n v="782"/>
    <n v="1.9731530076705691E-2"/>
    <n v="334"/>
  </r>
  <r>
    <x v="45"/>
    <s v="S012"/>
    <s v="C02"/>
    <x v="11"/>
    <x v="2"/>
    <x v="11"/>
    <x v="1"/>
    <n v="74022"/>
    <n v="84397"/>
    <n v="146"/>
    <n v="-10375"/>
    <n v="-0.12293090986646445"/>
    <n v="507"/>
  </r>
  <r>
    <x v="45"/>
    <s v="S013"/>
    <s v="C03"/>
    <x v="12"/>
    <x v="2"/>
    <x v="12"/>
    <x v="4"/>
    <n v="36893"/>
    <n v="39600"/>
    <n v="79"/>
    <n v="-2707"/>
    <n v="-6.8358585858585855E-2"/>
    <n v="467"/>
  </r>
  <r>
    <x v="45"/>
    <s v="S014"/>
    <s v="C05"/>
    <x v="13"/>
    <x v="2"/>
    <x v="13"/>
    <x v="3"/>
    <n v="37044"/>
    <n v="39503"/>
    <n v="126"/>
    <n v="-2459"/>
    <n v="-6.2248436827582715E-2"/>
    <n v="294"/>
  </r>
  <r>
    <x v="45"/>
    <s v="S015"/>
    <s v="C02"/>
    <x v="14"/>
    <x v="2"/>
    <x v="14"/>
    <x v="1"/>
    <n v="44147"/>
    <n v="47833"/>
    <n v="131"/>
    <n v="-3686"/>
    <n v="-7.7059770451362031E-2"/>
    <n v="337"/>
  </r>
  <r>
    <x v="45"/>
    <s v="S016"/>
    <s v="C03"/>
    <x v="15"/>
    <x v="3"/>
    <x v="15"/>
    <x v="4"/>
    <n v="18090"/>
    <n v="19577"/>
    <n v="67"/>
    <n v="-1487"/>
    <n v="-7.5956479542320071E-2"/>
    <n v="270"/>
  </r>
  <r>
    <x v="45"/>
    <s v="S017"/>
    <s v="C05"/>
    <x v="16"/>
    <x v="3"/>
    <x v="16"/>
    <x v="3"/>
    <n v="63450"/>
    <n v="57618"/>
    <n v="135"/>
    <n v="5832"/>
    <n v="0.10121836925960637"/>
    <n v="470"/>
  </r>
  <r>
    <x v="45"/>
    <s v="S018"/>
    <s v="C05"/>
    <x v="17"/>
    <x v="4"/>
    <x v="17"/>
    <x v="3"/>
    <n v="57188"/>
    <n v="54627"/>
    <n v="116"/>
    <n v="2561"/>
    <n v="4.6881578706500449E-2"/>
    <n v="493"/>
  </r>
  <r>
    <x v="45"/>
    <s v="S019"/>
    <s v="C05"/>
    <x v="18"/>
    <x v="5"/>
    <x v="18"/>
    <x v="3"/>
    <n v="26474"/>
    <n v="24757"/>
    <n v="61"/>
    <n v="1717"/>
    <n v="6.9354122066486251E-2"/>
    <n v="434"/>
  </r>
  <r>
    <x v="45"/>
    <s v="S020"/>
    <s v="C01"/>
    <x v="19"/>
    <x v="6"/>
    <x v="19"/>
    <x v="0"/>
    <n v="33915"/>
    <n v="38852"/>
    <n v="95"/>
    <n v="-4937"/>
    <n v="-0.12707196540718624"/>
    <n v="357"/>
  </r>
  <r>
    <x v="46"/>
    <s v="S001"/>
    <s v="C02"/>
    <x v="0"/>
    <x v="0"/>
    <x v="0"/>
    <x v="1"/>
    <n v="44325"/>
    <n v="48997"/>
    <n v="197"/>
    <n v="-4672"/>
    <n v="-9.5352776700614317E-2"/>
    <n v="225"/>
  </r>
  <r>
    <x v="46"/>
    <s v="S002"/>
    <s v="C03"/>
    <x v="1"/>
    <x v="0"/>
    <x v="1"/>
    <x v="4"/>
    <n v="27565"/>
    <n v="26636"/>
    <n v="149"/>
    <n v="929"/>
    <n v="3.4877609250638236E-2"/>
    <n v="185"/>
  </r>
  <r>
    <x v="46"/>
    <s v="S003"/>
    <s v="C02"/>
    <x v="2"/>
    <x v="0"/>
    <x v="2"/>
    <x v="1"/>
    <n v="45368"/>
    <n v="44806"/>
    <n v="212"/>
    <n v="562"/>
    <n v="1.2542962996027317E-2"/>
    <n v="214"/>
  </r>
  <r>
    <x v="46"/>
    <s v="S004"/>
    <s v="C01"/>
    <x v="3"/>
    <x v="0"/>
    <x v="3"/>
    <x v="0"/>
    <n v="39420"/>
    <n v="35952"/>
    <n v="219"/>
    <n v="3468"/>
    <n v="9.6461949265687588E-2"/>
    <n v="180"/>
  </r>
  <r>
    <x v="46"/>
    <s v="S005"/>
    <s v="C04"/>
    <x v="4"/>
    <x v="0"/>
    <x v="4"/>
    <x v="2"/>
    <n v="37630"/>
    <n v="42188"/>
    <n v="142"/>
    <n v="-4558"/>
    <n v="-0.10804020100502512"/>
    <n v="265"/>
  </r>
  <r>
    <x v="46"/>
    <s v="S006"/>
    <s v="C04"/>
    <x v="5"/>
    <x v="1"/>
    <x v="5"/>
    <x v="2"/>
    <n v="47029"/>
    <n v="48745"/>
    <n v="131"/>
    <n v="-1716"/>
    <n v="-3.5203610626730948E-2"/>
    <n v="359"/>
  </r>
  <r>
    <x v="46"/>
    <s v="S007"/>
    <s v="C01"/>
    <x v="6"/>
    <x v="1"/>
    <x v="6"/>
    <x v="0"/>
    <n v="74575"/>
    <n v="79254"/>
    <n v="157"/>
    <n v="-4679"/>
    <n v="-5.9038029626264921E-2"/>
    <n v="475"/>
  </r>
  <r>
    <x v="46"/>
    <s v="S008"/>
    <s v="C02"/>
    <x v="7"/>
    <x v="1"/>
    <x v="7"/>
    <x v="1"/>
    <n v="31236"/>
    <n v="28687"/>
    <n v="76"/>
    <n v="2549"/>
    <n v="8.8855579182207975E-2"/>
    <n v="411"/>
  </r>
  <r>
    <x v="46"/>
    <s v="S009"/>
    <s v="C01"/>
    <x v="8"/>
    <x v="1"/>
    <x v="8"/>
    <x v="0"/>
    <n v="20900"/>
    <n v="20475"/>
    <n v="110"/>
    <n v="425"/>
    <n v="2.0757020757020756E-2"/>
    <n v="190"/>
  </r>
  <r>
    <x v="46"/>
    <s v="S010"/>
    <s v="C01"/>
    <x v="9"/>
    <x v="1"/>
    <x v="9"/>
    <x v="0"/>
    <n v="18815"/>
    <n v="17733"/>
    <n v="53"/>
    <n v="1082"/>
    <n v="6.1016184514746517E-2"/>
    <n v="355"/>
  </r>
  <r>
    <x v="46"/>
    <s v="S011"/>
    <s v="C04"/>
    <x v="10"/>
    <x v="2"/>
    <x v="10"/>
    <x v="2"/>
    <n v="16568"/>
    <n v="17177"/>
    <n v="76"/>
    <n v="-609"/>
    <n v="-3.5454386679862608E-2"/>
    <n v="218"/>
  </r>
  <r>
    <x v="46"/>
    <s v="S012"/>
    <s v="C01"/>
    <x v="11"/>
    <x v="2"/>
    <x v="11"/>
    <x v="0"/>
    <n v="58564"/>
    <n v="67133"/>
    <n v="121"/>
    <n v="-8569"/>
    <n v="-0.12764214320825823"/>
    <n v="484"/>
  </r>
  <r>
    <x v="46"/>
    <s v="S013"/>
    <s v="C04"/>
    <x v="12"/>
    <x v="2"/>
    <x v="12"/>
    <x v="2"/>
    <n v="41925"/>
    <n v="42253"/>
    <n v="215"/>
    <n v="-328"/>
    <n v="-7.7627624074030248E-3"/>
    <n v="195"/>
  </r>
  <r>
    <x v="46"/>
    <s v="S014"/>
    <s v="C02"/>
    <x v="13"/>
    <x v="2"/>
    <x v="13"/>
    <x v="1"/>
    <n v="76380"/>
    <n v="71741"/>
    <n v="190"/>
    <n v="4639"/>
    <n v="6.4663163323622472E-2"/>
    <n v="402"/>
  </r>
  <r>
    <x v="46"/>
    <s v="S015"/>
    <s v="C01"/>
    <x v="14"/>
    <x v="2"/>
    <x v="14"/>
    <x v="0"/>
    <n v="33915"/>
    <n v="38785"/>
    <n v="119"/>
    <n v="-4870"/>
    <n v="-0.12556400670362253"/>
    <n v="285"/>
  </r>
  <r>
    <x v="46"/>
    <s v="S016"/>
    <s v="C04"/>
    <x v="15"/>
    <x v="3"/>
    <x v="15"/>
    <x v="2"/>
    <n v="98619"/>
    <n v="106558"/>
    <n v="213"/>
    <n v="-7939"/>
    <n v="-7.4504025976463523E-2"/>
    <n v="463"/>
  </r>
  <r>
    <x v="46"/>
    <s v="S017"/>
    <s v="C05"/>
    <x v="16"/>
    <x v="3"/>
    <x v="16"/>
    <x v="3"/>
    <n v="52836"/>
    <n v="51271"/>
    <n v="102"/>
    <n v="1565"/>
    <n v="3.0524077938795812E-2"/>
    <n v="518"/>
  </r>
  <r>
    <x v="46"/>
    <s v="S018"/>
    <s v="C02"/>
    <x v="17"/>
    <x v="4"/>
    <x v="17"/>
    <x v="1"/>
    <n v="12095"/>
    <n v="12073"/>
    <n v="59"/>
    <n v="22"/>
    <n v="1.8222479913857367E-3"/>
    <n v="205"/>
  </r>
  <r>
    <x v="46"/>
    <s v="S019"/>
    <s v="C05"/>
    <x v="18"/>
    <x v="5"/>
    <x v="18"/>
    <x v="3"/>
    <n v="41280"/>
    <n v="37714"/>
    <n v="160"/>
    <n v="3566"/>
    <n v="9.455374661929257E-2"/>
    <n v="258"/>
  </r>
  <r>
    <x v="46"/>
    <s v="S020"/>
    <s v="C01"/>
    <x v="19"/>
    <x v="6"/>
    <x v="19"/>
    <x v="0"/>
    <n v="32256"/>
    <n v="31405"/>
    <n v="144"/>
    <n v="851"/>
    <n v="2.709759592421589E-2"/>
    <n v="224"/>
  </r>
  <r>
    <x v="47"/>
    <s v="S001"/>
    <s v="C05"/>
    <x v="0"/>
    <x v="0"/>
    <x v="0"/>
    <x v="3"/>
    <n v="44274"/>
    <n v="40920"/>
    <n v="157"/>
    <n v="3354"/>
    <n v="8.1964809384164228E-2"/>
    <n v="282"/>
  </r>
  <r>
    <x v="47"/>
    <s v="S002"/>
    <s v="C02"/>
    <x v="1"/>
    <x v="0"/>
    <x v="1"/>
    <x v="1"/>
    <n v="39468"/>
    <n v="38400"/>
    <n v="78"/>
    <n v="1068"/>
    <n v="2.78125E-2"/>
    <n v="506"/>
  </r>
  <r>
    <x v="47"/>
    <s v="S003"/>
    <s v="C01"/>
    <x v="2"/>
    <x v="0"/>
    <x v="2"/>
    <x v="0"/>
    <n v="37284"/>
    <n v="36429"/>
    <n v="156"/>
    <n v="855"/>
    <n v="2.3470312113975128E-2"/>
    <n v="239"/>
  </r>
  <r>
    <x v="47"/>
    <s v="S004"/>
    <s v="C04"/>
    <x v="3"/>
    <x v="0"/>
    <x v="3"/>
    <x v="2"/>
    <n v="66650"/>
    <n v="74895"/>
    <n v="155"/>
    <n v="-8245"/>
    <n v="-0.11008745577141331"/>
    <n v="430"/>
  </r>
  <r>
    <x v="47"/>
    <s v="S005"/>
    <s v="C03"/>
    <x v="4"/>
    <x v="0"/>
    <x v="4"/>
    <x v="4"/>
    <n v="29464"/>
    <n v="30525"/>
    <n v="58"/>
    <n v="-1061"/>
    <n v="-3.4758394758394762E-2"/>
    <n v="508"/>
  </r>
  <r>
    <x v="47"/>
    <s v="S006"/>
    <s v="C02"/>
    <x v="5"/>
    <x v="1"/>
    <x v="5"/>
    <x v="1"/>
    <n v="48375"/>
    <n v="48004"/>
    <n v="129"/>
    <n v="371"/>
    <n v="7.7285226231147402E-3"/>
    <n v="375"/>
  </r>
  <r>
    <x v="47"/>
    <s v="S007"/>
    <s v="C04"/>
    <x v="6"/>
    <x v="1"/>
    <x v="6"/>
    <x v="2"/>
    <n v="14444"/>
    <n v="14587"/>
    <n v="46"/>
    <n v="-143"/>
    <n v="-9.8032494687050106E-3"/>
    <n v="314"/>
  </r>
  <r>
    <x v="47"/>
    <s v="S008"/>
    <s v="C03"/>
    <x v="7"/>
    <x v="1"/>
    <x v="7"/>
    <x v="4"/>
    <n v="29164"/>
    <n v="30361"/>
    <n v="92"/>
    <n v="-1197"/>
    <n v="-3.9425578867626231E-2"/>
    <n v="317"/>
  </r>
  <r>
    <x v="47"/>
    <s v="S009"/>
    <s v="C02"/>
    <x v="8"/>
    <x v="1"/>
    <x v="8"/>
    <x v="1"/>
    <n v="48777"/>
    <n v="44944"/>
    <n v="213"/>
    <n v="3833"/>
    <n v="8.5283908864364544E-2"/>
    <n v="229"/>
  </r>
  <r>
    <x v="47"/>
    <s v="S010"/>
    <s v="C03"/>
    <x v="9"/>
    <x v="1"/>
    <x v="9"/>
    <x v="4"/>
    <n v="67643"/>
    <n v="77294"/>
    <n v="173"/>
    <n v="-9651"/>
    <n v="-0.12486092064067068"/>
    <n v="391"/>
  </r>
  <r>
    <x v="47"/>
    <s v="S011"/>
    <s v="C05"/>
    <x v="10"/>
    <x v="2"/>
    <x v="10"/>
    <x v="3"/>
    <n v="43059"/>
    <n v="39409"/>
    <n v="93"/>
    <n v="3650"/>
    <n v="9.261843741277373E-2"/>
    <n v="463"/>
  </r>
  <r>
    <x v="47"/>
    <s v="S012"/>
    <s v="C04"/>
    <x v="11"/>
    <x v="2"/>
    <x v="11"/>
    <x v="2"/>
    <n v="66192"/>
    <n v="75552"/>
    <n v="168"/>
    <n v="-9360"/>
    <n v="-0.12388818297331639"/>
    <n v="394"/>
  </r>
  <r>
    <x v="47"/>
    <s v="S013"/>
    <s v="C04"/>
    <x v="12"/>
    <x v="2"/>
    <x v="12"/>
    <x v="2"/>
    <n v="54300"/>
    <n v="55335"/>
    <n v="181"/>
    <n v="-1035"/>
    <n v="-1.8704255895906751E-2"/>
    <n v="300"/>
  </r>
  <r>
    <x v="47"/>
    <s v="S014"/>
    <s v="C01"/>
    <x v="13"/>
    <x v="2"/>
    <x v="13"/>
    <x v="0"/>
    <n v="26792"/>
    <n v="27475"/>
    <n v="136"/>
    <n v="-683"/>
    <n v="-2.4858962693357599E-2"/>
    <n v="197"/>
  </r>
  <r>
    <x v="47"/>
    <s v="S015"/>
    <s v="C05"/>
    <x v="14"/>
    <x v="2"/>
    <x v="14"/>
    <x v="3"/>
    <n v="89957"/>
    <n v="84277"/>
    <n v="181"/>
    <n v="5680"/>
    <n v="6.7396798652064022E-2"/>
    <n v="497"/>
  </r>
  <r>
    <x v="47"/>
    <s v="S016"/>
    <s v="C04"/>
    <x v="15"/>
    <x v="3"/>
    <x v="15"/>
    <x v="2"/>
    <n v="20935"/>
    <n v="23929"/>
    <n v="79"/>
    <n v="-2994"/>
    <n v="-0.12512014710184297"/>
    <n v="265"/>
  </r>
  <r>
    <x v="47"/>
    <s v="S017"/>
    <s v="C02"/>
    <x v="16"/>
    <x v="3"/>
    <x v="16"/>
    <x v="1"/>
    <n v="13467"/>
    <n v="13545"/>
    <n v="67"/>
    <n v="-78"/>
    <n v="-5.758582502768549E-3"/>
    <n v="201"/>
  </r>
  <r>
    <x v="47"/>
    <s v="S018"/>
    <s v="C04"/>
    <x v="17"/>
    <x v="4"/>
    <x v="17"/>
    <x v="2"/>
    <n v="43086"/>
    <n v="40370"/>
    <n v="86"/>
    <n v="2716"/>
    <n v="6.7277681446618776E-2"/>
    <n v="501"/>
  </r>
  <r>
    <x v="47"/>
    <s v="S019"/>
    <s v="C05"/>
    <x v="18"/>
    <x v="5"/>
    <x v="18"/>
    <x v="3"/>
    <n v="34643"/>
    <n v="39066"/>
    <n v="101"/>
    <n v="-4423"/>
    <n v="-0.11321865560845748"/>
    <n v="343"/>
  </r>
  <r>
    <x v="47"/>
    <s v="S020"/>
    <s v="C01"/>
    <x v="19"/>
    <x v="6"/>
    <x v="19"/>
    <x v="0"/>
    <n v="21546"/>
    <n v="22388"/>
    <n v="57"/>
    <n v="-842"/>
    <n v="-3.7609433625156334E-2"/>
    <n v="378"/>
  </r>
  <r>
    <x v="48"/>
    <s v="S001"/>
    <s v="C05"/>
    <x v="0"/>
    <x v="0"/>
    <x v="0"/>
    <x v="3"/>
    <n v="37878"/>
    <n v="39011"/>
    <n v="118"/>
    <n v="-1133"/>
    <n v="-2.9043090410397068E-2"/>
    <n v="321"/>
  </r>
  <r>
    <x v="48"/>
    <s v="S002"/>
    <s v="C01"/>
    <x v="1"/>
    <x v="0"/>
    <x v="1"/>
    <x v="0"/>
    <n v="106786"/>
    <n v="111793"/>
    <n v="214"/>
    <n v="-5007"/>
    <n v="-4.4788135214190512E-2"/>
    <n v="499"/>
  </r>
  <r>
    <x v="48"/>
    <s v="S003"/>
    <s v="C04"/>
    <x v="2"/>
    <x v="0"/>
    <x v="2"/>
    <x v="2"/>
    <n v="24696"/>
    <n v="23150"/>
    <n v="63"/>
    <n v="1546"/>
    <n v="6.6781857451403887E-2"/>
    <n v="392"/>
  </r>
  <r>
    <x v="48"/>
    <s v="S004"/>
    <s v="C05"/>
    <x v="3"/>
    <x v="0"/>
    <x v="3"/>
    <x v="3"/>
    <n v="88430"/>
    <n v="96352"/>
    <n v="185"/>
    <n v="-7922"/>
    <n v="-8.2219362338093654E-2"/>
    <n v="478"/>
  </r>
  <r>
    <x v="48"/>
    <s v="S005"/>
    <s v="C01"/>
    <x v="4"/>
    <x v="0"/>
    <x v="4"/>
    <x v="0"/>
    <n v="29016"/>
    <n v="31769"/>
    <n v="62"/>
    <n v="-2753"/>
    <n v="-8.6656803802448931E-2"/>
    <n v="468"/>
  </r>
  <r>
    <x v="48"/>
    <s v="S006"/>
    <s v="C03"/>
    <x v="5"/>
    <x v="1"/>
    <x v="5"/>
    <x v="4"/>
    <n v="61232"/>
    <n v="68547"/>
    <n v="172"/>
    <n v="-7315"/>
    <n v="-0.10671510058791778"/>
    <n v="356"/>
  </r>
  <r>
    <x v="48"/>
    <s v="S007"/>
    <s v="C03"/>
    <x v="6"/>
    <x v="1"/>
    <x v="6"/>
    <x v="4"/>
    <n v="68495"/>
    <n v="69960"/>
    <n v="133"/>
    <n v="-1465"/>
    <n v="-2.0940537449971413E-2"/>
    <n v="515"/>
  </r>
  <r>
    <x v="48"/>
    <s v="S008"/>
    <s v="C05"/>
    <x v="7"/>
    <x v="1"/>
    <x v="7"/>
    <x v="3"/>
    <n v="31044"/>
    <n v="29276"/>
    <n v="156"/>
    <n v="1768"/>
    <n v="6.0390763765541741E-2"/>
    <n v="199"/>
  </r>
  <r>
    <x v="48"/>
    <s v="S009"/>
    <s v="C04"/>
    <x v="8"/>
    <x v="1"/>
    <x v="8"/>
    <x v="2"/>
    <n v="35216"/>
    <n v="37053"/>
    <n v="71"/>
    <n v="-1837"/>
    <n v="-4.9577632040590507E-2"/>
    <n v="496"/>
  </r>
  <r>
    <x v="48"/>
    <s v="S010"/>
    <s v="C04"/>
    <x v="9"/>
    <x v="1"/>
    <x v="9"/>
    <x v="2"/>
    <n v="16808"/>
    <n v="18865"/>
    <n v="44"/>
    <n v="-2057"/>
    <n v="-0.10903790087463557"/>
    <n v="382"/>
  </r>
  <r>
    <x v="48"/>
    <s v="S011"/>
    <s v="C03"/>
    <x v="10"/>
    <x v="2"/>
    <x v="10"/>
    <x v="4"/>
    <n v="63511"/>
    <n v="57942"/>
    <n v="211"/>
    <n v="5569"/>
    <n v="9.6113354734044393E-2"/>
    <n v="301"/>
  </r>
  <r>
    <x v="48"/>
    <s v="S012"/>
    <s v="C04"/>
    <x v="11"/>
    <x v="2"/>
    <x v="11"/>
    <x v="2"/>
    <n v="38110"/>
    <n v="34491"/>
    <n v="103"/>
    <n v="3619"/>
    <n v="0.10492592270447364"/>
    <n v="370"/>
  </r>
  <r>
    <x v="48"/>
    <s v="S013"/>
    <s v="C03"/>
    <x v="12"/>
    <x v="2"/>
    <x v="12"/>
    <x v="4"/>
    <n v="36822"/>
    <n v="40898"/>
    <n v="114"/>
    <n v="-4076"/>
    <n v="-9.9662575187050712E-2"/>
    <n v="323"/>
  </r>
  <r>
    <x v="48"/>
    <s v="S014"/>
    <s v="C01"/>
    <x v="13"/>
    <x v="2"/>
    <x v="13"/>
    <x v="0"/>
    <n v="23064"/>
    <n v="22490"/>
    <n v="93"/>
    <n v="574"/>
    <n v="2.5522454424188528E-2"/>
    <n v="248"/>
  </r>
  <r>
    <x v="48"/>
    <s v="S015"/>
    <s v="C04"/>
    <x v="14"/>
    <x v="2"/>
    <x v="14"/>
    <x v="2"/>
    <n v="37089"/>
    <n v="40137"/>
    <n v="117"/>
    <n v="-3048"/>
    <n v="-7.5939905822557746E-2"/>
    <n v="317"/>
  </r>
  <r>
    <x v="48"/>
    <s v="S016"/>
    <s v="C05"/>
    <x v="15"/>
    <x v="3"/>
    <x v="15"/>
    <x v="3"/>
    <n v="45000"/>
    <n v="42614"/>
    <n v="200"/>
    <n v="2386"/>
    <n v="5.5990988876894916E-2"/>
    <n v="225"/>
  </r>
  <r>
    <x v="48"/>
    <s v="S017"/>
    <s v="C02"/>
    <x v="16"/>
    <x v="3"/>
    <x v="16"/>
    <x v="1"/>
    <n v="59492"/>
    <n v="64838"/>
    <n v="139"/>
    <n v="-5346"/>
    <n v="-8.2451648724513396E-2"/>
    <n v="428"/>
  </r>
  <r>
    <x v="48"/>
    <s v="S018"/>
    <s v="C03"/>
    <x v="17"/>
    <x v="4"/>
    <x v="17"/>
    <x v="4"/>
    <n v="21707"/>
    <n v="23831"/>
    <n v="49"/>
    <n v="-2124"/>
    <n v="-8.9127606898577488E-2"/>
    <n v="443"/>
  </r>
  <r>
    <x v="48"/>
    <s v="S019"/>
    <s v="C01"/>
    <x v="18"/>
    <x v="5"/>
    <x v="18"/>
    <x v="0"/>
    <n v="50046"/>
    <n v="50088"/>
    <n v="114"/>
    <n v="-42"/>
    <n v="-8.3852419741255386E-4"/>
    <n v="439"/>
  </r>
  <r>
    <x v="48"/>
    <s v="S020"/>
    <s v="C05"/>
    <x v="19"/>
    <x v="6"/>
    <x v="19"/>
    <x v="3"/>
    <n v="34920"/>
    <n v="32944"/>
    <n v="180"/>
    <n v="1976"/>
    <n v="5.9980573093734821E-2"/>
    <n v="194"/>
  </r>
  <r>
    <x v="49"/>
    <s v="S001"/>
    <s v="C02"/>
    <x v="0"/>
    <x v="0"/>
    <x v="0"/>
    <x v="1"/>
    <n v="15043"/>
    <n v="13663"/>
    <n v="49"/>
    <n v="1380"/>
    <n v="0.10100270804362146"/>
    <n v="307"/>
  </r>
  <r>
    <x v="49"/>
    <s v="S002"/>
    <s v="C01"/>
    <x v="1"/>
    <x v="0"/>
    <x v="1"/>
    <x v="0"/>
    <n v="35687"/>
    <n v="34562"/>
    <n v="127"/>
    <n v="1125"/>
    <n v="3.2550199641224464E-2"/>
    <n v="281"/>
  </r>
  <r>
    <x v="49"/>
    <s v="S003"/>
    <s v="C04"/>
    <x v="2"/>
    <x v="0"/>
    <x v="2"/>
    <x v="2"/>
    <n v="62812"/>
    <n v="66508"/>
    <n v="164"/>
    <n v="-3696"/>
    <n v="-5.5572261983520777E-2"/>
    <n v="383"/>
  </r>
  <r>
    <x v="49"/>
    <s v="S004"/>
    <s v="C01"/>
    <x v="3"/>
    <x v="0"/>
    <x v="3"/>
    <x v="0"/>
    <n v="40755"/>
    <n v="39144"/>
    <n v="209"/>
    <n v="1611"/>
    <n v="4.1155732679337829E-2"/>
    <n v="195"/>
  </r>
  <r>
    <x v="49"/>
    <s v="S005"/>
    <s v="C04"/>
    <x v="4"/>
    <x v="0"/>
    <x v="4"/>
    <x v="2"/>
    <n v="76296"/>
    <n v="72053"/>
    <n v="187"/>
    <n v="4243"/>
    <n v="5.8887208027424254E-2"/>
    <n v="408"/>
  </r>
  <r>
    <x v="49"/>
    <s v="S006"/>
    <s v="C04"/>
    <x v="5"/>
    <x v="1"/>
    <x v="5"/>
    <x v="2"/>
    <n v="85470"/>
    <n v="84396"/>
    <n v="185"/>
    <n v="1074"/>
    <n v="1.2725721598180008E-2"/>
    <n v="462"/>
  </r>
  <r>
    <x v="49"/>
    <s v="S007"/>
    <s v="C02"/>
    <x v="6"/>
    <x v="1"/>
    <x v="6"/>
    <x v="1"/>
    <n v="22826"/>
    <n v="22170"/>
    <n v="101"/>
    <n v="656"/>
    <n v="2.9589535408209293E-2"/>
    <n v="226"/>
  </r>
  <r>
    <x v="49"/>
    <s v="S008"/>
    <s v="C04"/>
    <x v="7"/>
    <x v="1"/>
    <x v="7"/>
    <x v="2"/>
    <n v="12361"/>
    <n v="13763"/>
    <n v="47"/>
    <n v="-1402"/>
    <n v="-0.10186732543776793"/>
    <n v="263"/>
  </r>
  <r>
    <x v="49"/>
    <s v="S009"/>
    <s v="C02"/>
    <x v="8"/>
    <x v="1"/>
    <x v="8"/>
    <x v="1"/>
    <n v="46501"/>
    <n v="44467"/>
    <n v="91"/>
    <n v="2034"/>
    <n v="4.574178604358288E-2"/>
    <n v="511"/>
  </r>
  <r>
    <x v="49"/>
    <s v="S010"/>
    <s v="C02"/>
    <x v="9"/>
    <x v="1"/>
    <x v="9"/>
    <x v="1"/>
    <n v="52839"/>
    <n v="52964"/>
    <n v="103"/>
    <n v="-125"/>
    <n v="-2.3600936485159733E-3"/>
    <n v="513"/>
  </r>
  <r>
    <x v="49"/>
    <s v="S011"/>
    <s v="C01"/>
    <x v="10"/>
    <x v="2"/>
    <x v="10"/>
    <x v="0"/>
    <n v="38456"/>
    <n v="39168"/>
    <n v="209"/>
    <n v="-712"/>
    <n v="-1.81781045751634E-2"/>
    <n v="184"/>
  </r>
  <r>
    <x v="49"/>
    <s v="S012"/>
    <s v="C02"/>
    <x v="11"/>
    <x v="2"/>
    <x v="11"/>
    <x v="1"/>
    <n v="53600"/>
    <n v="56295"/>
    <n v="200"/>
    <n v="-2695"/>
    <n v="-4.7872812860822456E-2"/>
    <n v="268"/>
  </r>
  <r>
    <x v="49"/>
    <s v="S013"/>
    <s v="C01"/>
    <x v="12"/>
    <x v="2"/>
    <x v="12"/>
    <x v="0"/>
    <n v="28428"/>
    <n v="29908"/>
    <n v="92"/>
    <n v="-1480"/>
    <n v="-4.9485087601979401E-2"/>
    <n v="309"/>
  </r>
  <r>
    <x v="49"/>
    <s v="S014"/>
    <s v="C03"/>
    <x v="13"/>
    <x v="2"/>
    <x v="13"/>
    <x v="4"/>
    <n v="110453"/>
    <n v="107011"/>
    <n v="217"/>
    <n v="3442"/>
    <n v="3.2164917625290855E-2"/>
    <n v="509"/>
  </r>
  <r>
    <x v="49"/>
    <s v="S015"/>
    <s v="C04"/>
    <x v="14"/>
    <x v="2"/>
    <x v="14"/>
    <x v="2"/>
    <n v="51460"/>
    <n v="49555"/>
    <n v="124"/>
    <n v="1905"/>
    <n v="3.8442135001513472E-2"/>
    <n v="415"/>
  </r>
  <r>
    <x v="49"/>
    <s v="S016"/>
    <s v="C04"/>
    <x v="15"/>
    <x v="3"/>
    <x v="15"/>
    <x v="2"/>
    <n v="49952"/>
    <n v="55250"/>
    <n v="112"/>
    <n v="-5298"/>
    <n v="-9.5891402714932128E-2"/>
    <n v="446"/>
  </r>
  <r>
    <x v="49"/>
    <s v="S017"/>
    <s v="C04"/>
    <x v="16"/>
    <x v="3"/>
    <x v="16"/>
    <x v="2"/>
    <n v="42688"/>
    <n v="38497"/>
    <n v="184"/>
    <n v="4191"/>
    <n v="0.10886562589292673"/>
    <n v="232"/>
  </r>
  <r>
    <x v="49"/>
    <s v="S018"/>
    <s v="C03"/>
    <x v="17"/>
    <x v="4"/>
    <x v="17"/>
    <x v="4"/>
    <n v="90958"/>
    <n v="95364"/>
    <n v="178"/>
    <n v="-4406"/>
    <n v="-4.6201921060358205E-2"/>
    <n v="511"/>
  </r>
  <r>
    <x v="49"/>
    <s v="S019"/>
    <s v="C03"/>
    <x v="18"/>
    <x v="5"/>
    <x v="18"/>
    <x v="4"/>
    <n v="26085"/>
    <n v="26618"/>
    <n v="111"/>
    <n v="-533"/>
    <n v="-2.0024043880081149E-2"/>
    <n v="235"/>
  </r>
  <r>
    <x v="49"/>
    <s v="S020"/>
    <s v="C03"/>
    <x v="19"/>
    <x v="6"/>
    <x v="19"/>
    <x v="4"/>
    <n v="53235"/>
    <n v="52238"/>
    <n v="105"/>
    <n v="997"/>
    <n v="1.9085723036869711E-2"/>
    <n v="507"/>
  </r>
  <r>
    <x v="50"/>
    <s v="S001"/>
    <s v="C03"/>
    <x v="0"/>
    <x v="0"/>
    <x v="0"/>
    <x v="4"/>
    <n v="52015"/>
    <n v="56060"/>
    <n v="101"/>
    <n v="-4045"/>
    <n v="-7.2154834106314666E-2"/>
    <n v="515"/>
  </r>
  <r>
    <x v="50"/>
    <s v="S002"/>
    <s v="C03"/>
    <x v="1"/>
    <x v="0"/>
    <x v="1"/>
    <x v="4"/>
    <n v="21248"/>
    <n v="21871"/>
    <n v="83"/>
    <n v="-623"/>
    <n v="-2.8485208723880939E-2"/>
    <n v="256"/>
  </r>
  <r>
    <x v="50"/>
    <s v="S003"/>
    <s v="C02"/>
    <x v="2"/>
    <x v="0"/>
    <x v="2"/>
    <x v="1"/>
    <n v="23863"/>
    <n v="23887"/>
    <n v="49"/>
    <n v="-24"/>
    <n v="-1.0047306066061038E-3"/>
    <n v="487"/>
  </r>
  <r>
    <x v="50"/>
    <s v="S004"/>
    <s v="C03"/>
    <x v="3"/>
    <x v="0"/>
    <x v="3"/>
    <x v="4"/>
    <n v="52459"/>
    <n v="56672"/>
    <n v="209"/>
    <n v="-4213"/>
    <n v="-7.4340062111801247E-2"/>
    <n v="251"/>
  </r>
  <r>
    <x v="50"/>
    <s v="S005"/>
    <s v="C04"/>
    <x v="4"/>
    <x v="0"/>
    <x v="4"/>
    <x v="2"/>
    <n v="34320"/>
    <n v="38669"/>
    <n v="110"/>
    <n v="-4349"/>
    <n v="-0.11246735110812278"/>
    <n v="312"/>
  </r>
  <r>
    <x v="50"/>
    <s v="S006"/>
    <s v="C04"/>
    <x v="5"/>
    <x v="1"/>
    <x v="5"/>
    <x v="2"/>
    <n v="26532"/>
    <n v="27745"/>
    <n v="134"/>
    <n v="-1213"/>
    <n v="-4.3719589115155881E-2"/>
    <n v="198"/>
  </r>
  <r>
    <x v="50"/>
    <s v="S007"/>
    <s v="C05"/>
    <x v="6"/>
    <x v="1"/>
    <x v="6"/>
    <x v="3"/>
    <n v="29465"/>
    <n v="31870"/>
    <n v="83"/>
    <n v="-2405"/>
    <n v="-7.5462817696893628E-2"/>
    <n v="355"/>
  </r>
  <r>
    <x v="50"/>
    <s v="S008"/>
    <s v="C02"/>
    <x v="7"/>
    <x v="1"/>
    <x v="7"/>
    <x v="1"/>
    <n v="95130"/>
    <n v="100797"/>
    <n v="210"/>
    <n v="-5667"/>
    <n v="-5.6221911366409714E-2"/>
    <n v="453"/>
  </r>
  <r>
    <x v="50"/>
    <s v="S009"/>
    <s v="C04"/>
    <x v="8"/>
    <x v="1"/>
    <x v="8"/>
    <x v="2"/>
    <n v="74778"/>
    <n v="76784"/>
    <n v="206"/>
    <n v="-2006"/>
    <n v="-2.6125234423838298E-2"/>
    <n v="363"/>
  </r>
  <r>
    <x v="50"/>
    <s v="S010"/>
    <s v="C02"/>
    <x v="9"/>
    <x v="1"/>
    <x v="9"/>
    <x v="1"/>
    <n v="94395"/>
    <n v="89230"/>
    <n v="203"/>
    <n v="5165"/>
    <n v="5.7884119690686991E-2"/>
    <n v="465"/>
  </r>
  <r>
    <x v="50"/>
    <s v="S011"/>
    <s v="C01"/>
    <x v="10"/>
    <x v="2"/>
    <x v="10"/>
    <x v="0"/>
    <n v="37975"/>
    <n v="41211"/>
    <n v="155"/>
    <n v="-3236"/>
    <n v="-7.8522724515299319E-2"/>
    <n v="245"/>
  </r>
  <r>
    <x v="50"/>
    <s v="S012"/>
    <s v="C05"/>
    <x v="11"/>
    <x v="2"/>
    <x v="11"/>
    <x v="3"/>
    <n v="28431"/>
    <n v="30239"/>
    <n v="81"/>
    <n v="-1808"/>
    <n v="-5.9790336982043057E-2"/>
    <n v="351"/>
  </r>
  <r>
    <x v="50"/>
    <s v="S013"/>
    <s v="C02"/>
    <x v="12"/>
    <x v="2"/>
    <x v="12"/>
    <x v="1"/>
    <n v="36750"/>
    <n v="39912"/>
    <n v="125"/>
    <n v="-3162"/>
    <n v="-7.9224293445580282E-2"/>
    <n v="294"/>
  </r>
  <r>
    <x v="50"/>
    <s v="S014"/>
    <s v="C03"/>
    <x v="13"/>
    <x v="2"/>
    <x v="13"/>
    <x v="4"/>
    <n v="49558"/>
    <n v="49207"/>
    <n v="142"/>
    <n v="351"/>
    <n v="7.1331314650354624E-3"/>
    <n v="349"/>
  </r>
  <r>
    <x v="50"/>
    <s v="S015"/>
    <s v="C05"/>
    <x v="14"/>
    <x v="2"/>
    <x v="14"/>
    <x v="3"/>
    <n v="45870"/>
    <n v="51044"/>
    <n v="110"/>
    <n v="-5174"/>
    <n v="-0.10136352950395737"/>
    <n v="417"/>
  </r>
  <r>
    <x v="50"/>
    <s v="S016"/>
    <s v="C04"/>
    <x v="15"/>
    <x v="3"/>
    <x v="15"/>
    <x v="2"/>
    <n v="24192"/>
    <n v="25302"/>
    <n v="48"/>
    <n v="-1110"/>
    <n v="-4.387004979843491E-2"/>
    <n v="504"/>
  </r>
  <r>
    <x v="50"/>
    <s v="S017"/>
    <s v="C05"/>
    <x v="16"/>
    <x v="3"/>
    <x v="16"/>
    <x v="3"/>
    <n v="22313"/>
    <n v="25043"/>
    <n v="53"/>
    <n v="-2730"/>
    <n v="-0.10901249850257556"/>
    <n v="421"/>
  </r>
  <r>
    <x v="50"/>
    <s v="S018"/>
    <s v="C05"/>
    <x v="17"/>
    <x v="4"/>
    <x v="17"/>
    <x v="3"/>
    <n v="24375"/>
    <n v="25166"/>
    <n v="65"/>
    <n v="-791"/>
    <n v="-3.1431296193276642E-2"/>
    <n v="375"/>
  </r>
  <r>
    <x v="50"/>
    <s v="S019"/>
    <s v="C04"/>
    <x v="18"/>
    <x v="5"/>
    <x v="18"/>
    <x v="2"/>
    <n v="12336"/>
    <n v="11526"/>
    <n v="48"/>
    <n v="810"/>
    <n v="7.0275897969807391E-2"/>
    <n v="257"/>
  </r>
  <r>
    <x v="50"/>
    <s v="S020"/>
    <s v="C02"/>
    <x v="19"/>
    <x v="6"/>
    <x v="19"/>
    <x v="1"/>
    <n v="47458"/>
    <n v="54424"/>
    <n v="122"/>
    <n v="-6966"/>
    <n v="-0.12799500220490959"/>
    <n v="389"/>
  </r>
  <r>
    <x v="51"/>
    <s v="S001"/>
    <s v="C04"/>
    <x v="0"/>
    <x v="0"/>
    <x v="0"/>
    <x v="2"/>
    <n v="24211"/>
    <n v="27009"/>
    <n v="71"/>
    <n v="-2798"/>
    <n v="-0.10359509793031953"/>
    <n v="341"/>
  </r>
  <r>
    <x v="51"/>
    <s v="S002"/>
    <s v="C02"/>
    <x v="1"/>
    <x v="0"/>
    <x v="1"/>
    <x v="1"/>
    <n v="23595"/>
    <n v="23197"/>
    <n v="55"/>
    <n v="398"/>
    <n v="1.715739104194508E-2"/>
    <n v="429"/>
  </r>
  <r>
    <x v="51"/>
    <s v="S003"/>
    <s v="C02"/>
    <x v="2"/>
    <x v="0"/>
    <x v="2"/>
    <x v="1"/>
    <n v="57960"/>
    <n v="53004"/>
    <n v="115"/>
    <n v="4956"/>
    <n v="9.3502377179080817E-2"/>
    <n v="504"/>
  </r>
  <r>
    <x v="51"/>
    <s v="S004"/>
    <s v="C04"/>
    <x v="3"/>
    <x v="0"/>
    <x v="3"/>
    <x v="2"/>
    <n v="30135"/>
    <n v="32856"/>
    <n v="105"/>
    <n v="-2721"/>
    <n v="-8.2815924032140248E-2"/>
    <n v="287"/>
  </r>
  <r>
    <x v="51"/>
    <s v="S005"/>
    <s v="C02"/>
    <x v="4"/>
    <x v="0"/>
    <x v="4"/>
    <x v="1"/>
    <n v="47502"/>
    <n v="48565"/>
    <n v="182"/>
    <n v="-1063"/>
    <n v="-2.1888191084114075E-2"/>
    <n v="261"/>
  </r>
  <r>
    <x v="51"/>
    <s v="S006"/>
    <s v="C01"/>
    <x v="5"/>
    <x v="1"/>
    <x v="5"/>
    <x v="0"/>
    <n v="33592"/>
    <n v="33875"/>
    <n v="68"/>
    <n v="-283"/>
    <n v="-8.3542435424354237E-3"/>
    <n v="494"/>
  </r>
  <r>
    <x v="51"/>
    <s v="S007"/>
    <s v="C04"/>
    <x v="6"/>
    <x v="1"/>
    <x v="6"/>
    <x v="2"/>
    <n v="55062"/>
    <n v="62844"/>
    <n v="138"/>
    <n v="-7782"/>
    <n v="-0.12383043727324804"/>
    <n v="399"/>
  </r>
  <r>
    <x v="51"/>
    <s v="S008"/>
    <s v="C04"/>
    <x v="7"/>
    <x v="1"/>
    <x v="7"/>
    <x v="2"/>
    <n v="7164"/>
    <n v="7403"/>
    <n v="36"/>
    <n v="-239"/>
    <n v="-3.2284209104417129E-2"/>
    <n v="199"/>
  </r>
  <r>
    <x v="51"/>
    <s v="S009"/>
    <s v="C03"/>
    <x v="8"/>
    <x v="1"/>
    <x v="8"/>
    <x v="4"/>
    <n v="13072"/>
    <n v="14238"/>
    <n v="38"/>
    <n v="-1166"/>
    <n v="-8.1893524371400475E-2"/>
    <n v="344"/>
  </r>
  <r>
    <x v="51"/>
    <s v="S010"/>
    <s v="C05"/>
    <x v="9"/>
    <x v="1"/>
    <x v="9"/>
    <x v="3"/>
    <n v="15687"/>
    <n v="16772"/>
    <n v="83"/>
    <n v="-1085"/>
    <n v="-6.4691151919866449E-2"/>
    <n v="189"/>
  </r>
  <r>
    <x v="51"/>
    <s v="S011"/>
    <s v="C02"/>
    <x v="10"/>
    <x v="2"/>
    <x v="10"/>
    <x v="1"/>
    <n v="32752"/>
    <n v="32032"/>
    <n v="92"/>
    <n v="720"/>
    <n v="2.2477522477522476E-2"/>
    <n v="356"/>
  </r>
  <r>
    <x v="51"/>
    <s v="S012"/>
    <s v="C01"/>
    <x v="11"/>
    <x v="2"/>
    <x v="11"/>
    <x v="0"/>
    <n v="58121"/>
    <n v="60862"/>
    <n v="133"/>
    <n v="-2741"/>
    <n v="-4.503631165587723E-2"/>
    <n v="437"/>
  </r>
  <r>
    <x v="51"/>
    <s v="S013"/>
    <s v="C02"/>
    <x v="12"/>
    <x v="2"/>
    <x v="12"/>
    <x v="1"/>
    <n v="10353"/>
    <n v="10089"/>
    <n v="51"/>
    <n v="264"/>
    <n v="2.616711269699673E-2"/>
    <n v="203"/>
  </r>
  <r>
    <x v="51"/>
    <s v="S014"/>
    <s v="C03"/>
    <x v="13"/>
    <x v="2"/>
    <x v="13"/>
    <x v="4"/>
    <n v="67346"/>
    <n v="70652"/>
    <n v="151"/>
    <n v="-3306"/>
    <n v="-4.6792730566721397E-2"/>
    <n v="446"/>
  </r>
  <r>
    <x v="51"/>
    <s v="S015"/>
    <s v="C03"/>
    <x v="14"/>
    <x v="2"/>
    <x v="14"/>
    <x v="4"/>
    <n v="36208"/>
    <n v="35689"/>
    <n v="146"/>
    <n v="519"/>
    <n v="1.4542295945529434E-2"/>
    <n v="248"/>
  </r>
  <r>
    <x v="51"/>
    <s v="S016"/>
    <s v="C04"/>
    <x v="15"/>
    <x v="3"/>
    <x v="15"/>
    <x v="2"/>
    <n v="34776"/>
    <n v="32731"/>
    <n v="126"/>
    <n v="2045"/>
    <n v="6.2478995447740673E-2"/>
    <n v="276"/>
  </r>
  <r>
    <x v="51"/>
    <s v="S017"/>
    <s v="C04"/>
    <x v="16"/>
    <x v="3"/>
    <x v="16"/>
    <x v="2"/>
    <n v="11544"/>
    <n v="11036"/>
    <n v="39"/>
    <n v="508"/>
    <n v="4.603117071402682E-2"/>
    <n v="296"/>
  </r>
  <r>
    <x v="51"/>
    <s v="S018"/>
    <s v="C02"/>
    <x v="17"/>
    <x v="4"/>
    <x v="17"/>
    <x v="1"/>
    <n v="16999"/>
    <n v="17805"/>
    <n v="89"/>
    <n v="-806"/>
    <n v="-4.5268183094636337E-2"/>
    <n v="191"/>
  </r>
  <r>
    <x v="51"/>
    <s v="S019"/>
    <s v="C02"/>
    <x v="18"/>
    <x v="5"/>
    <x v="18"/>
    <x v="1"/>
    <n v="24222"/>
    <n v="26105"/>
    <n v="66"/>
    <n v="-1883"/>
    <n v="-7.2131775521930661E-2"/>
    <n v="367"/>
  </r>
  <r>
    <x v="51"/>
    <s v="S020"/>
    <s v="C01"/>
    <x v="19"/>
    <x v="6"/>
    <x v="19"/>
    <x v="0"/>
    <n v="66417"/>
    <n v="64022"/>
    <n v="131"/>
    <n v="2395"/>
    <n v="3.7409015650870014E-2"/>
    <n v="507"/>
  </r>
  <r>
    <x v="52"/>
    <s v="S001"/>
    <s v="C05"/>
    <x v="0"/>
    <x v="0"/>
    <x v="0"/>
    <x v="3"/>
    <n v="39576"/>
    <n v="41494"/>
    <n v="194"/>
    <n v="-1918"/>
    <n v="-4.6223550392827877E-2"/>
    <n v="204"/>
  </r>
  <r>
    <x v="52"/>
    <s v="S002"/>
    <s v="C01"/>
    <x v="1"/>
    <x v="0"/>
    <x v="1"/>
    <x v="0"/>
    <n v="47940"/>
    <n v="50979"/>
    <n v="204"/>
    <n v="-3039"/>
    <n v="-5.9612781733655036E-2"/>
    <n v="235"/>
  </r>
  <r>
    <x v="52"/>
    <s v="S003"/>
    <s v="C01"/>
    <x v="2"/>
    <x v="0"/>
    <x v="2"/>
    <x v="0"/>
    <n v="11233"/>
    <n v="11280"/>
    <n v="47"/>
    <n v="-47"/>
    <n v="-4.1666666666666666E-3"/>
    <n v="239"/>
  </r>
  <r>
    <x v="52"/>
    <s v="S004"/>
    <s v="C04"/>
    <x v="3"/>
    <x v="0"/>
    <x v="3"/>
    <x v="2"/>
    <n v="30360"/>
    <n v="29242"/>
    <n v="66"/>
    <n v="1118"/>
    <n v="3.823267902332262E-2"/>
    <n v="460"/>
  </r>
  <r>
    <x v="52"/>
    <s v="S005"/>
    <s v="C02"/>
    <x v="4"/>
    <x v="0"/>
    <x v="4"/>
    <x v="1"/>
    <n v="43674"/>
    <n v="39408"/>
    <n v="87"/>
    <n v="4266"/>
    <n v="0.10825213154689403"/>
    <n v="502"/>
  </r>
  <r>
    <x v="52"/>
    <s v="S006"/>
    <s v="C04"/>
    <x v="5"/>
    <x v="1"/>
    <x v="5"/>
    <x v="2"/>
    <n v="47124"/>
    <n v="50216"/>
    <n v="204"/>
    <n v="-3092"/>
    <n v="-6.1574000318623548E-2"/>
    <n v="231"/>
  </r>
  <r>
    <x v="52"/>
    <s v="S007"/>
    <s v="C03"/>
    <x v="6"/>
    <x v="1"/>
    <x v="6"/>
    <x v="4"/>
    <n v="95060"/>
    <n v="102206"/>
    <n v="194"/>
    <n v="-7146"/>
    <n v="-6.9917617361015982E-2"/>
    <n v="490"/>
  </r>
  <r>
    <x v="52"/>
    <s v="S008"/>
    <s v="C04"/>
    <x v="7"/>
    <x v="1"/>
    <x v="7"/>
    <x v="2"/>
    <n v="26901"/>
    <n v="29044"/>
    <n v="61"/>
    <n v="-2143"/>
    <n v="-7.3784602671808294E-2"/>
    <n v="441"/>
  </r>
  <r>
    <x v="52"/>
    <s v="S009"/>
    <s v="C01"/>
    <x v="8"/>
    <x v="1"/>
    <x v="8"/>
    <x v="0"/>
    <n v="25466"/>
    <n v="27915"/>
    <n v="107"/>
    <n v="-2449"/>
    <n v="-8.7730610782733295E-2"/>
    <n v="238"/>
  </r>
  <r>
    <x v="52"/>
    <s v="S010"/>
    <s v="C04"/>
    <x v="9"/>
    <x v="1"/>
    <x v="9"/>
    <x v="2"/>
    <n v="41735"/>
    <n v="39645"/>
    <n v="85"/>
    <n v="2090"/>
    <n v="5.2717871106066336E-2"/>
    <n v="491"/>
  </r>
  <r>
    <x v="52"/>
    <s v="S011"/>
    <s v="C03"/>
    <x v="10"/>
    <x v="2"/>
    <x v="10"/>
    <x v="4"/>
    <n v="47544"/>
    <n v="47043"/>
    <n v="168"/>
    <n v="501"/>
    <n v="1.0649831005675658E-2"/>
    <n v="283"/>
  </r>
  <r>
    <x v="52"/>
    <s v="S012"/>
    <s v="C04"/>
    <x v="11"/>
    <x v="2"/>
    <x v="11"/>
    <x v="2"/>
    <n v="28820"/>
    <n v="26221"/>
    <n v="110"/>
    <n v="2599"/>
    <n v="9.9119026734296942E-2"/>
    <n v="262"/>
  </r>
  <r>
    <x v="52"/>
    <s v="S013"/>
    <s v="C04"/>
    <x v="12"/>
    <x v="2"/>
    <x v="12"/>
    <x v="2"/>
    <n v="37488"/>
    <n v="36837"/>
    <n v="88"/>
    <n v="651"/>
    <n v="1.7672448896489942E-2"/>
    <n v="426"/>
  </r>
  <r>
    <x v="52"/>
    <s v="S014"/>
    <s v="C01"/>
    <x v="13"/>
    <x v="2"/>
    <x v="13"/>
    <x v="0"/>
    <n v="8550"/>
    <n v="9633"/>
    <n v="38"/>
    <n v="-1083"/>
    <n v="-0.11242603550295859"/>
    <n v="225"/>
  </r>
  <r>
    <x v="52"/>
    <s v="S015"/>
    <s v="C05"/>
    <x v="14"/>
    <x v="2"/>
    <x v="14"/>
    <x v="3"/>
    <n v="88992"/>
    <n v="83410"/>
    <n v="206"/>
    <n v="5582"/>
    <n v="6.6922431363145907E-2"/>
    <n v="432"/>
  </r>
  <r>
    <x v="52"/>
    <s v="S016"/>
    <s v="C01"/>
    <x v="15"/>
    <x v="3"/>
    <x v="15"/>
    <x v="0"/>
    <n v="35970"/>
    <n v="38879"/>
    <n v="165"/>
    <n v="-2909"/>
    <n v="-7.4821883278890916E-2"/>
    <n v="218"/>
  </r>
  <r>
    <x v="52"/>
    <s v="S017"/>
    <s v="C01"/>
    <x v="16"/>
    <x v="3"/>
    <x v="16"/>
    <x v="0"/>
    <n v="50900"/>
    <n v="48751"/>
    <n v="100"/>
    <n v="2149"/>
    <n v="4.4081147053393777E-2"/>
    <n v="509"/>
  </r>
  <r>
    <x v="52"/>
    <s v="S018"/>
    <s v="C03"/>
    <x v="17"/>
    <x v="4"/>
    <x v="17"/>
    <x v="4"/>
    <n v="42534"/>
    <n v="38813"/>
    <n v="102"/>
    <n v="3721"/>
    <n v="9.5869940483858496E-2"/>
    <n v="417"/>
  </r>
  <r>
    <x v="52"/>
    <s v="S019"/>
    <s v="C02"/>
    <x v="18"/>
    <x v="5"/>
    <x v="18"/>
    <x v="1"/>
    <n v="14760"/>
    <n v="14613"/>
    <n v="45"/>
    <n v="147"/>
    <n v="1.0059536029562718E-2"/>
    <n v="328"/>
  </r>
  <r>
    <x v="52"/>
    <s v="S020"/>
    <s v="C03"/>
    <x v="19"/>
    <x v="6"/>
    <x v="19"/>
    <x v="4"/>
    <n v="34416"/>
    <n v="31791"/>
    <n v="144"/>
    <n v="2625"/>
    <n v="8.2570538831744839E-2"/>
    <n v="239"/>
  </r>
  <r>
    <x v="53"/>
    <s v="S001"/>
    <s v="C01"/>
    <x v="0"/>
    <x v="0"/>
    <x v="0"/>
    <x v="0"/>
    <n v="9250"/>
    <n v="9859"/>
    <n v="37"/>
    <n v="-609"/>
    <n v="-6.1770970686682219E-2"/>
    <n v="250"/>
  </r>
  <r>
    <x v="53"/>
    <s v="S002"/>
    <s v="C02"/>
    <x v="1"/>
    <x v="0"/>
    <x v="1"/>
    <x v="1"/>
    <n v="43197"/>
    <n v="48537"/>
    <n v="119"/>
    <n v="-5340"/>
    <n v="-0.11001916064033623"/>
    <n v="363"/>
  </r>
  <r>
    <x v="53"/>
    <s v="S003"/>
    <s v="C05"/>
    <x v="2"/>
    <x v="0"/>
    <x v="2"/>
    <x v="3"/>
    <n v="23381"/>
    <n v="23220"/>
    <n v="103"/>
    <n v="161"/>
    <n v="6.9336778639104224E-3"/>
    <n v="227"/>
  </r>
  <r>
    <x v="53"/>
    <s v="S004"/>
    <s v="C03"/>
    <x v="3"/>
    <x v="0"/>
    <x v="3"/>
    <x v="4"/>
    <n v="19278"/>
    <n v="19281"/>
    <n v="81"/>
    <n v="-3"/>
    <n v="-1.5559358954411078E-4"/>
    <n v="238"/>
  </r>
  <r>
    <x v="53"/>
    <s v="S005"/>
    <s v="C04"/>
    <x v="4"/>
    <x v="0"/>
    <x v="4"/>
    <x v="2"/>
    <n v="39208"/>
    <n v="42049"/>
    <n v="104"/>
    <n v="-2841"/>
    <n v="-6.7564032438345745E-2"/>
    <n v="377"/>
  </r>
  <r>
    <x v="53"/>
    <s v="S006"/>
    <s v="C04"/>
    <x v="5"/>
    <x v="1"/>
    <x v="5"/>
    <x v="2"/>
    <n v="72704"/>
    <n v="81539"/>
    <n v="142"/>
    <n v="-8835"/>
    <n v="-0.1083530580458431"/>
    <n v="512"/>
  </r>
  <r>
    <x v="53"/>
    <s v="S007"/>
    <s v="C02"/>
    <x v="6"/>
    <x v="1"/>
    <x v="6"/>
    <x v="1"/>
    <n v="15561"/>
    <n v="16713"/>
    <n v="63"/>
    <n v="-1152"/>
    <n v="-6.8928379106085083E-2"/>
    <n v="247"/>
  </r>
  <r>
    <x v="53"/>
    <s v="S008"/>
    <s v="C01"/>
    <x v="7"/>
    <x v="1"/>
    <x v="7"/>
    <x v="0"/>
    <n v="17475"/>
    <n v="17545"/>
    <n v="75"/>
    <n v="-70"/>
    <n v="-3.9897406668566544E-3"/>
    <n v="233"/>
  </r>
  <r>
    <x v="53"/>
    <s v="S009"/>
    <s v="C05"/>
    <x v="8"/>
    <x v="1"/>
    <x v="8"/>
    <x v="3"/>
    <n v="74418"/>
    <n v="79597"/>
    <n v="158"/>
    <n v="-5179"/>
    <n v="-6.506526627887986E-2"/>
    <n v="471"/>
  </r>
  <r>
    <x v="53"/>
    <s v="S010"/>
    <s v="C02"/>
    <x v="9"/>
    <x v="1"/>
    <x v="9"/>
    <x v="1"/>
    <n v="71434"/>
    <n v="78205"/>
    <n v="191"/>
    <n v="-6771"/>
    <n v="-8.6580141934658905E-2"/>
    <n v="374"/>
  </r>
  <r>
    <x v="53"/>
    <s v="S011"/>
    <s v="C05"/>
    <x v="10"/>
    <x v="2"/>
    <x v="10"/>
    <x v="3"/>
    <n v="10332"/>
    <n v="10546"/>
    <n v="42"/>
    <n v="-214"/>
    <n v="-2.0292053859283142E-2"/>
    <n v="246"/>
  </r>
  <r>
    <x v="53"/>
    <s v="S012"/>
    <s v="C04"/>
    <x v="11"/>
    <x v="2"/>
    <x v="11"/>
    <x v="2"/>
    <n v="24570"/>
    <n v="24819"/>
    <n v="63"/>
    <n v="-249"/>
    <n v="-1.0032636286715822E-2"/>
    <n v="390"/>
  </r>
  <r>
    <x v="53"/>
    <s v="S013"/>
    <s v="C01"/>
    <x v="12"/>
    <x v="2"/>
    <x v="12"/>
    <x v="0"/>
    <n v="52015"/>
    <n v="50899"/>
    <n v="101"/>
    <n v="1116"/>
    <n v="2.1925774573174326E-2"/>
    <n v="515"/>
  </r>
  <r>
    <x v="53"/>
    <s v="S014"/>
    <s v="C05"/>
    <x v="13"/>
    <x v="2"/>
    <x v="13"/>
    <x v="3"/>
    <n v="85358"/>
    <n v="81601"/>
    <n v="182"/>
    <n v="3757"/>
    <n v="4.604110243747013E-2"/>
    <n v="469"/>
  </r>
  <r>
    <x v="53"/>
    <s v="S015"/>
    <s v="C03"/>
    <x v="14"/>
    <x v="2"/>
    <x v="14"/>
    <x v="4"/>
    <n v="74649"/>
    <n v="80028"/>
    <n v="167"/>
    <n v="-5379"/>
    <n v="-6.7213975108711951E-2"/>
    <n v="447"/>
  </r>
  <r>
    <x v="53"/>
    <s v="S016"/>
    <s v="C05"/>
    <x v="15"/>
    <x v="3"/>
    <x v="15"/>
    <x v="3"/>
    <n v="23659"/>
    <n v="25206"/>
    <n v="59"/>
    <n v="-1547"/>
    <n v="-6.137427596603983E-2"/>
    <n v="401"/>
  </r>
  <r>
    <x v="53"/>
    <s v="S017"/>
    <s v="C02"/>
    <x v="16"/>
    <x v="3"/>
    <x v="16"/>
    <x v="1"/>
    <n v="56406"/>
    <n v="60124"/>
    <n v="158"/>
    <n v="-3718"/>
    <n v="-6.183886634289136E-2"/>
    <n v="357"/>
  </r>
  <r>
    <x v="53"/>
    <s v="S018"/>
    <s v="C04"/>
    <x v="17"/>
    <x v="4"/>
    <x v="17"/>
    <x v="2"/>
    <n v="33945"/>
    <n v="38120"/>
    <n v="73"/>
    <n v="-4175"/>
    <n v="-0.10952256033578174"/>
    <n v="465"/>
  </r>
  <r>
    <x v="53"/>
    <s v="S019"/>
    <s v="C05"/>
    <x v="18"/>
    <x v="5"/>
    <x v="18"/>
    <x v="3"/>
    <n v="8880"/>
    <n v="9420"/>
    <n v="48"/>
    <n v="-540"/>
    <n v="-5.7324840764331211E-2"/>
    <n v="185"/>
  </r>
  <r>
    <x v="53"/>
    <s v="S020"/>
    <s v="C02"/>
    <x v="19"/>
    <x v="6"/>
    <x v="19"/>
    <x v="1"/>
    <n v="68880"/>
    <n v="76661"/>
    <n v="164"/>
    <n v="-7781"/>
    <n v="-0.101498806433519"/>
    <n v="420"/>
  </r>
  <r>
    <x v="54"/>
    <s v="S001"/>
    <s v="C02"/>
    <x v="0"/>
    <x v="0"/>
    <x v="0"/>
    <x v="1"/>
    <n v="23274"/>
    <n v="22812"/>
    <n v="54"/>
    <n v="462"/>
    <n v="2.0252498684902684E-2"/>
    <n v="431"/>
  </r>
  <r>
    <x v="54"/>
    <s v="S002"/>
    <s v="C03"/>
    <x v="1"/>
    <x v="0"/>
    <x v="1"/>
    <x v="4"/>
    <n v="21730"/>
    <n v="22310"/>
    <n v="106"/>
    <n v="-580"/>
    <n v="-2.5997310623038995E-2"/>
    <n v="205"/>
  </r>
  <r>
    <x v="54"/>
    <s v="S003"/>
    <s v="C05"/>
    <x v="2"/>
    <x v="0"/>
    <x v="2"/>
    <x v="3"/>
    <n v="74227"/>
    <n v="74287"/>
    <n v="199"/>
    <n v="-60"/>
    <n v="-8.0767832864431189E-4"/>
    <n v="373"/>
  </r>
  <r>
    <x v="54"/>
    <s v="S004"/>
    <s v="C02"/>
    <x v="3"/>
    <x v="0"/>
    <x v="3"/>
    <x v="1"/>
    <n v="22825"/>
    <n v="23077"/>
    <n v="55"/>
    <n v="-252"/>
    <n v="-1.0919963600121332E-2"/>
    <n v="415"/>
  </r>
  <r>
    <x v="54"/>
    <s v="S005"/>
    <s v="C05"/>
    <x v="4"/>
    <x v="0"/>
    <x v="4"/>
    <x v="3"/>
    <n v="33525"/>
    <n v="37351"/>
    <n v="149"/>
    <n v="-3826"/>
    <n v="-0.10243366978126422"/>
    <n v="225"/>
  </r>
  <r>
    <x v="54"/>
    <s v="S006"/>
    <s v="C04"/>
    <x v="5"/>
    <x v="1"/>
    <x v="5"/>
    <x v="2"/>
    <n v="27600"/>
    <n v="31606"/>
    <n v="115"/>
    <n v="-4006"/>
    <n v="-0.12674808580649244"/>
    <n v="240"/>
  </r>
  <r>
    <x v="54"/>
    <s v="S007"/>
    <s v="C01"/>
    <x v="6"/>
    <x v="1"/>
    <x v="6"/>
    <x v="0"/>
    <n v="23546"/>
    <n v="23618"/>
    <n v="61"/>
    <n v="-72"/>
    <n v="-3.0485223134897113E-3"/>
    <n v="386"/>
  </r>
  <r>
    <x v="54"/>
    <s v="S008"/>
    <s v="C05"/>
    <x v="7"/>
    <x v="1"/>
    <x v="7"/>
    <x v="3"/>
    <n v="31500"/>
    <n v="34854"/>
    <n v="175"/>
    <n v="-3354"/>
    <n v="-9.622998794973317E-2"/>
    <n v="180"/>
  </r>
  <r>
    <x v="54"/>
    <s v="S009"/>
    <s v="C05"/>
    <x v="8"/>
    <x v="1"/>
    <x v="8"/>
    <x v="3"/>
    <n v="97658"/>
    <n v="95328"/>
    <n v="193"/>
    <n v="2330"/>
    <n v="2.44419268210809E-2"/>
    <n v="506"/>
  </r>
  <r>
    <x v="54"/>
    <s v="S010"/>
    <s v="C05"/>
    <x v="9"/>
    <x v="1"/>
    <x v="9"/>
    <x v="3"/>
    <n v="50730"/>
    <n v="53958"/>
    <n v="178"/>
    <n v="-3228"/>
    <n v="-5.9824307794951632E-2"/>
    <n v="285"/>
  </r>
  <r>
    <x v="54"/>
    <s v="S011"/>
    <s v="C04"/>
    <x v="10"/>
    <x v="2"/>
    <x v="10"/>
    <x v="2"/>
    <n v="44652"/>
    <n v="49399"/>
    <n v="122"/>
    <n v="-4747"/>
    <n v="-9.6095062653090146E-2"/>
    <n v="366"/>
  </r>
  <r>
    <x v="54"/>
    <s v="S012"/>
    <s v="C02"/>
    <x v="11"/>
    <x v="2"/>
    <x v="11"/>
    <x v="1"/>
    <n v="52699"/>
    <n v="54808"/>
    <n v="151"/>
    <n v="-2109"/>
    <n v="-3.8479783973142605E-2"/>
    <n v="349"/>
  </r>
  <r>
    <x v="54"/>
    <s v="S013"/>
    <s v="C05"/>
    <x v="12"/>
    <x v="2"/>
    <x v="12"/>
    <x v="3"/>
    <n v="79336"/>
    <n v="85616"/>
    <n v="188"/>
    <n v="-6280"/>
    <n v="-7.3350775555970846E-2"/>
    <n v="422"/>
  </r>
  <r>
    <x v="54"/>
    <s v="S014"/>
    <s v="C03"/>
    <x v="13"/>
    <x v="2"/>
    <x v="13"/>
    <x v="4"/>
    <n v="89598"/>
    <n v="83192"/>
    <n v="218"/>
    <n v="6406"/>
    <n v="7.7002596403500337E-2"/>
    <n v="411"/>
  </r>
  <r>
    <x v="54"/>
    <s v="S015"/>
    <s v="C02"/>
    <x v="14"/>
    <x v="2"/>
    <x v="14"/>
    <x v="1"/>
    <n v="12390"/>
    <n v="12251"/>
    <n v="35"/>
    <n v="139"/>
    <n v="1.1346012570402415E-2"/>
    <n v="354"/>
  </r>
  <r>
    <x v="54"/>
    <s v="S016"/>
    <s v="C03"/>
    <x v="15"/>
    <x v="3"/>
    <x v="15"/>
    <x v="4"/>
    <n v="78225"/>
    <n v="77714"/>
    <n v="175"/>
    <n v="511"/>
    <n v="6.5753918212934611E-3"/>
    <n v="447"/>
  </r>
  <r>
    <x v="54"/>
    <s v="S017"/>
    <s v="C01"/>
    <x v="16"/>
    <x v="3"/>
    <x v="16"/>
    <x v="0"/>
    <n v="12144"/>
    <n v="12424"/>
    <n v="46"/>
    <n v="-280"/>
    <n v="-2.2537025112685124E-2"/>
    <n v="264"/>
  </r>
  <r>
    <x v="54"/>
    <s v="S018"/>
    <s v="C04"/>
    <x v="17"/>
    <x v="4"/>
    <x v="17"/>
    <x v="2"/>
    <n v="19220"/>
    <n v="20233"/>
    <n v="62"/>
    <n v="-1013"/>
    <n v="-5.0066722680769039E-2"/>
    <n v="310"/>
  </r>
  <r>
    <x v="54"/>
    <s v="S019"/>
    <s v="C02"/>
    <x v="18"/>
    <x v="5"/>
    <x v="18"/>
    <x v="1"/>
    <n v="24765"/>
    <n v="23623"/>
    <n v="65"/>
    <n v="1142"/>
    <n v="4.834271684375397E-2"/>
    <n v="381"/>
  </r>
  <r>
    <x v="54"/>
    <s v="S020"/>
    <s v="C02"/>
    <x v="19"/>
    <x v="6"/>
    <x v="19"/>
    <x v="1"/>
    <n v="76954"/>
    <n v="71331"/>
    <n v="218"/>
    <n v="5623"/>
    <n v="7.8829681344716879E-2"/>
    <n v="353"/>
  </r>
  <r>
    <x v="55"/>
    <s v="S001"/>
    <s v="C04"/>
    <x v="0"/>
    <x v="0"/>
    <x v="0"/>
    <x v="2"/>
    <n v="23184"/>
    <n v="25719"/>
    <n v="46"/>
    <n v="-2535"/>
    <n v="-9.8565263035110234E-2"/>
    <n v="504"/>
  </r>
  <r>
    <x v="55"/>
    <s v="S002"/>
    <s v="C05"/>
    <x v="1"/>
    <x v="0"/>
    <x v="1"/>
    <x v="3"/>
    <n v="27060"/>
    <n v="27448"/>
    <n v="66"/>
    <n v="-388"/>
    <n v="-1.4135820460507141E-2"/>
    <n v="410"/>
  </r>
  <r>
    <x v="55"/>
    <s v="S003"/>
    <s v="C05"/>
    <x v="2"/>
    <x v="0"/>
    <x v="2"/>
    <x v="3"/>
    <n v="40672"/>
    <n v="46405"/>
    <n v="164"/>
    <n v="-5733"/>
    <n v="-0.12354272168947311"/>
    <n v="248"/>
  </r>
  <r>
    <x v="55"/>
    <s v="S004"/>
    <s v="C01"/>
    <x v="3"/>
    <x v="0"/>
    <x v="3"/>
    <x v="0"/>
    <n v="34680"/>
    <n v="36008"/>
    <n v="170"/>
    <n v="-1328"/>
    <n v="-3.6880693179293489E-2"/>
    <n v="204"/>
  </r>
  <r>
    <x v="55"/>
    <s v="S005"/>
    <s v="C04"/>
    <x v="4"/>
    <x v="0"/>
    <x v="4"/>
    <x v="2"/>
    <n v="78568"/>
    <n v="88867"/>
    <n v="184"/>
    <n v="-10299"/>
    <n v="-0.11589228847603722"/>
    <n v="427"/>
  </r>
  <r>
    <x v="55"/>
    <s v="S006"/>
    <s v="C02"/>
    <x v="5"/>
    <x v="1"/>
    <x v="5"/>
    <x v="1"/>
    <n v="100912"/>
    <n v="95201"/>
    <n v="212"/>
    <n v="5711"/>
    <n v="5.9988865663175808E-2"/>
    <n v="476"/>
  </r>
  <r>
    <x v="55"/>
    <s v="S007"/>
    <s v="C02"/>
    <x v="6"/>
    <x v="1"/>
    <x v="6"/>
    <x v="1"/>
    <n v="23058"/>
    <n v="24542"/>
    <n v="61"/>
    <n v="-1484"/>
    <n v="-6.0467769537934972E-2"/>
    <n v="378"/>
  </r>
  <r>
    <x v="55"/>
    <s v="S008"/>
    <s v="C05"/>
    <x v="7"/>
    <x v="1"/>
    <x v="7"/>
    <x v="3"/>
    <n v="51246"/>
    <n v="57413"/>
    <n v="117"/>
    <n v="-6167"/>
    <n v="-0.10741469701983872"/>
    <n v="438"/>
  </r>
  <r>
    <x v="55"/>
    <s v="S009"/>
    <s v="C04"/>
    <x v="8"/>
    <x v="1"/>
    <x v="8"/>
    <x v="2"/>
    <n v="58330"/>
    <n v="56486"/>
    <n v="190"/>
    <n v="1844"/>
    <n v="3.2645257231880463E-2"/>
    <n v="307"/>
  </r>
  <r>
    <x v="55"/>
    <s v="S010"/>
    <s v="C03"/>
    <x v="9"/>
    <x v="1"/>
    <x v="9"/>
    <x v="4"/>
    <n v="45210"/>
    <n v="49785"/>
    <n v="110"/>
    <n v="-4575"/>
    <n v="-9.1895149141307628E-2"/>
    <n v="411"/>
  </r>
  <r>
    <x v="55"/>
    <s v="S011"/>
    <s v="C02"/>
    <x v="10"/>
    <x v="2"/>
    <x v="10"/>
    <x v="1"/>
    <n v="68320"/>
    <n v="73444"/>
    <n v="140"/>
    <n v="-5124"/>
    <n v="-6.9767441860465115E-2"/>
    <n v="488"/>
  </r>
  <r>
    <x v="55"/>
    <s v="S012"/>
    <s v="C05"/>
    <x v="11"/>
    <x v="2"/>
    <x v="11"/>
    <x v="3"/>
    <n v="51060"/>
    <n v="56940"/>
    <n v="111"/>
    <n v="-5880"/>
    <n v="-0.10326659641728135"/>
    <n v="460"/>
  </r>
  <r>
    <x v="55"/>
    <s v="S013"/>
    <s v="C05"/>
    <x v="12"/>
    <x v="2"/>
    <x v="12"/>
    <x v="3"/>
    <n v="57036"/>
    <n v="54196"/>
    <n v="196"/>
    <n v="2840"/>
    <n v="5.2402391320392649E-2"/>
    <n v="291"/>
  </r>
  <r>
    <x v="55"/>
    <s v="S014"/>
    <s v="C05"/>
    <x v="13"/>
    <x v="2"/>
    <x v="13"/>
    <x v="3"/>
    <n v="71176"/>
    <n v="76275"/>
    <n v="217"/>
    <n v="-5099"/>
    <n v="-6.6850213044903309E-2"/>
    <n v="328"/>
  </r>
  <r>
    <x v="55"/>
    <s v="S015"/>
    <s v="C02"/>
    <x v="14"/>
    <x v="2"/>
    <x v="14"/>
    <x v="1"/>
    <n v="110592"/>
    <n v="126494"/>
    <n v="216"/>
    <n v="-15902"/>
    <n v="-0.12571347257577434"/>
    <n v="512"/>
  </r>
  <r>
    <x v="55"/>
    <s v="S016"/>
    <s v="C02"/>
    <x v="15"/>
    <x v="3"/>
    <x v="15"/>
    <x v="1"/>
    <n v="74491"/>
    <n v="79971"/>
    <n v="163"/>
    <n v="-5480"/>
    <n v="-6.8524840254592295E-2"/>
    <n v="457"/>
  </r>
  <r>
    <x v="55"/>
    <s v="S017"/>
    <s v="C03"/>
    <x v="16"/>
    <x v="3"/>
    <x v="16"/>
    <x v="4"/>
    <n v="51624"/>
    <n v="56280"/>
    <n v="216"/>
    <n v="-4656"/>
    <n v="-8.272921108742004E-2"/>
    <n v="239"/>
  </r>
  <r>
    <x v="55"/>
    <s v="S018"/>
    <s v="C05"/>
    <x v="17"/>
    <x v="4"/>
    <x v="17"/>
    <x v="3"/>
    <n v="75046"/>
    <n v="78247"/>
    <n v="157"/>
    <n v="-3201"/>
    <n v="-4.0908916635781563E-2"/>
    <n v="478"/>
  </r>
  <r>
    <x v="55"/>
    <s v="S019"/>
    <s v="C04"/>
    <x v="18"/>
    <x v="5"/>
    <x v="18"/>
    <x v="2"/>
    <n v="93771"/>
    <n v="91096"/>
    <n v="207"/>
    <n v="2675"/>
    <n v="2.936462632826908E-2"/>
    <n v="453"/>
  </r>
  <r>
    <x v="55"/>
    <s v="S020"/>
    <s v="C04"/>
    <x v="19"/>
    <x v="6"/>
    <x v="19"/>
    <x v="2"/>
    <n v="16986"/>
    <n v="15739"/>
    <n v="38"/>
    <n v="1247"/>
    <n v="7.9229938369655001E-2"/>
    <n v="447"/>
  </r>
  <r>
    <x v="56"/>
    <s v="S001"/>
    <s v="C04"/>
    <x v="0"/>
    <x v="0"/>
    <x v="0"/>
    <x v="2"/>
    <n v="14904"/>
    <n v="15910"/>
    <n v="72"/>
    <n v="-1006"/>
    <n v="-6.323067253299812E-2"/>
    <n v="207"/>
  </r>
  <r>
    <x v="56"/>
    <s v="S002"/>
    <s v="C02"/>
    <x v="1"/>
    <x v="0"/>
    <x v="1"/>
    <x v="1"/>
    <n v="26986"/>
    <n v="30922"/>
    <n v="103"/>
    <n v="-3936"/>
    <n v="-0.12728801500549772"/>
    <n v="262"/>
  </r>
  <r>
    <x v="56"/>
    <s v="S003"/>
    <s v="C03"/>
    <x v="2"/>
    <x v="0"/>
    <x v="2"/>
    <x v="4"/>
    <n v="15192"/>
    <n v="16295"/>
    <n v="72"/>
    <n v="-1103"/>
    <n v="-6.768947529917152E-2"/>
    <n v="211"/>
  </r>
  <r>
    <x v="56"/>
    <s v="S004"/>
    <s v="C03"/>
    <x v="3"/>
    <x v="0"/>
    <x v="3"/>
    <x v="4"/>
    <n v="39759"/>
    <n v="36104"/>
    <n v="87"/>
    <n v="3655"/>
    <n v="0.10123532018612896"/>
    <n v="457"/>
  </r>
  <r>
    <x v="56"/>
    <s v="S005"/>
    <s v="C04"/>
    <x v="4"/>
    <x v="0"/>
    <x v="4"/>
    <x v="2"/>
    <n v="30195"/>
    <n v="33728"/>
    <n v="61"/>
    <n v="-3533"/>
    <n v="-0.10474976280834915"/>
    <n v="495"/>
  </r>
  <r>
    <x v="56"/>
    <s v="S006"/>
    <s v="C05"/>
    <x v="5"/>
    <x v="1"/>
    <x v="5"/>
    <x v="3"/>
    <n v="47012"/>
    <n v="48907"/>
    <n v="92"/>
    <n v="-1895"/>
    <n v="-3.8747009630523237E-2"/>
    <n v="511"/>
  </r>
  <r>
    <x v="56"/>
    <s v="S007"/>
    <s v="C02"/>
    <x v="6"/>
    <x v="1"/>
    <x v="6"/>
    <x v="1"/>
    <n v="53955"/>
    <n v="57906"/>
    <n v="165"/>
    <n v="-3951"/>
    <n v="-6.8231271370842395E-2"/>
    <n v="327"/>
  </r>
  <r>
    <x v="56"/>
    <s v="S008"/>
    <s v="C01"/>
    <x v="7"/>
    <x v="1"/>
    <x v="7"/>
    <x v="0"/>
    <n v="49896"/>
    <n v="50102"/>
    <n v="132"/>
    <n v="-206"/>
    <n v="-4.1116123108857934E-3"/>
    <n v="378"/>
  </r>
  <r>
    <x v="56"/>
    <s v="S009"/>
    <s v="C03"/>
    <x v="8"/>
    <x v="1"/>
    <x v="8"/>
    <x v="4"/>
    <n v="36432"/>
    <n v="32906"/>
    <n v="176"/>
    <n v="3526"/>
    <n v="0.107153710569501"/>
    <n v="207"/>
  </r>
  <r>
    <x v="56"/>
    <s v="S010"/>
    <s v="C03"/>
    <x v="9"/>
    <x v="1"/>
    <x v="9"/>
    <x v="4"/>
    <n v="42742"/>
    <n v="47751"/>
    <n v="86"/>
    <n v="-5009"/>
    <n v="-0.10489832673661284"/>
    <n v="497"/>
  </r>
  <r>
    <x v="56"/>
    <s v="S011"/>
    <s v="C04"/>
    <x v="10"/>
    <x v="2"/>
    <x v="10"/>
    <x v="2"/>
    <n v="46368"/>
    <n v="49899"/>
    <n v="92"/>
    <n v="-3531"/>
    <n v="-7.0762941141105026E-2"/>
    <n v="504"/>
  </r>
  <r>
    <x v="56"/>
    <s v="S012"/>
    <s v="C03"/>
    <x v="11"/>
    <x v="2"/>
    <x v="11"/>
    <x v="4"/>
    <n v="84915"/>
    <n v="92099"/>
    <n v="185"/>
    <n v="-7184"/>
    <n v="-7.8003018490971673E-2"/>
    <n v="459"/>
  </r>
  <r>
    <x v="56"/>
    <s v="S013"/>
    <s v="C02"/>
    <x v="12"/>
    <x v="2"/>
    <x v="12"/>
    <x v="1"/>
    <n v="61380"/>
    <n v="59756"/>
    <n v="220"/>
    <n v="1624"/>
    <n v="2.7177187228060781E-2"/>
    <n v="279"/>
  </r>
  <r>
    <x v="56"/>
    <s v="S014"/>
    <s v="C02"/>
    <x v="13"/>
    <x v="2"/>
    <x v="13"/>
    <x v="1"/>
    <n v="45562"/>
    <n v="43135"/>
    <n v="209"/>
    <n v="2427"/>
    <n v="5.626521386345195E-2"/>
    <n v="218"/>
  </r>
  <r>
    <x v="56"/>
    <s v="S015"/>
    <s v="C02"/>
    <x v="14"/>
    <x v="2"/>
    <x v="14"/>
    <x v="1"/>
    <n v="40006"/>
    <n v="39777"/>
    <n v="166"/>
    <n v="229"/>
    <n v="5.757095809135933E-3"/>
    <n v="241"/>
  </r>
  <r>
    <x v="56"/>
    <s v="S016"/>
    <s v="C04"/>
    <x v="15"/>
    <x v="3"/>
    <x v="15"/>
    <x v="2"/>
    <n v="49184"/>
    <n v="47514"/>
    <n v="106"/>
    <n v="1670"/>
    <n v="3.5147535463231891E-2"/>
    <n v="464"/>
  </r>
  <r>
    <x v="56"/>
    <s v="S017"/>
    <s v="C02"/>
    <x v="16"/>
    <x v="3"/>
    <x v="16"/>
    <x v="1"/>
    <n v="57040"/>
    <n v="51416"/>
    <n v="184"/>
    <n v="5624"/>
    <n v="0.10938229344950988"/>
    <n v="310"/>
  </r>
  <r>
    <x v="56"/>
    <s v="S018"/>
    <s v="C04"/>
    <x v="17"/>
    <x v="4"/>
    <x v="17"/>
    <x v="2"/>
    <n v="55944"/>
    <n v="50908"/>
    <n v="216"/>
    <n v="5036"/>
    <n v="9.8923548361750616E-2"/>
    <n v="259"/>
  </r>
  <r>
    <x v="56"/>
    <s v="S019"/>
    <s v="C03"/>
    <x v="18"/>
    <x v="5"/>
    <x v="18"/>
    <x v="4"/>
    <n v="38522"/>
    <n v="42120"/>
    <n v="187"/>
    <n v="-3598"/>
    <n v="-8.5422602089268759E-2"/>
    <n v="206"/>
  </r>
  <r>
    <x v="56"/>
    <s v="S020"/>
    <s v="C05"/>
    <x v="19"/>
    <x v="6"/>
    <x v="19"/>
    <x v="3"/>
    <n v="68136"/>
    <n v="69678"/>
    <n v="204"/>
    <n v="-1542"/>
    <n v="-2.2130371135796089E-2"/>
    <n v="334"/>
  </r>
  <r>
    <x v="57"/>
    <s v="S001"/>
    <s v="C05"/>
    <x v="0"/>
    <x v="0"/>
    <x v="0"/>
    <x v="3"/>
    <n v="63525"/>
    <n v="58329"/>
    <n v="175"/>
    <n v="5196"/>
    <n v="8.9080903152805632E-2"/>
    <n v="363"/>
  </r>
  <r>
    <x v="57"/>
    <s v="S002"/>
    <s v="C03"/>
    <x v="1"/>
    <x v="0"/>
    <x v="1"/>
    <x v="4"/>
    <n v="49348"/>
    <n v="56219"/>
    <n v="169"/>
    <n v="-6871"/>
    <n v="-0.12221846706629431"/>
    <n v="292"/>
  </r>
  <r>
    <x v="57"/>
    <s v="S003"/>
    <s v="C05"/>
    <x v="2"/>
    <x v="0"/>
    <x v="2"/>
    <x v="3"/>
    <n v="22776"/>
    <n v="21405"/>
    <n v="52"/>
    <n v="1371"/>
    <n v="6.4050455501051151E-2"/>
    <n v="438"/>
  </r>
  <r>
    <x v="57"/>
    <s v="S004"/>
    <s v="C05"/>
    <x v="3"/>
    <x v="0"/>
    <x v="3"/>
    <x v="3"/>
    <n v="66392"/>
    <n v="61278"/>
    <n v="172"/>
    <n v="5114"/>
    <n v="8.3455726361826424E-2"/>
    <n v="386"/>
  </r>
  <r>
    <x v="57"/>
    <s v="S005"/>
    <s v="C02"/>
    <x v="4"/>
    <x v="0"/>
    <x v="4"/>
    <x v="1"/>
    <n v="46191"/>
    <n v="45404"/>
    <n v="89"/>
    <n v="787"/>
    <n v="1.733327460135671E-2"/>
    <n v="519"/>
  </r>
  <r>
    <x v="57"/>
    <s v="S006"/>
    <s v="C03"/>
    <x v="5"/>
    <x v="1"/>
    <x v="5"/>
    <x v="4"/>
    <n v="32010"/>
    <n v="36413"/>
    <n v="110"/>
    <n v="-4403"/>
    <n v="-0.12091835333534727"/>
    <n v="291"/>
  </r>
  <r>
    <x v="57"/>
    <s v="S007"/>
    <s v="C05"/>
    <x v="6"/>
    <x v="1"/>
    <x v="6"/>
    <x v="3"/>
    <n v="71910"/>
    <n v="82635"/>
    <n v="170"/>
    <n v="-10725"/>
    <n v="-0.12978762025776003"/>
    <n v="423"/>
  </r>
  <r>
    <x v="57"/>
    <s v="S008"/>
    <s v="C01"/>
    <x v="7"/>
    <x v="1"/>
    <x v="7"/>
    <x v="0"/>
    <n v="22848"/>
    <n v="23108"/>
    <n v="64"/>
    <n v="-260"/>
    <n v="-1.1251514626969016E-2"/>
    <n v="357"/>
  </r>
  <r>
    <x v="57"/>
    <s v="S009"/>
    <s v="C05"/>
    <x v="8"/>
    <x v="1"/>
    <x v="8"/>
    <x v="3"/>
    <n v="58976"/>
    <n v="67216"/>
    <n v="194"/>
    <n v="-8240"/>
    <n v="-0.12258985955724827"/>
    <n v="304"/>
  </r>
  <r>
    <x v="57"/>
    <s v="S010"/>
    <s v="C03"/>
    <x v="9"/>
    <x v="1"/>
    <x v="9"/>
    <x v="4"/>
    <n v="31416"/>
    <n v="31305"/>
    <n v="132"/>
    <n v="111"/>
    <n v="3.5457594633445137E-3"/>
    <n v="238"/>
  </r>
  <r>
    <x v="57"/>
    <s v="S011"/>
    <s v="C05"/>
    <x v="10"/>
    <x v="2"/>
    <x v="10"/>
    <x v="3"/>
    <n v="71280"/>
    <n v="64592"/>
    <n v="220"/>
    <n v="6688"/>
    <n v="0.10354223433242507"/>
    <n v="324"/>
  </r>
  <r>
    <x v="57"/>
    <s v="S012"/>
    <s v="C05"/>
    <x v="11"/>
    <x v="2"/>
    <x v="11"/>
    <x v="3"/>
    <n v="57590"/>
    <n v="63389"/>
    <n v="130"/>
    <n v="-5799"/>
    <n v="-9.1482749372919586E-2"/>
    <n v="443"/>
  </r>
  <r>
    <x v="57"/>
    <s v="S013"/>
    <s v="C04"/>
    <x v="12"/>
    <x v="2"/>
    <x v="12"/>
    <x v="2"/>
    <n v="32118"/>
    <n v="31286"/>
    <n v="159"/>
    <n v="832"/>
    <n v="2.6593364444160328E-2"/>
    <n v="202"/>
  </r>
  <r>
    <x v="57"/>
    <s v="S014"/>
    <s v="C02"/>
    <x v="13"/>
    <x v="2"/>
    <x v="13"/>
    <x v="1"/>
    <n v="51831"/>
    <n v="47714"/>
    <n v="117"/>
    <n v="4117"/>
    <n v="8.6284947814058766E-2"/>
    <n v="443"/>
  </r>
  <r>
    <x v="57"/>
    <s v="S015"/>
    <s v="C01"/>
    <x v="14"/>
    <x v="2"/>
    <x v="14"/>
    <x v="0"/>
    <n v="35035"/>
    <n v="36201"/>
    <n v="77"/>
    <n v="-1166"/>
    <n v="-3.2209054998480702E-2"/>
    <n v="455"/>
  </r>
  <r>
    <x v="57"/>
    <s v="S016"/>
    <s v="C01"/>
    <x v="15"/>
    <x v="3"/>
    <x v="15"/>
    <x v="0"/>
    <n v="44176"/>
    <n v="48301"/>
    <n v="88"/>
    <n v="-4125"/>
    <n v="-8.5401958551582779E-2"/>
    <n v="502"/>
  </r>
  <r>
    <x v="57"/>
    <s v="S017"/>
    <s v="C04"/>
    <x v="16"/>
    <x v="3"/>
    <x v="16"/>
    <x v="2"/>
    <n v="17385"/>
    <n v="17983"/>
    <n v="61"/>
    <n v="-598"/>
    <n v="-3.3253628426847578E-2"/>
    <n v="285"/>
  </r>
  <r>
    <x v="57"/>
    <s v="S018"/>
    <s v="C04"/>
    <x v="17"/>
    <x v="4"/>
    <x v="17"/>
    <x v="2"/>
    <n v="43200"/>
    <n v="46946"/>
    <n v="200"/>
    <n v="-3746"/>
    <n v="-7.9793805649043578E-2"/>
    <n v="216"/>
  </r>
  <r>
    <x v="57"/>
    <s v="S019"/>
    <s v="C02"/>
    <x v="18"/>
    <x v="5"/>
    <x v="18"/>
    <x v="1"/>
    <n v="17015"/>
    <n v="18362"/>
    <n v="41"/>
    <n v="-1347"/>
    <n v="-7.3358022001960566E-2"/>
    <n v="415"/>
  </r>
  <r>
    <x v="57"/>
    <s v="S020"/>
    <s v="C01"/>
    <x v="19"/>
    <x v="6"/>
    <x v="19"/>
    <x v="0"/>
    <n v="12369"/>
    <n v="11299"/>
    <n v="57"/>
    <n v="1070"/>
    <n v="9.469864589786707E-2"/>
    <n v="217"/>
  </r>
  <r>
    <x v="58"/>
    <s v="S001"/>
    <s v="C03"/>
    <x v="0"/>
    <x v="0"/>
    <x v="0"/>
    <x v="4"/>
    <n v="38232"/>
    <n v="39904"/>
    <n v="177"/>
    <n v="-1672"/>
    <n v="-4.1900561347233363E-2"/>
    <n v="216"/>
  </r>
  <r>
    <x v="58"/>
    <s v="S002"/>
    <s v="C02"/>
    <x v="1"/>
    <x v="0"/>
    <x v="1"/>
    <x v="1"/>
    <n v="39188"/>
    <n v="39070"/>
    <n v="101"/>
    <n v="118"/>
    <n v="3.0202201177373946E-3"/>
    <n v="388"/>
  </r>
  <r>
    <x v="58"/>
    <s v="S003"/>
    <s v="C04"/>
    <x v="2"/>
    <x v="0"/>
    <x v="2"/>
    <x v="2"/>
    <n v="49445"/>
    <n v="44709"/>
    <n v="145"/>
    <n v="4736"/>
    <n v="0.10592945491959113"/>
    <n v="341"/>
  </r>
  <r>
    <x v="58"/>
    <s v="S004"/>
    <s v="C01"/>
    <x v="3"/>
    <x v="0"/>
    <x v="3"/>
    <x v="0"/>
    <n v="31293"/>
    <n v="33181"/>
    <n v="171"/>
    <n v="-1888"/>
    <n v="-5.6900033151502369E-2"/>
    <n v="183"/>
  </r>
  <r>
    <x v="58"/>
    <s v="S005"/>
    <s v="C05"/>
    <x v="4"/>
    <x v="0"/>
    <x v="4"/>
    <x v="3"/>
    <n v="24429"/>
    <n v="22264"/>
    <n v="51"/>
    <n v="2165"/>
    <n v="9.7242184692777581E-2"/>
    <n v="479"/>
  </r>
  <r>
    <x v="58"/>
    <s v="S006"/>
    <s v="C01"/>
    <x v="5"/>
    <x v="1"/>
    <x v="5"/>
    <x v="0"/>
    <n v="55062"/>
    <n v="51016"/>
    <n v="126"/>
    <n v="4046"/>
    <n v="7.9308452250274428E-2"/>
    <n v="437"/>
  </r>
  <r>
    <x v="58"/>
    <s v="S007"/>
    <s v="C03"/>
    <x v="6"/>
    <x v="1"/>
    <x v="6"/>
    <x v="4"/>
    <n v="42560"/>
    <n v="41299"/>
    <n v="190"/>
    <n v="1261"/>
    <n v="3.0533426959490545E-2"/>
    <n v="224"/>
  </r>
  <r>
    <x v="58"/>
    <s v="S008"/>
    <s v="C04"/>
    <x v="7"/>
    <x v="1"/>
    <x v="7"/>
    <x v="2"/>
    <n v="50424"/>
    <n v="55745"/>
    <n v="132"/>
    <n v="-5321"/>
    <n v="-9.5452506951296076E-2"/>
    <n v="382"/>
  </r>
  <r>
    <x v="58"/>
    <s v="S009"/>
    <s v="C01"/>
    <x v="8"/>
    <x v="1"/>
    <x v="8"/>
    <x v="0"/>
    <n v="40560"/>
    <n v="41913"/>
    <n v="156"/>
    <n v="-1353"/>
    <n v="-3.2281153818624293E-2"/>
    <n v="260"/>
  </r>
  <r>
    <x v="58"/>
    <s v="S010"/>
    <s v="C02"/>
    <x v="9"/>
    <x v="1"/>
    <x v="9"/>
    <x v="1"/>
    <n v="61965"/>
    <n v="60338"/>
    <n v="135"/>
    <n v="1627"/>
    <n v="2.6964765156286253E-2"/>
    <n v="459"/>
  </r>
  <r>
    <x v="58"/>
    <s v="S011"/>
    <s v="C02"/>
    <x v="10"/>
    <x v="2"/>
    <x v="10"/>
    <x v="1"/>
    <n v="56721"/>
    <n v="56339"/>
    <n v="111"/>
    <n v="382"/>
    <n v="6.7803830383925878E-3"/>
    <n v="511"/>
  </r>
  <r>
    <x v="58"/>
    <s v="S012"/>
    <s v="C01"/>
    <x v="11"/>
    <x v="2"/>
    <x v="11"/>
    <x v="0"/>
    <n v="81664"/>
    <n v="76383"/>
    <n v="176"/>
    <n v="5281"/>
    <n v="6.9138420852807567E-2"/>
    <n v="464"/>
  </r>
  <r>
    <x v="58"/>
    <s v="S013"/>
    <s v="C01"/>
    <x v="12"/>
    <x v="2"/>
    <x v="12"/>
    <x v="0"/>
    <n v="17028"/>
    <n v="17865"/>
    <n v="36"/>
    <n v="-837"/>
    <n v="-4.6851385390428213E-2"/>
    <n v="473"/>
  </r>
  <r>
    <x v="58"/>
    <s v="S014"/>
    <s v="C05"/>
    <x v="13"/>
    <x v="2"/>
    <x v="13"/>
    <x v="3"/>
    <n v="39025"/>
    <n v="38095"/>
    <n v="175"/>
    <n v="930"/>
    <n v="2.4412652579078618E-2"/>
    <n v="223"/>
  </r>
  <r>
    <x v="58"/>
    <s v="S015"/>
    <s v="C03"/>
    <x v="14"/>
    <x v="2"/>
    <x v="14"/>
    <x v="4"/>
    <n v="34799"/>
    <n v="39197"/>
    <n v="89"/>
    <n v="-4398"/>
    <n v="-0.11220246447432201"/>
    <n v="391"/>
  </r>
  <r>
    <x v="58"/>
    <s v="S016"/>
    <s v="C05"/>
    <x v="15"/>
    <x v="3"/>
    <x v="15"/>
    <x v="3"/>
    <n v="18602"/>
    <n v="17597"/>
    <n v="71"/>
    <n v="1005"/>
    <n v="5.7112007728590097E-2"/>
    <n v="262"/>
  </r>
  <r>
    <x v="58"/>
    <s v="S017"/>
    <s v="C05"/>
    <x v="16"/>
    <x v="3"/>
    <x v="16"/>
    <x v="3"/>
    <n v="27621"/>
    <n v="25650"/>
    <n v="99"/>
    <n v="1971"/>
    <n v="7.6842105263157892E-2"/>
    <n v="279"/>
  </r>
  <r>
    <x v="58"/>
    <s v="S018"/>
    <s v="C05"/>
    <x v="17"/>
    <x v="4"/>
    <x v="17"/>
    <x v="3"/>
    <n v="22128"/>
    <n v="22466"/>
    <n v="48"/>
    <n v="-338"/>
    <n v="-1.5044956823644618E-2"/>
    <n v="461"/>
  </r>
  <r>
    <x v="58"/>
    <s v="S019"/>
    <s v="C05"/>
    <x v="18"/>
    <x v="5"/>
    <x v="18"/>
    <x v="3"/>
    <n v="17384"/>
    <n v="18564"/>
    <n v="53"/>
    <n v="-1180"/>
    <n v="-6.3563887093298854E-2"/>
    <n v="328"/>
  </r>
  <r>
    <x v="58"/>
    <s v="S020"/>
    <s v="C03"/>
    <x v="19"/>
    <x v="6"/>
    <x v="19"/>
    <x v="4"/>
    <n v="16860"/>
    <n v="18232"/>
    <n v="60"/>
    <n v="-1372"/>
    <n v="-7.5252303641948223E-2"/>
    <n v="281"/>
  </r>
  <r>
    <x v="59"/>
    <s v="S001"/>
    <s v="C04"/>
    <x v="0"/>
    <x v="0"/>
    <x v="0"/>
    <x v="2"/>
    <n v="43078"/>
    <n v="40151"/>
    <n v="119"/>
    <n v="2927"/>
    <n v="7.289980324275859E-2"/>
    <n v="362"/>
  </r>
  <r>
    <x v="59"/>
    <s v="S002"/>
    <s v="C02"/>
    <x v="1"/>
    <x v="0"/>
    <x v="1"/>
    <x v="1"/>
    <n v="19500"/>
    <n v="20570"/>
    <n v="60"/>
    <n v="-1070"/>
    <n v="-5.201750121536218E-2"/>
    <n v="325"/>
  </r>
  <r>
    <x v="59"/>
    <s v="S003"/>
    <s v="C02"/>
    <x v="2"/>
    <x v="0"/>
    <x v="2"/>
    <x v="1"/>
    <n v="49648"/>
    <n v="50276"/>
    <n v="116"/>
    <n v="-628"/>
    <n v="-1.2491049407271859E-2"/>
    <n v="428"/>
  </r>
  <r>
    <x v="59"/>
    <s v="S004"/>
    <s v="C05"/>
    <x v="3"/>
    <x v="0"/>
    <x v="3"/>
    <x v="3"/>
    <n v="68208"/>
    <n v="73212"/>
    <n v="203"/>
    <n v="-5004"/>
    <n v="-6.8349450909686943E-2"/>
    <n v="336"/>
  </r>
  <r>
    <x v="59"/>
    <s v="S005"/>
    <s v="C02"/>
    <x v="4"/>
    <x v="0"/>
    <x v="4"/>
    <x v="1"/>
    <n v="84130"/>
    <n v="83383"/>
    <n v="179"/>
    <n v="747"/>
    <n v="8.9586606382595965E-3"/>
    <n v="470"/>
  </r>
  <r>
    <x v="59"/>
    <s v="S006"/>
    <s v="C03"/>
    <x v="5"/>
    <x v="1"/>
    <x v="5"/>
    <x v="4"/>
    <n v="38304"/>
    <n v="34519"/>
    <n v="144"/>
    <n v="3785"/>
    <n v="0.10964975810423246"/>
    <n v="266"/>
  </r>
  <r>
    <x v="59"/>
    <s v="S007"/>
    <s v="C02"/>
    <x v="6"/>
    <x v="1"/>
    <x v="6"/>
    <x v="1"/>
    <n v="46228"/>
    <n v="46645"/>
    <n v="91"/>
    <n v="-417"/>
    <n v="-8.9398649372923137E-3"/>
    <n v="508"/>
  </r>
  <r>
    <x v="59"/>
    <s v="S008"/>
    <s v="C03"/>
    <x v="7"/>
    <x v="1"/>
    <x v="7"/>
    <x v="4"/>
    <n v="24081"/>
    <n v="26957"/>
    <n v="69"/>
    <n v="-2876"/>
    <n v="-0.10668842972140817"/>
    <n v="349"/>
  </r>
  <r>
    <x v="59"/>
    <s v="S009"/>
    <s v="C04"/>
    <x v="8"/>
    <x v="1"/>
    <x v="8"/>
    <x v="2"/>
    <n v="54087"/>
    <n v="59154"/>
    <n v="149"/>
    <n v="-5067"/>
    <n v="-8.5657774622172639E-2"/>
    <n v="363"/>
  </r>
  <r>
    <x v="59"/>
    <s v="S010"/>
    <s v="C04"/>
    <x v="9"/>
    <x v="1"/>
    <x v="9"/>
    <x v="2"/>
    <n v="41360"/>
    <n v="39041"/>
    <n v="176"/>
    <n v="2319"/>
    <n v="5.9399093260930819E-2"/>
    <n v="235"/>
  </r>
  <r>
    <x v="59"/>
    <s v="S011"/>
    <s v="C05"/>
    <x v="10"/>
    <x v="2"/>
    <x v="10"/>
    <x v="3"/>
    <n v="17765"/>
    <n v="19802"/>
    <n v="55"/>
    <n v="-2037"/>
    <n v="-0.10286839713160287"/>
    <n v="323"/>
  </r>
  <r>
    <x v="59"/>
    <s v="S012"/>
    <s v="C02"/>
    <x v="11"/>
    <x v="2"/>
    <x v="11"/>
    <x v="1"/>
    <n v="48160"/>
    <n v="46513"/>
    <n v="172"/>
    <n v="1647"/>
    <n v="3.5409455421065078E-2"/>
    <n v="280"/>
  </r>
  <r>
    <x v="59"/>
    <s v="S013"/>
    <s v="C01"/>
    <x v="12"/>
    <x v="2"/>
    <x v="12"/>
    <x v="0"/>
    <n v="10206"/>
    <n v="11353"/>
    <n v="54"/>
    <n v="-1147"/>
    <n v="-0.10103056460847352"/>
    <n v="189"/>
  </r>
  <r>
    <x v="59"/>
    <s v="S014"/>
    <s v="C01"/>
    <x v="13"/>
    <x v="2"/>
    <x v="13"/>
    <x v="0"/>
    <n v="87108"/>
    <n v="87219"/>
    <n v="183"/>
    <n v="-111"/>
    <n v="-1.272658480376982E-3"/>
    <n v="476"/>
  </r>
  <r>
    <x v="59"/>
    <s v="S015"/>
    <s v="C05"/>
    <x v="14"/>
    <x v="2"/>
    <x v="14"/>
    <x v="3"/>
    <n v="17622"/>
    <n v="18289"/>
    <n v="89"/>
    <n v="-667"/>
    <n v="-3.6470009295204768E-2"/>
    <n v="198"/>
  </r>
  <r>
    <x v="59"/>
    <s v="S016"/>
    <s v="C05"/>
    <x v="15"/>
    <x v="3"/>
    <x v="15"/>
    <x v="3"/>
    <n v="72833"/>
    <n v="77456"/>
    <n v="173"/>
    <n v="-4623"/>
    <n v="-5.9685498863871103E-2"/>
    <n v="421"/>
  </r>
  <r>
    <x v="59"/>
    <s v="S017"/>
    <s v="C02"/>
    <x v="16"/>
    <x v="3"/>
    <x v="16"/>
    <x v="1"/>
    <n v="48640"/>
    <n v="46491"/>
    <n v="128"/>
    <n v="2149"/>
    <n v="4.6224000344152631E-2"/>
    <n v="380"/>
  </r>
  <r>
    <x v="59"/>
    <s v="S018"/>
    <s v="C05"/>
    <x v="17"/>
    <x v="4"/>
    <x v="17"/>
    <x v="3"/>
    <n v="27032"/>
    <n v="27469"/>
    <n v="109"/>
    <n v="-437"/>
    <n v="-1.590884269540209E-2"/>
    <n v="248"/>
  </r>
  <r>
    <x v="59"/>
    <s v="S019"/>
    <s v="C05"/>
    <x v="18"/>
    <x v="5"/>
    <x v="18"/>
    <x v="3"/>
    <n v="22214"/>
    <n v="22013"/>
    <n v="58"/>
    <n v="201"/>
    <n v="9.1309680643256261E-3"/>
    <n v="383"/>
  </r>
  <r>
    <x v="59"/>
    <s v="S020"/>
    <s v="C01"/>
    <x v="19"/>
    <x v="6"/>
    <x v="19"/>
    <x v="0"/>
    <n v="61608"/>
    <n v="68507"/>
    <n v="204"/>
    <n v="-6899"/>
    <n v="-0.10070503744142935"/>
    <n v="302"/>
  </r>
  <r>
    <x v="60"/>
    <s v="S001"/>
    <s v="C05"/>
    <x v="0"/>
    <x v="0"/>
    <x v="0"/>
    <x v="3"/>
    <n v="55440"/>
    <n v="60390"/>
    <n v="210"/>
    <n v="-4950"/>
    <n v="-8.1967213114754092E-2"/>
    <n v="264"/>
  </r>
  <r>
    <x v="60"/>
    <s v="S002"/>
    <s v="C02"/>
    <x v="1"/>
    <x v="0"/>
    <x v="1"/>
    <x v="1"/>
    <n v="38889"/>
    <n v="36741"/>
    <n v="149"/>
    <n v="2148"/>
    <n v="5.8463297133991995E-2"/>
    <n v="261"/>
  </r>
  <r>
    <x v="60"/>
    <s v="S003"/>
    <s v="C05"/>
    <x v="2"/>
    <x v="0"/>
    <x v="2"/>
    <x v="3"/>
    <n v="51562"/>
    <n v="55892"/>
    <n v="203"/>
    <n v="-4330"/>
    <n v="-7.7470836613468833E-2"/>
    <n v="254"/>
  </r>
  <r>
    <x v="60"/>
    <s v="S004"/>
    <s v="C04"/>
    <x v="3"/>
    <x v="0"/>
    <x v="3"/>
    <x v="2"/>
    <n v="25200"/>
    <n v="24058"/>
    <n v="126"/>
    <n v="1142"/>
    <n v="4.7468617507689749E-2"/>
    <n v="200"/>
  </r>
  <r>
    <x v="60"/>
    <s v="S005"/>
    <s v="C04"/>
    <x v="4"/>
    <x v="0"/>
    <x v="4"/>
    <x v="2"/>
    <n v="19928"/>
    <n v="19252"/>
    <n v="94"/>
    <n v="676"/>
    <n v="3.5113234988572613E-2"/>
    <n v="212"/>
  </r>
  <r>
    <x v="60"/>
    <s v="S006"/>
    <s v="C02"/>
    <x v="5"/>
    <x v="1"/>
    <x v="5"/>
    <x v="1"/>
    <n v="12825"/>
    <n v="13202"/>
    <n v="45"/>
    <n v="-377"/>
    <n v="-2.8556279351613392E-2"/>
    <n v="285"/>
  </r>
  <r>
    <x v="60"/>
    <s v="S007"/>
    <s v="C03"/>
    <x v="6"/>
    <x v="1"/>
    <x v="6"/>
    <x v="4"/>
    <n v="56280"/>
    <n v="63566"/>
    <n v="134"/>
    <n v="-7286"/>
    <n v="-0.11462102381776422"/>
    <n v="420"/>
  </r>
  <r>
    <x v="60"/>
    <s v="S008"/>
    <s v="C01"/>
    <x v="7"/>
    <x v="1"/>
    <x v="7"/>
    <x v="0"/>
    <n v="23040"/>
    <n v="22602"/>
    <n v="45"/>
    <n v="438"/>
    <n v="1.9378816033979295E-2"/>
    <n v="512"/>
  </r>
  <r>
    <x v="60"/>
    <s v="S009"/>
    <s v="C05"/>
    <x v="8"/>
    <x v="1"/>
    <x v="8"/>
    <x v="3"/>
    <n v="63040"/>
    <n v="69893"/>
    <n v="197"/>
    <n v="-6853"/>
    <n v="-9.8049876239394498E-2"/>
    <n v="320"/>
  </r>
  <r>
    <x v="60"/>
    <s v="S010"/>
    <s v="C03"/>
    <x v="9"/>
    <x v="1"/>
    <x v="9"/>
    <x v="4"/>
    <n v="83814"/>
    <n v="87379"/>
    <n v="183"/>
    <n v="-3565"/>
    <n v="-4.079927671408462E-2"/>
    <n v="458"/>
  </r>
  <r>
    <x v="60"/>
    <s v="S011"/>
    <s v="C04"/>
    <x v="10"/>
    <x v="2"/>
    <x v="10"/>
    <x v="2"/>
    <n v="75346"/>
    <n v="74692"/>
    <n v="202"/>
    <n v="654"/>
    <n v="8.7559578000321325E-3"/>
    <n v="373"/>
  </r>
  <r>
    <x v="60"/>
    <s v="S012"/>
    <s v="C01"/>
    <x v="11"/>
    <x v="2"/>
    <x v="11"/>
    <x v="0"/>
    <n v="51436"/>
    <n v="51131"/>
    <n v="167"/>
    <n v="305"/>
    <n v="5.9650701140208486E-3"/>
    <n v="308"/>
  </r>
  <r>
    <x v="60"/>
    <s v="S013"/>
    <s v="C02"/>
    <x v="12"/>
    <x v="2"/>
    <x v="12"/>
    <x v="1"/>
    <n v="64629"/>
    <n v="63867"/>
    <n v="167"/>
    <n v="762"/>
    <n v="1.1931044201230683E-2"/>
    <n v="387"/>
  </r>
  <r>
    <x v="60"/>
    <s v="S014"/>
    <s v="C03"/>
    <x v="13"/>
    <x v="2"/>
    <x v="13"/>
    <x v="4"/>
    <n v="67734"/>
    <n v="75983"/>
    <n v="159"/>
    <n v="-8249"/>
    <n v="-0.10856375768263954"/>
    <n v="426"/>
  </r>
  <r>
    <x v="60"/>
    <s v="S015"/>
    <s v="C01"/>
    <x v="14"/>
    <x v="2"/>
    <x v="14"/>
    <x v="0"/>
    <n v="40913"/>
    <n v="41321"/>
    <n v="163"/>
    <n v="-408"/>
    <n v="-9.8739139904648974E-3"/>
    <n v="251"/>
  </r>
  <r>
    <x v="60"/>
    <s v="S016"/>
    <s v="C02"/>
    <x v="15"/>
    <x v="3"/>
    <x v="15"/>
    <x v="1"/>
    <n v="23922"/>
    <n v="25378"/>
    <n v="54"/>
    <n v="-1456"/>
    <n v="-5.7372527385924819E-2"/>
    <n v="443"/>
  </r>
  <r>
    <x v="60"/>
    <s v="S017"/>
    <s v="C02"/>
    <x v="16"/>
    <x v="3"/>
    <x v="16"/>
    <x v="1"/>
    <n v="20075"/>
    <n v="18857"/>
    <n v="73"/>
    <n v="1218"/>
    <n v="6.4591398419685003E-2"/>
    <n v="275"/>
  </r>
  <r>
    <x v="60"/>
    <s v="S018"/>
    <s v="C05"/>
    <x v="17"/>
    <x v="4"/>
    <x v="17"/>
    <x v="3"/>
    <n v="52320"/>
    <n v="55735"/>
    <n v="218"/>
    <n v="-3415"/>
    <n v="-6.1272091145599714E-2"/>
    <n v="240"/>
  </r>
  <r>
    <x v="60"/>
    <s v="S019"/>
    <s v="C04"/>
    <x v="18"/>
    <x v="5"/>
    <x v="18"/>
    <x v="2"/>
    <n v="28322"/>
    <n v="28899"/>
    <n v="119"/>
    <n v="-577"/>
    <n v="-1.9966088791999723E-2"/>
    <n v="238"/>
  </r>
  <r>
    <x v="60"/>
    <s v="S020"/>
    <s v="C04"/>
    <x v="19"/>
    <x v="6"/>
    <x v="19"/>
    <x v="2"/>
    <n v="45059"/>
    <n v="47208"/>
    <n v="157"/>
    <n v="-2149"/>
    <n v="-4.5521945432977461E-2"/>
    <n v="287"/>
  </r>
  <r>
    <x v="61"/>
    <s v="S001"/>
    <s v="C04"/>
    <x v="0"/>
    <x v="0"/>
    <x v="0"/>
    <x v="2"/>
    <n v="12160"/>
    <n v="11075"/>
    <n v="40"/>
    <n v="1085"/>
    <n v="9.7968397291196385E-2"/>
    <n v="304"/>
  </r>
  <r>
    <x v="61"/>
    <s v="S002"/>
    <s v="C05"/>
    <x v="1"/>
    <x v="0"/>
    <x v="1"/>
    <x v="3"/>
    <n v="48732"/>
    <n v="45500"/>
    <n v="186"/>
    <n v="3232"/>
    <n v="7.1032967032967034E-2"/>
    <n v="262"/>
  </r>
  <r>
    <x v="61"/>
    <s v="S003"/>
    <s v="C05"/>
    <x v="2"/>
    <x v="0"/>
    <x v="2"/>
    <x v="3"/>
    <n v="21285"/>
    <n v="19938"/>
    <n v="45"/>
    <n v="1347"/>
    <n v="6.7559434246163105E-2"/>
    <n v="473"/>
  </r>
  <r>
    <x v="61"/>
    <s v="S004"/>
    <s v="C02"/>
    <x v="3"/>
    <x v="0"/>
    <x v="3"/>
    <x v="1"/>
    <n v="27472"/>
    <n v="28273"/>
    <n v="101"/>
    <n v="-801"/>
    <n v="-2.8330916422028084E-2"/>
    <n v="272"/>
  </r>
  <r>
    <x v="61"/>
    <s v="S005"/>
    <s v="C04"/>
    <x v="4"/>
    <x v="0"/>
    <x v="4"/>
    <x v="2"/>
    <n v="87984"/>
    <n v="93210"/>
    <n v="188"/>
    <n v="-5226"/>
    <n v="-5.6066945606694563E-2"/>
    <n v="468"/>
  </r>
  <r>
    <x v="61"/>
    <s v="S006"/>
    <s v="C03"/>
    <x v="5"/>
    <x v="1"/>
    <x v="5"/>
    <x v="4"/>
    <n v="16240"/>
    <n v="16439"/>
    <n v="56"/>
    <n v="-199"/>
    <n v="-1.2105359206764402E-2"/>
    <n v="290"/>
  </r>
  <r>
    <x v="61"/>
    <s v="S007"/>
    <s v="C04"/>
    <x v="6"/>
    <x v="1"/>
    <x v="6"/>
    <x v="2"/>
    <n v="42186"/>
    <n v="40280"/>
    <n v="158"/>
    <n v="1906"/>
    <n v="4.731876861966236E-2"/>
    <n v="267"/>
  </r>
  <r>
    <x v="61"/>
    <s v="S008"/>
    <s v="C04"/>
    <x v="7"/>
    <x v="1"/>
    <x v="7"/>
    <x v="2"/>
    <n v="47564"/>
    <n v="52256"/>
    <n v="188"/>
    <n v="-4692"/>
    <n v="-8.9788732394366202E-2"/>
    <n v="253"/>
  </r>
  <r>
    <x v="61"/>
    <s v="S009"/>
    <s v="C02"/>
    <x v="8"/>
    <x v="1"/>
    <x v="8"/>
    <x v="1"/>
    <n v="100298"/>
    <n v="103076"/>
    <n v="194"/>
    <n v="-2778"/>
    <n v="-2.6950987620784662E-2"/>
    <n v="517"/>
  </r>
  <r>
    <x v="61"/>
    <s v="S010"/>
    <s v="C02"/>
    <x v="9"/>
    <x v="1"/>
    <x v="9"/>
    <x v="1"/>
    <n v="78100"/>
    <n v="88298"/>
    <n v="220"/>
    <n v="-10198"/>
    <n v="-0.11549525470565584"/>
    <n v="355"/>
  </r>
  <r>
    <x v="61"/>
    <s v="S011"/>
    <s v="C05"/>
    <x v="10"/>
    <x v="2"/>
    <x v="10"/>
    <x v="3"/>
    <n v="39990"/>
    <n v="38288"/>
    <n v="186"/>
    <n v="1702"/>
    <n v="4.4452569995821145E-2"/>
    <n v="215"/>
  </r>
  <r>
    <x v="61"/>
    <s v="S012"/>
    <s v="C04"/>
    <x v="11"/>
    <x v="2"/>
    <x v="11"/>
    <x v="2"/>
    <n v="15980"/>
    <n v="14448"/>
    <n v="68"/>
    <n v="1532"/>
    <n v="0.10603543743078626"/>
    <n v="235"/>
  </r>
  <r>
    <x v="61"/>
    <s v="S013"/>
    <s v="C05"/>
    <x v="12"/>
    <x v="2"/>
    <x v="12"/>
    <x v="3"/>
    <n v="64616"/>
    <n v="71505"/>
    <n v="164"/>
    <n v="-6889"/>
    <n v="-9.6342913083001191E-2"/>
    <n v="394"/>
  </r>
  <r>
    <x v="61"/>
    <s v="S014"/>
    <s v="C05"/>
    <x v="13"/>
    <x v="2"/>
    <x v="13"/>
    <x v="3"/>
    <n v="15930"/>
    <n v="16232"/>
    <n v="59"/>
    <n v="-302"/>
    <n v="-1.8605224248398226E-2"/>
    <n v="270"/>
  </r>
  <r>
    <x v="61"/>
    <s v="S015"/>
    <s v="C05"/>
    <x v="14"/>
    <x v="2"/>
    <x v="14"/>
    <x v="3"/>
    <n v="37412"/>
    <n v="41880"/>
    <n v="188"/>
    <n v="-4468"/>
    <n v="-0.10668576886341929"/>
    <n v="199"/>
  </r>
  <r>
    <x v="61"/>
    <s v="S016"/>
    <s v="C05"/>
    <x v="15"/>
    <x v="3"/>
    <x v="15"/>
    <x v="3"/>
    <n v="39120"/>
    <n v="36119"/>
    <n v="163"/>
    <n v="3001"/>
    <n v="8.3086464187823589E-2"/>
    <n v="240"/>
  </r>
  <r>
    <x v="61"/>
    <s v="S017"/>
    <s v="C02"/>
    <x v="16"/>
    <x v="3"/>
    <x v="16"/>
    <x v="1"/>
    <n v="86184"/>
    <n v="95395"/>
    <n v="189"/>
    <n v="-9211"/>
    <n v="-9.6556423292625398E-2"/>
    <n v="456"/>
  </r>
  <r>
    <x v="61"/>
    <s v="S018"/>
    <s v="C04"/>
    <x v="17"/>
    <x v="4"/>
    <x v="17"/>
    <x v="2"/>
    <n v="66360"/>
    <n v="65868"/>
    <n v="168"/>
    <n v="492"/>
    <n v="7.469484423392239E-3"/>
    <n v="395"/>
  </r>
  <r>
    <x v="61"/>
    <s v="S019"/>
    <s v="C01"/>
    <x v="18"/>
    <x v="5"/>
    <x v="18"/>
    <x v="0"/>
    <n v="96063"/>
    <n v="96758"/>
    <n v="213"/>
    <n v="-695"/>
    <n v="-7.182868600012402E-3"/>
    <n v="451"/>
  </r>
  <r>
    <x v="61"/>
    <s v="S020"/>
    <s v="C04"/>
    <x v="19"/>
    <x v="6"/>
    <x v="19"/>
    <x v="2"/>
    <n v="47388"/>
    <n v="49627"/>
    <n v="132"/>
    <n v="-2239"/>
    <n v="-4.511656960928527E-2"/>
    <n v="359"/>
  </r>
  <r>
    <x v="62"/>
    <s v="S001"/>
    <s v="C05"/>
    <x v="0"/>
    <x v="0"/>
    <x v="0"/>
    <x v="3"/>
    <n v="23820"/>
    <n v="22235"/>
    <n v="60"/>
    <n v="1585"/>
    <n v="7.1284011693276361E-2"/>
    <n v="397"/>
  </r>
  <r>
    <x v="62"/>
    <s v="S002"/>
    <s v="C04"/>
    <x v="1"/>
    <x v="0"/>
    <x v="1"/>
    <x v="2"/>
    <n v="20868"/>
    <n v="20259"/>
    <n v="94"/>
    <n v="609"/>
    <n v="3.0060713756848809E-2"/>
    <n v="222"/>
  </r>
  <r>
    <x v="62"/>
    <s v="S003"/>
    <s v="C05"/>
    <x v="2"/>
    <x v="0"/>
    <x v="2"/>
    <x v="3"/>
    <n v="43229"/>
    <n v="40948"/>
    <n v="139"/>
    <n v="2281"/>
    <n v="5.5704796327048937E-2"/>
    <n v="311"/>
  </r>
  <r>
    <x v="62"/>
    <s v="S004"/>
    <s v="C01"/>
    <x v="3"/>
    <x v="0"/>
    <x v="3"/>
    <x v="0"/>
    <n v="81354"/>
    <n v="75615"/>
    <n v="182"/>
    <n v="5739"/>
    <n v="7.5897639357270383E-2"/>
    <n v="447"/>
  </r>
  <r>
    <x v="62"/>
    <s v="S005"/>
    <s v="C01"/>
    <x v="4"/>
    <x v="0"/>
    <x v="4"/>
    <x v="0"/>
    <n v="67465"/>
    <n v="64183"/>
    <n v="131"/>
    <n v="3282"/>
    <n v="5.113503575713195E-2"/>
    <n v="515"/>
  </r>
  <r>
    <x v="62"/>
    <s v="S006"/>
    <s v="C03"/>
    <x v="5"/>
    <x v="1"/>
    <x v="5"/>
    <x v="4"/>
    <n v="50735"/>
    <n v="47013"/>
    <n v="139"/>
    <n v="3722"/>
    <n v="7.9169591389615643E-2"/>
    <n v="365"/>
  </r>
  <r>
    <x v="62"/>
    <s v="S007"/>
    <s v="C04"/>
    <x v="6"/>
    <x v="1"/>
    <x v="6"/>
    <x v="2"/>
    <n v="96279"/>
    <n v="92755"/>
    <n v="201"/>
    <n v="3524"/>
    <n v="3.7992561047921945E-2"/>
    <n v="479"/>
  </r>
  <r>
    <x v="62"/>
    <s v="S008"/>
    <s v="C05"/>
    <x v="7"/>
    <x v="1"/>
    <x v="7"/>
    <x v="3"/>
    <n v="67067"/>
    <n v="66490"/>
    <n v="143"/>
    <n v="577"/>
    <n v="8.6779966912317649E-3"/>
    <n v="469"/>
  </r>
  <r>
    <x v="62"/>
    <s v="S009"/>
    <s v="C03"/>
    <x v="8"/>
    <x v="1"/>
    <x v="8"/>
    <x v="4"/>
    <n v="80047"/>
    <n v="87150"/>
    <n v="209"/>
    <n v="-7103"/>
    <n v="-8.1503155479059092E-2"/>
    <n v="383"/>
  </r>
  <r>
    <x v="62"/>
    <s v="S010"/>
    <s v="C04"/>
    <x v="9"/>
    <x v="1"/>
    <x v="9"/>
    <x v="2"/>
    <n v="81840"/>
    <n v="83527"/>
    <n v="176"/>
    <n v="-1687"/>
    <n v="-2.0197062027847282E-2"/>
    <n v="465"/>
  </r>
  <r>
    <x v="62"/>
    <s v="S011"/>
    <s v="C03"/>
    <x v="10"/>
    <x v="2"/>
    <x v="10"/>
    <x v="4"/>
    <n v="82592"/>
    <n v="84321"/>
    <n v="178"/>
    <n v="-1729"/>
    <n v="-2.0504975035874812E-2"/>
    <n v="464"/>
  </r>
  <r>
    <x v="62"/>
    <s v="S012"/>
    <s v="C03"/>
    <x v="11"/>
    <x v="2"/>
    <x v="11"/>
    <x v="4"/>
    <n v="64792"/>
    <n v="70853"/>
    <n v="182"/>
    <n v="-6061"/>
    <n v="-8.5543307975667934E-2"/>
    <n v="356"/>
  </r>
  <r>
    <x v="62"/>
    <s v="S013"/>
    <s v="C04"/>
    <x v="12"/>
    <x v="2"/>
    <x v="12"/>
    <x v="2"/>
    <n v="36190"/>
    <n v="33648"/>
    <n v="70"/>
    <n v="2542"/>
    <n v="7.5546837850689497E-2"/>
    <n v="517"/>
  </r>
  <r>
    <x v="62"/>
    <s v="S014"/>
    <s v="C02"/>
    <x v="13"/>
    <x v="2"/>
    <x v="13"/>
    <x v="1"/>
    <n v="39038"/>
    <n v="36112"/>
    <n v="149"/>
    <n v="2926"/>
    <n v="8.102569782897652E-2"/>
    <n v="262"/>
  </r>
  <r>
    <x v="62"/>
    <s v="S015"/>
    <s v="C05"/>
    <x v="14"/>
    <x v="2"/>
    <x v="14"/>
    <x v="3"/>
    <n v="48361"/>
    <n v="53207"/>
    <n v="137"/>
    <n v="-4846"/>
    <n v="-9.1078241584753888E-2"/>
    <n v="353"/>
  </r>
  <r>
    <x v="62"/>
    <s v="S016"/>
    <s v="C05"/>
    <x v="15"/>
    <x v="3"/>
    <x v="15"/>
    <x v="3"/>
    <n v="43878"/>
    <n v="41253"/>
    <n v="213"/>
    <n v="2625"/>
    <n v="6.3631735873754633E-2"/>
    <n v="206"/>
  </r>
  <r>
    <x v="62"/>
    <s v="S017"/>
    <s v="C01"/>
    <x v="16"/>
    <x v="3"/>
    <x v="16"/>
    <x v="0"/>
    <n v="14732"/>
    <n v="14995"/>
    <n v="58"/>
    <n v="-263"/>
    <n v="-1.7539179726575524E-2"/>
    <n v="254"/>
  </r>
  <r>
    <x v="62"/>
    <s v="S018"/>
    <s v="C05"/>
    <x v="17"/>
    <x v="4"/>
    <x v="17"/>
    <x v="3"/>
    <n v="32850"/>
    <n v="30091"/>
    <n v="146"/>
    <n v="2759"/>
    <n v="9.1688544747598952E-2"/>
    <n v="225"/>
  </r>
  <r>
    <x v="62"/>
    <s v="S019"/>
    <s v="C02"/>
    <x v="18"/>
    <x v="5"/>
    <x v="18"/>
    <x v="1"/>
    <n v="28380"/>
    <n v="29863"/>
    <n v="129"/>
    <n v="-1483"/>
    <n v="-4.9660114522988311E-2"/>
    <n v="220"/>
  </r>
  <r>
    <x v="62"/>
    <s v="S020"/>
    <s v="C04"/>
    <x v="19"/>
    <x v="6"/>
    <x v="19"/>
    <x v="2"/>
    <n v="67678"/>
    <n v="72012"/>
    <n v="137"/>
    <n v="-4334"/>
    <n v="-6.0184413708826309E-2"/>
    <n v="494"/>
  </r>
  <r>
    <x v="63"/>
    <s v="S001"/>
    <s v="C03"/>
    <x v="0"/>
    <x v="0"/>
    <x v="0"/>
    <x v="4"/>
    <n v="105245"/>
    <n v="96232"/>
    <n v="217"/>
    <n v="9013"/>
    <n v="9.3659073904730231E-2"/>
    <n v="485"/>
  </r>
  <r>
    <x v="63"/>
    <s v="S002"/>
    <s v="C02"/>
    <x v="1"/>
    <x v="0"/>
    <x v="1"/>
    <x v="1"/>
    <n v="85734"/>
    <n v="86569"/>
    <n v="198"/>
    <n v="-835"/>
    <n v="-9.645485104367614E-3"/>
    <n v="433"/>
  </r>
  <r>
    <x v="63"/>
    <s v="S003"/>
    <s v="C02"/>
    <x v="2"/>
    <x v="0"/>
    <x v="2"/>
    <x v="1"/>
    <n v="90335"/>
    <n v="87760"/>
    <n v="203"/>
    <n v="2575"/>
    <n v="2.9341385597082954E-2"/>
    <n v="445"/>
  </r>
  <r>
    <x v="63"/>
    <s v="S004"/>
    <s v="C01"/>
    <x v="3"/>
    <x v="0"/>
    <x v="3"/>
    <x v="0"/>
    <n v="82908"/>
    <n v="85308"/>
    <n v="188"/>
    <n v="-2400"/>
    <n v="-2.8133352088901394E-2"/>
    <n v="441"/>
  </r>
  <r>
    <x v="63"/>
    <s v="S005"/>
    <s v="C02"/>
    <x v="4"/>
    <x v="0"/>
    <x v="4"/>
    <x v="1"/>
    <n v="51072"/>
    <n v="54570"/>
    <n v="192"/>
    <n v="-3498"/>
    <n v="-6.4101154480483785E-2"/>
    <n v="266"/>
  </r>
  <r>
    <x v="63"/>
    <s v="S006"/>
    <s v="C03"/>
    <x v="5"/>
    <x v="1"/>
    <x v="5"/>
    <x v="4"/>
    <n v="49440"/>
    <n v="44499"/>
    <n v="96"/>
    <n v="4941"/>
    <n v="0.11103620306074294"/>
    <n v="515"/>
  </r>
  <r>
    <x v="63"/>
    <s v="S007"/>
    <s v="C02"/>
    <x v="6"/>
    <x v="1"/>
    <x v="6"/>
    <x v="1"/>
    <n v="18297"/>
    <n v="20033"/>
    <n v="57"/>
    <n v="-1736"/>
    <n v="-8.665701592372585E-2"/>
    <n v="321"/>
  </r>
  <r>
    <x v="63"/>
    <s v="S008"/>
    <s v="C03"/>
    <x v="7"/>
    <x v="1"/>
    <x v="7"/>
    <x v="4"/>
    <n v="78692"/>
    <n v="78799"/>
    <n v="206"/>
    <n v="-107"/>
    <n v="-1.3578852523509182E-3"/>
    <n v="382"/>
  </r>
  <r>
    <x v="63"/>
    <s v="S009"/>
    <s v="C02"/>
    <x v="8"/>
    <x v="1"/>
    <x v="8"/>
    <x v="1"/>
    <n v="31229"/>
    <n v="33859"/>
    <n v="167"/>
    <n v="-2630"/>
    <n v="-7.7675064236982783E-2"/>
    <n v="187"/>
  </r>
  <r>
    <x v="63"/>
    <s v="S010"/>
    <s v="C01"/>
    <x v="9"/>
    <x v="1"/>
    <x v="9"/>
    <x v="0"/>
    <n v="26738"/>
    <n v="25965"/>
    <n v="58"/>
    <n v="773"/>
    <n v="2.9770845368765647E-2"/>
    <n v="461"/>
  </r>
  <r>
    <x v="63"/>
    <s v="S011"/>
    <s v="C05"/>
    <x v="10"/>
    <x v="2"/>
    <x v="10"/>
    <x v="3"/>
    <n v="65872"/>
    <n v="65007"/>
    <n v="184"/>
    <n v="865"/>
    <n v="1.3306259325918748E-2"/>
    <n v="358"/>
  </r>
  <r>
    <x v="63"/>
    <s v="S012"/>
    <s v="C03"/>
    <x v="11"/>
    <x v="2"/>
    <x v="11"/>
    <x v="4"/>
    <n v="45080"/>
    <n v="51425"/>
    <n v="92"/>
    <n v="-6345"/>
    <n v="-0.1233835683033544"/>
    <n v="490"/>
  </r>
  <r>
    <x v="63"/>
    <s v="S013"/>
    <s v="C04"/>
    <x v="12"/>
    <x v="2"/>
    <x v="12"/>
    <x v="2"/>
    <n v="65412"/>
    <n v="58946"/>
    <n v="138"/>
    <n v="6466"/>
    <n v="0.1096936178875581"/>
    <n v="474"/>
  </r>
  <r>
    <x v="63"/>
    <s v="S014"/>
    <s v="C02"/>
    <x v="13"/>
    <x v="2"/>
    <x v="13"/>
    <x v="1"/>
    <n v="61021"/>
    <n v="56543"/>
    <n v="139"/>
    <n v="4478"/>
    <n v="7.9196363829298053E-2"/>
    <n v="439"/>
  </r>
  <r>
    <x v="63"/>
    <s v="S015"/>
    <s v="C01"/>
    <x v="14"/>
    <x v="2"/>
    <x v="14"/>
    <x v="0"/>
    <n v="53790"/>
    <n v="52982"/>
    <n v="163"/>
    <n v="808"/>
    <n v="1.5250462421199653E-2"/>
    <n v="330"/>
  </r>
  <r>
    <x v="63"/>
    <s v="S016"/>
    <s v="C01"/>
    <x v="15"/>
    <x v="3"/>
    <x v="15"/>
    <x v="0"/>
    <n v="51626"/>
    <n v="57770"/>
    <n v="166"/>
    <n v="-6144"/>
    <n v="-0.10635277825861174"/>
    <n v="311"/>
  </r>
  <r>
    <x v="63"/>
    <s v="S017"/>
    <s v="C05"/>
    <x v="16"/>
    <x v="3"/>
    <x v="16"/>
    <x v="3"/>
    <n v="40194"/>
    <n v="45882"/>
    <n v="99"/>
    <n v="-5688"/>
    <n v="-0.12397018438603374"/>
    <n v="406"/>
  </r>
  <r>
    <x v="63"/>
    <s v="S018"/>
    <s v="C05"/>
    <x v="17"/>
    <x v="4"/>
    <x v="17"/>
    <x v="3"/>
    <n v="48032"/>
    <n v="52324"/>
    <n v="158"/>
    <n v="-4292"/>
    <n v="-8.2027367938231024E-2"/>
    <n v="304"/>
  </r>
  <r>
    <x v="63"/>
    <s v="S019"/>
    <s v="C04"/>
    <x v="18"/>
    <x v="5"/>
    <x v="18"/>
    <x v="2"/>
    <n v="86735"/>
    <n v="97501"/>
    <n v="209"/>
    <n v="-10766"/>
    <n v="-0.11041938031404806"/>
    <n v="415"/>
  </r>
  <r>
    <x v="63"/>
    <s v="S020"/>
    <s v="C01"/>
    <x v="19"/>
    <x v="6"/>
    <x v="19"/>
    <x v="0"/>
    <n v="37762"/>
    <n v="36419"/>
    <n v="158"/>
    <n v="1343"/>
    <n v="3.6876355748373099E-2"/>
    <n v="239"/>
  </r>
  <r>
    <x v="64"/>
    <s v="S001"/>
    <s v="C04"/>
    <x v="0"/>
    <x v="0"/>
    <x v="0"/>
    <x v="2"/>
    <n v="57524"/>
    <n v="61506"/>
    <n v="197"/>
    <n v="-3982"/>
    <n v="-6.4741651221019089E-2"/>
    <n v="292"/>
  </r>
  <r>
    <x v="64"/>
    <s v="S002"/>
    <s v="C02"/>
    <x v="1"/>
    <x v="0"/>
    <x v="1"/>
    <x v="1"/>
    <n v="44965"/>
    <n v="51208"/>
    <n v="115"/>
    <n v="-6243"/>
    <n v="-0.12191454460240587"/>
    <n v="391"/>
  </r>
  <r>
    <x v="64"/>
    <s v="S003"/>
    <s v="C05"/>
    <x v="2"/>
    <x v="0"/>
    <x v="2"/>
    <x v="3"/>
    <n v="31648"/>
    <n v="34028"/>
    <n v="172"/>
    <n v="-2380"/>
    <n v="-6.9942400376160813E-2"/>
    <n v="184"/>
  </r>
  <r>
    <x v="64"/>
    <s v="S004"/>
    <s v="C03"/>
    <x v="3"/>
    <x v="0"/>
    <x v="3"/>
    <x v="4"/>
    <n v="32046"/>
    <n v="29586"/>
    <n v="98"/>
    <n v="2460"/>
    <n v="8.3147434597444739E-2"/>
    <n v="327"/>
  </r>
  <r>
    <x v="64"/>
    <s v="S005"/>
    <s v="C03"/>
    <x v="4"/>
    <x v="0"/>
    <x v="4"/>
    <x v="4"/>
    <n v="25002"/>
    <n v="28323"/>
    <n v="54"/>
    <n v="-3321"/>
    <n v="-0.11725452812202097"/>
    <n v="463"/>
  </r>
  <r>
    <x v="64"/>
    <s v="S006"/>
    <s v="C04"/>
    <x v="5"/>
    <x v="1"/>
    <x v="5"/>
    <x v="2"/>
    <n v="41515"/>
    <n v="39631"/>
    <n v="115"/>
    <n v="1884"/>
    <n v="4.753854305972597E-2"/>
    <n v="361"/>
  </r>
  <r>
    <x v="64"/>
    <s v="S007"/>
    <s v="C05"/>
    <x v="6"/>
    <x v="1"/>
    <x v="6"/>
    <x v="3"/>
    <n v="28119"/>
    <n v="31965"/>
    <n v="103"/>
    <n v="-3846"/>
    <n v="-0.12031909901454717"/>
    <n v="273"/>
  </r>
  <r>
    <x v="64"/>
    <s v="S008"/>
    <s v="C02"/>
    <x v="7"/>
    <x v="1"/>
    <x v="7"/>
    <x v="1"/>
    <n v="45684"/>
    <n v="43797"/>
    <n v="162"/>
    <n v="1887"/>
    <n v="4.3085142818001236E-2"/>
    <n v="282"/>
  </r>
  <r>
    <x v="64"/>
    <s v="S009"/>
    <s v="C02"/>
    <x v="8"/>
    <x v="1"/>
    <x v="8"/>
    <x v="1"/>
    <n v="29070"/>
    <n v="27828"/>
    <n v="102"/>
    <n v="1242"/>
    <n v="4.4631306597671408E-2"/>
    <n v="285"/>
  </r>
  <r>
    <x v="64"/>
    <s v="S010"/>
    <s v="C02"/>
    <x v="9"/>
    <x v="1"/>
    <x v="9"/>
    <x v="1"/>
    <n v="69866"/>
    <n v="65604"/>
    <n v="193"/>
    <n v="4262"/>
    <n v="6.4965550881043832E-2"/>
    <n v="362"/>
  </r>
  <r>
    <x v="64"/>
    <s v="S011"/>
    <s v="C01"/>
    <x v="10"/>
    <x v="2"/>
    <x v="10"/>
    <x v="0"/>
    <n v="14300"/>
    <n v="15286"/>
    <n v="65"/>
    <n v="-986"/>
    <n v="-6.4503467224911681E-2"/>
    <n v="220"/>
  </r>
  <r>
    <x v="64"/>
    <s v="S012"/>
    <s v="C04"/>
    <x v="11"/>
    <x v="2"/>
    <x v="11"/>
    <x v="2"/>
    <n v="35136"/>
    <n v="38335"/>
    <n v="192"/>
    <n v="-3199"/>
    <n v="-8.344854571540368E-2"/>
    <n v="183"/>
  </r>
  <r>
    <x v="64"/>
    <s v="S013"/>
    <s v="C05"/>
    <x v="12"/>
    <x v="2"/>
    <x v="12"/>
    <x v="3"/>
    <n v="19170"/>
    <n v="19031"/>
    <n v="45"/>
    <n v="139"/>
    <n v="7.3038726288686883E-3"/>
    <n v="426"/>
  </r>
  <r>
    <x v="64"/>
    <s v="S014"/>
    <s v="C03"/>
    <x v="13"/>
    <x v="2"/>
    <x v="13"/>
    <x v="4"/>
    <n v="76314"/>
    <n v="85257"/>
    <n v="161"/>
    <n v="-8943"/>
    <n v="-0.10489461275906964"/>
    <n v="474"/>
  </r>
  <r>
    <x v="64"/>
    <s v="S015"/>
    <s v="C04"/>
    <x v="14"/>
    <x v="2"/>
    <x v="14"/>
    <x v="2"/>
    <n v="35721"/>
    <n v="34651"/>
    <n v="81"/>
    <n v="1070"/>
    <n v="3.0879339701595912E-2"/>
    <n v="441"/>
  </r>
  <r>
    <x v="64"/>
    <s v="S016"/>
    <s v="C02"/>
    <x v="15"/>
    <x v="3"/>
    <x v="15"/>
    <x v="1"/>
    <n v="44590"/>
    <n v="40734"/>
    <n v="182"/>
    <n v="3856"/>
    <n v="9.4662935140177734E-2"/>
    <n v="245"/>
  </r>
  <r>
    <x v="64"/>
    <s v="S017"/>
    <s v="C04"/>
    <x v="16"/>
    <x v="3"/>
    <x v="16"/>
    <x v="2"/>
    <n v="71592"/>
    <n v="65015"/>
    <n v="157"/>
    <n v="6577"/>
    <n v="0.10116127047604399"/>
    <n v="456"/>
  </r>
  <r>
    <x v="64"/>
    <s v="S018"/>
    <s v="C03"/>
    <x v="17"/>
    <x v="4"/>
    <x v="17"/>
    <x v="4"/>
    <n v="36315"/>
    <n v="36834"/>
    <n v="135"/>
    <n v="-519"/>
    <n v="-1.4090242710539175E-2"/>
    <n v="269"/>
  </r>
  <r>
    <x v="64"/>
    <s v="S019"/>
    <s v="C01"/>
    <x v="18"/>
    <x v="5"/>
    <x v="18"/>
    <x v="0"/>
    <n v="94785"/>
    <n v="96208"/>
    <n v="213"/>
    <n v="-1423"/>
    <n v="-1.4790869782138699E-2"/>
    <n v="445"/>
  </r>
  <r>
    <x v="64"/>
    <s v="S020"/>
    <s v="C01"/>
    <x v="19"/>
    <x v="6"/>
    <x v="19"/>
    <x v="0"/>
    <n v="10906"/>
    <n v="10849"/>
    <n v="38"/>
    <n v="57"/>
    <n v="5.2539404553415062E-3"/>
    <n v="287"/>
  </r>
  <r>
    <x v="65"/>
    <s v="S001"/>
    <s v="C01"/>
    <x v="0"/>
    <x v="0"/>
    <x v="0"/>
    <x v="0"/>
    <n v="43070"/>
    <n v="45361"/>
    <n v="118"/>
    <n v="-2291"/>
    <n v="-5.0505941227045256E-2"/>
    <n v="365"/>
  </r>
  <r>
    <x v="65"/>
    <s v="S002"/>
    <s v="C03"/>
    <x v="1"/>
    <x v="0"/>
    <x v="1"/>
    <x v="4"/>
    <n v="37720"/>
    <n v="36426"/>
    <n v="82"/>
    <n v="1294"/>
    <n v="3.552407620930105E-2"/>
    <n v="460"/>
  </r>
  <r>
    <x v="65"/>
    <s v="S003"/>
    <s v="C03"/>
    <x v="2"/>
    <x v="0"/>
    <x v="2"/>
    <x v="4"/>
    <n v="76415"/>
    <n v="75327"/>
    <n v="155"/>
    <n v="1088"/>
    <n v="1.4443692168810652E-2"/>
    <n v="493"/>
  </r>
  <r>
    <x v="65"/>
    <s v="S004"/>
    <s v="C02"/>
    <x v="3"/>
    <x v="0"/>
    <x v="3"/>
    <x v="1"/>
    <n v="64314"/>
    <n v="61267"/>
    <n v="162"/>
    <n v="3047"/>
    <n v="4.9733135293061517E-2"/>
    <n v="397"/>
  </r>
  <r>
    <x v="65"/>
    <s v="S005"/>
    <s v="C03"/>
    <x v="4"/>
    <x v="0"/>
    <x v="4"/>
    <x v="4"/>
    <n v="49280"/>
    <n v="47797"/>
    <n v="128"/>
    <n v="1483"/>
    <n v="3.1027051907023453E-2"/>
    <n v="385"/>
  </r>
  <r>
    <x v="65"/>
    <s v="S006"/>
    <s v="C02"/>
    <x v="5"/>
    <x v="1"/>
    <x v="5"/>
    <x v="1"/>
    <n v="44707"/>
    <n v="51181"/>
    <n v="181"/>
    <n v="-6474"/>
    <n v="-0.12649225298450598"/>
    <n v="247"/>
  </r>
  <r>
    <x v="65"/>
    <s v="S007"/>
    <s v="C02"/>
    <x v="6"/>
    <x v="1"/>
    <x v="6"/>
    <x v="1"/>
    <n v="19080"/>
    <n v="21007"/>
    <n v="60"/>
    <n v="-1927"/>
    <n v="-9.1731327652687197E-2"/>
    <n v="318"/>
  </r>
  <r>
    <x v="65"/>
    <s v="S008"/>
    <s v="C05"/>
    <x v="7"/>
    <x v="1"/>
    <x v="7"/>
    <x v="3"/>
    <n v="54375"/>
    <n v="51602"/>
    <n v="145"/>
    <n v="2773"/>
    <n v="5.3738227200496105E-2"/>
    <n v="375"/>
  </r>
  <r>
    <x v="65"/>
    <s v="S009"/>
    <s v="C02"/>
    <x v="8"/>
    <x v="1"/>
    <x v="8"/>
    <x v="1"/>
    <n v="28704"/>
    <n v="27100"/>
    <n v="156"/>
    <n v="1604"/>
    <n v="5.9188191881918817E-2"/>
    <n v="184"/>
  </r>
  <r>
    <x v="65"/>
    <s v="S010"/>
    <s v="C04"/>
    <x v="9"/>
    <x v="1"/>
    <x v="9"/>
    <x v="2"/>
    <n v="34638"/>
    <n v="35651"/>
    <n v="69"/>
    <n v="-1013"/>
    <n v="-2.8414350228605088E-2"/>
    <n v="502"/>
  </r>
  <r>
    <x v="65"/>
    <s v="S011"/>
    <s v="C03"/>
    <x v="10"/>
    <x v="2"/>
    <x v="10"/>
    <x v="4"/>
    <n v="52947"/>
    <n v="50974"/>
    <n v="159"/>
    <n v="1973"/>
    <n v="3.8706006983952601E-2"/>
    <n v="333"/>
  </r>
  <r>
    <x v="65"/>
    <s v="S012"/>
    <s v="C05"/>
    <x v="11"/>
    <x v="2"/>
    <x v="11"/>
    <x v="3"/>
    <n v="18001"/>
    <n v="16646"/>
    <n v="47"/>
    <n v="1355"/>
    <n v="8.140093716208098E-2"/>
    <n v="383"/>
  </r>
  <r>
    <x v="65"/>
    <s v="S013"/>
    <s v="C02"/>
    <x v="12"/>
    <x v="2"/>
    <x v="12"/>
    <x v="1"/>
    <n v="14500"/>
    <n v="16000"/>
    <n v="50"/>
    <n v="-1500"/>
    <n v="-9.375E-2"/>
    <n v="290"/>
  </r>
  <r>
    <x v="65"/>
    <s v="S014"/>
    <s v="C04"/>
    <x v="13"/>
    <x v="2"/>
    <x v="13"/>
    <x v="2"/>
    <n v="44884"/>
    <n v="45443"/>
    <n v="196"/>
    <n v="-559"/>
    <n v="-1.2301124485619347E-2"/>
    <n v="229"/>
  </r>
  <r>
    <x v="65"/>
    <s v="S015"/>
    <s v="C03"/>
    <x v="14"/>
    <x v="2"/>
    <x v="14"/>
    <x v="4"/>
    <n v="36764"/>
    <n v="36399"/>
    <n v="101"/>
    <n v="365"/>
    <n v="1.0027748015055359E-2"/>
    <n v="364"/>
  </r>
  <r>
    <x v="65"/>
    <s v="S016"/>
    <s v="C05"/>
    <x v="15"/>
    <x v="3"/>
    <x v="15"/>
    <x v="3"/>
    <n v="35600"/>
    <n v="32216"/>
    <n v="100"/>
    <n v="3384"/>
    <n v="0.10504097342935187"/>
    <n v="356"/>
  </r>
  <r>
    <x v="65"/>
    <s v="S017"/>
    <s v="C01"/>
    <x v="16"/>
    <x v="3"/>
    <x v="16"/>
    <x v="0"/>
    <n v="60760"/>
    <n v="57706"/>
    <n v="124"/>
    <n v="3054"/>
    <n v="5.2923439503691126E-2"/>
    <n v="490"/>
  </r>
  <r>
    <x v="65"/>
    <s v="S018"/>
    <s v="C05"/>
    <x v="17"/>
    <x v="4"/>
    <x v="17"/>
    <x v="3"/>
    <n v="102912"/>
    <n v="106473"/>
    <n v="201"/>
    <n v="-3561"/>
    <n v="-3.3445098757431464E-2"/>
    <n v="512"/>
  </r>
  <r>
    <x v="65"/>
    <s v="S019"/>
    <s v="C03"/>
    <x v="18"/>
    <x v="5"/>
    <x v="18"/>
    <x v="4"/>
    <n v="43250"/>
    <n v="46203"/>
    <n v="125"/>
    <n v="-2953"/>
    <n v="-6.3913598684068137E-2"/>
    <n v="346"/>
  </r>
  <r>
    <x v="65"/>
    <s v="S020"/>
    <s v="C04"/>
    <x v="19"/>
    <x v="6"/>
    <x v="19"/>
    <x v="2"/>
    <n v="32780"/>
    <n v="32624"/>
    <n v="149"/>
    <n v="156"/>
    <n v="4.7817557626287392E-3"/>
    <n v="220"/>
  </r>
  <r>
    <x v="66"/>
    <s v="S001"/>
    <s v="C03"/>
    <x v="0"/>
    <x v="0"/>
    <x v="0"/>
    <x v="4"/>
    <n v="76959"/>
    <n v="87667"/>
    <n v="153"/>
    <n v="-10708"/>
    <n v="-0.12214402226607503"/>
    <n v="503"/>
  </r>
  <r>
    <x v="66"/>
    <s v="S002"/>
    <s v="C02"/>
    <x v="1"/>
    <x v="0"/>
    <x v="1"/>
    <x v="1"/>
    <n v="69696"/>
    <n v="70076"/>
    <n v="198"/>
    <n v="-380"/>
    <n v="-5.4226839431474397E-3"/>
    <n v="352"/>
  </r>
  <r>
    <x v="66"/>
    <s v="S003"/>
    <s v="C05"/>
    <x v="2"/>
    <x v="0"/>
    <x v="2"/>
    <x v="3"/>
    <n v="70047"/>
    <n v="77908"/>
    <n v="181"/>
    <n v="-7861"/>
    <n v="-0.1009010627920111"/>
    <n v="387"/>
  </r>
  <r>
    <x v="66"/>
    <s v="S004"/>
    <s v="C01"/>
    <x v="3"/>
    <x v="0"/>
    <x v="3"/>
    <x v="0"/>
    <n v="14410"/>
    <n v="14206"/>
    <n v="55"/>
    <n v="204"/>
    <n v="1.4360129522736872E-2"/>
    <n v="262"/>
  </r>
  <r>
    <x v="66"/>
    <s v="S005"/>
    <s v="C03"/>
    <x v="4"/>
    <x v="0"/>
    <x v="4"/>
    <x v="4"/>
    <n v="59624"/>
    <n v="58004"/>
    <n v="116"/>
    <n v="1620"/>
    <n v="2.7929108337356044E-2"/>
    <n v="514"/>
  </r>
  <r>
    <x v="66"/>
    <s v="S006"/>
    <s v="C03"/>
    <x v="5"/>
    <x v="1"/>
    <x v="5"/>
    <x v="4"/>
    <n v="96390"/>
    <n v="96280"/>
    <n v="189"/>
    <n v="110"/>
    <n v="1.142501038637308E-3"/>
    <n v="510"/>
  </r>
  <r>
    <x v="66"/>
    <s v="S007"/>
    <s v="C04"/>
    <x v="6"/>
    <x v="1"/>
    <x v="6"/>
    <x v="2"/>
    <n v="60960"/>
    <n v="62803"/>
    <n v="127"/>
    <n v="-1843"/>
    <n v="-2.9345731891788608E-2"/>
    <n v="480"/>
  </r>
  <r>
    <x v="66"/>
    <s v="S008"/>
    <s v="C04"/>
    <x v="7"/>
    <x v="1"/>
    <x v="7"/>
    <x v="2"/>
    <n v="37100"/>
    <n v="35095"/>
    <n v="140"/>
    <n v="2005"/>
    <n v="5.7130645391081349E-2"/>
    <n v="265"/>
  </r>
  <r>
    <x v="66"/>
    <s v="S009"/>
    <s v="C01"/>
    <x v="8"/>
    <x v="1"/>
    <x v="8"/>
    <x v="0"/>
    <n v="20100"/>
    <n v="21416"/>
    <n v="67"/>
    <n v="-1316"/>
    <n v="-6.1449383638401196E-2"/>
    <n v="300"/>
  </r>
  <r>
    <x v="66"/>
    <s v="S010"/>
    <s v="C01"/>
    <x v="9"/>
    <x v="1"/>
    <x v="9"/>
    <x v="0"/>
    <n v="23320"/>
    <n v="23302"/>
    <n v="88"/>
    <n v="18"/>
    <n v="7.724658827568449E-4"/>
    <n v="265"/>
  </r>
  <r>
    <x v="66"/>
    <s v="S011"/>
    <s v="C01"/>
    <x v="10"/>
    <x v="2"/>
    <x v="10"/>
    <x v="0"/>
    <n v="21522"/>
    <n v="22320"/>
    <n v="51"/>
    <n v="-798"/>
    <n v="-3.575268817204301E-2"/>
    <n v="422"/>
  </r>
  <r>
    <x v="66"/>
    <s v="S012"/>
    <s v="C01"/>
    <x v="11"/>
    <x v="2"/>
    <x v="11"/>
    <x v="0"/>
    <n v="60928"/>
    <n v="66487"/>
    <n v="136"/>
    <n v="-5559"/>
    <n v="-8.3610329838915878E-2"/>
    <n v="448"/>
  </r>
  <r>
    <x v="66"/>
    <s v="S013"/>
    <s v="C01"/>
    <x v="12"/>
    <x v="2"/>
    <x v="12"/>
    <x v="0"/>
    <n v="19154"/>
    <n v="20198"/>
    <n v="61"/>
    <n v="-1044"/>
    <n v="-5.1688285968907816E-2"/>
    <n v="314"/>
  </r>
  <r>
    <x v="66"/>
    <s v="S014"/>
    <s v="C01"/>
    <x v="13"/>
    <x v="2"/>
    <x v="13"/>
    <x v="0"/>
    <n v="76558"/>
    <n v="74823"/>
    <n v="202"/>
    <n v="1735"/>
    <n v="2.3188057148203094E-2"/>
    <n v="379"/>
  </r>
  <r>
    <x v="66"/>
    <s v="S015"/>
    <s v="C02"/>
    <x v="14"/>
    <x v="2"/>
    <x v="14"/>
    <x v="1"/>
    <n v="43442"/>
    <n v="45901"/>
    <n v="107"/>
    <n v="-2459"/>
    <n v="-5.3571817607459535E-2"/>
    <n v="406"/>
  </r>
  <r>
    <x v="66"/>
    <s v="S016"/>
    <s v="C02"/>
    <x v="15"/>
    <x v="3"/>
    <x v="15"/>
    <x v="1"/>
    <n v="45123"/>
    <n v="40933"/>
    <n v="169"/>
    <n v="4190"/>
    <n v="0.10236239708792418"/>
    <n v="267"/>
  </r>
  <r>
    <x v="66"/>
    <s v="S017"/>
    <s v="C03"/>
    <x v="16"/>
    <x v="3"/>
    <x v="16"/>
    <x v="4"/>
    <n v="49914"/>
    <n v="50752"/>
    <n v="118"/>
    <n v="-838"/>
    <n v="-1.6511664564943254E-2"/>
    <n v="423"/>
  </r>
  <r>
    <x v="66"/>
    <s v="S018"/>
    <s v="C05"/>
    <x v="17"/>
    <x v="4"/>
    <x v="17"/>
    <x v="3"/>
    <n v="47840"/>
    <n v="48376"/>
    <n v="104"/>
    <n v="-536"/>
    <n v="-1.1079874317843559E-2"/>
    <n v="460"/>
  </r>
  <r>
    <x v="66"/>
    <s v="S019"/>
    <s v="C05"/>
    <x v="18"/>
    <x v="5"/>
    <x v="18"/>
    <x v="3"/>
    <n v="38560"/>
    <n v="40464"/>
    <n v="80"/>
    <n v="-1904"/>
    <n v="-4.7054171609331751E-2"/>
    <n v="482"/>
  </r>
  <r>
    <x v="66"/>
    <s v="S020"/>
    <s v="C05"/>
    <x v="19"/>
    <x v="6"/>
    <x v="19"/>
    <x v="3"/>
    <n v="65408"/>
    <n v="69328"/>
    <n v="146"/>
    <n v="-3920"/>
    <n v="-5.6542810985460421E-2"/>
    <n v="448"/>
  </r>
  <r>
    <x v="67"/>
    <s v="S001"/>
    <s v="C05"/>
    <x v="0"/>
    <x v="0"/>
    <x v="0"/>
    <x v="3"/>
    <n v="40698"/>
    <n v="41528"/>
    <n v="114"/>
    <n v="-830"/>
    <n v="-1.9986515122327103E-2"/>
    <n v="357"/>
  </r>
  <r>
    <x v="67"/>
    <s v="S002"/>
    <s v="C02"/>
    <x v="1"/>
    <x v="0"/>
    <x v="1"/>
    <x v="1"/>
    <n v="23142"/>
    <n v="22608"/>
    <n v="57"/>
    <n v="534"/>
    <n v="2.3619957537154991E-2"/>
    <n v="406"/>
  </r>
  <r>
    <x v="67"/>
    <s v="S003"/>
    <s v="C04"/>
    <x v="2"/>
    <x v="0"/>
    <x v="2"/>
    <x v="2"/>
    <n v="26159"/>
    <n v="25528"/>
    <n v="101"/>
    <n v="631"/>
    <n v="2.4717956753368849E-2"/>
    <n v="259"/>
  </r>
  <r>
    <x v="67"/>
    <s v="S004"/>
    <s v="C01"/>
    <x v="3"/>
    <x v="0"/>
    <x v="3"/>
    <x v="0"/>
    <n v="41832"/>
    <n v="41245"/>
    <n v="168"/>
    <n v="587"/>
    <n v="1.4232028124621167E-2"/>
    <n v="249"/>
  </r>
  <r>
    <x v="67"/>
    <s v="S005"/>
    <s v="C04"/>
    <x v="4"/>
    <x v="0"/>
    <x v="4"/>
    <x v="2"/>
    <n v="31464"/>
    <n v="33727"/>
    <n v="171"/>
    <n v="-2263"/>
    <n v="-6.7097577608444273E-2"/>
    <n v="184"/>
  </r>
  <r>
    <x v="67"/>
    <s v="S006"/>
    <s v="C04"/>
    <x v="5"/>
    <x v="1"/>
    <x v="5"/>
    <x v="2"/>
    <n v="52281"/>
    <n v="47172"/>
    <n v="157"/>
    <n v="5109"/>
    <n v="0.108305774612058"/>
    <n v="333"/>
  </r>
  <r>
    <x v="67"/>
    <s v="S007"/>
    <s v="C04"/>
    <x v="6"/>
    <x v="1"/>
    <x v="6"/>
    <x v="2"/>
    <n v="52865"/>
    <n v="50634"/>
    <n v="109"/>
    <n v="2231"/>
    <n v="4.4061302681992334E-2"/>
    <n v="485"/>
  </r>
  <r>
    <x v="67"/>
    <s v="S008"/>
    <s v="C01"/>
    <x v="7"/>
    <x v="1"/>
    <x v="7"/>
    <x v="0"/>
    <n v="64925"/>
    <n v="61493"/>
    <n v="175"/>
    <n v="3432"/>
    <n v="5.5811230546566275E-2"/>
    <n v="371"/>
  </r>
  <r>
    <x v="67"/>
    <s v="S009"/>
    <s v="C05"/>
    <x v="8"/>
    <x v="1"/>
    <x v="8"/>
    <x v="3"/>
    <n v="55772"/>
    <n v="53679"/>
    <n v="146"/>
    <n v="2093"/>
    <n v="3.8991039326365988E-2"/>
    <n v="382"/>
  </r>
  <r>
    <x v="67"/>
    <s v="S010"/>
    <s v="C04"/>
    <x v="9"/>
    <x v="1"/>
    <x v="9"/>
    <x v="2"/>
    <n v="38252"/>
    <n v="36941"/>
    <n v="131"/>
    <n v="1311"/>
    <n v="3.5489023036734249E-2"/>
    <n v="292"/>
  </r>
  <r>
    <x v="67"/>
    <s v="S011"/>
    <s v="C04"/>
    <x v="10"/>
    <x v="2"/>
    <x v="10"/>
    <x v="2"/>
    <n v="58890"/>
    <n v="60606"/>
    <n v="195"/>
    <n v="-1716"/>
    <n v="-2.8314028314028315E-2"/>
    <n v="302"/>
  </r>
  <r>
    <x v="67"/>
    <s v="S012"/>
    <s v="C05"/>
    <x v="11"/>
    <x v="2"/>
    <x v="11"/>
    <x v="3"/>
    <n v="67628"/>
    <n v="65678"/>
    <n v="212"/>
    <n v="1950"/>
    <n v="2.969030725661561E-2"/>
    <n v="319"/>
  </r>
  <r>
    <x v="67"/>
    <s v="S013"/>
    <s v="C05"/>
    <x v="12"/>
    <x v="2"/>
    <x v="12"/>
    <x v="3"/>
    <n v="40273"/>
    <n v="38138"/>
    <n v="103"/>
    <n v="2135"/>
    <n v="5.5980911426923276E-2"/>
    <n v="391"/>
  </r>
  <r>
    <x v="67"/>
    <s v="S014"/>
    <s v="C01"/>
    <x v="13"/>
    <x v="2"/>
    <x v="13"/>
    <x v="0"/>
    <n v="20169"/>
    <n v="19612"/>
    <n v="81"/>
    <n v="557"/>
    <n v="2.8400978992453599E-2"/>
    <n v="249"/>
  </r>
  <r>
    <x v="67"/>
    <s v="S015"/>
    <s v="C04"/>
    <x v="14"/>
    <x v="2"/>
    <x v="14"/>
    <x v="2"/>
    <n v="79323"/>
    <n v="76787"/>
    <n v="193"/>
    <n v="2536"/>
    <n v="3.3026423743602436E-2"/>
    <n v="411"/>
  </r>
  <r>
    <x v="67"/>
    <s v="S016"/>
    <s v="C05"/>
    <x v="15"/>
    <x v="3"/>
    <x v="15"/>
    <x v="3"/>
    <n v="44160"/>
    <n v="43283"/>
    <n v="160"/>
    <n v="877"/>
    <n v="2.026199662685119E-2"/>
    <n v="276"/>
  </r>
  <r>
    <x v="67"/>
    <s v="S017"/>
    <s v="C02"/>
    <x v="16"/>
    <x v="3"/>
    <x v="16"/>
    <x v="1"/>
    <n v="21291"/>
    <n v="19279"/>
    <n v="47"/>
    <n v="2012"/>
    <n v="0.10436225945329114"/>
    <n v="453"/>
  </r>
  <r>
    <x v="67"/>
    <s v="S018"/>
    <s v="C01"/>
    <x v="17"/>
    <x v="4"/>
    <x v="17"/>
    <x v="0"/>
    <n v="33919"/>
    <n v="31587"/>
    <n v="107"/>
    <n v="2332"/>
    <n v="7.3827840567322001E-2"/>
    <n v="317"/>
  </r>
  <r>
    <x v="67"/>
    <s v="S019"/>
    <s v="C04"/>
    <x v="18"/>
    <x v="5"/>
    <x v="18"/>
    <x v="2"/>
    <n v="11063"/>
    <n v="10206"/>
    <n v="37"/>
    <n v="857"/>
    <n v="8.3970213599843233E-2"/>
    <n v="299"/>
  </r>
  <r>
    <x v="67"/>
    <s v="S020"/>
    <s v="C01"/>
    <x v="19"/>
    <x v="6"/>
    <x v="19"/>
    <x v="0"/>
    <n v="46851"/>
    <n v="46170"/>
    <n v="161"/>
    <n v="681"/>
    <n v="1.47498375568551E-2"/>
    <n v="291"/>
  </r>
  <r>
    <x v="68"/>
    <s v="S001"/>
    <s v="C03"/>
    <x v="0"/>
    <x v="0"/>
    <x v="0"/>
    <x v="4"/>
    <n v="59940"/>
    <n v="60894"/>
    <n v="162"/>
    <n v="-954"/>
    <n v="-1.5666568134791604E-2"/>
    <n v="370"/>
  </r>
  <r>
    <x v="68"/>
    <s v="S002"/>
    <s v="C01"/>
    <x v="1"/>
    <x v="0"/>
    <x v="1"/>
    <x v="0"/>
    <n v="26299"/>
    <n v="29215"/>
    <n v="119"/>
    <n v="-2916"/>
    <n v="-9.9811740544240968E-2"/>
    <n v="221"/>
  </r>
  <r>
    <x v="68"/>
    <s v="S003"/>
    <s v="C02"/>
    <x v="2"/>
    <x v="0"/>
    <x v="2"/>
    <x v="1"/>
    <n v="15484"/>
    <n v="16938"/>
    <n v="49"/>
    <n v="-1454"/>
    <n v="-8.5842484354705401E-2"/>
    <n v="316"/>
  </r>
  <r>
    <x v="68"/>
    <s v="S004"/>
    <s v="C01"/>
    <x v="3"/>
    <x v="0"/>
    <x v="3"/>
    <x v="0"/>
    <n v="73080"/>
    <n v="69089"/>
    <n v="174"/>
    <n v="3991"/>
    <n v="5.776606985193012E-2"/>
    <n v="420"/>
  </r>
  <r>
    <x v="68"/>
    <s v="S005"/>
    <s v="C03"/>
    <x v="4"/>
    <x v="0"/>
    <x v="4"/>
    <x v="4"/>
    <n v="24552"/>
    <n v="22845"/>
    <n v="132"/>
    <n v="1707"/>
    <n v="7.4720945502298089E-2"/>
    <n v="186"/>
  </r>
  <r>
    <x v="68"/>
    <s v="S006"/>
    <s v="C02"/>
    <x v="5"/>
    <x v="1"/>
    <x v="5"/>
    <x v="1"/>
    <n v="53998"/>
    <n v="51934"/>
    <n v="133"/>
    <n v="2064"/>
    <n v="3.9742750413986984E-2"/>
    <n v="406"/>
  </r>
  <r>
    <x v="68"/>
    <s v="S007"/>
    <s v="C01"/>
    <x v="6"/>
    <x v="1"/>
    <x v="6"/>
    <x v="0"/>
    <n v="35275"/>
    <n v="38232"/>
    <n v="85"/>
    <n v="-2957"/>
    <n v="-7.7343586524377492E-2"/>
    <n v="415"/>
  </r>
  <r>
    <x v="68"/>
    <s v="S008"/>
    <s v="C01"/>
    <x v="7"/>
    <x v="1"/>
    <x v="7"/>
    <x v="0"/>
    <n v="87360"/>
    <n v="100073"/>
    <n v="168"/>
    <n v="-12713"/>
    <n v="-0.12703726279815736"/>
    <n v="520"/>
  </r>
  <r>
    <x v="68"/>
    <s v="S009"/>
    <s v="C04"/>
    <x v="8"/>
    <x v="1"/>
    <x v="8"/>
    <x v="2"/>
    <n v="45426"/>
    <n v="51515"/>
    <n v="134"/>
    <n v="-6089"/>
    <n v="-0.11819858293700863"/>
    <n v="339"/>
  </r>
  <r>
    <x v="68"/>
    <s v="S010"/>
    <s v="C02"/>
    <x v="9"/>
    <x v="1"/>
    <x v="9"/>
    <x v="1"/>
    <n v="39396"/>
    <n v="42791"/>
    <n v="196"/>
    <n v="-3395"/>
    <n v="-7.9339113364959926E-2"/>
    <n v="201"/>
  </r>
  <r>
    <x v="68"/>
    <s v="S011"/>
    <s v="C05"/>
    <x v="10"/>
    <x v="2"/>
    <x v="10"/>
    <x v="3"/>
    <n v="40656"/>
    <n v="39165"/>
    <n v="168"/>
    <n v="1491"/>
    <n v="3.8069705093833783E-2"/>
    <n v="242"/>
  </r>
  <r>
    <x v="68"/>
    <s v="S012"/>
    <s v="C03"/>
    <x v="11"/>
    <x v="2"/>
    <x v="11"/>
    <x v="4"/>
    <n v="30940"/>
    <n v="34710"/>
    <n v="85"/>
    <n v="-3770"/>
    <n v="-0.10861423220973783"/>
    <n v="364"/>
  </r>
  <r>
    <x v="68"/>
    <s v="S013"/>
    <s v="C02"/>
    <x v="12"/>
    <x v="2"/>
    <x v="12"/>
    <x v="1"/>
    <n v="18900"/>
    <n v="20000"/>
    <n v="63"/>
    <n v="-1100"/>
    <n v="-5.5E-2"/>
    <n v="300"/>
  </r>
  <r>
    <x v="68"/>
    <s v="S014"/>
    <s v="C03"/>
    <x v="13"/>
    <x v="2"/>
    <x v="13"/>
    <x v="4"/>
    <n v="10070"/>
    <n v="11062"/>
    <n v="38"/>
    <n v="-992"/>
    <n v="-8.9676369553426144E-2"/>
    <n v="265"/>
  </r>
  <r>
    <x v="68"/>
    <s v="S015"/>
    <s v="C05"/>
    <x v="14"/>
    <x v="2"/>
    <x v="14"/>
    <x v="3"/>
    <n v="24830"/>
    <n v="27245"/>
    <n v="65"/>
    <n v="-2415"/>
    <n v="-8.8640117452743625E-2"/>
    <n v="382"/>
  </r>
  <r>
    <x v="68"/>
    <s v="S016"/>
    <s v="C01"/>
    <x v="15"/>
    <x v="3"/>
    <x v="15"/>
    <x v="0"/>
    <n v="21465"/>
    <n v="23522"/>
    <n v="45"/>
    <n v="-2057"/>
    <n v="-8.7450046764730893E-2"/>
    <n v="477"/>
  </r>
  <r>
    <x v="68"/>
    <s v="S017"/>
    <s v="C04"/>
    <x v="16"/>
    <x v="3"/>
    <x v="16"/>
    <x v="2"/>
    <n v="102335"/>
    <n v="96066"/>
    <n v="211"/>
    <n v="6269"/>
    <n v="6.5257218995274077E-2"/>
    <n v="485"/>
  </r>
  <r>
    <x v="68"/>
    <s v="S018"/>
    <s v="C01"/>
    <x v="17"/>
    <x v="4"/>
    <x v="17"/>
    <x v="0"/>
    <n v="25480"/>
    <n v="26116"/>
    <n v="98"/>
    <n v="-636"/>
    <n v="-2.4352887119007505E-2"/>
    <n v="260"/>
  </r>
  <r>
    <x v="68"/>
    <s v="S019"/>
    <s v="C05"/>
    <x v="18"/>
    <x v="5"/>
    <x v="18"/>
    <x v="3"/>
    <n v="60500"/>
    <n v="55358"/>
    <n v="121"/>
    <n v="5142"/>
    <n v="9.2886303695942779E-2"/>
    <n v="500"/>
  </r>
  <r>
    <x v="68"/>
    <s v="S020"/>
    <s v="C03"/>
    <x v="19"/>
    <x v="6"/>
    <x v="19"/>
    <x v="4"/>
    <n v="51600"/>
    <n v="55487"/>
    <n v="200"/>
    <n v="-3887"/>
    <n v="-7.0052444716780501E-2"/>
    <n v="258"/>
  </r>
  <r>
    <x v="69"/>
    <s v="S001"/>
    <s v="C01"/>
    <x v="0"/>
    <x v="0"/>
    <x v="0"/>
    <x v="0"/>
    <n v="28743"/>
    <n v="27540"/>
    <n v="67"/>
    <n v="1203"/>
    <n v="4.3681917211328976E-2"/>
    <n v="429"/>
  </r>
  <r>
    <x v="69"/>
    <s v="S002"/>
    <s v="C05"/>
    <x v="1"/>
    <x v="0"/>
    <x v="1"/>
    <x v="3"/>
    <n v="71400"/>
    <n v="78638"/>
    <n v="200"/>
    <n v="-7238"/>
    <n v="-9.2042015310664055E-2"/>
    <n v="357"/>
  </r>
  <r>
    <x v="69"/>
    <s v="S003"/>
    <s v="C04"/>
    <x v="2"/>
    <x v="0"/>
    <x v="2"/>
    <x v="2"/>
    <n v="15960"/>
    <n v="17114"/>
    <n v="84"/>
    <n v="-1154"/>
    <n v="-6.7430174126446182E-2"/>
    <n v="190"/>
  </r>
  <r>
    <x v="69"/>
    <s v="S004"/>
    <s v="C03"/>
    <x v="3"/>
    <x v="0"/>
    <x v="3"/>
    <x v="4"/>
    <n v="54560"/>
    <n v="52523"/>
    <n v="220"/>
    <n v="2037"/>
    <n v="3.8783009348285512E-2"/>
    <n v="248"/>
  </r>
  <r>
    <x v="69"/>
    <s v="S005"/>
    <s v="C01"/>
    <x v="4"/>
    <x v="0"/>
    <x v="4"/>
    <x v="0"/>
    <n v="64236"/>
    <n v="66789"/>
    <n v="159"/>
    <n v="-2553"/>
    <n v="-3.8224857386695413E-2"/>
    <n v="404"/>
  </r>
  <r>
    <x v="69"/>
    <s v="S006"/>
    <s v="C05"/>
    <x v="5"/>
    <x v="1"/>
    <x v="5"/>
    <x v="3"/>
    <n v="91590"/>
    <n v="86776"/>
    <n v="213"/>
    <n v="4814"/>
    <n v="5.5476168525859682E-2"/>
    <n v="430"/>
  </r>
  <r>
    <x v="69"/>
    <s v="S007"/>
    <s v="C02"/>
    <x v="6"/>
    <x v="1"/>
    <x v="6"/>
    <x v="1"/>
    <n v="62292"/>
    <n v="61103"/>
    <n v="174"/>
    <n v="1189"/>
    <n v="1.9458946369245372E-2"/>
    <n v="358"/>
  </r>
  <r>
    <x v="69"/>
    <s v="S008"/>
    <s v="C04"/>
    <x v="7"/>
    <x v="1"/>
    <x v="7"/>
    <x v="2"/>
    <n v="51030"/>
    <n v="57593"/>
    <n v="105"/>
    <n v="-6563"/>
    <n v="-0.11395482089837307"/>
    <n v="486"/>
  </r>
  <r>
    <x v="69"/>
    <s v="S009"/>
    <s v="C05"/>
    <x v="8"/>
    <x v="1"/>
    <x v="8"/>
    <x v="3"/>
    <n v="16340"/>
    <n v="16875"/>
    <n v="76"/>
    <n v="-535"/>
    <n v="-3.1703703703703706E-2"/>
    <n v="215"/>
  </r>
  <r>
    <x v="69"/>
    <s v="S010"/>
    <s v="C04"/>
    <x v="9"/>
    <x v="1"/>
    <x v="9"/>
    <x v="2"/>
    <n v="34540"/>
    <n v="35762"/>
    <n v="110"/>
    <n v="-1222"/>
    <n v="-3.4170348414518201E-2"/>
    <n v="314"/>
  </r>
  <r>
    <x v="69"/>
    <s v="S011"/>
    <s v="C04"/>
    <x v="10"/>
    <x v="2"/>
    <x v="10"/>
    <x v="2"/>
    <n v="17710"/>
    <n v="18179"/>
    <n v="35"/>
    <n v="-469"/>
    <n v="-2.5798998844820946E-2"/>
    <n v="506"/>
  </r>
  <r>
    <x v="69"/>
    <s v="S012"/>
    <s v="C02"/>
    <x v="11"/>
    <x v="2"/>
    <x v="11"/>
    <x v="1"/>
    <n v="19383"/>
    <n v="21596"/>
    <n v="39"/>
    <n v="-2213"/>
    <n v="-0.10247268012594925"/>
    <n v="497"/>
  </r>
  <r>
    <x v="69"/>
    <s v="S013"/>
    <s v="C05"/>
    <x v="12"/>
    <x v="2"/>
    <x v="12"/>
    <x v="3"/>
    <n v="33024"/>
    <n v="35674"/>
    <n v="96"/>
    <n v="-2650"/>
    <n v="-7.4283792117508546E-2"/>
    <n v="344"/>
  </r>
  <r>
    <x v="69"/>
    <s v="S014"/>
    <s v="C05"/>
    <x v="13"/>
    <x v="2"/>
    <x v="13"/>
    <x v="3"/>
    <n v="37118"/>
    <n v="38269"/>
    <n v="134"/>
    <n v="-1151"/>
    <n v="-3.0076563275758448E-2"/>
    <n v="277"/>
  </r>
  <r>
    <x v="69"/>
    <s v="S015"/>
    <s v="C04"/>
    <x v="14"/>
    <x v="2"/>
    <x v="14"/>
    <x v="2"/>
    <n v="45408"/>
    <n v="47826"/>
    <n v="176"/>
    <n v="-2418"/>
    <n v="-5.0558273742315897E-2"/>
    <n v="258"/>
  </r>
  <r>
    <x v="69"/>
    <s v="S016"/>
    <s v="C03"/>
    <x v="15"/>
    <x v="3"/>
    <x v="15"/>
    <x v="4"/>
    <n v="70612"/>
    <n v="69235"/>
    <n v="139"/>
    <n v="1377"/>
    <n v="1.9888784574276015E-2"/>
    <n v="508"/>
  </r>
  <r>
    <x v="69"/>
    <s v="S017"/>
    <s v="C01"/>
    <x v="16"/>
    <x v="3"/>
    <x v="16"/>
    <x v="0"/>
    <n v="86856"/>
    <n v="79618"/>
    <n v="168"/>
    <n v="7238"/>
    <n v="9.0909090909090912E-2"/>
    <n v="517"/>
  </r>
  <r>
    <x v="69"/>
    <s v="S018"/>
    <s v="C02"/>
    <x v="17"/>
    <x v="4"/>
    <x v="17"/>
    <x v="1"/>
    <n v="15680"/>
    <n v="14904"/>
    <n v="80"/>
    <n v="776"/>
    <n v="5.2066559312936127E-2"/>
    <n v="196"/>
  </r>
  <r>
    <x v="69"/>
    <s v="S019"/>
    <s v="C04"/>
    <x v="18"/>
    <x v="5"/>
    <x v="18"/>
    <x v="2"/>
    <n v="19320"/>
    <n v="17541"/>
    <n v="84"/>
    <n v="1779"/>
    <n v="0.10141953138361554"/>
    <n v="230"/>
  </r>
  <r>
    <x v="69"/>
    <s v="S020"/>
    <s v="C04"/>
    <x v="19"/>
    <x v="6"/>
    <x v="19"/>
    <x v="2"/>
    <n v="87290"/>
    <n v="90035"/>
    <n v="203"/>
    <n v="-2745"/>
    <n v="-3.0488143499750098E-2"/>
    <n v="430"/>
  </r>
  <r>
    <x v="70"/>
    <s v="S001"/>
    <s v="C05"/>
    <x v="0"/>
    <x v="0"/>
    <x v="0"/>
    <x v="3"/>
    <n v="20500"/>
    <n v="20327"/>
    <n v="100"/>
    <n v="173"/>
    <n v="8.5108476410685301E-3"/>
    <n v="205"/>
  </r>
  <r>
    <x v="70"/>
    <s v="S002"/>
    <s v="C05"/>
    <x v="1"/>
    <x v="0"/>
    <x v="1"/>
    <x v="3"/>
    <n v="47088"/>
    <n v="42533"/>
    <n v="218"/>
    <n v="4555"/>
    <n v="0.10709331577833682"/>
    <n v="216"/>
  </r>
  <r>
    <x v="70"/>
    <s v="S003"/>
    <s v="C02"/>
    <x v="2"/>
    <x v="0"/>
    <x v="2"/>
    <x v="1"/>
    <n v="87062"/>
    <n v="98562"/>
    <n v="202"/>
    <n v="-11500"/>
    <n v="-0.11667782715448144"/>
    <n v="431"/>
  </r>
  <r>
    <x v="70"/>
    <s v="S004"/>
    <s v="C01"/>
    <x v="3"/>
    <x v="0"/>
    <x v="3"/>
    <x v="0"/>
    <n v="78078"/>
    <n v="71455"/>
    <n v="154"/>
    <n v="6623"/>
    <n v="9.2687705548946883E-2"/>
    <n v="507"/>
  </r>
  <r>
    <x v="70"/>
    <s v="S005"/>
    <s v="C05"/>
    <x v="4"/>
    <x v="0"/>
    <x v="4"/>
    <x v="3"/>
    <n v="51888"/>
    <n v="57002"/>
    <n v="141"/>
    <n v="-5114"/>
    <n v="-8.9716150310515427E-2"/>
    <n v="368"/>
  </r>
  <r>
    <x v="70"/>
    <s v="S006"/>
    <s v="C01"/>
    <x v="5"/>
    <x v="1"/>
    <x v="5"/>
    <x v="0"/>
    <n v="60672"/>
    <n v="62628"/>
    <n v="192"/>
    <n v="-1956"/>
    <n v="-3.1232036788656832E-2"/>
    <n v="316"/>
  </r>
  <r>
    <x v="70"/>
    <s v="S007"/>
    <s v="C01"/>
    <x v="6"/>
    <x v="1"/>
    <x v="6"/>
    <x v="0"/>
    <n v="24528"/>
    <n v="27867"/>
    <n v="112"/>
    <n v="-3339"/>
    <n v="-0.11981914091936699"/>
    <n v="219"/>
  </r>
  <r>
    <x v="70"/>
    <s v="S008"/>
    <s v="C05"/>
    <x v="7"/>
    <x v="1"/>
    <x v="7"/>
    <x v="3"/>
    <n v="13629"/>
    <n v="14736"/>
    <n v="59"/>
    <n v="-1107"/>
    <n v="-7.5122149837133556E-2"/>
    <n v="231"/>
  </r>
  <r>
    <x v="70"/>
    <s v="S009"/>
    <s v="C05"/>
    <x v="8"/>
    <x v="1"/>
    <x v="8"/>
    <x v="3"/>
    <n v="36841"/>
    <n v="34935"/>
    <n v="133"/>
    <n v="1906"/>
    <n v="5.4558465722055242E-2"/>
    <n v="277"/>
  </r>
  <r>
    <x v="70"/>
    <s v="S010"/>
    <s v="C02"/>
    <x v="9"/>
    <x v="1"/>
    <x v="9"/>
    <x v="1"/>
    <n v="90000"/>
    <n v="102318"/>
    <n v="180"/>
    <n v="-12318"/>
    <n v="-0.12038937430364159"/>
    <n v="500"/>
  </r>
  <r>
    <x v="70"/>
    <s v="S011"/>
    <s v="C05"/>
    <x v="10"/>
    <x v="2"/>
    <x v="10"/>
    <x v="3"/>
    <n v="69384"/>
    <n v="75387"/>
    <n v="177"/>
    <n v="-6003"/>
    <n v="-7.9629113772931678E-2"/>
    <n v="392"/>
  </r>
  <r>
    <x v="70"/>
    <s v="S012"/>
    <s v="C05"/>
    <x v="11"/>
    <x v="2"/>
    <x v="11"/>
    <x v="3"/>
    <n v="52164"/>
    <n v="56109"/>
    <n v="126"/>
    <n v="-3945"/>
    <n v="-7.0309576003849655E-2"/>
    <n v="414"/>
  </r>
  <r>
    <x v="70"/>
    <s v="S013"/>
    <s v="C04"/>
    <x v="12"/>
    <x v="2"/>
    <x v="12"/>
    <x v="2"/>
    <n v="16165"/>
    <n v="17751"/>
    <n v="61"/>
    <n v="-1586"/>
    <n v="-8.9347079037800689E-2"/>
    <n v="265"/>
  </r>
  <r>
    <x v="70"/>
    <s v="S014"/>
    <s v="C05"/>
    <x v="13"/>
    <x v="2"/>
    <x v="13"/>
    <x v="3"/>
    <n v="60006"/>
    <n v="59068"/>
    <n v="137"/>
    <n v="938"/>
    <n v="1.5880002708742465E-2"/>
    <n v="438"/>
  </r>
  <r>
    <x v="70"/>
    <s v="S015"/>
    <s v="C02"/>
    <x v="14"/>
    <x v="2"/>
    <x v="14"/>
    <x v="1"/>
    <n v="83277"/>
    <n v="84172"/>
    <n v="171"/>
    <n v="-895"/>
    <n v="-1.0632989592738678E-2"/>
    <n v="487"/>
  </r>
  <r>
    <x v="70"/>
    <s v="S016"/>
    <s v="C03"/>
    <x v="15"/>
    <x v="3"/>
    <x v="15"/>
    <x v="4"/>
    <n v="53015"/>
    <n v="60854"/>
    <n v="115"/>
    <n v="-7839"/>
    <n v="-0.12881651165083643"/>
    <n v="461"/>
  </r>
  <r>
    <x v="70"/>
    <s v="S017"/>
    <s v="C03"/>
    <x v="16"/>
    <x v="3"/>
    <x v="16"/>
    <x v="4"/>
    <n v="50830"/>
    <n v="55457"/>
    <n v="130"/>
    <n v="-4627"/>
    <n v="-8.3434011937176547E-2"/>
    <n v="391"/>
  </r>
  <r>
    <x v="70"/>
    <s v="S018"/>
    <s v="C04"/>
    <x v="17"/>
    <x v="4"/>
    <x v="17"/>
    <x v="2"/>
    <n v="75900"/>
    <n v="79854"/>
    <n v="220"/>
    <n v="-3954"/>
    <n v="-4.9515365542114359E-2"/>
    <n v="345"/>
  </r>
  <r>
    <x v="70"/>
    <s v="S019"/>
    <s v="C05"/>
    <x v="18"/>
    <x v="5"/>
    <x v="18"/>
    <x v="3"/>
    <n v="50286"/>
    <n v="49972"/>
    <n v="174"/>
    <n v="314"/>
    <n v="6.2835187705114863E-3"/>
    <n v="289"/>
  </r>
  <r>
    <x v="70"/>
    <s v="S020"/>
    <s v="C05"/>
    <x v="19"/>
    <x v="6"/>
    <x v="19"/>
    <x v="3"/>
    <n v="36400"/>
    <n v="41511"/>
    <n v="100"/>
    <n v="-5111"/>
    <n v="-0.12312399123123992"/>
    <n v="364"/>
  </r>
  <r>
    <x v="71"/>
    <s v="S001"/>
    <s v="C04"/>
    <x v="0"/>
    <x v="0"/>
    <x v="0"/>
    <x v="2"/>
    <n v="24480"/>
    <n v="26477"/>
    <n v="136"/>
    <n v="-1997"/>
    <n v="-7.5423952864750538E-2"/>
    <n v="180"/>
  </r>
  <r>
    <x v="71"/>
    <s v="S002"/>
    <s v="C03"/>
    <x v="1"/>
    <x v="0"/>
    <x v="1"/>
    <x v="4"/>
    <n v="35156"/>
    <n v="36189"/>
    <n v="187"/>
    <n v="-1033"/>
    <n v="-2.8544585371245407E-2"/>
    <n v="188"/>
  </r>
  <r>
    <x v="71"/>
    <s v="S003"/>
    <s v="C03"/>
    <x v="2"/>
    <x v="0"/>
    <x v="2"/>
    <x v="4"/>
    <n v="11988"/>
    <n v="13739"/>
    <n v="36"/>
    <n v="-1751"/>
    <n v="-0.1274474124754349"/>
    <n v="333"/>
  </r>
  <r>
    <x v="71"/>
    <s v="S004"/>
    <s v="C02"/>
    <x v="3"/>
    <x v="0"/>
    <x v="3"/>
    <x v="1"/>
    <n v="21965"/>
    <n v="24005"/>
    <n v="115"/>
    <n v="-2040"/>
    <n v="-8.4982295355134352E-2"/>
    <n v="191"/>
  </r>
  <r>
    <x v="71"/>
    <s v="S005"/>
    <s v="C03"/>
    <x v="4"/>
    <x v="0"/>
    <x v="4"/>
    <x v="4"/>
    <n v="77616"/>
    <n v="80649"/>
    <n v="176"/>
    <n v="-3033"/>
    <n v="-3.7607409887289368E-2"/>
    <n v="441"/>
  </r>
  <r>
    <x v="71"/>
    <s v="S006"/>
    <s v="C05"/>
    <x v="5"/>
    <x v="1"/>
    <x v="5"/>
    <x v="3"/>
    <n v="16872"/>
    <n v="15343"/>
    <n v="74"/>
    <n v="1529"/>
    <n v="9.9654565599947856E-2"/>
    <n v="228"/>
  </r>
  <r>
    <x v="71"/>
    <s v="S007"/>
    <s v="C03"/>
    <x v="6"/>
    <x v="1"/>
    <x v="6"/>
    <x v="4"/>
    <n v="18500"/>
    <n v="17875"/>
    <n v="74"/>
    <n v="625"/>
    <n v="3.4965034965034968E-2"/>
    <n v="250"/>
  </r>
  <r>
    <x v="71"/>
    <s v="S008"/>
    <s v="C05"/>
    <x v="7"/>
    <x v="1"/>
    <x v="7"/>
    <x v="3"/>
    <n v="29302"/>
    <n v="28248"/>
    <n v="98"/>
    <n v="1054"/>
    <n v="3.7312376097422828E-2"/>
    <n v="299"/>
  </r>
  <r>
    <x v="71"/>
    <s v="S009"/>
    <s v="C03"/>
    <x v="8"/>
    <x v="1"/>
    <x v="8"/>
    <x v="4"/>
    <n v="27376"/>
    <n v="27374"/>
    <n v="58"/>
    <n v="2"/>
    <n v="7.3062029663184045E-5"/>
    <n v="472"/>
  </r>
  <r>
    <x v="71"/>
    <s v="S010"/>
    <s v="C02"/>
    <x v="9"/>
    <x v="1"/>
    <x v="9"/>
    <x v="1"/>
    <n v="18684"/>
    <n v="20519"/>
    <n v="54"/>
    <n v="-1835"/>
    <n v="-8.9429309420537062E-2"/>
    <n v="346"/>
  </r>
  <r>
    <x v="71"/>
    <s v="S011"/>
    <s v="C02"/>
    <x v="10"/>
    <x v="2"/>
    <x v="10"/>
    <x v="1"/>
    <n v="75525"/>
    <n v="83445"/>
    <n v="159"/>
    <n v="-7920"/>
    <n v="-9.4912816825453897E-2"/>
    <n v="475"/>
  </r>
  <r>
    <x v="71"/>
    <s v="S012"/>
    <s v="C01"/>
    <x v="11"/>
    <x v="2"/>
    <x v="11"/>
    <x v="0"/>
    <n v="94996"/>
    <n v="92630"/>
    <n v="187"/>
    <n v="2366"/>
    <n v="2.5542480837741553E-2"/>
    <n v="508"/>
  </r>
  <r>
    <x v="71"/>
    <s v="S013"/>
    <s v="C05"/>
    <x v="12"/>
    <x v="2"/>
    <x v="12"/>
    <x v="3"/>
    <n v="29040"/>
    <n v="31799"/>
    <n v="132"/>
    <n v="-2759"/>
    <n v="-8.6763734708638643E-2"/>
    <n v="220"/>
  </r>
  <r>
    <x v="71"/>
    <s v="S014"/>
    <s v="C03"/>
    <x v="13"/>
    <x v="2"/>
    <x v="13"/>
    <x v="4"/>
    <n v="49848"/>
    <n v="50053"/>
    <n v="124"/>
    <n v="-205"/>
    <n v="-4.0956586018820055E-3"/>
    <n v="402"/>
  </r>
  <r>
    <x v="71"/>
    <s v="S015"/>
    <s v="C01"/>
    <x v="14"/>
    <x v="2"/>
    <x v="14"/>
    <x v="0"/>
    <n v="47802"/>
    <n v="53173"/>
    <n v="93"/>
    <n v="-5371"/>
    <n v="-0.10100991104507927"/>
    <n v="514"/>
  </r>
  <r>
    <x v="71"/>
    <s v="S016"/>
    <s v="C01"/>
    <x v="15"/>
    <x v="3"/>
    <x v="15"/>
    <x v="0"/>
    <n v="99091"/>
    <n v="98657"/>
    <n v="197"/>
    <n v="434"/>
    <n v="4.3990796395592807E-3"/>
    <n v="503"/>
  </r>
  <r>
    <x v="71"/>
    <s v="S017"/>
    <s v="C03"/>
    <x v="16"/>
    <x v="3"/>
    <x v="16"/>
    <x v="4"/>
    <n v="33969"/>
    <n v="33283"/>
    <n v="169"/>
    <n v="686"/>
    <n v="2.0611122795421086E-2"/>
    <n v="201"/>
  </r>
  <r>
    <x v="71"/>
    <s v="S018"/>
    <s v="C05"/>
    <x v="17"/>
    <x v="4"/>
    <x v="17"/>
    <x v="3"/>
    <n v="25331"/>
    <n v="25979"/>
    <n v="73"/>
    <n v="-648"/>
    <n v="-2.4943223372724123E-2"/>
    <n v="347"/>
  </r>
  <r>
    <x v="71"/>
    <s v="S019"/>
    <s v="C02"/>
    <x v="18"/>
    <x v="5"/>
    <x v="18"/>
    <x v="1"/>
    <n v="15170"/>
    <n v="16207"/>
    <n v="74"/>
    <n v="-1037"/>
    <n v="-6.3984697970012952E-2"/>
    <n v="205"/>
  </r>
  <r>
    <x v="71"/>
    <s v="S020"/>
    <s v="C04"/>
    <x v="19"/>
    <x v="6"/>
    <x v="19"/>
    <x v="2"/>
    <n v="72116"/>
    <n v="75275"/>
    <n v="149"/>
    <n v="-3159"/>
    <n v="-4.196612421122551E-2"/>
    <n v="484"/>
  </r>
  <r>
    <x v="72"/>
    <s v="S001"/>
    <s v="C01"/>
    <x v="0"/>
    <x v="0"/>
    <x v="0"/>
    <x v="0"/>
    <n v="36491"/>
    <n v="35485"/>
    <n v="91"/>
    <n v="1006"/>
    <n v="2.8350007045230378E-2"/>
    <n v="401"/>
  </r>
  <r>
    <x v="72"/>
    <s v="S002"/>
    <s v="C04"/>
    <x v="1"/>
    <x v="0"/>
    <x v="1"/>
    <x v="2"/>
    <n v="17784"/>
    <n v="17500"/>
    <n v="72"/>
    <n v="284"/>
    <n v="1.6228571428571429E-2"/>
    <n v="247"/>
  </r>
  <r>
    <x v="72"/>
    <s v="S003"/>
    <s v="C04"/>
    <x v="2"/>
    <x v="0"/>
    <x v="2"/>
    <x v="2"/>
    <n v="37105"/>
    <n v="38479"/>
    <n v="181"/>
    <n v="-1374"/>
    <n v="-3.5707788663946569E-2"/>
    <n v="205"/>
  </r>
  <r>
    <x v="72"/>
    <s v="S004"/>
    <s v="C03"/>
    <x v="3"/>
    <x v="0"/>
    <x v="3"/>
    <x v="4"/>
    <n v="21504"/>
    <n v="22051"/>
    <n v="56"/>
    <n v="-547"/>
    <n v="-2.4806131241213551E-2"/>
    <n v="384"/>
  </r>
  <r>
    <x v="72"/>
    <s v="S005"/>
    <s v="C02"/>
    <x v="4"/>
    <x v="0"/>
    <x v="4"/>
    <x v="1"/>
    <n v="29394"/>
    <n v="30564"/>
    <n v="69"/>
    <n v="-1170"/>
    <n v="-3.828032979976443E-2"/>
    <n v="426"/>
  </r>
  <r>
    <x v="72"/>
    <s v="S006"/>
    <s v="C04"/>
    <x v="5"/>
    <x v="1"/>
    <x v="5"/>
    <x v="2"/>
    <n v="69768"/>
    <n v="72756"/>
    <n v="136"/>
    <n v="-2988"/>
    <n v="-4.1068777832756059E-2"/>
    <n v="513"/>
  </r>
  <r>
    <x v="72"/>
    <s v="S007"/>
    <s v="C05"/>
    <x v="6"/>
    <x v="1"/>
    <x v="6"/>
    <x v="3"/>
    <n v="86016"/>
    <n v="82709"/>
    <n v="192"/>
    <n v="3307"/>
    <n v="3.9983556807602558E-2"/>
    <n v="448"/>
  </r>
  <r>
    <x v="72"/>
    <s v="S008"/>
    <s v="C01"/>
    <x v="7"/>
    <x v="1"/>
    <x v="7"/>
    <x v="0"/>
    <n v="41200"/>
    <n v="40411"/>
    <n v="103"/>
    <n v="789"/>
    <n v="1.952438692435228E-2"/>
    <n v="400"/>
  </r>
  <r>
    <x v="72"/>
    <s v="S009"/>
    <s v="C05"/>
    <x v="8"/>
    <x v="1"/>
    <x v="8"/>
    <x v="3"/>
    <n v="13509"/>
    <n v="14426"/>
    <n v="57"/>
    <n v="-917"/>
    <n v="-6.3565784001109113E-2"/>
    <n v="237"/>
  </r>
  <r>
    <x v="72"/>
    <s v="S010"/>
    <s v="C04"/>
    <x v="9"/>
    <x v="1"/>
    <x v="9"/>
    <x v="2"/>
    <n v="45824"/>
    <n v="43423"/>
    <n v="128"/>
    <n v="2401"/>
    <n v="5.5293277756027909E-2"/>
    <n v="358"/>
  </r>
  <r>
    <x v="72"/>
    <s v="S011"/>
    <s v="C03"/>
    <x v="10"/>
    <x v="2"/>
    <x v="10"/>
    <x v="4"/>
    <n v="96305"/>
    <n v="87257"/>
    <n v="187"/>
    <n v="9048"/>
    <n v="0.1036936864664153"/>
    <n v="515"/>
  </r>
  <r>
    <x v="72"/>
    <s v="S012"/>
    <s v="C03"/>
    <x v="11"/>
    <x v="2"/>
    <x v="11"/>
    <x v="4"/>
    <n v="28002"/>
    <n v="29515"/>
    <n v="78"/>
    <n v="-1513"/>
    <n v="-5.1262070133830259E-2"/>
    <n v="359"/>
  </r>
  <r>
    <x v="72"/>
    <s v="S013"/>
    <s v="C04"/>
    <x v="12"/>
    <x v="2"/>
    <x v="12"/>
    <x v="2"/>
    <n v="49276"/>
    <n v="49774"/>
    <n v="194"/>
    <n v="-498"/>
    <n v="-1.0005223610720456E-2"/>
    <n v="254"/>
  </r>
  <r>
    <x v="72"/>
    <s v="S014"/>
    <s v="C02"/>
    <x v="13"/>
    <x v="2"/>
    <x v="13"/>
    <x v="1"/>
    <n v="31906"/>
    <n v="29959"/>
    <n v="86"/>
    <n v="1947"/>
    <n v="6.4988818051336827E-2"/>
    <n v="371"/>
  </r>
  <r>
    <x v="72"/>
    <s v="S015"/>
    <s v="C01"/>
    <x v="14"/>
    <x v="2"/>
    <x v="14"/>
    <x v="0"/>
    <n v="13041"/>
    <n v="12529"/>
    <n v="63"/>
    <n v="512"/>
    <n v="4.0865192752813473E-2"/>
    <n v="207"/>
  </r>
  <r>
    <x v="72"/>
    <s v="S016"/>
    <s v="C05"/>
    <x v="15"/>
    <x v="3"/>
    <x v="15"/>
    <x v="3"/>
    <n v="23544"/>
    <n v="21270"/>
    <n v="72"/>
    <n v="2274"/>
    <n v="0.10691114245416079"/>
    <n v="327"/>
  </r>
  <r>
    <x v="72"/>
    <s v="S017"/>
    <s v="C01"/>
    <x v="16"/>
    <x v="3"/>
    <x v="16"/>
    <x v="0"/>
    <n v="46330"/>
    <n v="47154"/>
    <n v="113"/>
    <n v="-824"/>
    <n v="-1.747465750519574E-2"/>
    <n v="410"/>
  </r>
  <r>
    <x v="72"/>
    <s v="S018"/>
    <s v="C03"/>
    <x v="17"/>
    <x v="4"/>
    <x v="17"/>
    <x v="4"/>
    <n v="40040"/>
    <n v="38156"/>
    <n v="88"/>
    <n v="1884"/>
    <n v="4.9376244889401406E-2"/>
    <n v="455"/>
  </r>
  <r>
    <x v="72"/>
    <s v="S019"/>
    <s v="C05"/>
    <x v="18"/>
    <x v="5"/>
    <x v="18"/>
    <x v="3"/>
    <n v="52416"/>
    <n v="54365"/>
    <n v="168"/>
    <n v="-1949"/>
    <n v="-3.5850271314264694E-2"/>
    <n v="312"/>
  </r>
  <r>
    <x v="72"/>
    <s v="S020"/>
    <s v="C05"/>
    <x v="19"/>
    <x v="6"/>
    <x v="19"/>
    <x v="3"/>
    <n v="13419"/>
    <n v="13340"/>
    <n v="71"/>
    <n v="79"/>
    <n v="5.9220389805097447E-3"/>
    <n v="189"/>
  </r>
  <r>
    <x v="73"/>
    <s v="S001"/>
    <s v="C05"/>
    <x v="0"/>
    <x v="0"/>
    <x v="0"/>
    <x v="3"/>
    <n v="14260"/>
    <n v="13441"/>
    <n v="46"/>
    <n v="819"/>
    <n v="6.0932966297150511E-2"/>
    <n v="310"/>
  </r>
  <r>
    <x v="73"/>
    <s v="S002"/>
    <s v="C03"/>
    <x v="1"/>
    <x v="0"/>
    <x v="1"/>
    <x v="4"/>
    <n v="42656"/>
    <n v="41283"/>
    <n v="86"/>
    <n v="1373"/>
    <n v="3.3258241891335416E-2"/>
    <n v="496"/>
  </r>
  <r>
    <x v="73"/>
    <s v="S003"/>
    <s v="C04"/>
    <x v="2"/>
    <x v="0"/>
    <x v="2"/>
    <x v="2"/>
    <n v="37168"/>
    <n v="34070"/>
    <n v="202"/>
    <n v="3098"/>
    <n v="9.0930437334898737E-2"/>
    <n v="184"/>
  </r>
  <r>
    <x v="73"/>
    <s v="S004"/>
    <s v="C03"/>
    <x v="3"/>
    <x v="0"/>
    <x v="3"/>
    <x v="4"/>
    <n v="105468"/>
    <n v="104419"/>
    <n v="204"/>
    <n v="1049"/>
    <n v="1.0046064413564581E-2"/>
    <n v="517"/>
  </r>
  <r>
    <x v="73"/>
    <s v="S005"/>
    <s v="C01"/>
    <x v="4"/>
    <x v="0"/>
    <x v="4"/>
    <x v="0"/>
    <n v="12831"/>
    <n v="14330"/>
    <n v="39"/>
    <n v="-1499"/>
    <n v="-0.10460572226099092"/>
    <n v="329"/>
  </r>
  <r>
    <x v="73"/>
    <s v="S006"/>
    <s v="C04"/>
    <x v="5"/>
    <x v="1"/>
    <x v="5"/>
    <x v="2"/>
    <n v="35156"/>
    <n v="36109"/>
    <n v="94"/>
    <n v="-953"/>
    <n v="-2.6392312165942008E-2"/>
    <n v="374"/>
  </r>
  <r>
    <x v="73"/>
    <s v="S007"/>
    <s v="C01"/>
    <x v="6"/>
    <x v="1"/>
    <x v="6"/>
    <x v="0"/>
    <n v="49220"/>
    <n v="54963"/>
    <n v="115"/>
    <n v="-5743"/>
    <n v="-0.10448847406437058"/>
    <n v="428"/>
  </r>
  <r>
    <x v="73"/>
    <s v="S008"/>
    <s v="C05"/>
    <x v="7"/>
    <x v="1"/>
    <x v="7"/>
    <x v="3"/>
    <n v="15675"/>
    <n v="14886"/>
    <n v="57"/>
    <n v="789"/>
    <n v="5.3002821442966544E-2"/>
    <n v="275"/>
  </r>
  <r>
    <x v="73"/>
    <s v="S009"/>
    <s v="C04"/>
    <x v="8"/>
    <x v="1"/>
    <x v="8"/>
    <x v="2"/>
    <n v="33998"/>
    <n v="30936"/>
    <n v="178"/>
    <n v="3062"/>
    <n v="9.897853633307474E-2"/>
    <n v="191"/>
  </r>
  <r>
    <x v="73"/>
    <s v="S010"/>
    <s v="C05"/>
    <x v="9"/>
    <x v="1"/>
    <x v="9"/>
    <x v="3"/>
    <n v="39550"/>
    <n v="40439"/>
    <n v="113"/>
    <n v="-889"/>
    <n v="-2.1983728578847152E-2"/>
    <n v="350"/>
  </r>
  <r>
    <x v="73"/>
    <s v="S011"/>
    <s v="C02"/>
    <x v="10"/>
    <x v="2"/>
    <x v="10"/>
    <x v="1"/>
    <n v="13923"/>
    <n v="14912"/>
    <n v="39"/>
    <n v="-989"/>
    <n v="-6.632242489270386E-2"/>
    <n v="357"/>
  </r>
  <r>
    <x v="73"/>
    <s v="S012"/>
    <s v="C03"/>
    <x v="11"/>
    <x v="2"/>
    <x v="11"/>
    <x v="4"/>
    <n v="65130"/>
    <n v="62463"/>
    <n v="195"/>
    <n v="2667"/>
    <n v="4.269727678785841E-2"/>
    <n v="334"/>
  </r>
  <r>
    <x v="73"/>
    <s v="S013"/>
    <s v="C05"/>
    <x v="12"/>
    <x v="2"/>
    <x v="12"/>
    <x v="3"/>
    <n v="22155"/>
    <n v="23405"/>
    <n v="105"/>
    <n v="-1250"/>
    <n v="-5.3407391582995088E-2"/>
    <n v="211"/>
  </r>
  <r>
    <x v="73"/>
    <s v="S014"/>
    <s v="C04"/>
    <x v="13"/>
    <x v="2"/>
    <x v="13"/>
    <x v="2"/>
    <n v="19488"/>
    <n v="22163"/>
    <n v="42"/>
    <n v="-2675"/>
    <n v="-0.12069665658981185"/>
    <n v="464"/>
  </r>
  <r>
    <x v="73"/>
    <s v="S015"/>
    <s v="C02"/>
    <x v="14"/>
    <x v="2"/>
    <x v="14"/>
    <x v="1"/>
    <n v="25842"/>
    <n v="29054"/>
    <n v="73"/>
    <n v="-3212"/>
    <n v="-0.11055276381909548"/>
    <n v="354"/>
  </r>
  <r>
    <x v="73"/>
    <s v="S016"/>
    <s v="C02"/>
    <x v="15"/>
    <x v="3"/>
    <x v="15"/>
    <x v="1"/>
    <n v="21375"/>
    <n v="22020"/>
    <n v="57"/>
    <n v="-645"/>
    <n v="-2.9291553133514985E-2"/>
    <n v="375"/>
  </r>
  <r>
    <x v="73"/>
    <s v="S017"/>
    <s v="C05"/>
    <x v="16"/>
    <x v="3"/>
    <x v="16"/>
    <x v="3"/>
    <n v="57720"/>
    <n v="57970"/>
    <n v="195"/>
    <n v="-250"/>
    <n v="-4.3125754700707262E-3"/>
    <n v="296"/>
  </r>
  <r>
    <x v="73"/>
    <s v="S018"/>
    <s v="C05"/>
    <x v="17"/>
    <x v="4"/>
    <x v="17"/>
    <x v="3"/>
    <n v="29452"/>
    <n v="33652"/>
    <n v="74"/>
    <n v="-4200"/>
    <n v="-0.12480684654701057"/>
    <n v="398"/>
  </r>
  <r>
    <x v="73"/>
    <s v="S019"/>
    <s v="C05"/>
    <x v="18"/>
    <x v="5"/>
    <x v="18"/>
    <x v="3"/>
    <n v="48671"/>
    <n v="50401"/>
    <n v="119"/>
    <n v="-1730"/>
    <n v="-3.4324715779448824E-2"/>
    <n v="409"/>
  </r>
  <r>
    <x v="73"/>
    <s v="S020"/>
    <s v="C02"/>
    <x v="19"/>
    <x v="6"/>
    <x v="19"/>
    <x v="1"/>
    <n v="50500"/>
    <n v="52785"/>
    <n v="202"/>
    <n v="-2285"/>
    <n v="-4.3288813109784975E-2"/>
    <n v="250"/>
  </r>
  <r>
    <x v="74"/>
    <s v="S001"/>
    <s v="C02"/>
    <x v="0"/>
    <x v="0"/>
    <x v="0"/>
    <x v="1"/>
    <n v="23660"/>
    <n v="25366"/>
    <n v="70"/>
    <n v="-1706"/>
    <n v="-6.725538121895451E-2"/>
    <n v="338"/>
  </r>
  <r>
    <x v="74"/>
    <s v="S002"/>
    <s v="C05"/>
    <x v="1"/>
    <x v="0"/>
    <x v="1"/>
    <x v="3"/>
    <n v="27600"/>
    <n v="31710"/>
    <n v="69"/>
    <n v="-4110"/>
    <n v="-0.12961210974456008"/>
    <n v="400"/>
  </r>
  <r>
    <x v="74"/>
    <s v="S003"/>
    <s v="C02"/>
    <x v="2"/>
    <x v="0"/>
    <x v="2"/>
    <x v="1"/>
    <n v="94738"/>
    <n v="106985"/>
    <n v="202"/>
    <n v="-12247"/>
    <n v="-0.11447399168107679"/>
    <n v="469"/>
  </r>
  <r>
    <x v="74"/>
    <s v="S004"/>
    <s v="C03"/>
    <x v="3"/>
    <x v="0"/>
    <x v="3"/>
    <x v="4"/>
    <n v="24180"/>
    <n v="24983"/>
    <n v="52"/>
    <n v="-803"/>
    <n v="-3.2141856462394432E-2"/>
    <n v="465"/>
  </r>
  <r>
    <x v="74"/>
    <s v="S005"/>
    <s v="C01"/>
    <x v="4"/>
    <x v="0"/>
    <x v="4"/>
    <x v="0"/>
    <n v="28044"/>
    <n v="31125"/>
    <n v="82"/>
    <n v="-3081"/>
    <n v="-9.8987951807228913E-2"/>
    <n v="342"/>
  </r>
  <r>
    <x v="74"/>
    <s v="S006"/>
    <s v="C02"/>
    <x v="5"/>
    <x v="1"/>
    <x v="5"/>
    <x v="1"/>
    <n v="14406"/>
    <n v="16135"/>
    <n v="42"/>
    <n v="-1729"/>
    <n v="-0.10715835140997831"/>
    <n v="343"/>
  </r>
  <r>
    <x v="74"/>
    <s v="S007"/>
    <s v="C04"/>
    <x v="6"/>
    <x v="1"/>
    <x v="6"/>
    <x v="2"/>
    <n v="46900"/>
    <n v="47404"/>
    <n v="140"/>
    <n v="-504"/>
    <n v="-1.0632014176018901E-2"/>
    <n v="335"/>
  </r>
  <r>
    <x v="74"/>
    <s v="S008"/>
    <s v="C03"/>
    <x v="7"/>
    <x v="1"/>
    <x v="7"/>
    <x v="4"/>
    <n v="20148"/>
    <n v="18671"/>
    <n v="73"/>
    <n v="1477"/>
    <n v="7.9106635959509397E-2"/>
    <n v="276"/>
  </r>
  <r>
    <x v="74"/>
    <s v="S009"/>
    <s v="C02"/>
    <x v="8"/>
    <x v="1"/>
    <x v="8"/>
    <x v="1"/>
    <n v="20213"/>
    <n v="21309"/>
    <n v="41"/>
    <n v="-1096"/>
    <n v="-5.1433666525881085E-2"/>
    <n v="493"/>
  </r>
  <r>
    <x v="74"/>
    <s v="S010"/>
    <s v="C05"/>
    <x v="9"/>
    <x v="1"/>
    <x v="9"/>
    <x v="3"/>
    <n v="88740"/>
    <n v="84988"/>
    <n v="180"/>
    <n v="3752"/>
    <n v="4.4147409045982959E-2"/>
    <n v="493"/>
  </r>
  <r>
    <x v="74"/>
    <s v="S011"/>
    <s v="C02"/>
    <x v="10"/>
    <x v="2"/>
    <x v="10"/>
    <x v="1"/>
    <n v="18142"/>
    <n v="17957"/>
    <n v="94"/>
    <n v="185"/>
    <n v="1.0302389040485605E-2"/>
    <n v="193"/>
  </r>
  <r>
    <x v="74"/>
    <s v="S012"/>
    <s v="C04"/>
    <x v="11"/>
    <x v="2"/>
    <x v="11"/>
    <x v="2"/>
    <n v="30153"/>
    <n v="33516"/>
    <n v="69"/>
    <n v="-3363"/>
    <n v="-0.10034013605442177"/>
    <n v="437"/>
  </r>
  <r>
    <x v="74"/>
    <s v="S013"/>
    <s v="C04"/>
    <x v="12"/>
    <x v="2"/>
    <x v="12"/>
    <x v="2"/>
    <n v="111104"/>
    <n v="110380"/>
    <n v="217"/>
    <n v="724"/>
    <n v="6.5591592679833301E-3"/>
    <n v="512"/>
  </r>
  <r>
    <x v="74"/>
    <s v="S014"/>
    <s v="C04"/>
    <x v="13"/>
    <x v="2"/>
    <x v="13"/>
    <x v="2"/>
    <n v="67520"/>
    <n v="63089"/>
    <n v="160"/>
    <n v="4431"/>
    <n v="7.0234113712374577E-2"/>
    <n v="422"/>
  </r>
  <r>
    <x v="74"/>
    <s v="S015"/>
    <s v="C02"/>
    <x v="14"/>
    <x v="2"/>
    <x v="14"/>
    <x v="1"/>
    <n v="18032"/>
    <n v="18070"/>
    <n v="92"/>
    <n v="-38"/>
    <n v="-2.1029330381848368E-3"/>
    <n v="196"/>
  </r>
  <r>
    <x v="74"/>
    <s v="S016"/>
    <s v="C01"/>
    <x v="15"/>
    <x v="3"/>
    <x v="15"/>
    <x v="0"/>
    <n v="40664"/>
    <n v="38860"/>
    <n v="104"/>
    <n v="1804"/>
    <n v="4.642305712815234E-2"/>
    <n v="391"/>
  </r>
  <r>
    <x v="74"/>
    <s v="S017"/>
    <s v="C02"/>
    <x v="16"/>
    <x v="3"/>
    <x v="16"/>
    <x v="1"/>
    <n v="18531"/>
    <n v="17498"/>
    <n v="87"/>
    <n v="1033"/>
    <n v="5.9035318322093952E-2"/>
    <n v="213"/>
  </r>
  <r>
    <x v="74"/>
    <s v="S018"/>
    <s v="C04"/>
    <x v="17"/>
    <x v="4"/>
    <x v="17"/>
    <x v="2"/>
    <n v="82560"/>
    <n v="88501"/>
    <n v="192"/>
    <n v="-5941"/>
    <n v="-6.7129184980960668E-2"/>
    <n v="430"/>
  </r>
  <r>
    <x v="74"/>
    <s v="S019"/>
    <s v="C04"/>
    <x v="18"/>
    <x v="5"/>
    <x v="18"/>
    <x v="2"/>
    <n v="39004"/>
    <n v="39051"/>
    <n v="98"/>
    <n v="-47"/>
    <n v="-1.2035543263936902E-3"/>
    <n v="398"/>
  </r>
  <r>
    <x v="74"/>
    <s v="S020"/>
    <s v="C01"/>
    <x v="19"/>
    <x v="6"/>
    <x v="19"/>
    <x v="0"/>
    <n v="71060"/>
    <n v="76748"/>
    <n v="190"/>
    <n v="-5688"/>
    <n v="-7.4112680460728622E-2"/>
    <n v="374"/>
  </r>
  <r>
    <x v="75"/>
    <s v="S001"/>
    <s v="C04"/>
    <x v="0"/>
    <x v="0"/>
    <x v="0"/>
    <x v="2"/>
    <n v="90152"/>
    <n v="94519"/>
    <n v="191"/>
    <n v="-4367"/>
    <n v="-4.6202350850093631E-2"/>
    <n v="472"/>
  </r>
  <r>
    <x v="75"/>
    <s v="S002"/>
    <s v="C05"/>
    <x v="1"/>
    <x v="0"/>
    <x v="1"/>
    <x v="3"/>
    <n v="39601"/>
    <n v="40795"/>
    <n v="199"/>
    <n v="-1194"/>
    <n v="-2.9268292682926831E-2"/>
    <n v="199"/>
  </r>
  <r>
    <x v="75"/>
    <s v="S003"/>
    <s v="C04"/>
    <x v="2"/>
    <x v="0"/>
    <x v="2"/>
    <x v="2"/>
    <n v="30351"/>
    <n v="33976"/>
    <n v="151"/>
    <n v="-3625"/>
    <n v="-0.10669295973628444"/>
    <n v="201"/>
  </r>
  <r>
    <x v="75"/>
    <s v="S004"/>
    <s v="C02"/>
    <x v="3"/>
    <x v="0"/>
    <x v="3"/>
    <x v="1"/>
    <n v="75985"/>
    <n v="75901"/>
    <n v="167"/>
    <n v="84"/>
    <n v="1.1067047864982017E-3"/>
    <n v="455"/>
  </r>
  <r>
    <x v="75"/>
    <s v="S005"/>
    <s v="C01"/>
    <x v="4"/>
    <x v="0"/>
    <x v="4"/>
    <x v="0"/>
    <n v="66906"/>
    <n v="68848"/>
    <n v="177"/>
    <n v="-1942"/>
    <n v="-2.8207064838484779E-2"/>
    <n v="378"/>
  </r>
  <r>
    <x v="75"/>
    <s v="S006"/>
    <s v="C01"/>
    <x v="5"/>
    <x v="1"/>
    <x v="5"/>
    <x v="0"/>
    <n v="27307"/>
    <n v="27577"/>
    <n v="83"/>
    <n v="-270"/>
    <n v="-9.7907676687094321E-3"/>
    <n v="329"/>
  </r>
  <r>
    <x v="75"/>
    <s v="S007"/>
    <s v="C03"/>
    <x v="6"/>
    <x v="1"/>
    <x v="6"/>
    <x v="4"/>
    <n v="44928"/>
    <n v="42305"/>
    <n v="108"/>
    <n v="2623"/>
    <n v="6.2002127408107788E-2"/>
    <n v="416"/>
  </r>
  <r>
    <x v="75"/>
    <s v="S008"/>
    <s v="C03"/>
    <x v="7"/>
    <x v="1"/>
    <x v="7"/>
    <x v="4"/>
    <n v="39537"/>
    <n v="42402"/>
    <n v="191"/>
    <n v="-2865"/>
    <n v="-6.7567567567567571E-2"/>
    <n v="207"/>
  </r>
  <r>
    <x v="75"/>
    <s v="S009"/>
    <s v="C02"/>
    <x v="8"/>
    <x v="1"/>
    <x v="8"/>
    <x v="1"/>
    <n v="78030"/>
    <n v="79038"/>
    <n v="153"/>
    <n v="-1008"/>
    <n v="-1.2753359143703029E-2"/>
    <n v="510"/>
  </r>
  <r>
    <x v="75"/>
    <s v="S010"/>
    <s v="C05"/>
    <x v="9"/>
    <x v="1"/>
    <x v="9"/>
    <x v="3"/>
    <n v="17136"/>
    <n v="18758"/>
    <n v="63"/>
    <n v="-1622"/>
    <n v="-8.6469772896897321E-2"/>
    <n v="272"/>
  </r>
  <r>
    <x v="75"/>
    <s v="S011"/>
    <s v="C05"/>
    <x v="10"/>
    <x v="2"/>
    <x v="10"/>
    <x v="3"/>
    <n v="26289"/>
    <n v="26378"/>
    <n v="69"/>
    <n v="-89"/>
    <n v="-3.3740238077185534E-3"/>
    <n v="381"/>
  </r>
  <r>
    <x v="75"/>
    <s v="S012"/>
    <s v="C04"/>
    <x v="11"/>
    <x v="2"/>
    <x v="11"/>
    <x v="2"/>
    <n v="11111"/>
    <n v="11260"/>
    <n v="41"/>
    <n v="-149"/>
    <n v="-1.3232682060390764E-2"/>
    <n v="271"/>
  </r>
  <r>
    <x v="75"/>
    <s v="S013"/>
    <s v="C02"/>
    <x v="12"/>
    <x v="2"/>
    <x v="12"/>
    <x v="1"/>
    <n v="34126"/>
    <n v="32846"/>
    <n v="151"/>
    <n v="1280"/>
    <n v="3.8969737563173595E-2"/>
    <n v="226"/>
  </r>
  <r>
    <x v="75"/>
    <s v="S014"/>
    <s v="C02"/>
    <x v="13"/>
    <x v="2"/>
    <x v="13"/>
    <x v="1"/>
    <n v="52974"/>
    <n v="48884"/>
    <n v="218"/>
    <n v="4090"/>
    <n v="8.3667457654856392E-2"/>
    <n v="243"/>
  </r>
  <r>
    <x v="75"/>
    <s v="S015"/>
    <s v="C04"/>
    <x v="14"/>
    <x v="2"/>
    <x v="14"/>
    <x v="2"/>
    <n v="71905"/>
    <n v="66247"/>
    <n v="197"/>
    <n v="5658"/>
    <n v="8.5407641100729084E-2"/>
    <n v="365"/>
  </r>
  <r>
    <x v="75"/>
    <s v="S016"/>
    <s v="C04"/>
    <x v="15"/>
    <x v="3"/>
    <x v="15"/>
    <x v="2"/>
    <n v="81345"/>
    <n v="92524"/>
    <n v="165"/>
    <n v="-11179"/>
    <n v="-0.12082270546020492"/>
    <n v="493"/>
  </r>
  <r>
    <x v="75"/>
    <s v="S017"/>
    <s v="C04"/>
    <x v="16"/>
    <x v="3"/>
    <x v="16"/>
    <x v="2"/>
    <n v="65450"/>
    <n v="59623"/>
    <n v="175"/>
    <n v="5827"/>
    <n v="9.7730741492377107E-2"/>
    <n v="374"/>
  </r>
  <r>
    <x v="75"/>
    <s v="S018"/>
    <s v="C02"/>
    <x v="17"/>
    <x v="4"/>
    <x v="17"/>
    <x v="1"/>
    <n v="56280"/>
    <n v="62911"/>
    <n v="120"/>
    <n v="-6631"/>
    <n v="-0.10540287072213127"/>
    <n v="469"/>
  </r>
  <r>
    <x v="75"/>
    <s v="S019"/>
    <s v="C02"/>
    <x v="18"/>
    <x v="5"/>
    <x v="18"/>
    <x v="1"/>
    <n v="19304"/>
    <n v="18236"/>
    <n v="76"/>
    <n v="1068"/>
    <n v="5.856547488484317E-2"/>
    <n v="254"/>
  </r>
  <r>
    <x v="75"/>
    <s v="S020"/>
    <s v="C01"/>
    <x v="19"/>
    <x v="6"/>
    <x v="19"/>
    <x v="0"/>
    <n v="47854"/>
    <n v="46771"/>
    <n v="142"/>
    <n v="1083"/>
    <n v="2.3155374056573516E-2"/>
    <n v="337"/>
  </r>
  <r>
    <x v="76"/>
    <s v="S001"/>
    <s v="C04"/>
    <x v="0"/>
    <x v="0"/>
    <x v="0"/>
    <x v="2"/>
    <n v="54000"/>
    <n v="51039"/>
    <n v="108"/>
    <n v="2961"/>
    <n v="5.8014459530946923E-2"/>
    <n v="500"/>
  </r>
  <r>
    <x v="76"/>
    <s v="S002"/>
    <s v="C02"/>
    <x v="1"/>
    <x v="0"/>
    <x v="1"/>
    <x v="1"/>
    <n v="15566"/>
    <n v="16432"/>
    <n v="86"/>
    <n v="-866"/>
    <n v="-5.2702044790652387E-2"/>
    <n v="181"/>
  </r>
  <r>
    <x v="76"/>
    <s v="S003"/>
    <s v="C03"/>
    <x v="2"/>
    <x v="0"/>
    <x v="2"/>
    <x v="4"/>
    <n v="15732"/>
    <n v="16115"/>
    <n v="38"/>
    <n v="-383"/>
    <n v="-2.3766677008997827E-2"/>
    <n v="414"/>
  </r>
  <r>
    <x v="76"/>
    <s v="S004"/>
    <s v="C04"/>
    <x v="3"/>
    <x v="0"/>
    <x v="3"/>
    <x v="2"/>
    <n v="31668"/>
    <n v="33314"/>
    <n v="174"/>
    <n v="-1646"/>
    <n v="-4.9408657021072222E-2"/>
    <n v="182"/>
  </r>
  <r>
    <x v="76"/>
    <s v="S005"/>
    <s v="C04"/>
    <x v="4"/>
    <x v="0"/>
    <x v="4"/>
    <x v="2"/>
    <n v="27645"/>
    <n v="28950"/>
    <n v="95"/>
    <n v="-1305"/>
    <n v="-4.5077720207253889E-2"/>
    <n v="291"/>
  </r>
  <r>
    <x v="76"/>
    <s v="S006"/>
    <s v="C04"/>
    <x v="5"/>
    <x v="1"/>
    <x v="5"/>
    <x v="2"/>
    <n v="58739"/>
    <n v="59353"/>
    <n v="151"/>
    <n v="-614"/>
    <n v="-1.0344885683958688E-2"/>
    <n v="389"/>
  </r>
  <r>
    <x v="76"/>
    <s v="S007"/>
    <s v="C05"/>
    <x v="6"/>
    <x v="1"/>
    <x v="6"/>
    <x v="3"/>
    <n v="34404"/>
    <n v="33068"/>
    <n v="188"/>
    <n v="1336"/>
    <n v="4.0401596709810091E-2"/>
    <n v="183"/>
  </r>
  <r>
    <x v="76"/>
    <s v="S008"/>
    <s v="C05"/>
    <x v="7"/>
    <x v="1"/>
    <x v="7"/>
    <x v="3"/>
    <n v="52682"/>
    <n v="55693"/>
    <n v="106"/>
    <n v="-3011"/>
    <n v="-5.4064245057727181E-2"/>
    <n v="497"/>
  </r>
  <r>
    <x v="76"/>
    <s v="S009"/>
    <s v="C02"/>
    <x v="8"/>
    <x v="1"/>
    <x v="8"/>
    <x v="1"/>
    <n v="12878"/>
    <n v="12067"/>
    <n v="47"/>
    <n v="811"/>
    <n v="6.7208088174359817E-2"/>
    <n v="274"/>
  </r>
  <r>
    <x v="76"/>
    <s v="S010"/>
    <s v="C03"/>
    <x v="9"/>
    <x v="1"/>
    <x v="9"/>
    <x v="4"/>
    <n v="11176"/>
    <n v="12443"/>
    <n v="44"/>
    <n v="-1267"/>
    <n v="-0.10182431889415736"/>
    <n v="254"/>
  </r>
  <r>
    <x v="76"/>
    <s v="S011"/>
    <s v="C05"/>
    <x v="10"/>
    <x v="2"/>
    <x v="10"/>
    <x v="3"/>
    <n v="62748"/>
    <n v="61667"/>
    <n v="189"/>
    <n v="1081"/>
    <n v="1.7529634974946081E-2"/>
    <n v="332"/>
  </r>
  <r>
    <x v="76"/>
    <s v="S012"/>
    <s v="C01"/>
    <x v="11"/>
    <x v="2"/>
    <x v="11"/>
    <x v="0"/>
    <n v="11045"/>
    <n v="11091"/>
    <n v="47"/>
    <n v="-46"/>
    <n v="-4.1475069876476421E-3"/>
    <n v="235"/>
  </r>
  <r>
    <x v="76"/>
    <s v="S013"/>
    <s v="C02"/>
    <x v="12"/>
    <x v="2"/>
    <x v="12"/>
    <x v="1"/>
    <n v="24700"/>
    <n v="26003"/>
    <n v="76"/>
    <n v="-1303"/>
    <n v="-5.0109602738145596E-2"/>
    <n v="325"/>
  </r>
  <r>
    <x v="76"/>
    <s v="S014"/>
    <s v="C05"/>
    <x v="13"/>
    <x v="2"/>
    <x v="13"/>
    <x v="3"/>
    <n v="84527"/>
    <n v="79823"/>
    <n v="181"/>
    <n v="4704"/>
    <n v="5.8930383473434975E-2"/>
    <n v="467"/>
  </r>
  <r>
    <x v="76"/>
    <s v="S015"/>
    <s v="C04"/>
    <x v="14"/>
    <x v="2"/>
    <x v="14"/>
    <x v="2"/>
    <n v="66612"/>
    <n v="75462"/>
    <n v="183"/>
    <n v="-8850"/>
    <n v="-0.11727757016776656"/>
    <n v="364"/>
  </r>
  <r>
    <x v="76"/>
    <s v="S016"/>
    <s v="C01"/>
    <x v="15"/>
    <x v="3"/>
    <x v="15"/>
    <x v="0"/>
    <n v="38295"/>
    <n v="37994"/>
    <n v="111"/>
    <n v="301"/>
    <n v="7.922303521608675E-3"/>
    <n v="345"/>
  </r>
  <r>
    <x v="76"/>
    <s v="S017"/>
    <s v="C04"/>
    <x v="16"/>
    <x v="3"/>
    <x v="16"/>
    <x v="2"/>
    <n v="20696"/>
    <n v="22989"/>
    <n v="52"/>
    <n v="-2293"/>
    <n v="-9.9743355517856361E-2"/>
    <n v="398"/>
  </r>
  <r>
    <x v="76"/>
    <s v="S018"/>
    <s v="C01"/>
    <x v="17"/>
    <x v="4"/>
    <x v="17"/>
    <x v="0"/>
    <n v="45889"/>
    <n v="42843"/>
    <n v="109"/>
    <n v="3046"/>
    <n v="7.1096795275774338E-2"/>
    <n v="421"/>
  </r>
  <r>
    <x v="76"/>
    <s v="S019"/>
    <s v="C03"/>
    <x v="18"/>
    <x v="5"/>
    <x v="18"/>
    <x v="4"/>
    <n v="53431"/>
    <n v="53614"/>
    <n v="119"/>
    <n v="-183"/>
    <n v="-3.4132875741410824E-3"/>
    <n v="449"/>
  </r>
  <r>
    <x v="76"/>
    <s v="S020"/>
    <s v="C02"/>
    <x v="19"/>
    <x v="6"/>
    <x v="19"/>
    <x v="1"/>
    <n v="61131"/>
    <n v="64371"/>
    <n v="213"/>
    <n v="-3240"/>
    <n v="-5.0333224588712311E-2"/>
    <n v="287"/>
  </r>
  <r>
    <x v="77"/>
    <s v="S001"/>
    <s v="C01"/>
    <x v="0"/>
    <x v="0"/>
    <x v="0"/>
    <x v="0"/>
    <n v="90862"/>
    <n v="93791"/>
    <n v="181"/>
    <n v="-2929"/>
    <n v="-3.1229009179985286E-2"/>
    <n v="502"/>
  </r>
  <r>
    <x v="77"/>
    <s v="S002"/>
    <s v="C01"/>
    <x v="1"/>
    <x v="0"/>
    <x v="1"/>
    <x v="0"/>
    <n v="77262"/>
    <n v="87574"/>
    <n v="158"/>
    <n v="-10312"/>
    <n v="-0.11775184415465778"/>
    <n v="489"/>
  </r>
  <r>
    <x v="77"/>
    <s v="S003"/>
    <s v="C03"/>
    <x v="2"/>
    <x v="0"/>
    <x v="2"/>
    <x v="4"/>
    <n v="70704"/>
    <n v="78619"/>
    <n v="144"/>
    <n v="-7915"/>
    <n v="-0.10067540925221638"/>
    <n v="491"/>
  </r>
  <r>
    <x v="77"/>
    <s v="S004"/>
    <s v="C03"/>
    <x v="3"/>
    <x v="0"/>
    <x v="3"/>
    <x v="4"/>
    <n v="80106"/>
    <n v="92022"/>
    <n v="169"/>
    <n v="-11916"/>
    <n v="-0.1294907739453609"/>
    <n v="474"/>
  </r>
  <r>
    <x v="77"/>
    <s v="S005"/>
    <s v="C03"/>
    <x v="4"/>
    <x v="0"/>
    <x v="4"/>
    <x v="4"/>
    <n v="33592"/>
    <n v="34957"/>
    <n v="68"/>
    <n v="-1365"/>
    <n v="-3.9047973224246933E-2"/>
    <n v="494"/>
  </r>
  <r>
    <x v="77"/>
    <s v="S006"/>
    <s v="C05"/>
    <x v="5"/>
    <x v="1"/>
    <x v="5"/>
    <x v="3"/>
    <n v="85064"/>
    <n v="87031"/>
    <n v="196"/>
    <n v="-1967"/>
    <n v="-2.2601142121772701E-2"/>
    <n v="434"/>
  </r>
  <r>
    <x v="77"/>
    <s v="S007"/>
    <s v="C02"/>
    <x v="6"/>
    <x v="1"/>
    <x v="6"/>
    <x v="1"/>
    <n v="57109"/>
    <n v="61514"/>
    <n v="191"/>
    <n v="-4405"/>
    <n v="-7.1609714861657514E-2"/>
    <n v="299"/>
  </r>
  <r>
    <x v="77"/>
    <s v="S008"/>
    <s v="C02"/>
    <x v="7"/>
    <x v="1"/>
    <x v="7"/>
    <x v="1"/>
    <n v="8400"/>
    <n v="7610"/>
    <n v="35"/>
    <n v="790"/>
    <n v="0.1038107752956636"/>
    <n v="240"/>
  </r>
  <r>
    <x v="77"/>
    <s v="S009"/>
    <s v="C01"/>
    <x v="8"/>
    <x v="1"/>
    <x v="8"/>
    <x v="0"/>
    <n v="43560"/>
    <n v="50082"/>
    <n v="88"/>
    <n v="-6522"/>
    <n v="-0.13022642865700251"/>
    <n v="495"/>
  </r>
  <r>
    <x v="77"/>
    <s v="S010"/>
    <s v="C04"/>
    <x v="9"/>
    <x v="1"/>
    <x v="9"/>
    <x v="2"/>
    <n v="16100"/>
    <n v="15897"/>
    <n v="46"/>
    <n v="203"/>
    <n v="1.2769704975781594E-2"/>
    <n v="350"/>
  </r>
  <r>
    <x v="77"/>
    <s v="S011"/>
    <s v="C02"/>
    <x v="10"/>
    <x v="2"/>
    <x v="10"/>
    <x v="1"/>
    <n v="18759"/>
    <n v="17826"/>
    <n v="37"/>
    <n v="933"/>
    <n v="5.2339279703803435E-2"/>
    <n v="507"/>
  </r>
  <r>
    <x v="77"/>
    <s v="S012"/>
    <s v="C03"/>
    <x v="11"/>
    <x v="2"/>
    <x v="11"/>
    <x v="4"/>
    <n v="21400"/>
    <n v="20906"/>
    <n v="100"/>
    <n v="494"/>
    <n v="2.3629580024873243E-2"/>
    <n v="214"/>
  </r>
  <r>
    <x v="77"/>
    <s v="S013"/>
    <s v="C05"/>
    <x v="12"/>
    <x v="2"/>
    <x v="12"/>
    <x v="3"/>
    <n v="60375"/>
    <n v="65914"/>
    <n v="175"/>
    <n v="-5539"/>
    <n v="-8.4033740935157933E-2"/>
    <n v="345"/>
  </r>
  <r>
    <x v="77"/>
    <s v="S014"/>
    <s v="C01"/>
    <x v="13"/>
    <x v="2"/>
    <x v="13"/>
    <x v="0"/>
    <n v="73500"/>
    <n v="72422"/>
    <n v="210"/>
    <n v="1078"/>
    <n v="1.4884979702300407E-2"/>
    <n v="350"/>
  </r>
  <r>
    <x v="77"/>
    <s v="S015"/>
    <s v="C05"/>
    <x v="14"/>
    <x v="2"/>
    <x v="14"/>
    <x v="3"/>
    <n v="37248"/>
    <n v="41271"/>
    <n v="192"/>
    <n v="-4023"/>
    <n v="-9.7477647742967216E-2"/>
    <n v="194"/>
  </r>
  <r>
    <x v="77"/>
    <s v="S016"/>
    <s v="C02"/>
    <x v="15"/>
    <x v="3"/>
    <x v="15"/>
    <x v="1"/>
    <n v="42007"/>
    <n v="47491"/>
    <n v="119"/>
    <n v="-5484"/>
    <n v="-0.11547451095997137"/>
    <n v="353"/>
  </r>
  <r>
    <x v="77"/>
    <s v="S017"/>
    <s v="C04"/>
    <x v="16"/>
    <x v="3"/>
    <x v="16"/>
    <x v="2"/>
    <n v="30888"/>
    <n v="32784"/>
    <n v="156"/>
    <n v="-1896"/>
    <n v="-5.7833089311859445E-2"/>
    <n v="198"/>
  </r>
  <r>
    <x v="77"/>
    <s v="S018"/>
    <s v="C04"/>
    <x v="17"/>
    <x v="4"/>
    <x v="17"/>
    <x v="2"/>
    <n v="37074"/>
    <n v="37635"/>
    <n v="74"/>
    <n v="-561"/>
    <n v="-1.4906337186129933E-2"/>
    <n v="501"/>
  </r>
  <r>
    <x v="77"/>
    <s v="S019"/>
    <s v="C05"/>
    <x v="18"/>
    <x v="5"/>
    <x v="18"/>
    <x v="3"/>
    <n v="49920"/>
    <n v="54712"/>
    <n v="120"/>
    <n v="-4792"/>
    <n v="-8.7585904371984213E-2"/>
    <n v="416"/>
  </r>
  <r>
    <x v="77"/>
    <s v="S020"/>
    <s v="C04"/>
    <x v="19"/>
    <x v="6"/>
    <x v="19"/>
    <x v="2"/>
    <n v="21854"/>
    <n v="21304"/>
    <n v="49"/>
    <n v="550"/>
    <n v="2.5816748028539241E-2"/>
    <n v="446"/>
  </r>
  <r>
    <x v="78"/>
    <s v="S001"/>
    <s v="C03"/>
    <x v="0"/>
    <x v="0"/>
    <x v="0"/>
    <x v="4"/>
    <n v="80358"/>
    <n v="72698"/>
    <n v="177"/>
    <n v="7660"/>
    <n v="0.10536741038267902"/>
    <n v="454"/>
  </r>
  <r>
    <x v="78"/>
    <s v="S002"/>
    <s v="C05"/>
    <x v="1"/>
    <x v="0"/>
    <x v="1"/>
    <x v="3"/>
    <n v="73290"/>
    <n v="80610"/>
    <n v="210"/>
    <n v="-7320"/>
    <n v="-9.0807592110160026E-2"/>
    <n v="349"/>
  </r>
  <r>
    <x v="78"/>
    <s v="S003"/>
    <s v="C03"/>
    <x v="2"/>
    <x v="0"/>
    <x v="2"/>
    <x v="4"/>
    <n v="13056"/>
    <n v="12665"/>
    <n v="51"/>
    <n v="391"/>
    <n v="3.087248322147651E-2"/>
    <n v="256"/>
  </r>
  <r>
    <x v="78"/>
    <s v="S004"/>
    <s v="C01"/>
    <x v="3"/>
    <x v="0"/>
    <x v="3"/>
    <x v="0"/>
    <n v="45012"/>
    <n v="47560"/>
    <n v="121"/>
    <n v="-2548"/>
    <n v="-5.3574432296047102E-2"/>
    <n v="372"/>
  </r>
  <r>
    <x v="78"/>
    <s v="S005"/>
    <s v="C02"/>
    <x v="4"/>
    <x v="0"/>
    <x v="4"/>
    <x v="1"/>
    <n v="88690"/>
    <n v="88458"/>
    <n v="181"/>
    <n v="232"/>
    <n v="2.6227136041963419E-3"/>
    <n v="490"/>
  </r>
  <r>
    <x v="78"/>
    <s v="S006"/>
    <s v="C05"/>
    <x v="5"/>
    <x v="1"/>
    <x v="5"/>
    <x v="3"/>
    <n v="21568"/>
    <n v="23213"/>
    <n v="64"/>
    <n v="-1645"/>
    <n v="-7.0865463317968377E-2"/>
    <n v="337"/>
  </r>
  <r>
    <x v="78"/>
    <s v="S007"/>
    <s v="C03"/>
    <x v="6"/>
    <x v="1"/>
    <x v="6"/>
    <x v="4"/>
    <n v="42336"/>
    <n v="40975"/>
    <n v="216"/>
    <n v="1361"/>
    <n v="3.3215375228798048E-2"/>
    <n v="196"/>
  </r>
  <r>
    <x v="78"/>
    <s v="S008"/>
    <s v="C01"/>
    <x v="7"/>
    <x v="1"/>
    <x v="7"/>
    <x v="0"/>
    <n v="48762"/>
    <n v="48415"/>
    <n v="162"/>
    <n v="347"/>
    <n v="7.1672002478570694E-3"/>
    <n v="301"/>
  </r>
  <r>
    <x v="78"/>
    <s v="S009"/>
    <s v="C03"/>
    <x v="8"/>
    <x v="1"/>
    <x v="8"/>
    <x v="4"/>
    <n v="40320"/>
    <n v="39335"/>
    <n v="90"/>
    <n v="985"/>
    <n v="2.5041311808821659E-2"/>
    <n v="448"/>
  </r>
  <r>
    <x v="78"/>
    <s v="S010"/>
    <s v="C01"/>
    <x v="9"/>
    <x v="1"/>
    <x v="9"/>
    <x v="0"/>
    <n v="25870"/>
    <n v="28313"/>
    <n v="130"/>
    <n v="-2443"/>
    <n v="-8.6285451912549008E-2"/>
    <n v="199"/>
  </r>
  <r>
    <x v="78"/>
    <s v="S011"/>
    <s v="C01"/>
    <x v="10"/>
    <x v="2"/>
    <x v="10"/>
    <x v="0"/>
    <n v="64972"/>
    <n v="58879"/>
    <n v="148"/>
    <n v="6093"/>
    <n v="0.10348341513952343"/>
    <n v="439"/>
  </r>
  <r>
    <x v="78"/>
    <s v="S012"/>
    <s v="C04"/>
    <x v="11"/>
    <x v="2"/>
    <x v="11"/>
    <x v="2"/>
    <n v="42054"/>
    <n v="39848"/>
    <n v="163"/>
    <n v="2206"/>
    <n v="5.5360369403734191E-2"/>
    <n v="258"/>
  </r>
  <r>
    <x v="78"/>
    <s v="S013"/>
    <s v="C04"/>
    <x v="12"/>
    <x v="2"/>
    <x v="12"/>
    <x v="2"/>
    <n v="57122"/>
    <n v="62484"/>
    <n v="169"/>
    <n v="-5362"/>
    <n v="-8.5813968375904229E-2"/>
    <n v="338"/>
  </r>
  <r>
    <x v="78"/>
    <s v="S014"/>
    <s v="C02"/>
    <x v="13"/>
    <x v="2"/>
    <x v="13"/>
    <x v="1"/>
    <n v="26640"/>
    <n v="28482"/>
    <n v="60"/>
    <n v="-1842"/>
    <n v="-6.4672424689277433E-2"/>
    <n v="444"/>
  </r>
  <r>
    <x v="78"/>
    <s v="S015"/>
    <s v="C02"/>
    <x v="14"/>
    <x v="2"/>
    <x v="14"/>
    <x v="1"/>
    <n v="17226"/>
    <n v="17481"/>
    <n v="87"/>
    <n v="-255"/>
    <n v="-1.4587266174703965E-2"/>
    <n v="198"/>
  </r>
  <r>
    <x v="78"/>
    <s v="S016"/>
    <s v="C05"/>
    <x v="15"/>
    <x v="3"/>
    <x v="15"/>
    <x v="3"/>
    <n v="11648"/>
    <n v="11388"/>
    <n v="64"/>
    <n v="260"/>
    <n v="2.2831050228310501E-2"/>
    <n v="182"/>
  </r>
  <r>
    <x v="78"/>
    <s v="S017"/>
    <s v="C01"/>
    <x v="16"/>
    <x v="3"/>
    <x v="16"/>
    <x v="0"/>
    <n v="101640"/>
    <n v="113630"/>
    <n v="210"/>
    <n v="-11990"/>
    <n v="-0.10551790900290416"/>
    <n v="484"/>
  </r>
  <r>
    <x v="78"/>
    <s v="S018"/>
    <s v="C03"/>
    <x v="17"/>
    <x v="4"/>
    <x v="17"/>
    <x v="4"/>
    <n v="31262"/>
    <n v="28941"/>
    <n v="154"/>
    <n v="2321"/>
    <n v="8.0197643481565939E-2"/>
    <n v="203"/>
  </r>
  <r>
    <x v="78"/>
    <s v="S019"/>
    <s v="C03"/>
    <x v="18"/>
    <x v="5"/>
    <x v="18"/>
    <x v="4"/>
    <n v="19000"/>
    <n v="20702"/>
    <n v="40"/>
    <n v="-1702"/>
    <n v="-8.2214278813641198E-2"/>
    <n v="475"/>
  </r>
  <r>
    <x v="78"/>
    <s v="S020"/>
    <s v="C02"/>
    <x v="19"/>
    <x v="6"/>
    <x v="19"/>
    <x v="1"/>
    <n v="32994"/>
    <n v="31282"/>
    <n v="117"/>
    <n v="1712"/>
    <n v="5.4727958570423889E-2"/>
    <n v="282"/>
  </r>
  <r>
    <x v="79"/>
    <s v="S001"/>
    <s v="C03"/>
    <x v="0"/>
    <x v="0"/>
    <x v="0"/>
    <x v="4"/>
    <n v="58653"/>
    <n v="64119"/>
    <n v="171"/>
    <n v="-5466"/>
    <n v="-8.5247742478828423E-2"/>
    <n v="343"/>
  </r>
  <r>
    <x v="79"/>
    <s v="S002"/>
    <s v="C01"/>
    <x v="1"/>
    <x v="0"/>
    <x v="1"/>
    <x v="0"/>
    <n v="26624"/>
    <n v="25009"/>
    <n v="104"/>
    <n v="1615"/>
    <n v="6.4576752369147103E-2"/>
    <n v="256"/>
  </r>
  <r>
    <x v="79"/>
    <s v="S003"/>
    <s v="C01"/>
    <x v="2"/>
    <x v="0"/>
    <x v="2"/>
    <x v="0"/>
    <n v="18924"/>
    <n v="19679"/>
    <n v="38"/>
    <n v="-755"/>
    <n v="-3.8365770618425735E-2"/>
    <n v="498"/>
  </r>
  <r>
    <x v="79"/>
    <s v="S004"/>
    <s v="C01"/>
    <x v="3"/>
    <x v="0"/>
    <x v="3"/>
    <x v="0"/>
    <n v="39759"/>
    <n v="39265"/>
    <n v="87"/>
    <n v="494"/>
    <n v="1.2581179167197249E-2"/>
    <n v="457"/>
  </r>
  <r>
    <x v="79"/>
    <s v="S005"/>
    <s v="C03"/>
    <x v="4"/>
    <x v="0"/>
    <x v="4"/>
    <x v="4"/>
    <n v="26208"/>
    <n v="29767"/>
    <n v="104"/>
    <n v="-3559"/>
    <n v="-0.11956193099741325"/>
    <n v="252"/>
  </r>
  <r>
    <x v="79"/>
    <s v="S006"/>
    <s v="C03"/>
    <x v="5"/>
    <x v="1"/>
    <x v="5"/>
    <x v="4"/>
    <n v="55205"/>
    <n v="52048"/>
    <n v="181"/>
    <n v="3157"/>
    <n v="6.0655548724254535E-2"/>
    <n v="305"/>
  </r>
  <r>
    <x v="79"/>
    <s v="S007"/>
    <s v="C03"/>
    <x v="6"/>
    <x v="1"/>
    <x v="6"/>
    <x v="4"/>
    <n v="67423"/>
    <n v="69792"/>
    <n v="191"/>
    <n v="-2369"/>
    <n v="-3.3943718477762494E-2"/>
    <n v="353"/>
  </r>
  <r>
    <x v="79"/>
    <s v="S008"/>
    <s v="C01"/>
    <x v="7"/>
    <x v="1"/>
    <x v="7"/>
    <x v="0"/>
    <n v="13192"/>
    <n v="13425"/>
    <n v="68"/>
    <n v="-233"/>
    <n v="-1.7355679702048418E-2"/>
    <n v="194"/>
  </r>
  <r>
    <x v="79"/>
    <s v="S009"/>
    <s v="C01"/>
    <x v="8"/>
    <x v="1"/>
    <x v="8"/>
    <x v="0"/>
    <n v="23312"/>
    <n v="21294"/>
    <n v="62"/>
    <n v="2018"/>
    <n v="9.4768479383863999E-2"/>
    <n v="376"/>
  </r>
  <r>
    <x v="79"/>
    <s v="S010"/>
    <s v="C04"/>
    <x v="9"/>
    <x v="1"/>
    <x v="9"/>
    <x v="2"/>
    <n v="36585"/>
    <n v="39371"/>
    <n v="135"/>
    <n v="-2786"/>
    <n v="-7.0762744151786849E-2"/>
    <n v="271"/>
  </r>
  <r>
    <x v="79"/>
    <s v="S011"/>
    <s v="C05"/>
    <x v="10"/>
    <x v="2"/>
    <x v="10"/>
    <x v="3"/>
    <n v="79968"/>
    <n v="84292"/>
    <n v="196"/>
    <n v="-4324"/>
    <n v="-5.1297869311441181E-2"/>
    <n v="408"/>
  </r>
  <r>
    <x v="79"/>
    <s v="S012"/>
    <s v="C03"/>
    <x v="11"/>
    <x v="2"/>
    <x v="11"/>
    <x v="4"/>
    <n v="33720"/>
    <n v="36357"/>
    <n v="120"/>
    <n v="-2637"/>
    <n v="-7.2530736859476849E-2"/>
    <n v="281"/>
  </r>
  <r>
    <x v="79"/>
    <s v="S013"/>
    <s v="C05"/>
    <x v="12"/>
    <x v="2"/>
    <x v="12"/>
    <x v="3"/>
    <n v="22990"/>
    <n v="23954"/>
    <n v="55"/>
    <n v="-964"/>
    <n v="-4.0243800617850878E-2"/>
    <n v="418"/>
  </r>
  <r>
    <x v="79"/>
    <s v="S014"/>
    <s v="C01"/>
    <x v="13"/>
    <x v="2"/>
    <x v="13"/>
    <x v="0"/>
    <n v="89247"/>
    <n v="82492"/>
    <n v="213"/>
    <n v="6755"/>
    <n v="8.1886728410027643E-2"/>
    <n v="419"/>
  </r>
  <r>
    <x v="79"/>
    <s v="S015"/>
    <s v="C03"/>
    <x v="14"/>
    <x v="2"/>
    <x v="14"/>
    <x v="4"/>
    <n v="106890"/>
    <n v="115179"/>
    <n v="210"/>
    <n v="-8289"/>
    <n v="-7.1966243846534522E-2"/>
    <n v="509"/>
  </r>
  <r>
    <x v="79"/>
    <s v="S016"/>
    <s v="C04"/>
    <x v="15"/>
    <x v="3"/>
    <x v="15"/>
    <x v="2"/>
    <n v="46190"/>
    <n v="52511"/>
    <n v="155"/>
    <n v="-6321"/>
    <n v="-0.12037477861781341"/>
    <n v="298"/>
  </r>
  <r>
    <x v="79"/>
    <s v="S017"/>
    <s v="C02"/>
    <x v="16"/>
    <x v="3"/>
    <x v="16"/>
    <x v="1"/>
    <n v="59904"/>
    <n v="67584"/>
    <n v="192"/>
    <n v="-7680"/>
    <n v="-0.11363636363636363"/>
    <n v="312"/>
  </r>
  <r>
    <x v="79"/>
    <s v="S018"/>
    <s v="C04"/>
    <x v="17"/>
    <x v="4"/>
    <x v="17"/>
    <x v="2"/>
    <n v="42120"/>
    <n v="41386"/>
    <n v="81"/>
    <n v="734"/>
    <n v="1.7735466099647223E-2"/>
    <n v="520"/>
  </r>
  <r>
    <x v="79"/>
    <s v="S019"/>
    <s v="C03"/>
    <x v="18"/>
    <x v="5"/>
    <x v="18"/>
    <x v="4"/>
    <n v="64779"/>
    <n v="58791"/>
    <n v="151"/>
    <n v="5988"/>
    <n v="0.10185232433535746"/>
    <n v="429"/>
  </r>
  <r>
    <x v="79"/>
    <s v="S020"/>
    <s v="C04"/>
    <x v="19"/>
    <x v="6"/>
    <x v="19"/>
    <x v="2"/>
    <n v="22617"/>
    <n v="23061"/>
    <n v="63"/>
    <n v="-444"/>
    <n v="-1.9253284766488878E-2"/>
    <n v="359"/>
  </r>
  <r>
    <x v="80"/>
    <s v="S001"/>
    <s v="C02"/>
    <x v="0"/>
    <x v="0"/>
    <x v="0"/>
    <x v="1"/>
    <n v="38306"/>
    <n v="40263"/>
    <n v="107"/>
    <n v="-1957"/>
    <n v="-4.8605419367657651E-2"/>
    <n v="358"/>
  </r>
  <r>
    <x v="80"/>
    <s v="S002"/>
    <s v="C02"/>
    <x v="1"/>
    <x v="0"/>
    <x v="1"/>
    <x v="1"/>
    <n v="38280"/>
    <n v="38334"/>
    <n v="165"/>
    <n v="-54"/>
    <n v="-1.4086711535451558E-3"/>
    <n v="232"/>
  </r>
  <r>
    <x v="80"/>
    <s v="S003"/>
    <s v="C01"/>
    <x v="2"/>
    <x v="0"/>
    <x v="2"/>
    <x v="0"/>
    <n v="54752"/>
    <n v="58166"/>
    <n v="118"/>
    <n v="-3414"/>
    <n v="-5.8694082453667092E-2"/>
    <n v="464"/>
  </r>
  <r>
    <x v="80"/>
    <s v="S004"/>
    <s v="C03"/>
    <x v="3"/>
    <x v="0"/>
    <x v="3"/>
    <x v="4"/>
    <n v="71136"/>
    <n v="71150"/>
    <n v="171"/>
    <n v="-14"/>
    <n v="-1.9676739283204498E-4"/>
    <n v="416"/>
  </r>
  <r>
    <x v="80"/>
    <s v="S005"/>
    <s v="C04"/>
    <x v="4"/>
    <x v="0"/>
    <x v="4"/>
    <x v="2"/>
    <n v="47712"/>
    <n v="45847"/>
    <n v="96"/>
    <n v="1865"/>
    <n v="4.0678779418500663E-2"/>
    <n v="497"/>
  </r>
  <r>
    <x v="80"/>
    <s v="S006"/>
    <s v="C02"/>
    <x v="5"/>
    <x v="1"/>
    <x v="5"/>
    <x v="1"/>
    <n v="59408"/>
    <n v="54448"/>
    <n v="158"/>
    <n v="4960"/>
    <n v="9.1096091683808403E-2"/>
    <n v="376"/>
  </r>
  <r>
    <x v="80"/>
    <s v="S007"/>
    <s v="C02"/>
    <x v="6"/>
    <x v="1"/>
    <x v="6"/>
    <x v="1"/>
    <n v="102184"/>
    <n v="102979"/>
    <n v="212"/>
    <n v="-795"/>
    <n v="-7.7200205867215647E-3"/>
    <n v="482"/>
  </r>
  <r>
    <x v="80"/>
    <s v="S008"/>
    <s v="C04"/>
    <x v="7"/>
    <x v="1"/>
    <x v="7"/>
    <x v="2"/>
    <n v="63900"/>
    <n v="66208"/>
    <n v="180"/>
    <n v="-2308"/>
    <n v="-3.4859835669405509E-2"/>
    <n v="355"/>
  </r>
  <r>
    <x v="80"/>
    <s v="S009"/>
    <s v="C02"/>
    <x v="8"/>
    <x v="1"/>
    <x v="8"/>
    <x v="1"/>
    <n v="41001"/>
    <n v="43764"/>
    <n v="79"/>
    <n v="-2763"/>
    <n v="-6.313408280778722E-2"/>
    <n v="519"/>
  </r>
  <r>
    <x v="80"/>
    <s v="S010"/>
    <s v="C05"/>
    <x v="9"/>
    <x v="1"/>
    <x v="9"/>
    <x v="3"/>
    <n v="37842"/>
    <n v="39659"/>
    <n v="159"/>
    <n v="-1817"/>
    <n v="-4.5815577800751406E-2"/>
    <n v="238"/>
  </r>
  <r>
    <x v="80"/>
    <s v="S011"/>
    <s v="C04"/>
    <x v="10"/>
    <x v="2"/>
    <x v="10"/>
    <x v="2"/>
    <n v="54752"/>
    <n v="50613"/>
    <n v="118"/>
    <n v="4139"/>
    <n v="8.177740896607591E-2"/>
    <n v="464"/>
  </r>
  <r>
    <x v="80"/>
    <s v="S012"/>
    <s v="C04"/>
    <x v="11"/>
    <x v="2"/>
    <x v="11"/>
    <x v="2"/>
    <n v="26960"/>
    <n v="30706"/>
    <n v="80"/>
    <n v="-3746"/>
    <n v="-0.12199570116589592"/>
    <n v="337"/>
  </r>
  <r>
    <x v="80"/>
    <s v="S013"/>
    <s v="C01"/>
    <x v="12"/>
    <x v="2"/>
    <x v="12"/>
    <x v="0"/>
    <n v="44180"/>
    <n v="47333"/>
    <n v="188"/>
    <n v="-3153"/>
    <n v="-6.6613145162994103E-2"/>
    <n v="235"/>
  </r>
  <r>
    <x v="80"/>
    <s v="S014"/>
    <s v="C05"/>
    <x v="13"/>
    <x v="2"/>
    <x v="13"/>
    <x v="3"/>
    <n v="45804"/>
    <n v="46883"/>
    <n v="132"/>
    <n v="-1079"/>
    <n v="-2.3014738817908411E-2"/>
    <n v="347"/>
  </r>
  <r>
    <x v="80"/>
    <s v="S015"/>
    <s v="C01"/>
    <x v="14"/>
    <x v="2"/>
    <x v="14"/>
    <x v="0"/>
    <n v="16878"/>
    <n v="18637"/>
    <n v="58"/>
    <n v="-1759"/>
    <n v="-9.4382143048773945E-2"/>
    <n v="291"/>
  </r>
  <r>
    <x v="80"/>
    <s v="S016"/>
    <s v="C05"/>
    <x v="15"/>
    <x v="3"/>
    <x v="15"/>
    <x v="3"/>
    <n v="35460"/>
    <n v="38625"/>
    <n v="197"/>
    <n v="-3165"/>
    <n v="-8.194174757281554E-2"/>
    <n v="180"/>
  </r>
  <r>
    <x v="80"/>
    <s v="S017"/>
    <s v="C02"/>
    <x v="16"/>
    <x v="3"/>
    <x v="16"/>
    <x v="1"/>
    <n v="67800"/>
    <n v="65960"/>
    <n v="150"/>
    <n v="1840"/>
    <n v="2.7895694360218316E-2"/>
    <n v="452"/>
  </r>
  <r>
    <x v="80"/>
    <s v="S018"/>
    <s v="C05"/>
    <x v="17"/>
    <x v="4"/>
    <x v="17"/>
    <x v="3"/>
    <n v="74256"/>
    <n v="70462"/>
    <n v="182"/>
    <n v="3794"/>
    <n v="5.3844625471885559E-2"/>
    <n v="408"/>
  </r>
  <r>
    <x v="80"/>
    <s v="S019"/>
    <s v="C03"/>
    <x v="18"/>
    <x v="5"/>
    <x v="18"/>
    <x v="4"/>
    <n v="52281"/>
    <n v="57435"/>
    <n v="111"/>
    <n v="-5154"/>
    <n v="-8.9736223557064509E-2"/>
    <n v="471"/>
  </r>
  <r>
    <x v="80"/>
    <s v="S020"/>
    <s v="C03"/>
    <x v="19"/>
    <x v="6"/>
    <x v="19"/>
    <x v="4"/>
    <n v="51976"/>
    <n v="59646"/>
    <n v="146"/>
    <n v="-7670"/>
    <n v="-0.12859202628843511"/>
    <n v="356"/>
  </r>
  <r>
    <x v="81"/>
    <s v="S001"/>
    <s v="C05"/>
    <x v="0"/>
    <x v="0"/>
    <x v="0"/>
    <x v="3"/>
    <n v="18241"/>
    <n v="20915"/>
    <n v="37"/>
    <n v="-2674"/>
    <n v="-0.1278508247669137"/>
    <n v="493"/>
  </r>
  <r>
    <x v="81"/>
    <s v="S002"/>
    <s v="C04"/>
    <x v="1"/>
    <x v="0"/>
    <x v="1"/>
    <x v="2"/>
    <n v="22110"/>
    <n v="20243"/>
    <n v="67"/>
    <n v="1867"/>
    <n v="9.2229412636466931E-2"/>
    <n v="330"/>
  </r>
  <r>
    <x v="81"/>
    <s v="S003"/>
    <s v="C05"/>
    <x v="2"/>
    <x v="0"/>
    <x v="2"/>
    <x v="3"/>
    <n v="8640"/>
    <n v="9295"/>
    <n v="48"/>
    <n v="-655"/>
    <n v="-7.0467993544916618E-2"/>
    <n v="180"/>
  </r>
  <r>
    <x v="81"/>
    <s v="S004"/>
    <s v="C03"/>
    <x v="3"/>
    <x v="0"/>
    <x v="3"/>
    <x v="4"/>
    <n v="20412"/>
    <n v="22788"/>
    <n v="63"/>
    <n v="-2376"/>
    <n v="-0.10426540284360189"/>
    <n v="324"/>
  </r>
  <r>
    <x v="81"/>
    <s v="S005"/>
    <s v="C02"/>
    <x v="4"/>
    <x v="0"/>
    <x v="4"/>
    <x v="1"/>
    <n v="69890"/>
    <n v="69789"/>
    <n v="145"/>
    <n v="101"/>
    <n v="1.4472194758486294E-3"/>
    <n v="482"/>
  </r>
  <r>
    <x v="81"/>
    <s v="S006"/>
    <s v="C03"/>
    <x v="5"/>
    <x v="1"/>
    <x v="5"/>
    <x v="4"/>
    <n v="81375"/>
    <n v="81497"/>
    <n v="217"/>
    <n v="-122"/>
    <n v="-1.496987619176166E-3"/>
    <n v="375"/>
  </r>
  <r>
    <x v="81"/>
    <s v="S007"/>
    <s v="C04"/>
    <x v="6"/>
    <x v="1"/>
    <x v="6"/>
    <x v="2"/>
    <n v="50112"/>
    <n v="53400"/>
    <n v="174"/>
    <n v="-3288"/>
    <n v="-6.1573033707865168E-2"/>
    <n v="288"/>
  </r>
  <r>
    <x v="81"/>
    <s v="S008"/>
    <s v="C04"/>
    <x v="7"/>
    <x v="1"/>
    <x v="7"/>
    <x v="2"/>
    <n v="19320"/>
    <n v="20070"/>
    <n v="70"/>
    <n v="-750"/>
    <n v="-3.7369207772795218E-2"/>
    <n v="276"/>
  </r>
  <r>
    <x v="81"/>
    <s v="S009"/>
    <s v="C03"/>
    <x v="8"/>
    <x v="1"/>
    <x v="8"/>
    <x v="4"/>
    <n v="36378"/>
    <n v="35363"/>
    <n v="141"/>
    <n v="1015"/>
    <n v="2.8702315979979073E-2"/>
    <n v="258"/>
  </r>
  <r>
    <x v="81"/>
    <s v="S010"/>
    <s v="C02"/>
    <x v="9"/>
    <x v="1"/>
    <x v="9"/>
    <x v="1"/>
    <n v="12765"/>
    <n v="11717"/>
    <n v="69"/>
    <n v="1048"/>
    <n v="8.9442690108389525E-2"/>
    <n v="185"/>
  </r>
  <r>
    <x v="81"/>
    <s v="S011"/>
    <s v="C01"/>
    <x v="10"/>
    <x v="2"/>
    <x v="10"/>
    <x v="0"/>
    <n v="30459"/>
    <n v="32423"/>
    <n v="71"/>
    <n v="-1964"/>
    <n v="-6.0574283687505781E-2"/>
    <n v="429"/>
  </r>
  <r>
    <x v="81"/>
    <s v="S012"/>
    <s v="C02"/>
    <x v="11"/>
    <x v="2"/>
    <x v="11"/>
    <x v="1"/>
    <n v="14000"/>
    <n v="14847"/>
    <n v="56"/>
    <n v="-847"/>
    <n v="-5.704856199905705E-2"/>
    <n v="250"/>
  </r>
  <r>
    <x v="81"/>
    <s v="S013"/>
    <s v="C04"/>
    <x v="12"/>
    <x v="2"/>
    <x v="12"/>
    <x v="2"/>
    <n v="73839"/>
    <n v="83628"/>
    <n v="151"/>
    <n v="-9789"/>
    <n v="-0.11705409671401923"/>
    <n v="489"/>
  </r>
  <r>
    <x v="81"/>
    <s v="S014"/>
    <s v="C05"/>
    <x v="13"/>
    <x v="2"/>
    <x v="13"/>
    <x v="3"/>
    <n v="33372"/>
    <n v="34284"/>
    <n v="81"/>
    <n v="-912"/>
    <n v="-2.6601330066503327E-2"/>
    <n v="412"/>
  </r>
  <r>
    <x v="81"/>
    <s v="S015"/>
    <s v="C05"/>
    <x v="14"/>
    <x v="2"/>
    <x v="14"/>
    <x v="3"/>
    <n v="56400"/>
    <n v="55769"/>
    <n v="150"/>
    <n v="631"/>
    <n v="1.1314529577363768E-2"/>
    <n v="376"/>
  </r>
  <r>
    <x v="81"/>
    <s v="S016"/>
    <s v="C02"/>
    <x v="15"/>
    <x v="3"/>
    <x v="15"/>
    <x v="1"/>
    <n v="69927"/>
    <n v="63064"/>
    <n v="143"/>
    <n v="6863"/>
    <n v="0.10882595458581758"/>
    <n v="489"/>
  </r>
  <r>
    <x v="81"/>
    <s v="S017"/>
    <s v="C04"/>
    <x v="16"/>
    <x v="3"/>
    <x v="16"/>
    <x v="2"/>
    <n v="41420"/>
    <n v="40066"/>
    <n v="95"/>
    <n v="1354"/>
    <n v="3.3794239504817053E-2"/>
    <n v="436"/>
  </r>
  <r>
    <x v="81"/>
    <s v="S018"/>
    <s v="C05"/>
    <x v="17"/>
    <x v="4"/>
    <x v="17"/>
    <x v="3"/>
    <n v="66794"/>
    <n v="60673"/>
    <n v="182"/>
    <n v="6121"/>
    <n v="0.10088507243749278"/>
    <n v="367"/>
  </r>
  <r>
    <x v="81"/>
    <s v="S019"/>
    <s v="C01"/>
    <x v="18"/>
    <x v="5"/>
    <x v="18"/>
    <x v="0"/>
    <n v="76860"/>
    <n v="82718"/>
    <n v="180"/>
    <n v="-5858"/>
    <n v="-7.081892695664789E-2"/>
    <n v="427"/>
  </r>
  <r>
    <x v="81"/>
    <s v="S020"/>
    <s v="C01"/>
    <x v="19"/>
    <x v="6"/>
    <x v="19"/>
    <x v="0"/>
    <n v="77958"/>
    <n v="88905"/>
    <n v="183"/>
    <n v="-10947"/>
    <n v="-0.12313143242787244"/>
    <n v="426"/>
  </r>
  <r>
    <x v="82"/>
    <s v="S001"/>
    <s v="C01"/>
    <x v="0"/>
    <x v="0"/>
    <x v="0"/>
    <x v="0"/>
    <n v="31879"/>
    <n v="36529"/>
    <n v="71"/>
    <n v="-4650"/>
    <n v="-0.12729612089025158"/>
    <n v="449"/>
  </r>
  <r>
    <x v="82"/>
    <s v="S002"/>
    <s v="C03"/>
    <x v="1"/>
    <x v="0"/>
    <x v="1"/>
    <x v="4"/>
    <n v="68376"/>
    <n v="62875"/>
    <n v="154"/>
    <n v="5501"/>
    <n v="8.7491053677932404E-2"/>
    <n v="444"/>
  </r>
  <r>
    <x v="82"/>
    <s v="S003"/>
    <s v="C05"/>
    <x v="2"/>
    <x v="0"/>
    <x v="2"/>
    <x v="3"/>
    <n v="17385"/>
    <n v="17699"/>
    <n v="57"/>
    <n v="-314"/>
    <n v="-1.7741115317249562E-2"/>
    <n v="305"/>
  </r>
  <r>
    <x v="82"/>
    <s v="S004"/>
    <s v="C01"/>
    <x v="3"/>
    <x v="0"/>
    <x v="3"/>
    <x v="0"/>
    <n v="105840"/>
    <n v="109523"/>
    <n v="210"/>
    <n v="-3683"/>
    <n v="-3.3627639856468501E-2"/>
    <n v="504"/>
  </r>
  <r>
    <x v="82"/>
    <s v="S005"/>
    <s v="C05"/>
    <x v="4"/>
    <x v="0"/>
    <x v="4"/>
    <x v="3"/>
    <n v="56202"/>
    <n v="51323"/>
    <n v="114"/>
    <n v="4879"/>
    <n v="9.5064590924147069E-2"/>
    <n v="493"/>
  </r>
  <r>
    <x v="82"/>
    <s v="S006"/>
    <s v="C03"/>
    <x v="5"/>
    <x v="1"/>
    <x v="5"/>
    <x v="4"/>
    <n v="31635"/>
    <n v="32179"/>
    <n v="171"/>
    <n v="-544"/>
    <n v="-1.6905435221728455E-2"/>
    <n v="185"/>
  </r>
  <r>
    <x v="82"/>
    <s v="S007"/>
    <s v="C05"/>
    <x v="6"/>
    <x v="1"/>
    <x v="6"/>
    <x v="3"/>
    <n v="73315"/>
    <n v="79433"/>
    <n v="155"/>
    <n v="-6118"/>
    <n v="-7.7020885526166705E-2"/>
    <n v="473"/>
  </r>
  <r>
    <x v="82"/>
    <s v="S008"/>
    <s v="C04"/>
    <x v="7"/>
    <x v="1"/>
    <x v="7"/>
    <x v="2"/>
    <n v="41250"/>
    <n v="40107"/>
    <n v="125"/>
    <n v="1143"/>
    <n v="2.8498765801481037E-2"/>
    <n v="330"/>
  </r>
  <r>
    <x v="82"/>
    <s v="S009"/>
    <s v="C01"/>
    <x v="8"/>
    <x v="1"/>
    <x v="8"/>
    <x v="0"/>
    <n v="102820"/>
    <n v="111801"/>
    <n v="212"/>
    <n v="-8981"/>
    <n v="-8.0330229604386363E-2"/>
    <n v="485"/>
  </r>
  <r>
    <x v="82"/>
    <s v="S010"/>
    <s v="C05"/>
    <x v="9"/>
    <x v="1"/>
    <x v="9"/>
    <x v="3"/>
    <n v="21311"/>
    <n v="22532"/>
    <n v="101"/>
    <n v="-1221"/>
    <n v="-5.4189597017575003E-2"/>
    <n v="211"/>
  </r>
  <r>
    <x v="82"/>
    <s v="S011"/>
    <s v="C05"/>
    <x v="10"/>
    <x v="2"/>
    <x v="10"/>
    <x v="3"/>
    <n v="36894"/>
    <n v="33680"/>
    <n v="78"/>
    <n v="3214"/>
    <n v="9.5427553444180524E-2"/>
    <n v="473"/>
  </r>
  <r>
    <x v="82"/>
    <s v="S012"/>
    <s v="C03"/>
    <x v="11"/>
    <x v="2"/>
    <x v="11"/>
    <x v="4"/>
    <n v="37442"/>
    <n v="36382"/>
    <n v="194"/>
    <n v="1060"/>
    <n v="2.9135286680226486E-2"/>
    <n v="193"/>
  </r>
  <r>
    <x v="82"/>
    <s v="S013"/>
    <s v="C01"/>
    <x v="12"/>
    <x v="2"/>
    <x v="12"/>
    <x v="0"/>
    <n v="29346"/>
    <n v="26975"/>
    <n v="67"/>
    <n v="2371"/>
    <n v="8.7896200185356807E-2"/>
    <n v="438"/>
  </r>
  <r>
    <x v="82"/>
    <s v="S014"/>
    <s v="C03"/>
    <x v="13"/>
    <x v="2"/>
    <x v="13"/>
    <x v="4"/>
    <n v="24453"/>
    <n v="25772"/>
    <n v="99"/>
    <n v="-1319"/>
    <n v="-5.1179574732267578E-2"/>
    <n v="247"/>
  </r>
  <r>
    <x v="82"/>
    <s v="S015"/>
    <s v="C03"/>
    <x v="14"/>
    <x v="2"/>
    <x v="14"/>
    <x v="4"/>
    <n v="18700"/>
    <n v="20296"/>
    <n v="100"/>
    <n v="-1596"/>
    <n v="-7.8636184469846271E-2"/>
    <n v="187"/>
  </r>
  <r>
    <x v="82"/>
    <s v="S016"/>
    <s v="C05"/>
    <x v="15"/>
    <x v="3"/>
    <x v="15"/>
    <x v="3"/>
    <n v="38078"/>
    <n v="41304"/>
    <n v="79"/>
    <n v="-3226"/>
    <n v="-7.8103815611078833E-2"/>
    <n v="482"/>
  </r>
  <r>
    <x v="82"/>
    <s v="S017"/>
    <s v="C04"/>
    <x v="16"/>
    <x v="3"/>
    <x v="16"/>
    <x v="2"/>
    <n v="34701"/>
    <n v="33497"/>
    <n v="129"/>
    <n v="1204"/>
    <n v="3.5943517329910142E-2"/>
    <n v="269"/>
  </r>
  <r>
    <x v="82"/>
    <s v="S018"/>
    <s v="C02"/>
    <x v="17"/>
    <x v="4"/>
    <x v="17"/>
    <x v="1"/>
    <n v="43248"/>
    <n v="47566"/>
    <n v="159"/>
    <n v="-4318"/>
    <n v="-9.0779127948534669E-2"/>
    <n v="272"/>
  </r>
  <r>
    <x v="82"/>
    <s v="S019"/>
    <s v="C01"/>
    <x v="18"/>
    <x v="5"/>
    <x v="18"/>
    <x v="0"/>
    <n v="27206"/>
    <n v="31064"/>
    <n v="122"/>
    <n v="-3858"/>
    <n v="-0.12419520988926087"/>
    <n v="223"/>
  </r>
  <r>
    <x v="82"/>
    <s v="S020"/>
    <s v="C05"/>
    <x v="19"/>
    <x v="6"/>
    <x v="19"/>
    <x v="3"/>
    <n v="32042"/>
    <n v="34867"/>
    <n v="74"/>
    <n v="-2825"/>
    <n v="-8.1022169960134227E-2"/>
    <n v="433"/>
  </r>
  <r>
    <x v="83"/>
    <s v="S001"/>
    <s v="C04"/>
    <x v="0"/>
    <x v="0"/>
    <x v="0"/>
    <x v="2"/>
    <n v="40033"/>
    <n v="42641"/>
    <n v="133"/>
    <n v="-2608"/>
    <n v="-6.1161792640885532E-2"/>
    <n v="301"/>
  </r>
  <r>
    <x v="83"/>
    <s v="S002"/>
    <s v="C02"/>
    <x v="1"/>
    <x v="0"/>
    <x v="1"/>
    <x v="1"/>
    <n v="41800"/>
    <n v="45294"/>
    <n v="88"/>
    <n v="-3494"/>
    <n v="-7.714046010509118E-2"/>
    <n v="475"/>
  </r>
  <r>
    <x v="83"/>
    <s v="S003"/>
    <s v="C03"/>
    <x v="2"/>
    <x v="0"/>
    <x v="2"/>
    <x v="4"/>
    <n v="24384"/>
    <n v="23557"/>
    <n v="48"/>
    <n v="827"/>
    <n v="3.5106337818907332E-2"/>
    <n v="508"/>
  </r>
  <r>
    <x v="83"/>
    <s v="S004"/>
    <s v="C01"/>
    <x v="3"/>
    <x v="0"/>
    <x v="3"/>
    <x v="0"/>
    <n v="12720"/>
    <n v="12923"/>
    <n v="48"/>
    <n v="-203"/>
    <n v="-1.5708426835874024E-2"/>
    <n v="265"/>
  </r>
  <r>
    <x v="83"/>
    <s v="S005"/>
    <s v="C04"/>
    <x v="4"/>
    <x v="0"/>
    <x v="4"/>
    <x v="2"/>
    <n v="47376"/>
    <n v="51475"/>
    <n v="112"/>
    <n v="-4099"/>
    <n v="-7.9630888780961626E-2"/>
    <n v="423"/>
  </r>
  <r>
    <x v="83"/>
    <s v="S006"/>
    <s v="C05"/>
    <x v="5"/>
    <x v="1"/>
    <x v="5"/>
    <x v="3"/>
    <n v="35156"/>
    <n v="37647"/>
    <n v="94"/>
    <n v="-2491"/>
    <n v="-6.6167290886392005E-2"/>
    <n v="374"/>
  </r>
  <r>
    <x v="83"/>
    <s v="S007"/>
    <s v="C04"/>
    <x v="6"/>
    <x v="1"/>
    <x v="6"/>
    <x v="2"/>
    <n v="48984"/>
    <n v="45863"/>
    <n v="156"/>
    <n v="3121"/>
    <n v="6.8050498222968409E-2"/>
    <n v="314"/>
  </r>
  <r>
    <x v="83"/>
    <s v="S008"/>
    <s v="C04"/>
    <x v="7"/>
    <x v="1"/>
    <x v="7"/>
    <x v="2"/>
    <n v="12426"/>
    <n v="14063"/>
    <n v="38"/>
    <n v="-1637"/>
    <n v="-0.11640475005333144"/>
    <n v="327"/>
  </r>
  <r>
    <x v="83"/>
    <s v="S009"/>
    <s v="C04"/>
    <x v="8"/>
    <x v="1"/>
    <x v="8"/>
    <x v="2"/>
    <n v="45012"/>
    <n v="51333"/>
    <n v="132"/>
    <n v="-6321"/>
    <n v="-0.12313716322833265"/>
    <n v="341"/>
  </r>
  <r>
    <x v="83"/>
    <s v="S010"/>
    <s v="C01"/>
    <x v="9"/>
    <x v="1"/>
    <x v="9"/>
    <x v="0"/>
    <n v="26668"/>
    <n v="28250"/>
    <n v="59"/>
    <n v="-1582"/>
    <n v="-5.6000000000000001E-2"/>
    <n v="452"/>
  </r>
  <r>
    <x v="83"/>
    <s v="S011"/>
    <s v="C04"/>
    <x v="10"/>
    <x v="2"/>
    <x v="10"/>
    <x v="2"/>
    <n v="97983"/>
    <n v="109210"/>
    <n v="191"/>
    <n v="-11227"/>
    <n v="-0.10280194121417452"/>
    <n v="513"/>
  </r>
  <r>
    <x v="83"/>
    <s v="S012"/>
    <s v="C03"/>
    <x v="11"/>
    <x v="2"/>
    <x v="11"/>
    <x v="4"/>
    <n v="32864"/>
    <n v="36169"/>
    <n v="104"/>
    <n v="-3305"/>
    <n v="-9.1376593215184279E-2"/>
    <n v="316"/>
  </r>
  <r>
    <x v="83"/>
    <s v="S013"/>
    <s v="C03"/>
    <x v="12"/>
    <x v="2"/>
    <x v="12"/>
    <x v="4"/>
    <n v="96758"/>
    <n v="96544"/>
    <n v="202"/>
    <n v="214"/>
    <n v="2.2166058999005633E-3"/>
    <n v="479"/>
  </r>
  <r>
    <x v="83"/>
    <s v="S014"/>
    <s v="C02"/>
    <x v="13"/>
    <x v="2"/>
    <x v="13"/>
    <x v="1"/>
    <n v="99567"/>
    <n v="108789"/>
    <n v="207"/>
    <n v="-9222"/>
    <n v="-8.4769599867633674E-2"/>
    <n v="481"/>
  </r>
  <r>
    <x v="83"/>
    <s v="S015"/>
    <s v="C05"/>
    <x v="14"/>
    <x v="2"/>
    <x v="14"/>
    <x v="3"/>
    <n v="32912"/>
    <n v="32198"/>
    <n v="121"/>
    <n v="714"/>
    <n v="2.2175290390707498E-2"/>
    <n v="272"/>
  </r>
  <r>
    <x v="83"/>
    <s v="S016"/>
    <s v="C01"/>
    <x v="15"/>
    <x v="3"/>
    <x v="15"/>
    <x v="0"/>
    <n v="38088"/>
    <n v="42198"/>
    <n v="207"/>
    <n v="-4110"/>
    <n v="-9.7397980946964308E-2"/>
    <n v="184"/>
  </r>
  <r>
    <x v="83"/>
    <s v="S017"/>
    <s v="C01"/>
    <x v="16"/>
    <x v="3"/>
    <x v="16"/>
    <x v="0"/>
    <n v="32200"/>
    <n v="33208"/>
    <n v="140"/>
    <n v="-1008"/>
    <n v="-3.0354131534569982E-2"/>
    <n v="230"/>
  </r>
  <r>
    <x v="83"/>
    <s v="S018"/>
    <s v="C04"/>
    <x v="17"/>
    <x v="4"/>
    <x v="17"/>
    <x v="2"/>
    <n v="36208"/>
    <n v="39152"/>
    <n v="124"/>
    <n v="-2944"/>
    <n v="-7.5194115243154877E-2"/>
    <n v="292"/>
  </r>
  <r>
    <x v="83"/>
    <s v="S019"/>
    <s v="C03"/>
    <x v="18"/>
    <x v="5"/>
    <x v="18"/>
    <x v="4"/>
    <n v="16548"/>
    <n v="14991"/>
    <n v="84"/>
    <n v="1557"/>
    <n v="0.10386231739043426"/>
    <n v="197"/>
  </r>
  <r>
    <x v="83"/>
    <s v="S020"/>
    <s v="C01"/>
    <x v="19"/>
    <x v="6"/>
    <x v="19"/>
    <x v="0"/>
    <n v="23716"/>
    <n v="25237"/>
    <n v="49"/>
    <n v="-1521"/>
    <n v="-6.0268653167967666E-2"/>
    <n v="484"/>
  </r>
  <r>
    <x v="84"/>
    <s v="S001"/>
    <s v="C02"/>
    <x v="0"/>
    <x v="0"/>
    <x v="0"/>
    <x v="1"/>
    <n v="95128"/>
    <n v="88511"/>
    <n v="188"/>
    <n v="6617"/>
    <n v="7.4759069494187161E-2"/>
    <n v="506"/>
  </r>
  <r>
    <x v="84"/>
    <s v="S002"/>
    <s v="C01"/>
    <x v="1"/>
    <x v="0"/>
    <x v="1"/>
    <x v="0"/>
    <n v="27873"/>
    <n v="25990"/>
    <n v="57"/>
    <n v="1883"/>
    <n v="7.2450942670257798E-2"/>
    <n v="489"/>
  </r>
  <r>
    <x v="84"/>
    <s v="S003"/>
    <s v="C05"/>
    <x v="2"/>
    <x v="0"/>
    <x v="2"/>
    <x v="3"/>
    <n v="19352"/>
    <n v="20782"/>
    <n v="82"/>
    <n v="-1430"/>
    <n v="-6.8809546723125781E-2"/>
    <n v="236"/>
  </r>
  <r>
    <x v="84"/>
    <s v="S004"/>
    <s v="C03"/>
    <x v="3"/>
    <x v="0"/>
    <x v="3"/>
    <x v="4"/>
    <n v="46090"/>
    <n v="49091"/>
    <n v="110"/>
    <n v="-3001"/>
    <n v="-6.1131368275243937E-2"/>
    <n v="419"/>
  </r>
  <r>
    <x v="84"/>
    <s v="S005"/>
    <s v="C01"/>
    <x v="4"/>
    <x v="0"/>
    <x v="4"/>
    <x v="0"/>
    <n v="81576"/>
    <n v="92235"/>
    <n v="198"/>
    <n v="-10659"/>
    <n v="-0.11556350626118068"/>
    <n v="412"/>
  </r>
  <r>
    <x v="84"/>
    <s v="S006"/>
    <s v="C03"/>
    <x v="5"/>
    <x v="1"/>
    <x v="5"/>
    <x v="4"/>
    <n v="49680"/>
    <n v="47908"/>
    <n v="144"/>
    <n v="1772"/>
    <n v="3.6987559489020626E-2"/>
    <n v="345"/>
  </r>
  <r>
    <x v="84"/>
    <s v="S007"/>
    <s v="C01"/>
    <x v="6"/>
    <x v="1"/>
    <x v="6"/>
    <x v="0"/>
    <n v="22155"/>
    <n v="22059"/>
    <n v="105"/>
    <n v="96"/>
    <n v="4.3519651842785258E-3"/>
    <n v="211"/>
  </r>
  <r>
    <x v="84"/>
    <s v="S008"/>
    <s v="C03"/>
    <x v="7"/>
    <x v="1"/>
    <x v="7"/>
    <x v="4"/>
    <n v="15600"/>
    <n v="17766"/>
    <n v="50"/>
    <n v="-2166"/>
    <n v="-0.12191827085444107"/>
    <n v="312"/>
  </r>
  <r>
    <x v="84"/>
    <s v="S009"/>
    <s v="C03"/>
    <x v="8"/>
    <x v="1"/>
    <x v="8"/>
    <x v="4"/>
    <n v="32400"/>
    <n v="29722"/>
    <n v="80"/>
    <n v="2678"/>
    <n v="9.0101608236323266E-2"/>
    <n v="405"/>
  </r>
  <r>
    <x v="84"/>
    <s v="S010"/>
    <s v="C02"/>
    <x v="9"/>
    <x v="1"/>
    <x v="9"/>
    <x v="1"/>
    <n v="72771"/>
    <n v="68740"/>
    <n v="191"/>
    <n v="4031"/>
    <n v="5.8641256910096015E-2"/>
    <n v="381"/>
  </r>
  <r>
    <x v="84"/>
    <s v="S011"/>
    <s v="C04"/>
    <x v="10"/>
    <x v="2"/>
    <x v="10"/>
    <x v="2"/>
    <n v="15686"/>
    <n v="16237"/>
    <n v="62"/>
    <n v="-551"/>
    <n v="-3.3934840179836175E-2"/>
    <n v="253"/>
  </r>
  <r>
    <x v="84"/>
    <s v="S012"/>
    <s v="C04"/>
    <x v="11"/>
    <x v="2"/>
    <x v="11"/>
    <x v="2"/>
    <n v="44460"/>
    <n v="47164"/>
    <n v="90"/>
    <n v="-2704"/>
    <n v="-5.7331863285556783E-2"/>
    <n v="494"/>
  </r>
  <r>
    <x v="84"/>
    <s v="S013"/>
    <s v="C04"/>
    <x v="12"/>
    <x v="2"/>
    <x v="12"/>
    <x v="2"/>
    <n v="68016"/>
    <n v="62970"/>
    <n v="218"/>
    <n v="5046"/>
    <n v="8.013339685564555E-2"/>
    <n v="312"/>
  </r>
  <r>
    <x v="84"/>
    <s v="S014"/>
    <s v="C01"/>
    <x v="13"/>
    <x v="2"/>
    <x v="13"/>
    <x v="0"/>
    <n v="25016"/>
    <n v="27064"/>
    <n v="53"/>
    <n v="-2048"/>
    <n v="-7.5672480047295307E-2"/>
    <n v="472"/>
  </r>
  <r>
    <x v="84"/>
    <s v="S015"/>
    <s v="C04"/>
    <x v="14"/>
    <x v="2"/>
    <x v="14"/>
    <x v="2"/>
    <n v="16926"/>
    <n v="15863"/>
    <n v="39"/>
    <n v="1063"/>
    <n v="6.7011284120279901E-2"/>
    <n v="434"/>
  </r>
  <r>
    <x v="84"/>
    <s v="S016"/>
    <s v="C01"/>
    <x v="15"/>
    <x v="3"/>
    <x v="15"/>
    <x v="0"/>
    <n v="22880"/>
    <n v="22825"/>
    <n v="44"/>
    <n v="55"/>
    <n v="2.4096385542168677E-3"/>
    <n v="520"/>
  </r>
  <r>
    <x v="84"/>
    <s v="S017"/>
    <s v="C02"/>
    <x v="16"/>
    <x v="3"/>
    <x v="16"/>
    <x v="1"/>
    <n v="74472"/>
    <n v="83866"/>
    <n v="214"/>
    <n v="-9394"/>
    <n v="-0.11201201917344335"/>
    <n v="348"/>
  </r>
  <r>
    <x v="84"/>
    <s v="S018"/>
    <s v="C05"/>
    <x v="17"/>
    <x v="4"/>
    <x v="17"/>
    <x v="3"/>
    <n v="15505"/>
    <n v="16697"/>
    <n v="35"/>
    <n v="-1192"/>
    <n v="-7.1390070072468115E-2"/>
    <n v="443"/>
  </r>
  <r>
    <x v="84"/>
    <s v="S019"/>
    <s v="C04"/>
    <x v="18"/>
    <x v="5"/>
    <x v="18"/>
    <x v="2"/>
    <n v="63271"/>
    <n v="63332"/>
    <n v="157"/>
    <n v="-61"/>
    <n v="-9.6317817217204569E-4"/>
    <n v="403"/>
  </r>
  <r>
    <x v="84"/>
    <s v="S020"/>
    <s v="C01"/>
    <x v="19"/>
    <x v="6"/>
    <x v="19"/>
    <x v="0"/>
    <n v="51035"/>
    <n v="45973"/>
    <n v="173"/>
    <n v="5062"/>
    <n v="0.11010810693232985"/>
    <n v="295"/>
  </r>
  <r>
    <x v="85"/>
    <s v="S001"/>
    <s v="C04"/>
    <x v="0"/>
    <x v="0"/>
    <x v="0"/>
    <x v="2"/>
    <n v="31020"/>
    <n v="32069"/>
    <n v="66"/>
    <n v="-1049"/>
    <n v="-3.2710717515357507E-2"/>
    <n v="470"/>
  </r>
  <r>
    <x v="85"/>
    <s v="S002"/>
    <s v="C03"/>
    <x v="1"/>
    <x v="0"/>
    <x v="1"/>
    <x v="4"/>
    <n v="40200"/>
    <n v="40206"/>
    <n v="120"/>
    <n v="-6"/>
    <n v="-1.4923145799134458E-4"/>
    <n v="335"/>
  </r>
  <r>
    <x v="85"/>
    <s v="S003"/>
    <s v="C01"/>
    <x v="2"/>
    <x v="0"/>
    <x v="2"/>
    <x v="0"/>
    <n v="57984"/>
    <n v="64555"/>
    <n v="128"/>
    <n v="-6571"/>
    <n v="-0.10178917202385562"/>
    <n v="453"/>
  </r>
  <r>
    <x v="85"/>
    <s v="S004"/>
    <s v="C03"/>
    <x v="3"/>
    <x v="0"/>
    <x v="3"/>
    <x v="4"/>
    <n v="22825"/>
    <n v="24881"/>
    <n v="55"/>
    <n v="-2056"/>
    <n v="-8.2633334673043693E-2"/>
    <n v="415"/>
  </r>
  <r>
    <x v="85"/>
    <s v="S005"/>
    <s v="C03"/>
    <x v="4"/>
    <x v="0"/>
    <x v="4"/>
    <x v="4"/>
    <n v="56600"/>
    <n v="53439"/>
    <n v="200"/>
    <n v="3161"/>
    <n v="5.9151555979715192E-2"/>
    <n v="283"/>
  </r>
  <r>
    <x v="85"/>
    <s v="S006"/>
    <s v="C01"/>
    <x v="5"/>
    <x v="1"/>
    <x v="5"/>
    <x v="0"/>
    <n v="68894"/>
    <n v="65294"/>
    <n v="133"/>
    <n v="3600"/>
    <n v="5.5135234477899961E-2"/>
    <n v="518"/>
  </r>
  <r>
    <x v="85"/>
    <s v="S007"/>
    <s v="C04"/>
    <x v="6"/>
    <x v="1"/>
    <x v="6"/>
    <x v="2"/>
    <n v="31124"/>
    <n v="33371"/>
    <n v="62"/>
    <n v="-2247"/>
    <n v="-6.73339126786731E-2"/>
    <n v="502"/>
  </r>
  <r>
    <x v="85"/>
    <s v="S008"/>
    <s v="C04"/>
    <x v="7"/>
    <x v="1"/>
    <x v="7"/>
    <x v="2"/>
    <n v="28168"/>
    <n v="28435"/>
    <n v="56"/>
    <n v="-267"/>
    <n v="-9.3898364691401438E-3"/>
    <n v="503"/>
  </r>
  <r>
    <x v="85"/>
    <s v="S009"/>
    <s v="C02"/>
    <x v="8"/>
    <x v="1"/>
    <x v="8"/>
    <x v="1"/>
    <n v="13860"/>
    <n v="13143"/>
    <n v="70"/>
    <n v="717"/>
    <n v="5.4553754850490757E-2"/>
    <n v="198"/>
  </r>
  <r>
    <x v="85"/>
    <s v="S010"/>
    <s v="C05"/>
    <x v="9"/>
    <x v="1"/>
    <x v="9"/>
    <x v="3"/>
    <n v="41280"/>
    <n v="41164"/>
    <n v="96"/>
    <n v="116"/>
    <n v="2.8179963074531143E-3"/>
    <n v="430"/>
  </r>
  <r>
    <x v="85"/>
    <s v="S011"/>
    <s v="C05"/>
    <x v="10"/>
    <x v="2"/>
    <x v="10"/>
    <x v="3"/>
    <n v="67063"/>
    <n v="68734"/>
    <n v="199"/>
    <n v="-1671"/>
    <n v="-2.4311112404341376E-2"/>
    <n v="337"/>
  </r>
  <r>
    <x v="85"/>
    <s v="S012"/>
    <s v="C04"/>
    <x v="11"/>
    <x v="2"/>
    <x v="11"/>
    <x v="2"/>
    <n v="7722"/>
    <n v="7604"/>
    <n v="39"/>
    <n v="118"/>
    <n v="1.551814834297738E-2"/>
    <n v="198"/>
  </r>
  <r>
    <x v="85"/>
    <s v="S013"/>
    <s v="C03"/>
    <x v="12"/>
    <x v="2"/>
    <x v="12"/>
    <x v="4"/>
    <n v="44019"/>
    <n v="44079"/>
    <n v="219"/>
    <n v="-60"/>
    <n v="-1.3611924045463827E-3"/>
    <n v="201"/>
  </r>
  <r>
    <x v="85"/>
    <s v="S014"/>
    <s v="C02"/>
    <x v="13"/>
    <x v="2"/>
    <x v="13"/>
    <x v="1"/>
    <n v="90294"/>
    <n v="91611"/>
    <n v="202"/>
    <n v="-1317"/>
    <n v="-1.4376002881750009E-2"/>
    <n v="447"/>
  </r>
  <r>
    <x v="85"/>
    <s v="S015"/>
    <s v="C05"/>
    <x v="14"/>
    <x v="2"/>
    <x v="14"/>
    <x v="3"/>
    <n v="34748"/>
    <n v="33297"/>
    <n v="73"/>
    <n v="1451"/>
    <n v="4.3577499474427128E-2"/>
    <n v="476"/>
  </r>
  <r>
    <x v="85"/>
    <s v="S016"/>
    <s v="C01"/>
    <x v="15"/>
    <x v="3"/>
    <x v="15"/>
    <x v="0"/>
    <n v="11088"/>
    <n v="11334"/>
    <n v="44"/>
    <n v="-246"/>
    <n v="-2.170460561143462E-2"/>
    <n v="252"/>
  </r>
  <r>
    <x v="85"/>
    <s v="S017"/>
    <s v="C01"/>
    <x v="16"/>
    <x v="3"/>
    <x v="16"/>
    <x v="0"/>
    <n v="76880"/>
    <n v="70072"/>
    <n v="155"/>
    <n v="6808"/>
    <n v="9.7157209727137803E-2"/>
    <n v="496"/>
  </r>
  <r>
    <x v="85"/>
    <s v="S018"/>
    <s v="C02"/>
    <x v="17"/>
    <x v="4"/>
    <x v="17"/>
    <x v="1"/>
    <n v="10184"/>
    <n v="10776"/>
    <n v="38"/>
    <n v="-592"/>
    <n v="-5.4936896807720861E-2"/>
    <n v="268"/>
  </r>
  <r>
    <x v="85"/>
    <s v="S019"/>
    <s v="C03"/>
    <x v="18"/>
    <x v="5"/>
    <x v="18"/>
    <x v="4"/>
    <n v="24367"/>
    <n v="25653"/>
    <n v="59"/>
    <n v="-1286"/>
    <n v="-5.0130589014930026E-2"/>
    <n v="413"/>
  </r>
  <r>
    <x v="85"/>
    <s v="S020"/>
    <s v="C05"/>
    <x v="19"/>
    <x v="6"/>
    <x v="19"/>
    <x v="3"/>
    <n v="11934"/>
    <n v="11081"/>
    <n v="51"/>
    <n v="853"/>
    <n v="7.6978612038624675E-2"/>
    <n v="234"/>
  </r>
  <r>
    <x v="86"/>
    <s v="S001"/>
    <s v="C05"/>
    <x v="0"/>
    <x v="0"/>
    <x v="0"/>
    <x v="3"/>
    <n v="56064"/>
    <n v="51342"/>
    <n v="192"/>
    <n v="4722"/>
    <n v="9.1971485333644964E-2"/>
    <n v="292"/>
  </r>
  <r>
    <x v="86"/>
    <s v="S002"/>
    <s v="C02"/>
    <x v="1"/>
    <x v="0"/>
    <x v="1"/>
    <x v="1"/>
    <n v="50688"/>
    <n v="55902"/>
    <n v="144"/>
    <n v="-5214"/>
    <n v="-9.3270365997638729E-2"/>
    <n v="352"/>
  </r>
  <r>
    <x v="86"/>
    <s v="S003"/>
    <s v="C04"/>
    <x v="2"/>
    <x v="0"/>
    <x v="2"/>
    <x v="2"/>
    <n v="28438"/>
    <n v="32532"/>
    <n v="118"/>
    <n v="-4094"/>
    <n v="-0.1258453215295709"/>
    <n v="241"/>
  </r>
  <r>
    <x v="86"/>
    <s v="S004"/>
    <s v="C05"/>
    <x v="3"/>
    <x v="0"/>
    <x v="3"/>
    <x v="3"/>
    <n v="43500"/>
    <n v="42647"/>
    <n v="174"/>
    <n v="853"/>
    <n v="2.0001406898492273E-2"/>
    <n v="250"/>
  </r>
  <r>
    <x v="86"/>
    <s v="S005"/>
    <s v="C02"/>
    <x v="4"/>
    <x v="0"/>
    <x v="4"/>
    <x v="1"/>
    <n v="22218"/>
    <n v="20959"/>
    <n v="46"/>
    <n v="1259"/>
    <n v="6.0069659812013933E-2"/>
    <n v="483"/>
  </r>
  <r>
    <x v="86"/>
    <s v="S006"/>
    <s v="C01"/>
    <x v="5"/>
    <x v="1"/>
    <x v="5"/>
    <x v="0"/>
    <n v="20800"/>
    <n v="19454"/>
    <n v="65"/>
    <n v="1346"/>
    <n v="6.9188855762311097E-2"/>
    <n v="320"/>
  </r>
  <r>
    <x v="86"/>
    <s v="S007"/>
    <s v="C04"/>
    <x v="6"/>
    <x v="1"/>
    <x v="6"/>
    <x v="2"/>
    <n v="28782"/>
    <n v="29885"/>
    <n v="78"/>
    <n v="-1103"/>
    <n v="-3.6908147900284426E-2"/>
    <n v="369"/>
  </r>
  <r>
    <x v="86"/>
    <s v="S008"/>
    <s v="C04"/>
    <x v="7"/>
    <x v="1"/>
    <x v="7"/>
    <x v="2"/>
    <n v="46269"/>
    <n v="42112"/>
    <n v="97"/>
    <n v="4157"/>
    <n v="9.8712955927051677E-2"/>
    <n v="477"/>
  </r>
  <r>
    <x v="86"/>
    <s v="S009"/>
    <s v="C01"/>
    <x v="8"/>
    <x v="1"/>
    <x v="8"/>
    <x v="0"/>
    <n v="96628"/>
    <n v="96051"/>
    <n v="196"/>
    <n v="577"/>
    <n v="6.0072253282110544E-3"/>
    <n v="493"/>
  </r>
  <r>
    <x v="86"/>
    <s v="S010"/>
    <s v="C02"/>
    <x v="9"/>
    <x v="1"/>
    <x v="9"/>
    <x v="1"/>
    <n v="16731"/>
    <n v="15395"/>
    <n v="39"/>
    <n v="1336"/>
    <n v="8.6781422539785644E-2"/>
    <n v="429"/>
  </r>
  <r>
    <x v="86"/>
    <s v="S011"/>
    <s v="C01"/>
    <x v="10"/>
    <x v="2"/>
    <x v="10"/>
    <x v="0"/>
    <n v="18000"/>
    <n v="19380"/>
    <n v="80"/>
    <n v="-1380"/>
    <n v="-7.1207430340557279E-2"/>
    <n v="225"/>
  </r>
  <r>
    <x v="86"/>
    <s v="S012"/>
    <s v="C05"/>
    <x v="11"/>
    <x v="2"/>
    <x v="11"/>
    <x v="3"/>
    <n v="42051"/>
    <n v="45136"/>
    <n v="107"/>
    <n v="-3085"/>
    <n v="-6.8348989719957468E-2"/>
    <n v="393"/>
  </r>
  <r>
    <x v="86"/>
    <s v="S013"/>
    <s v="C04"/>
    <x v="12"/>
    <x v="2"/>
    <x v="12"/>
    <x v="2"/>
    <n v="51728"/>
    <n v="49221"/>
    <n v="212"/>
    <n v="2507"/>
    <n v="5.0933544625261576E-2"/>
    <n v="244"/>
  </r>
  <r>
    <x v="86"/>
    <s v="S014"/>
    <s v="C03"/>
    <x v="13"/>
    <x v="2"/>
    <x v="13"/>
    <x v="4"/>
    <n v="68880"/>
    <n v="69087"/>
    <n v="168"/>
    <n v="-207"/>
    <n v="-2.9962221546745407E-3"/>
    <n v="410"/>
  </r>
  <r>
    <x v="86"/>
    <s v="S015"/>
    <s v="C02"/>
    <x v="14"/>
    <x v="2"/>
    <x v="14"/>
    <x v="1"/>
    <n v="38009"/>
    <n v="39874"/>
    <n v="191"/>
    <n v="-1865"/>
    <n v="-4.6772332848472688E-2"/>
    <n v="199"/>
  </r>
  <r>
    <x v="86"/>
    <s v="S016"/>
    <s v="C04"/>
    <x v="15"/>
    <x v="3"/>
    <x v="15"/>
    <x v="2"/>
    <n v="42975"/>
    <n v="45415"/>
    <n v="191"/>
    <n v="-2440"/>
    <n v="-5.3726742265771218E-2"/>
    <n v="225"/>
  </r>
  <r>
    <x v="86"/>
    <s v="S017"/>
    <s v="C03"/>
    <x v="16"/>
    <x v="3"/>
    <x v="16"/>
    <x v="4"/>
    <n v="48856"/>
    <n v="44026"/>
    <n v="124"/>
    <n v="4830"/>
    <n v="0.10970789987734521"/>
    <n v="394"/>
  </r>
  <r>
    <x v="86"/>
    <s v="S018"/>
    <s v="C02"/>
    <x v="17"/>
    <x v="4"/>
    <x v="17"/>
    <x v="1"/>
    <n v="20160"/>
    <n v="23116"/>
    <n v="84"/>
    <n v="-2956"/>
    <n v="-0.12787679529330334"/>
    <n v="240"/>
  </r>
  <r>
    <x v="86"/>
    <s v="S019"/>
    <s v="C01"/>
    <x v="18"/>
    <x v="5"/>
    <x v="18"/>
    <x v="0"/>
    <n v="70445"/>
    <n v="78594"/>
    <n v="193"/>
    <n v="-8149"/>
    <n v="-0.10368475965086393"/>
    <n v="365"/>
  </r>
  <r>
    <x v="86"/>
    <s v="S020"/>
    <s v="C05"/>
    <x v="19"/>
    <x v="6"/>
    <x v="19"/>
    <x v="3"/>
    <n v="47888"/>
    <n v="48656"/>
    <n v="164"/>
    <n v="-768"/>
    <n v="-1.5784281486353174E-2"/>
    <n v="292"/>
  </r>
  <r>
    <x v="87"/>
    <s v="S001"/>
    <s v="C02"/>
    <x v="0"/>
    <x v="0"/>
    <x v="0"/>
    <x v="1"/>
    <n v="21735"/>
    <n v="20614"/>
    <n v="105"/>
    <n v="1121"/>
    <n v="5.4380518094498884E-2"/>
    <n v="207"/>
  </r>
  <r>
    <x v="87"/>
    <s v="S002"/>
    <s v="C02"/>
    <x v="1"/>
    <x v="0"/>
    <x v="1"/>
    <x v="1"/>
    <n v="88620"/>
    <n v="90780"/>
    <n v="210"/>
    <n v="-2160"/>
    <n v="-2.3793787177792465E-2"/>
    <n v="422"/>
  </r>
  <r>
    <x v="87"/>
    <s v="S003"/>
    <s v="C02"/>
    <x v="2"/>
    <x v="0"/>
    <x v="2"/>
    <x v="1"/>
    <n v="41612"/>
    <n v="38012"/>
    <n v="206"/>
    <n v="3600"/>
    <n v="9.4706934652215094E-2"/>
    <n v="202"/>
  </r>
  <r>
    <x v="87"/>
    <s v="S004"/>
    <s v="C03"/>
    <x v="3"/>
    <x v="0"/>
    <x v="3"/>
    <x v="4"/>
    <n v="30709"/>
    <n v="30975"/>
    <n v="107"/>
    <n v="-266"/>
    <n v="-8.5875706214689259E-3"/>
    <n v="287"/>
  </r>
  <r>
    <x v="87"/>
    <s v="S005"/>
    <s v="C03"/>
    <x v="4"/>
    <x v="0"/>
    <x v="4"/>
    <x v="4"/>
    <n v="79104"/>
    <n v="72050"/>
    <n v="192"/>
    <n v="7054"/>
    <n v="9.7904233171408742E-2"/>
    <n v="412"/>
  </r>
  <r>
    <x v="87"/>
    <s v="S006"/>
    <s v="C01"/>
    <x v="5"/>
    <x v="1"/>
    <x v="5"/>
    <x v="0"/>
    <n v="46440"/>
    <n v="43630"/>
    <n v="172"/>
    <n v="2810"/>
    <n v="6.4405225762090304E-2"/>
    <n v="270"/>
  </r>
  <r>
    <x v="87"/>
    <s v="S007"/>
    <s v="C01"/>
    <x v="6"/>
    <x v="1"/>
    <x v="6"/>
    <x v="0"/>
    <n v="70437"/>
    <n v="65437"/>
    <n v="159"/>
    <n v="5000"/>
    <n v="7.6409370845240465E-2"/>
    <n v="443"/>
  </r>
  <r>
    <x v="87"/>
    <s v="S008"/>
    <s v="C02"/>
    <x v="7"/>
    <x v="1"/>
    <x v="7"/>
    <x v="1"/>
    <n v="89133"/>
    <n v="93427"/>
    <n v="219"/>
    <n v="-4294"/>
    <n v="-4.5961017692958135E-2"/>
    <n v="407"/>
  </r>
  <r>
    <x v="87"/>
    <s v="S009"/>
    <s v="C03"/>
    <x v="8"/>
    <x v="1"/>
    <x v="8"/>
    <x v="4"/>
    <n v="39902"/>
    <n v="43364"/>
    <n v="142"/>
    <n v="-3462"/>
    <n v="-7.9835808504750486E-2"/>
    <n v="281"/>
  </r>
  <r>
    <x v="87"/>
    <s v="S010"/>
    <s v="C03"/>
    <x v="9"/>
    <x v="1"/>
    <x v="9"/>
    <x v="4"/>
    <n v="21948"/>
    <n v="21542"/>
    <n v="93"/>
    <n v="406"/>
    <n v="1.8846903722959798E-2"/>
    <n v="236"/>
  </r>
  <r>
    <x v="87"/>
    <s v="S011"/>
    <s v="C01"/>
    <x v="10"/>
    <x v="2"/>
    <x v="10"/>
    <x v="0"/>
    <n v="37145"/>
    <n v="41508"/>
    <n v="95"/>
    <n v="-4363"/>
    <n v="-0.10511226751469596"/>
    <n v="391"/>
  </r>
  <r>
    <x v="87"/>
    <s v="S012"/>
    <s v="C04"/>
    <x v="11"/>
    <x v="2"/>
    <x v="11"/>
    <x v="2"/>
    <n v="19747"/>
    <n v="20097"/>
    <n v="91"/>
    <n v="-350"/>
    <n v="-1.7415534656913968E-2"/>
    <n v="217"/>
  </r>
  <r>
    <x v="87"/>
    <s v="S013"/>
    <s v="C04"/>
    <x v="12"/>
    <x v="2"/>
    <x v="12"/>
    <x v="2"/>
    <n v="19344"/>
    <n v="18110"/>
    <n v="48"/>
    <n v="1234"/>
    <n v="6.8139149641082281E-2"/>
    <n v="403"/>
  </r>
  <r>
    <x v="87"/>
    <s v="S014"/>
    <s v="C05"/>
    <x v="13"/>
    <x v="2"/>
    <x v="13"/>
    <x v="3"/>
    <n v="40921"/>
    <n v="40791"/>
    <n v="151"/>
    <n v="130"/>
    <n v="3.1869775195508812E-3"/>
    <n v="271"/>
  </r>
  <r>
    <x v="87"/>
    <s v="S015"/>
    <s v="C02"/>
    <x v="14"/>
    <x v="2"/>
    <x v="14"/>
    <x v="1"/>
    <n v="42408"/>
    <n v="44867"/>
    <n v="152"/>
    <n v="-2459"/>
    <n v="-5.4806427886865627E-2"/>
    <n v="279"/>
  </r>
  <r>
    <x v="87"/>
    <s v="S016"/>
    <s v="C03"/>
    <x v="15"/>
    <x v="3"/>
    <x v="15"/>
    <x v="4"/>
    <n v="30186"/>
    <n v="28127"/>
    <n v="86"/>
    <n v="2059"/>
    <n v="7.3203683293632457E-2"/>
    <n v="351"/>
  </r>
  <r>
    <x v="87"/>
    <s v="S017"/>
    <s v="C05"/>
    <x v="16"/>
    <x v="3"/>
    <x v="16"/>
    <x v="3"/>
    <n v="16150"/>
    <n v="15086"/>
    <n v="50"/>
    <n v="1064"/>
    <n v="7.0528967254408062E-2"/>
    <n v="323"/>
  </r>
  <r>
    <x v="87"/>
    <s v="S018"/>
    <s v="C04"/>
    <x v="17"/>
    <x v="4"/>
    <x v="17"/>
    <x v="2"/>
    <n v="59888"/>
    <n v="56462"/>
    <n v="152"/>
    <n v="3426"/>
    <n v="6.067797810917077E-2"/>
    <n v="394"/>
  </r>
  <r>
    <x v="87"/>
    <s v="S019"/>
    <s v="C03"/>
    <x v="18"/>
    <x v="5"/>
    <x v="18"/>
    <x v="4"/>
    <n v="30121"/>
    <n v="31654"/>
    <n v="91"/>
    <n v="-1533"/>
    <n v="-4.8429898275099512E-2"/>
    <n v="331"/>
  </r>
  <r>
    <x v="87"/>
    <s v="S020"/>
    <s v="C05"/>
    <x v="19"/>
    <x v="6"/>
    <x v="19"/>
    <x v="3"/>
    <n v="37050"/>
    <n v="42330"/>
    <n v="78"/>
    <n v="-5280"/>
    <n v="-0.12473423104181432"/>
    <n v="475"/>
  </r>
  <r>
    <x v="88"/>
    <s v="S001"/>
    <s v="C02"/>
    <x v="0"/>
    <x v="0"/>
    <x v="0"/>
    <x v="1"/>
    <n v="22230"/>
    <n v="24769"/>
    <n v="57"/>
    <n v="-2539"/>
    <n v="-0.10250716621583431"/>
    <n v="390"/>
  </r>
  <r>
    <x v="88"/>
    <s v="S002"/>
    <s v="C04"/>
    <x v="1"/>
    <x v="0"/>
    <x v="1"/>
    <x v="2"/>
    <n v="43380"/>
    <n v="44176"/>
    <n v="90"/>
    <n v="-796"/>
    <n v="-1.801883375588555E-2"/>
    <n v="482"/>
  </r>
  <r>
    <x v="88"/>
    <s v="S003"/>
    <s v="C04"/>
    <x v="2"/>
    <x v="0"/>
    <x v="2"/>
    <x v="2"/>
    <n v="19822"/>
    <n v="21457"/>
    <n v="106"/>
    <n v="-1635"/>
    <n v="-7.6198909446800578E-2"/>
    <n v="187"/>
  </r>
  <r>
    <x v="88"/>
    <s v="S004"/>
    <s v="C02"/>
    <x v="3"/>
    <x v="0"/>
    <x v="3"/>
    <x v="1"/>
    <n v="34006"/>
    <n v="34297"/>
    <n v="98"/>
    <n v="-291"/>
    <n v="-8.4847071172405742E-3"/>
    <n v="347"/>
  </r>
  <r>
    <x v="88"/>
    <s v="S005"/>
    <s v="C02"/>
    <x v="4"/>
    <x v="0"/>
    <x v="4"/>
    <x v="1"/>
    <n v="47616"/>
    <n v="53731"/>
    <n v="186"/>
    <n v="-6115"/>
    <n v="-0.11380767154901267"/>
    <n v="256"/>
  </r>
  <r>
    <x v="88"/>
    <s v="S006"/>
    <s v="C01"/>
    <x v="5"/>
    <x v="1"/>
    <x v="5"/>
    <x v="0"/>
    <n v="28482"/>
    <n v="25919"/>
    <n v="141"/>
    <n v="2563"/>
    <n v="9.8884987846753342E-2"/>
    <n v="202"/>
  </r>
  <r>
    <x v="88"/>
    <s v="S007"/>
    <s v="C04"/>
    <x v="6"/>
    <x v="1"/>
    <x v="6"/>
    <x v="2"/>
    <n v="32308"/>
    <n v="32515"/>
    <n v="164"/>
    <n v="-207"/>
    <n v="-6.366292480393664E-3"/>
    <n v="197"/>
  </r>
  <r>
    <x v="88"/>
    <s v="S008"/>
    <s v="C04"/>
    <x v="7"/>
    <x v="1"/>
    <x v="7"/>
    <x v="2"/>
    <n v="36110"/>
    <n v="36583"/>
    <n v="157"/>
    <n v="-473"/>
    <n v="-1.2929502774512752E-2"/>
    <n v="230"/>
  </r>
  <r>
    <x v="88"/>
    <s v="S009"/>
    <s v="C02"/>
    <x v="8"/>
    <x v="1"/>
    <x v="8"/>
    <x v="1"/>
    <n v="26040"/>
    <n v="28338"/>
    <n v="56"/>
    <n v="-2298"/>
    <n v="-8.1092525936904511E-2"/>
    <n v="465"/>
  </r>
  <r>
    <x v="88"/>
    <s v="S010"/>
    <s v="C04"/>
    <x v="9"/>
    <x v="1"/>
    <x v="9"/>
    <x v="2"/>
    <n v="22230"/>
    <n v="21998"/>
    <n v="90"/>
    <n v="232"/>
    <n v="1.0546413310300937E-2"/>
    <n v="247"/>
  </r>
  <r>
    <x v="88"/>
    <s v="S011"/>
    <s v="C02"/>
    <x v="10"/>
    <x v="2"/>
    <x v="10"/>
    <x v="1"/>
    <n v="45200"/>
    <n v="40860"/>
    <n v="200"/>
    <n v="4340"/>
    <n v="0.10621634850709741"/>
    <n v="226"/>
  </r>
  <r>
    <x v="88"/>
    <s v="S012"/>
    <s v="C03"/>
    <x v="11"/>
    <x v="2"/>
    <x v="11"/>
    <x v="4"/>
    <n v="31540"/>
    <n v="35150"/>
    <n v="76"/>
    <n v="-3610"/>
    <n v="-0.10270270270270271"/>
    <n v="415"/>
  </r>
  <r>
    <x v="88"/>
    <s v="S013"/>
    <s v="C05"/>
    <x v="12"/>
    <x v="2"/>
    <x v="12"/>
    <x v="3"/>
    <n v="16892"/>
    <n v="17161"/>
    <n v="41"/>
    <n v="-269"/>
    <n v="-1.5675077209952801E-2"/>
    <n v="412"/>
  </r>
  <r>
    <x v="88"/>
    <s v="S014"/>
    <s v="C02"/>
    <x v="13"/>
    <x v="2"/>
    <x v="13"/>
    <x v="1"/>
    <n v="83205"/>
    <n v="78731"/>
    <n v="215"/>
    <n v="4474"/>
    <n v="5.6826408911356388E-2"/>
    <n v="387"/>
  </r>
  <r>
    <x v="88"/>
    <s v="S015"/>
    <s v="C03"/>
    <x v="14"/>
    <x v="2"/>
    <x v="14"/>
    <x v="4"/>
    <n v="81315"/>
    <n v="87492"/>
    <n v="195"/>
    <n v="-6177"/>
    <n v="-7.0600740639144149E-2"/>
    <n v="417"/>
  </r>
  <r>
    <x v="88"/>
    <s v="S016"/>
    <s v="C01"/>
    <x v="15"/>
    <x v="3"/>
    <x v="15"/>
    <x v="0"/>
    <n v="42120"/>
    <n v="41960"/>
    <n v="195"/>
    <n v="160"/>
    <n v="3.8131553860819827E-3"/>
    <n v="216"/>
  </r>
  <r>
    <x v="88"/>
    <s v="S017"/>
    <s v="C03"/>
    <x v="16"/>
    <x v="3"/>
    <x v="16"/>
    <x v="4"/>
    <n v="33320"/>
    <n v="32458"/>
    <n v="170"/>
    <n v="862"/>
    <n v="2.6557397251833138E-2"/>
    <n v="196"/>
  </r>
  <r>
    <x v="88"/>
    <s v="S018"/>
    <s v="C03"/>
    <x v="17"/>
    <x v="4"/>
    <x v="17"/>
    <x v="4"/>
    <n v="105009"/>
    <n v="108748"/>
    <n v="213"/>
    <n v="-3739"/>
    <n v="-3.4382241512487588E-2"/>
    <n v="493"/>
  </r>
  <r>
    <x v="88"/>
    <s v="S019"/>
    <s v="C02"/>
    <x v="18"/>
    <x v="5"/>
    <x v="18"/>
    <x v="1"/>
    <n v="46410"/>
    <n v="48967"/>
    <n v="210"/>
    <n v="-2557"/>
    <n v="-5.2218841260440706E-2"/>
    <n v="221"/>
  </r>
  <r>
    <x v="88"/>
    <s v="S020"/>
    <s v="C03"/>
    <x v="19"/>
    <x v="6"/>
    <x v="19"/>
    <x v="4"/>
    <n v="21707"/>
    <n v="24666"/>
    <n v="49"/>
    <n v="-2959"/>
    <n v="-0.11996270169464039"/>
    <n v="443"/>
  </r>
  <r>
    <x v="89"/>
    <s v="S001"/>
    <s v="C03"/>
    <x v="0"/>
    <x v="0"/>
    <x v="0"/>
    <x v="4"/>
    <n v="11328"/>
    <n v="11279"/>
    <n v="48"/>
    <n v="49"/>
    <n v="4.344356769217129E-3"/>
    <n v="236"/>
  </r>
  <r>
    <x v="89"/>
    <s v="S002"/>
    <s v="C04"/>
    <x v="1"/>
    <x v="0"/>
    <x v="1"/>
    <x v="2"/>
    <n v="38600"/>
    <n v="38267"/>
    <n v="193"/>
    <n v="333"/>
    <n v="8.7020147908119273E-3"/>
    <n v="200"/>
  </r>
  <r>
    <x v="89"/>
    <s v="S003"/>
    <s v="C02"/>
    <x v="2"/>
    <x v="0"/>
    <x v="2"/>
    <x v="1"/>
    <n v="93200"/>
    <n v="100303"/>
    <n v="200"/>
    <n v="-7103"/>
    <n v="-7.0815429249374395E-2"/>
    <n v="466"/>
  </r>
  <r>
    <x v="89"/>
    <s v="S004"/>
    <s v="C05"/>
    <x v="3"/>
    <x v="0"/>
    <x v="3"/>
    <x v="3"/>
    <n v="61344"/>
    <n v="57332"/>
    <n v="216"/>
    <n v="4012"/>
    <n v="6.9978371590036975E-2"/>
    <n v="284"/>
  </r>
  <r>
    <x v="89"/>
    <s v="S005"/>
    <s v="C03"/>
    <x v="4"/>
    <x v="0"/>
    <x v="4"/>
    <x v="4"/>
    <n v="43776"/>
    <n v="40641"/>
    <n v="96"/>
    <n v="3135"/>
    <n v="7.7138849929873771E-2"/>
    <n v="456"/>
  </r>
  <r>
    <x v="89"/>
    <s v="S006"/>
    <s v="C04"/>
    <x v="5"/>
    <x v="1"/>
    <x v="5"/>
    <x v="2"/>
    <n v="52521"/>
    <n v="57158"/>
    <n v="183"/>
    <n v="-4637"/>
    <n v="-8.1126001609573464E-2"/>
    <n v="287"/>
  </r>
  <r>
    <x v="89"/>
    <s v="S007"/>
    <s v="C02"/>
    <x v="6"/>
    <x v="1"/>
    <x v="6"/>
    <x v="1"/>
    <n v="42120"/>
    <n v="47363"/>
    <n v="117"/>
    <n v="-5243"/>
    <n v="-0.11069822435234254"/>
    <n v="360"/>
  </r>
  <r>
    <x v="89"/>
    <s v="S008"/>
    <s v="C05"/>
    <x v="7"/>
    <x v="1"/>
    <x v="7"/>
    <x v="3"/>
    <n v="82764"/>
    <n v="80222"/>
    <n v="209"/>
    <n v="2542"/>
    <n v="3.1687068385230985E-2"/>
    <n v="396"/>
  </r>
  <r>
    <x v="89"/>
    <s v="S009"/>
    <s v="C01"/>
    <x v="8"/>
    <x v="1"/>
    <x v="8"/>
    <x v="0"/>
    <n v="46280"/>
    <n v="46886"/>
    <n v="130"/>
    <n v="-606"/>
    <n v="-1.2924966941091158E-2"/>
    <n v="356"/>
  </r>
  <r>
    <x v="89"/>
    <s v="S010"/>
    <s v="C05"/>
    <x v="9"/>
    <x v="1"/>
    <x v="9"/>
    <x v="3"/>
    <n v="40898"/>
    <n v="41615"/>
    <n v="169"/>
    <n v="-717"/>
    <n v="-1.7229364411870719E-2"/>
    <n v="242"/>
  </r>
  <r>
    <x v="89"/>
    <s v="S011"/>
    <s v="C05"/>
    <x v="10"/>
    <x v="2"/>
    <x v="10"/>
    <x v="3"/>
    <n v="94016"/>
    <n v="105755"/>
    <n v="208"/>
    <n v="-11739"/>
    <n v="-0.11100184388444991"/>
    <n v="452"/>
  </r>
  <r>
    <x v="89"/>
    <s v="S012"/>
    <s v="C04"/>
    <x v="11"/>
    <x v="2"/>
    <x v="11"/>
    <x v="2"/>
    <n v="71024"/>
    <n v="78124"/>
    <n v="193"/>
    <n v="-7100"/>
    <n v="-9.0881163278889968E-2"/>
    <n v="368"/>
  </r>
  <r>
    <x v="89"/>
    <s v="S013"/>
    <s v="C01"/>
    <x v="12"/>
    <x v="2"/>
    <x v="12"/>
    <x v="0"/>
    <n v="34362"/>
    <n v="31675"/>
    <n v="83"/>
    <n v="2687"/>
    <n v="8.4830307813733227E-2"/>
    <n v="414"/>
  </r>
  <r>
    <x v="89"/>
    <s v="S014"/>
    <s v="C04"/>
    <x v="13"/>
    <x v="2"/>
    <x v="13"/>
    <x v="2"/>
    <n v="26160"/>
    <n v="29810"/>
    <n v="80"/>
    <n v="-3650"/>
    <n v="-0.12244213351224421"/>
    <n v="327"/>
  </r>
  <r>
    <x v="89"/>
    <s v="S015"/>
    <s v="C01"/>
    <x v="14"/>
    <x v="2"/>
    <x v="14"/>
    <x v="0"/>
    <n v="16368"/>
    <n v="15860"/>
    <n v="62"/>
    <n v="508"/>
    <n v="3.2030264817150066E-2"/>
    <n v="264"/>
  </r>
  <r>
    <x v="89"/>
    <s v="S016"/>
    <s v="C02"/>
    <x v="15"/>
    <x v="3"/>
    <x v="15"/>
    <x v="1"/>
    <n v="41634"/>
    <n v="46577"/>
    <n v="162"/>
    <n v="-4943"/>
    <n v="-0.10612534083345858"/>
    <n v="257"/>
  </r>
  <r>
    <x v="89"/>
    <s v="S017"/>
    <s v="C05"/>
    <x v="16"/>
    <x v="3"/>
    <x v="16"/>
    <x v="3"/>
    <n v="37245"/>
    <n v="36250"/>
    <n v="195"/>
    <n v="995"/>
    <n v="2.7448275862068966E-2"/>
    <n v="191"/>
  </r>
  <r>
    <x v="89"/>
    <s v="S018"/>
    <s v="C05"/>
    <x v="17"/>
    <x v="4"/>
    <x v="17"/>
    <x v="3"/>
    <n v="28696"/>
    <n v="28313"/>
    <n v="68"/>
    <n v="383"/>
    <n v="1.3527354925299332E-2"/>
    <n v="422"/>
  </r>
  <r>
    <x v="89"/>
    <s v="S019"/>
    <s v="C04"/>
    <x v="18"/>
    <x v="5"/>
    <x v="18"/>
    <x v="2"/>
    <n v="38000"/>
    <n v="36969"/>
    <n v="200"/>
    <n v="1031"/>
    <n v="2.7888230679758718E-2"/>
    <n v="190"/>
  </r>
  <r>
    <x v="89"/>
    <s v="S020"/>
    <s v="C01"/>
    <x v="19"/>
    <x v="6"/>
    <x v="19"/>
    <x v="0"/>
    <n v="11920"/>
    <n v="13216"/>
    <n v="40"/>
    <n v="-1296"/>
    <n v="-9.8062953995157381E-2"/>
    <n v="298"/>
  </r>
  <r>
    <x v="90"/>
    <s v="S001"/>
    <s v="C05"/>
    <x v="0"/>
    <x v="0"/>
    <x v="0"/>
    <x v="3"/>
    <n v="70200"/>
    <n v="70405"/>
    <n v="200"/>
    <n v="-205"/>
    <n v="-2.911725019529863E-3"/>
    <n v="351"/>
  </r>
  <r>
    <x v="90"/>
    <s v="S002"/>
    <s v="C03"/>
    <x v="1"/>
    <x v="0"/>
    <x v="1"/>
    <x v="4"/>
    <n v="103020"/>
    <n v="112982"/>
    <n v="202"/>
    <n v="-9962"/>
    <n v="-8.8173337345771888E-2"/>
    <n v="510"/>
  </r>
  <r>
    <x v="90"/>
    <s v="S003"/>
    <s v="C04"/>
    <x v="2"/>
    <x v="0"/>
    <x v="2"/>
    <x v="2"/>
    <n v="96720"/>
    <n v="103898"/>
    <n v="186"/>
    <n v="-7178"/>
    <n v="-6.9086989162447779E-2"/>
    <n v="520"/>
  </r>
  <r>
    <x v="90"/>
    <s v="S004"/>
    <s v="C05"/>
    <x v="3"/>
    <x v="0"/>
    <x v="3"/>
    <x v="3"/>
    <n v="61272"/>
    <n v="59802"/>
    <n v="148"/>
    <n v="1470"/>
    <n v="2.4581117688371627E-2"/>
    <n v="414"/>
  </r>
  <r>
    <x v="90"/>
    <s v="S005"/>
    <s v="C02"/>
    <x v="4"/>
    <x v="0"/>
    <x v="4"/>
    <x v="1"/>
    <n v="30171"/>
    <n v="33107"/>
    <n v="113"/>
    <n v="-2936"/>
    <n v="-8.8682151810795307E-2"/>
    <n v="267"/>
  </r>
  <r>
    <x v="90"/>
    <s v="S006"/>
    <s v="C02"/>
    <x v="5"/>
    <x v="1"/>
    <x v="5"/>
    <x v="1"/>
    <n v="58460"/>
    <n v="66801"/>
    <n v="158"/>
    <n v="-8341"/>
    <n v="-0.12486340024849928"/>
    <n v="370"/>
  </r>
  <r>
    <x v="90"/>
    <s v="S007"/>
    <s v="C01"/>
    <x v="6"/>
    <x v="1"/>
    <x v="6"/>
    <x v="0"/>
    <n v="25920"/>
    <n v="25170"/>
    <n v="72"/>
    <n v="750"/>
    <n v="2.9797377830750895E-2"/>
    <n v="360"/>
  </r>
  <r>
    <x v="90"/>
    <s v="S008"/>
    <s v="C02"/>
    <x v="7"/>
    <x v="1"/>
    <x v="7"/>
    <x v="1"/>
    <n v="50566"/>
    <n v="54507"/>
    <n v="193"/>
    <n v="-3941"/>
    <n v="-7.230264002788632E-2"/>
    <n v="262"/>
  </r>
  <r>
    <x v="90"/>
    <s v="S009"/>
    <s v="C03"/>
    <x v="8"/>
    <x v="1"/>
    <x v="8"/>
    <x v="4"/>
    <n v="21789"/>
    <n v="24182"/>
    <n v="81"/>
    <n v="-2393"/>
    <n v="-9.8957902572161111E-2"/>
    <n v="269"/>
  </r>
  <r>
    <x v="90"/>
    <s v="S010"/>
    <s v="C02"/>
    <x v="9"/>
    <x v="1"/>
    <x v="9"/>
    <x v="1"/>
    <n v="22876"/>
    <n v="21257"/>
    <n v="76"/>
    <n v="1619"/>
    <n v="7.6163146257703346E-2"/>
    <n v="301"/>
  </r>
  <r>
    <x v="90"/>
    <s v="S011"/>
    <s v="C03"/>
    <x v="10"/>
    <x v="2"/>
    <x v="10"/>
    <x v="4"/>
    <n v="44408"/>
    <n v="44861"/>
    <n v="182"/>
    <n v="-453"/>
    <n v="-1.0097857827511648E-2"/>
    <n v="244"/>
  </r>
  <r>
    <x v="90"/>
    <s v="S012"/>
    <s v="C03"/>
    <x v="11"/>
    <x v="2"/>
    <x v="11"/>
    <x v="4"/>
    <n v="23370"/>
    <n v="24319"/>
    <n v="82"/>
    <n v="-949"/>
    <n v="-3.9022986142522309E-2"/>
    <n v="285"/>
  </r>
  <r>
    <x v="90"/>
    <s v="S013"/>
    <s v="C01"/>
    <x v="12"/>
    <x v="2"/>
    <x v="12"/>
    <x v="0"/>
    <n v="70110"/>
    <n v="80241"/>
    <n v="205"/>
    <n v="-10131"/>
    <n v="-0.12625715033461696"/>
    <n v="342"/>
  </r>
  <r>
    <x v="90"/>
    <s v="S014"/>
    <s v="C02"/>
    <x v="13"/>
    <x v="2"/>
    <x v="13"/>
    <x v="1"/>
    <n v="53170"/>
    <n v="55029"/>
    <n v="130"/>
    <n v="-1859"/>
    <n v="-3.3782187573824708E-2"/>
    <n v="409"/>
  </r>
  <r>
    <x v="90"/>
    <s v="S015"/>
    <s v="C02"/>
    <x v="14"/>
    <x v="2"/>
    <x v="14"/>
    <x v="1"/>
    <n v="57114"/>
    <n v="53137"/>
    <n v="171"/>
    <n v="3977"/>
    <n v="7.484427047067016E-2"/>
    <n v="334"/>
  </r>
  <r>
    <x v="90"/>
    <s v="S016"/>
    <s v="C01"/>
    <x v="15"/>
    <x v="3"/>
    <x v="15"/>
    <x v="0"/>
    <n v="60030"/>
    <n v="65560"/>
    <n v="138"/>
    <n v="-5530"/>
    <n v="-8.4350213544844413E-2"/>
    <n v="435"/>
  </r>
  <r>
    <x v="90"/>
    <s v="S017"/>
    <s v="C04"/>
    <x v="16"/>
    <x v="3"/>
    <x v="16"/>
    <x v="2"/>
    <n v="30044"/>
    <n v="27071"/>
    <n v="116"/>
    <n v="2973"/>
    <n v="0.1098223190868457"/>
    <n v="259"/>
  </r>
  <r>
    <x v="90"/>
    <s v="S018"/>
    <s v="C05"/>
    <x v="17"/>
    <x v="4"/>
    <x v="17"/>
    <x v="3"/>
    <n v="57236"/>
    <n v="60773"/>
    <n v="164"/>
    <n v="-3537"/>
    <n v="-5.8200187583301796E-2"/>
    <n v="349"/>
  </r>
  <r>
    <x v="90"/>
    <s v="S019"/>
    <s v="C03"/>
    <x v="18"/>
    <x v="5"/>
    <x v="18"/>
    <x v="4"/>
    <n v="51168"/>
    <n v="58454"/>
    <n v="156"/>
    <n v="-7286"/>
    <n v="-0.12464502001573888"/>
    <n v="328"/>
  </r>
  <r>
    <x v="90"/>
    <s v="S020"/>
    <s v="C05"/>
    <x v="19"/>
    <x v="6"/>
    <x v="19"/>
    <x v="3"/>
    <n v="52275"/>
    <n v="57496"/>
    <n v="205"/>
    <n v="-5221"/>
    <n v="-9.0806316961179911E-2"/>
    <n v="255"/>
  </r>
  <r>
    <x v="91"/>
    <s v="S001"/>
    <s v="C04"/>
    <x v="0"/>
    <x v="0"/>
    <x v="0"/>
    <x v="2"/>
    <n v="28677"/>
    <n v="31054"/>
    <n v="121"/>
    <n v="-2377"/>
    <n v="-7.6544084497971274E-2"/>
    <n v="237"/>
  </r>
  <r>
    <x v="91"/>
    <s v="S002"/>
    <s v="C01"/>
    <x v="1"/>
    <x v="0"/>
    <x v="1"/>
    <x v="0"/>
    <n v="32340"/>
    <n v="30050"/>
    <n v="70"/>
    <n v="2290"/>
    <n v="7.6206322795341092E-2"/>
    <n v="462"/>
  </r>
  <r>
    <x v="91"/>
    <s v="S003"/>
    <s v="C01"/>
    <x v="2"/>
    <x v="0"/>
    <x v="2"/>
    <x v="0"/>
    <n v="67952"/>
    <n v="75441"/>
    <n v="137"/>
    <n v="-7489"/>
    <n v="-9.9269627921156928E-2"/>
    <n v="496"/>
  </r>
  <r>
    <x v="91"/>
    <s v="S004"/>
    <s v="C04"/>
    <x v="3"/>
    <x v="0"/>
    <x v="3"/>
    <x v="2"/>
    <n v="28602"/>
    <n v="28075"/>
    <n v="126"/>
    <n v="527"/>
    <n v="1.8771148708815671E-2"/>
    <n v="227"/>
  </r>
  <r>
    <x v="91"/>
    <s v="S005"/>
    <s v="C05"/>
    <x v="4"/>
    <x v="0"/>
    <x v="4"/>
    <x v="3"/>
    <n v="55521"/>
    <n v="58067"/>
    <n v="199"/>
    <n v="-2546"/>
    <n v="-4.3845902147519246E-2"/>
    <n v="279"/>
  </r>
  <r>
    <x v="91"/>
    <s v="S006"/>
    <s v="C02"/>
    <x v="5"/>
    <x v="1"/>
    <x v="5"/>
    <x v="1"/>
    <n v="29680"/>
    <n v="26879"/>
    <n v="106"/>
    <n v="2801"/>
    <n v="0.10420774582387737"/>
    <n v="280"/>
  </r>
  <r>
    <x v="91"/>
    <s v="S007"/>
    <s v="C05"/>
    <x v="6"/>
    <x v="1"/>
    <x v="6"/>
    <x v="3"/>
    <n v="33376"/>
    <n v="38180"/>
    <n v="149"/>
    <n v="-4804"/>
    <n v="-0.12582503928758512"/>
    <n v="224"/>
  </r>
  <r>
    <x v="91"/>
    <s v="S008"/>
    <s v="C04"/>
    <x v="7"/>
    <x v="1"/>
    <x v="7"/>
    <x v="2"/>
    <n v="36204"/>
    <n v="35459"/>
    <n v="84"/>
    <n v="745"/>
    <n v="2.1010180772159395E-2"/>
    <n v="431"/>
  </r>
  <r>
    <x v="91"/>
    <s v="S009"/>
    <s v="C05"/>
    <x v="8"/>
    <x v="1"/>
    <x v="8"/>
    <x v="3"/>
    <n v="34320"/>
    <n v="38682"/>
    <n v="165"/>
    <n v="-4362"/>
    <n v="-0.11276562742360788"/>
    <n v="208"/>
  </r>
  <r>
    <x v="91"/>
    <s v="S010"/>
    <s v="C03"/>
    <x v="9"/>
    <x v="1"/>
    <x v="9"/>
    <x v="4"/>
    <n v="34680"/>
    <n v="37419"/>
    <n v="136"/>
    <n v="-2739"/>
    <n v="-7.3198107913092281E-2"/>
    <n v="255"/>
  </r>
  <r>
    <x v="91"/>
    <s v="S011"/>
    <s v="C04"/>
    <x v="10"/>
    <x v="2"/>
    <x v="10"/>
    <x v="2"/>
    <n v="48633"/>
    <n v="48302"/>
    <n v="129"/>
    <n v="331"/>
    <n v="6.8527183139414517E-3"/>
    <n v="377"/>
  </r>
  <r>
    <x v="91"/>
    <s v="S012"/>
    <s v="C03"/>
    <x v="11"/>
    <x v="2"/>
    <x v="11"/>
    <x v="4"/>
    <n v="44157"/>
    <n v="43142"/>
    <n v="123"/>
    <n v="1015"/>
    <n v="2.352695748922164E-2"/>
    <n v="359"/>
  </r>
  <r>
    <x v="91"/>
    <s v="S013"/>
    <s v="C04"/>
    <x v="12"/>
    <x v="2"/>
    <x v="12"/>
    <x v="2"/>
    <n v="39872"/>
    <n v="38034"/>
    <n v="178"/>
    <n v="1838"/>
    <n v="4.8325182731240472E-2"/>
    <n v="224"/>
  </r>
  <r>
    <x v="91"/>
    <s v="S014"/>
    <s v="C04"/>
    <x v="13"/>
    <x v="2"/>
    <x v="13"/>
    <x v="2"/>
    <n v="57246"/>
    <n v="55652"/>
    <n v="141"/>
    <n v="1594"/>
    <n v="2.8642277007115646E-2"/>
    <n v="406"/>
  </r>
  <r>
    <x v="91"/>
    <s v="S015"/>
    <s v="C04"/>
    <x v="14"/>
    <x v="2"/>
    <x v="14"/>
    <x v="2"/>
    <n v="35391"/>
    <n v="39244"/>
    <n v="141"/>
    <n v="-3853"/>
    <n v="-9.8180613596982977E-2"/>
    <n v="251"/>
  </r>
  <r>
    <x v="91"/>
    <s v="S016"/>
    <s v="C05"/>
    <x v="15"/>
    <x v="3"/>
    <x v="15"/>
    <x v="3"/>
    <n v="14421"/>
    <n v="13728"/>
    <n v="57"/>
    <n v="693"/>
    <n v="5.0480769230769232E-2"/>
    <n v="253"/>
  </r>
  <r>
    <x v="91"/>
    <s v="S017"/>
    <s v="C04"/>
    <x v="16"/>
    <x v="3"/>
    <x v="16"/>
    <x v="2"/>
    <n v="59319"/>
    <n v="54367"/>
    <n v="169"/>
    <n v="4952"/>
    <n v="9.1084665330071549E-2"/>
    <n v="351"/>
  </r>
  <r>
    <x v="91"/>
    <s v="S018"/>
    <s v="C05"/>
    <x v="17"/>
    <x v="4"/>
    <x v="17"/>
    <x v="3"/>
    <n v="29475"/>
    <n v="26576"/>
    <n v="131"/>
    <n v="2899"/>
    <n v="0.10908338350391331"/>
    <n v="225"/>
  </r>
  <r>
    <x v="91"/>
    <s v="S019"/>
    <s v="C03"/>
    <x v="18"/>
    <x v="5"/>
    <x v="18"/>
    <x v="4"/>
    <n v="37929"/>
    <n v="39406"/>
    <n v="141"/>
    <n v="-1477"/>
    <n v="-3.7481601786529969E-2"/>
    <n v="269"/>
  </r>
  <r>
    <x v="91"/>
    <s v="S020"/>
    <s v="C05"/>
    <x v="19"/>
    <x v="6"/>
    <x v="19"/>
    <x v="3"/>
    <n v="19740"/>
    <n v="18683"/>
    <n v="70"/>
    <n v="1057"/>
    <n v="5.6575496440614464E-2"/>
    <n v="282"/>
  </r>
  <r>
    <x v="92"/>
    <s v="S001"/>
    <s v="C04"/>
    <x v="0"/>
    <x v="0"/>
    <x v="0"/>
    <x v="2"/>
    <n v="50467"/>
    <n v="51609"/>
    <n v="109"/>
    <n v="-1142"/>
    <n v="-2.2127923424208957E-2"/>
    <n v="463"/>
  </r>
  <r>
    <x v="92"/>
    <s v="S002"/>
    <s v="C03"/>
    <x v="1"/>
    <x v="0"/>
    <x v="1"/>
    <x v="4"/>
    <n v="61640"/>
    <n v="63090"/>
    <n v="184"/>
    <n v="-1450"/>
    <n v="-2.2983040101442385E-2"/>
    <n v="335"/>
  </r>
  <r>
    <x v="92"/>
    <s v="S003"/>
    <s v="C04"/>
    <x v="2"/>
    <x v="0"/>
    <x v="2"/>
    <x v="2"/>
    <n v="17756"/>
    <n v="19492"/>
    <n v="92"/>
    <n v="-1736"/>
    <n v="-8.9062179355633084E-2"/>
    <n v="193"/>
  </r>
  <r>
    <x v="92"/>
    <s v="S004"/>
    <s v="C02"/>
    <x v="3"/>
    <x v="0"/>
    <x v="3"/>
    <x v="1"/>
    <n v="33966"/>
    <n v="38687"/>
    <n v="102"/>
    <n v="-4721"/>
    <n v="-0.12203065629281154"/>
    <n v="333"/>
  </r>
  <r>
    <x v="92"/>
    <s v="S005"/>
    <s v="C04"/>
    <x v="4"/>
    <x v="0"/>
    <x v="4"/>
    <x v="2"/>
    <n v="33924"/>
    <n v="36179"/>
    <n v="66"/>
    <n v="-2255"/>
    <n v="-6.2328975372453632E-2"/>
    <n v="514"/>
  </r>
  <r>
    <x v="92"/>
    <s v="S006"/>
    <s v="C03"/>
    <x v="5"/>
    <x v="1"/>
    <x v="5"/>
    <x v="4"/>
    <n v="38211"/>
    <n v="39088"/>
    <n v="141"/>
    <n v="-877"/>
    <n v="-2.2436553417928776E-2"/>
    <n v="271"/>
  </r>
  <r>
    <x v="92"/>
    <s v="S007"/>
    <s v="C02"/>
    <x v="6"/>
    <x v="1"/>
    <x v="6"/>
    <x v="1"/>
    <n v="10122"/>
    <n v="11044"/>
    <n v="42"/>
    <n v="-922"/>
    <n v="-8.3484244838826507E-2"/>
    <n v="241"/>
  </r>
  <r>
    <x v="92"/>
    <s v="S008"/>
    <s v="C04"/>
    <x v="7"/>
    <x v="1"/>
    <x v="7"/>
    <x v="2"/>
    <n v="25272"/>
    <n v="27455"/>
    <n v="52"/>
    <n v="-2183"/>
    <n v="-7.9511928610453475E-2"/>
    <n v="486"/>
  </r>
  <r>
    <x v="92"/>
    <s v="S009"/>
    <s v="C05"/>
    <x v="8"/>
    <x v="1"/>
    <x v="8"/>
    <x v="3"/>
    <n v="74102"/>
    <n v="74770"/>
    <n v="158"/>
    <n v="-668"/>
    <n v="-8.9340644643573618E-3"/>
    <n v="469"/>
  </r>
  <r>
    <x v="92"/>
    <s v="S010"/>
    <s v="C03"/>
    <x v="9"/>
    <x v="1"/>
    <x v="9"/>
    <x v="4"/>
    <n v="82485"/>
    <n v="94326"/>
    <n v="195"/>
    <n v="-11841"/>
    <n v="-0.12553272692576808"/>
    <n v="423"/>
  </r>
  <r>
    <x v="92"/>
    <s v="S011"/>
    <s v="C01"/>
    <x v="10"/>
    <x v="2"/>
    <x v="10"/>
    <x v="0"/>
    <n v="57460"/>
    <n v="62242"/>
    <n v="130"/>
    <n v="-4782"/>
    <n v="-7.6829150734230911E-2"/>
    <n v="442"/>
  </r>
  <r>
    <x v="92"/>
    <s v="S012"/>
    <s v="C01"/>
    <x v="11"/>
    <x v="2"/>
    <x v="11"/>
    <x v="0"/>
    <n v="26563"/>
    <n v="27769"/>
    <n v="101"/>
    <n v="-1206"/>
    <n v="-4.3429723792718498E-2"/>
    <n v="263"/>
  </r>
  <r>
    <x v="92"/>
    <s v="S013"/>
    <s v="C02"/>
    <x v="12"/>
    <x v="2"/>
    <x v="12"/>
    <x v="1"/>
    <n v="48256"/>
    <n v="54026"/>
    <n v="116"/>
    <n v="-5770"/>
    <n v="-0.10680042942287046"/>
    <n v="416"/>
  </r>
  <r>
    <x v="92"/>
    <s v="S014"/>
    <s v="C02"/>
    <x v="13"/>
    <x v="2"/>
    <x v="13"/>
    <x v="1"/>
    <n v="33138"/>
    <n v="30262"/>
    <n v="126"/>
    <n v="2876"/>
    <n v="9.5036679664265419E-2"/>
    <n v="263"/>
  </r>
  <r>
    <x v="92"/>
    <s v="S015"/>
    <s v="C03"/>
    <x v="14"/>
    <x v="2"/>
    <x v="14"/>
    <x v="4"/>
    <n v="71710"/>
    <n v="80890"/>
    <n v="142"/>
    <n v="-9180"/>
    <n v="-0.11348745209543824"/>
    <n v="505"/>
  </r>
  <r>
    <x v="92"/>
    <s v="S016"/>
    <s v="C03"/>
    <x v="15"/>
    <x v="3"/>
    <x v="15"/>
    <x v="4"/>
    <n v="15416"/>
    <n v="14998"/>
    <n v="47"/>
    <n v="418"/>
    <n v="2.7870382717695694E-2"/>
    <n v="328"/>
  </r>
  <r>
    <x v="92"/>
    <s v="S017"/>
    <s v="C01"/>
    <x v="16"/>
    <x v="3"/>
    <x v="16"/>
    <x v="0"/>
    <n v="46314"/>
    <n v="50556"/>
    <n v="166"/>
    <n v="-4242"/>
    <n v="-8.3906954664134822E-2"/>
    <n v="279"/>
  </r>
  <r>
    <x v="92"/>
    <s v="S018"/>
    <s v="C02"/>
    <x v="17"/>
    <x v="4"/>
    <x v="17"/>
    <x v="1"/>
    <n v="28674"/>
    <n v="31201"/>
    <n v="59"/>
    <n v="-2527"/>
    <n v="-8.0990993878401335E-2"/>
    <n v="486"/>
  </r>
  <r>
    <x v="92"/>
    <s v="S019"/>
    <s v="C05"/>
    <x v="18"/>
    <x v="5"/>
    <x v="18"/>
    <x v="3"/>
    <n v="39897"/>
    <n v="44154"/>
    <n v="117"/>
    <n v="-4257"/>
    <n v="-9.641255605381166E-2"/>
    <n v="341"/>
  </r>
  <r>
    <x v="92"/>
    <s v="S020"/>
    <s v="C03"/>
    <x v="19"/>
    <x v="6"/>
    <x v="19"/>
    <x v="4"/>
    <n v="37960"/>
    <n v="35073"/>
    <n v="104"/>
    <n v="2887"/>
    <n v="8.2314030735893703E-2"/>
    <n v="365"/>
  </r>
  <r>
    <x v="93"/>
    <s v="S001"/>
    <s v="C05"/>
    <x v="0"/>
    <x v="0"/>
    <x v="0"/>
    <x v="3"/>
    <n v="31625"/>
    <n v="28564"/>
    <n v="125"/>
    <n v="3061"/>
    <n v="0.10716286234420949"/>
    <n v="253"/>
  </r>
  <r>
    <x v="93"/>
    <s v="S002"/>
    <s v="C05"/>
    <x v="1"/>
    <x v="0"/>
    <x v="1"/>
    <x v="3"/>
    <n v="39590"/>
    <n v="43339"/>
    <n v="107"/>
    <n v="-3749"/>
    <n v="-8.6504072544359586E-2"/>
    <n v="370"/>
  </r>
  <r>
    <x v="93"/>
    <s v="S003"/>
    <s v="C04"/>
    <x v="2"/>
    <x v="0"/>
    <x v="2"/>
    <x v="2"/>
    <n v="32086"/>
    <n v="29698"/>
    <n v="122"/>
    <n v="2388"/>
    <n v="8.0409455182167147E-2"/>
    <n v="263"/>
  </r>
  <r>
    <x v="93"/>
    <s v="S004"/>
    <s v="C02"/>
    <x v="3"/>
    <x v="0"/>
    <x v="3"/>
    <x v="1"/>
    <n v="47759"/>
    <n v="52911"/>
    <n v="163"/>
    <n v="-5152"/>
    <n v="-9.7371057058078664E-2"/>
    <n v="293"/>
  </r>
  <r>
    <x v="93"/>
    <s v="S005"/>
    <s v="C05"/>
    <x v="4"/>
    <x v="0"/>
    <x v="4"/>
    <x v="3"/>
    <n v="86208"/>
    <n v="95821"/>
    <n v="192"/>
    <n v="-9613"/>
    <n v="-0.10032247628390437"/>
    <n v="449"/>
  </r>
  <r>
    <x v="93"/>
    <s v="S006"/>
    <s v="C05"/>
    <x v="5"/>
    <x v="1"/>
    <x v="5"/>
    <x v="3"/>
    <n v="50932"/>
    <n v="51152"/>
    <n v="214"/>
    <n v="-220"/>
    <n v="-4.3009071004066314E-3"/>
    <n v="238"/>
  </r>
  <r>
    <x v="93"/>
    <s v="S007"/>
    <s v="C01"/>
    <x v="6"/>
    <x v="1"/>
    <x v="6"/>
    <x v="0"/>
    <n v="15808"/>
    <n v="17876"/>
    <n v="64"/>
    <n v="-2068"/>
    <n v="-0.11568583575744014"/>
    <n v="247"/>
  </r>
  <r>
    <x v="93"/>
    <s v="S008"/>
    <s v="C04"/>
    <x v="7"/>
    <x v="1"/>
    <x v="7"/>
    <x v="2"/>
    <n v="42036"/>
    <n v="45094"/>
    <n v="124"/>
    <n v="-3058"/>
    <n v="-6.7813899853639059E-2"/>
    <n v="339"/>
  </r>
  <r>
    <x v="93"/>
    <s v="S009"/>
    <s v="C02"/>
    <x v="8"/>
    <x v="1"/>
    <x v="8"/>
    <x v="1"/>
    <n v="71780"/>
    <n v="73989"/>
    <n v="148"/>
    <n v="-2209"/>
    <n v="-2.9855789374096151E-2"/>
    <n v="485"/>
  </r>
  <r>
    <x v="93"/>
    <s v="S010"/>
    <s v="C03"/>
    <x v="9"/>
    <x v="1"/>
    <x v="9"/>
    <x v="4"/>
    <n v="26465"/>
    <n v="24008"/>
    <n v="79"/>
    <n v="2457"/>
    <n v="0.1023408863712096"/>
    <n v="335"/>
  </r>
  <r>
    <x v="93"/>
    <s v="S011"/>
    <s v="C01"/>
    <x v="10"/>
    <x v="2"/>
    <x v="10"/>
    <x v="0"/>
    <n v="22295"/>
    <n v="24841"/>
    <n v="91"/>
    <n v="-2546"/>
    <n v="-0.1024918481542611"/>
    <n v="245"/>
  </r>
  <r>
    <x v="93"/>
    <s v="S012"/>
    <s v="C02"/>
    <x v="11"/>
    <x v="2"/>
    <x v="11"/>
    <x v="1"/>
    <n v="62456"/>
    <n v="61010"/>
    <n v="211"/>
    <n v="1446"/>
    <n v="2.370103261760367E-2"/>
    <n v="296"/>
  </r>
  <r>
    <x v="93"/>
    <s v="S013"/>
    <s v="C02"/>
    <x v="12"/>
    <x v="2"/>
    <x v="12"/>
    <x v="1"/>
    <n v="14960"/>
    <n v="15052"/>
    <n v="68"/>
    <n v="-92"/>
    <n v="-6.112144565506245E-3"/>
    <n v="220"/>
  </r>
  <r>
    <x v="93"/>
    <s v="S014"/>
    <s v="C01"/>
    <x v="13"/>
    <x v="2"/>
    <x v="13"/>
    <x v="0"/>
    <n v="10206"/>
    <n v="11162"/>
    <n v="54"/>
    <n v="-956"/>
    <n v="-8.5647733381114491E-2"/>
    <n v="189"/>
  </r>
  <r>
    <x v="93"/>
    <s v="S015"/>
    <s v="C04"/>
    <x v="14"/>
    <x v="2"/>
    <x v="14"/>
    <x v="2"/>
    <n v="12600"/>
    <n v="11679"/>
    <n v="45"/>
    <n v="921"/>
    <n v="7.8859491394811201E-2"/>
    <n v="280"/>
  </r>
  <r>
    <x v="93"/>
    <s v="S016"/>
    <s v="C05"/>
    <x v="15"/>
    <x v="3"/>
    <x v="15"/>
    <x v="3"/>
    <n v="39060"/>
    <n v="39734"/>
    <n v="186"/>
    <n v="-674"/>
    <n v="-1.6962802637539638E-2"/>
    <n v="210"/>
  </r>
  <r>
    <x v="93"/>
    <s v="S017"/>
    <s v="C03"/>
    <x v="16"/>
    <x v="3"/>
    <x v="16"/>
    <x v="4"/>
    <n v="9798"/>
    <n v="9557"/>
    <n v="46"/>
    <n v="241"/>
    <n v="2.5217118342576124E-2"/>
    <n v="213"/>
  </r>
  <r>
    <x v="93"/>
    <s v="S018"/>
    <s v="C01"/>
    <x v="17"/>
    <x v="4"/>
    <x v="17"/>
    <x v="0"/>
    <n v="14337"/>
    <n v="16201"/>
    <n v="59"/>
    <n v="-1864"/>
    <n v="-0.11505462625763842"/>
    <n v="243"/>
  </r>
  <r>
    <x v="93"/>
    <s v="S019"/>
    <s v="C02"/>
    <x v="18"/>
    <x v="5"/>
    <x v="18"/>
    <x v="1"/>
    <n v="52170"/>
    <n v="49363"/>
    <n v="185"/>
    <n v="2807"/>
    <n v="5.6864453132913315E-2"/>
    <n v="282"/>
  </r>
  <r>
    <x v="93"/>
    <s v="S020"/>
    <s v="C03"/>
    <x v="19"/>
    <x v="6"/>
    <x v="19"/>
    <x v="4"/>
    <n v="9492"/>
    <n v="8888"/>
    <n v="42"/>
    <n v="604"/>
    <n v="6.7956795679567958E-2"/>
    <n v="226"/>
  </r>
  <r>
    <x v="94"/>
    <s v="S001"/>
    <s v="C03"/>
    <x v="0"/>
    <x v="0"/>
    <x v="0"/>
    <x v="4"/>
    <n v="65514"/>
    <n v="64731"/>
    <n v="183"/>
    <n v="783"/>
    <n v="1.209621356073597E-2"/>
    <n v="358"/>
  </r>
  <r>
    <x v="94"/>
    <s v="S002"/>
    <s v="C05"/>
    <x v="1"/>
    <x v="0"/>
    <x v="1"/>
    <x v="3"/>
    <n v="57873"/>
    <n v="59390"/>
    <n v="191"/>
    <n v="-1517"/>
    <n v="-2.5543020710557331E-2"/>
    <n v="303"/>
  </r>
  <r>
    <x v="94"/>
    <s v="S003"/>
    <s v="C01"/>
    <x v="2"/>
    <x v="0"/>
    <x v="2"/>
    <x v="0"/>
    <n v="28560"/>
    <n v="31153"/>
    <n v="60"/>
    <n v="-2593"/>
    <n v="-8.3234359451738196E-2"/>
    <n v="476"/>
  </r>
  <r>
    <x v="94"/>
    <s v="S004"/>
    <s v="C05"/>
    <x v="3"/>
    <x v="0"/>
    <x v="3"/>
    <x v="3"/>
    <n v="25020"/>
    <n v="28549"/>
    <n v="90"/>
    <n v="-3529"/>
    <n v="-0.12361203544782655"/>
    <n v="278"/>
  </r>
  <r>
    <x v="94"/>
    <s v="S005"/>
    <s v="C02"/>
    <x v="4"/>
    <x v="0"/>
    <x v="4"/>
    <x v="1"/>
    <n v="31304"/>
    <n v="35792"/>
    <n v="172"/>
    <n v="-4488"/>
    <n v="-0.12539114886008046"/>
    <n v="182"/>
  </r>
  <r>
    <x v="94"/>
    <s v="S006"/>
    <s v="C01"/>
    <x v="5"/>
    <x v="1"/>
    <x v="5"/>
    <x v="0"/>
    <n v="38982"/>
    <n v="43380"/>
    <n v="89"/>
    <n v="-4398"/>
    <n v="-0.10138312586445367"/>
    <n v="438"/>
  </r>
  <r>
    <x v="94"/>
    <s v="S007"/>
    <s v="C04"/>
    <x v="6"/>
    <x v="1"/>
    <x v="6"/>
    <x v="2"/>
    <n v="61568"/>
    <n v="58260"/>
    <n v="128"/>
    <n v="3308"/>
    <n v="5.6779951939581186E-2"/>
    <n v="481"/>
  </r>
  <r>
    <x v="94"/>
    <s v="S008"/>
    <s v="C01"/>
    <x v="7"/>
    <x v="1"/>
    <x v="7"/>
    <x v="0"/>
    <n v="29241"/>
    <n v="33490"/>
    <n v="81"/>
    <n v="-4249"/>
    <n v="-0.12687369363989251"/>
    <n v="361"/>
  </r>
  <r>
    <x v="94"/>
    <s v="S009"/>
    <s v="C04"/>
    <x v="8"/>
    <x v="1"/>
    <x v="8"/>
    <x v="2"/>
    <n v="39427"/>
    <n v="37727"/>
    <n v="89"/>
    <n v="1700"/>
    <n v="4.5060566702891831E-2"/>
    <n v="443"/>
  </r>
  <r>
    <x v="94"/>
    <s v="S010"/>
    <s v="C01"/>
    <x v="9"/>
    <x v="1"/>
    <x v="9"/>
    <x v="0"/>
    <n v="27945"/>
    <n v="28405"/>
    <n v="115"/>
    <n v="-460"/>
    <n v="-1.6194331983805668E-2"/>
    <n v="243"/>
  </r>
  <r>
    <x v="94"/>
    <s v="S011"/>
    <s v="C05"/>
    <x v="10"/>
    <x v="2"/>
    <x v="10"/>
    <x v="3"/>
    <n v="29877"/>
    <n v="32582"/>
    <n v="69"/>
    <n v="-2705"/>
    <n v="-8.3021300104352103E-2"/>
    <n v="433"/>
  </r>
  <r>
    <x v="94"/>
    <s v="S012"/>
    <s v="C03"/>
    <x v="11"/>
    <x v="2"/>
    <x v="11"/>
    <x v="4"/>
    <n v="35400"/>
    <n v="32587"/>
    <n v="177"/>
    <n v="2813"/>
    <n v="8.6322766747475993E-2"/>
    <n v="200"/>
  </r>
  <r>
    <x v="94"/>
    <s v="S013"/>
    <s v="C04"/>
    <x v="12"/>
    <x v="2"/>
    <x v="12"/>
    <x v="2"/>
    <n v="24128"/>
    <n v="23425"/>
    <n v="64"/>
    <n v="703"/>
    <n v="3.0010672358591249E-2"/>
    <n v="377"/>
  </r>
  <r>
    <x v="94"/>
    <s v="S014"/>
    <s v="C05"/>
    <x v="13"/>
    <x v="2"/>
    <x v="13"/>
    <x v="3"/>
    <n v="46398"/>
    <n v="44378"/>
    <n v="114"/>
    <n v="2020"/>
    <n v="4.551804948397855E-2"/>
    <n v="407"/>
  </r>
  <r>
    <x v="94"/>
    <s v="S015"/>
    <s v="C04"/>
    <x v="14"/>
    <x v="2"/>
    <x v="14"/>
    <x v="2"/>
    <n v="43491"/>
    <n v="41194"/>
    <n v="109"/>
    <n v="2297"/>
    <n v="5.5760547652570762E-2"/>
    <n v="399"/>
  </r>
  <r>
    <x v="94"/>
    <s v="S016"/>
    <s v="C01"/>
    <x v="15"/>
    <x v="3"/>
    <x v="15"/>
    <x v="0"/>
    <n v="57408"/>
    <n v="54240"/>
    <n v="156"/>
    <n v="3168"/>
    <n v="5.8407079646017698E-2"/>
    <n v="368"/>
  </r>
  <r>
    <x v="94"/>
    <s v="S017"/>
    <s v="C04"/>
    <x v="16"/>
    <x v="3"/>
    <x v="16"/>
    <x v="2"/>
    <n v="48231"/>
    <n v="48187"/>
    <n v="207"/>
    <n v="44"/>
    <n v="9.1310934484404509E-4"/>
    <n v="233"/>
  </r>
  <r>
    <x v="94"/>
    <s v="S018"/>
    <s v="C05"/>
    <x v="17"/>
    <x v="4"/>
    <x v="17"/>
    <x v="3"/>
    <n v="45269"/>
    <n v="42091"/>
    <n v="203"/>
    <n v="3178"/>
    <n v="7.5503076667221017E-2"/>
    <n v="223"/>
  </r>
  <r>
    <x v="94"/>
    <s v="S019"/>
    <s v="C04"/>
    <x v="18"/>
    <x v="5"/>
    <x v="18"/>
    <x v="2"/>
    <n v="66034"/>
    <n v="75568"/>
    <n v="137"/>
    <n v="-9534"/>
    <n v="-0.12616451408003387"/>
    <n v="482"/>
  </r>
  <r>
    <x v="94"/>
    <s v="S020"/>
    <s v="C02"/>
    <x v="19"/>
    <x v="6"/>
    <x v="19"/>
    <x v="1"/>
    <n v="18666"/>
    <n v="21350"/>
    <n v="51"/>
    <n v="-2684"/>
    <n v="-0.12571428571428572"/>
    <n v="366"/>
  </r>
  <r>
    <x v="95"/>
    <s v="S001"/>
    <s v="C03"/>
    <x v="0"/>
    <x v="0"/>
    <x v="0"/>
    <x v="4"/>
    <n v="41624"/>
    <n v="46244"/>
    <n v="86"/>
    <n v="-4620"/>
    <n v="-9.9904852521408183E-2"/>
    <n v="484"/>
  </r>
  <r>
    <x v="95"/>
    <s v="S002"/>
    <s v="C04"/>
    <x v="1"/>
    <x v="0"/>
    <x v="1"/>
    <x v="2"/>
    <n v="19734"/>
    <n v="21895"/>
    <n v="66"/>
    <n v="-2161"/>
    <n v="-9.8698332952728937E-2"/>
    <n v="299"/>
  </r>
  <r>
    <x v="95"/>
    <s v="S003"/>
    <s v="C04"/>
    <x v="2"/>
    <x v="0"/>
    <x v="2"/>
    <x v="2"/>
    <n v="50562"/>
    <n v="53009"/>
    <n v="106"/>
    <n v="-2447"/>
    <n v="-4.616197249523666E-2"/>
    <n v="477"/>
  </r>
  <r>
    <x v="95"/>
    <s v="S004"/>
    <s v="C04"/>
    <x v="3"/>
    <x v="0"/>
    <x v="3"/>
    <x v="2"/>
    <n v="53298"/>
    <n v="56851"/>
    <n v="126"/>
    <n v="-3553"/>
    <n v="-6.2496701904979683E-2"/>
    <n v="423"/>
  </r>
  <r>
    <x v="95"/>
    <s v="S005"/>
    <s v="C04"/>
    <x v="4"/>
    <x v="0"/>
    <x v="4"/>
    <x v="2"/>
    <n v="70119"/>
    <n v="67995"/>
    <n v="159"/>
    <n v="2124"/>
    <n v="3.1237590999338188E-2"/>
    <n v="441"/>
  </r>
  <r>
    <x v="95"/>
    <s v="S006"/>
    <s v="C04"/>
    <x v="5"/>
    <x v="1"/>
    <x v="5"/>
    <x v="2"/>
    <n v="15004"/>
    <n v="14443"/>
    <n v="62"/>
    <n v="561"/>
    <n v="3.8842345773038842E-2"/>
    <n v="242"/>
  </r>
  <r>
    <x v="95"/>
    <s v="S007"/>
    <s v="C04"/>
    <x v="6"/>
    <x v="1"/>
    <x v="6"/>
    <x v="2"/>
    <n v="47094"/>
    <n v="53479"/>
    <n v="94"/>
    <n v="-6385"/>
    <n v="-0.11939265880065073"/>
    <n v="501"/>
  </r>
  <r>
    <x v="95"/>
    <s v="S008"/>
    <s v="C01"/>
    <x v="7"/>
    <x v="1"/>
    <x v="7"/>
    <x v="0"/>
    <n v="12420"/>
    <n v="13756"/>
    <n v="60"/>
    <n v="-1336"/>
    <n v="-9.7121256179121832E-2"/>
    <n v="207"/>
  </r>
  <r>
    <x v="95"/>
    <s v="S009"/>
    <s v="C04"/>
    <x v="8"/>
    <x v="1"/>
    <x v="8"/>
    <x v="2"/>
    <n v="40144"/>
    <n v="45885"/>
    <n v="208"/>
    <n v="-5741"/>
    <n v="-0.1251171406777814"/>
    <n v="193"/>
  </r>
  <r>
    <x v="95"/>
    <s v="S010"/>
    <s v="C04"/>
    <x v="9"/>
    <x v="1"/>
    <x v="9"/>
    <x v="2"/>
    <n v="65583"/>
    <n v="61528"/>
    <n v="189"/>
    <n v="4055"/>
    <n v="6.5904953842153169E-2"/>
    <n v="347"/>
  </r>
  <r>
    <x v="95"/>
    <s v="S011"/>
    <s v="C05"/>
    <x v="10"/>
    <x v="2"/>
    <x v="10"/>
    <x v="3"/>
    <n v="44426"/>
    <n v="48426"/>
    <n v="194"/>
    <n v="-4000"/>
    <n v="-8.2600256060793784E-2"/>
    <n v="229"/>
  </r>
  <r>
    <x v="95"/>
    <s v="S012"/>
    <s v="C05"/>
    <x v="11"/>
    <x v="2"/>
    <x v="11"/>
    <x v="3"/>
    <n v="67298"/>
    <n v="63965"/>
    <n v="161"/>
    <n v="3333"/>
    <n v="5.2106620808254511E-2"/>
    <n v="418"/>
  </r>
  <r>
    <x v="95"/>
    <s v="S013"/>
    <s v="C04"/>
    <x v="12"/>
    <x v="2"/>
    <x v="12"/>
    <x v="2"/>
    <n v="70080"/>
    <n v="67656"/>
    <n v="160"/>
    <n v="2424"/>
    <n v="3.5828307910606601E-2"/>
    <n v="438"/>
  </r>
  <r>
    <x v="95"/>
    <s v="S014"/>
    <s v="C03"/>
    <x v="13"/>
    <x v="2"/>
    <x v="13"/>
    <x v="4"/>
    <n v="79407"/>
    <n v="71817"/>
    <n v="173"/>
    <n v="7590"/>
    <n v="0.10568528342871465"/>
    <n v="459"/>
  </r>
  <r>
    <x v="95"/>
    <s v="S015"/>
    <s v="C01"/>
    <x v="14"/>
    <x v="2"/>
    <x v="14"/>
    <x v="0"/>
    <n v="34800"/>
    <n v="34657"/>
    <n v="145"/>
    <n v="143"/>
    <n v="4.1261505612141848E-3"/>
    <n v="240"/>
  </r>
  <r>
    <x v="95"/>
    <s v="S016"/>
    <s v="C03"/>
    <x v="15"/>
    <x v="3"/>
    <x v="15"/>
    <x v="4"/>
    <n v="53186"/>
    <n v="53979"/>
    <n v="131"/>
    <n v="-793"/>
    <n v="-1.4690898312306638E-2"/>
    <n v="406"/>
  </r>
  <r>
    <x v="95"/>
    <s v="S017"/>
    <s v="C01"/>
    <x v="16"/>
    <x v="3"/>
    <x v="16"/>
    <x v="0"/>
    <n v="37200"/>
    <n v="39612"/>
    <n v="80"/>
    <n v="-2412"/>
    <n v="-6.0890639200242354E-2"/>
    <n v="465"/>
  </r>
  <r>
    <x v="95"/>
    <s v="S018"/>
    <s v="C03"/>
    <x v="17"/>
    <x v="4"/>
    <x v="17"/>
    <x v="4"/>
    <n v="56760"/>
    <n v="58058"/>
    <n v="215"/>
    <n v="-1298"/>
    <n v="-2.235695339143615E-2"/>
    <n v="264"/>
  </r>
  <r>
    <x v="95"/>
    <s v="S019"/>
    <s v="C02"/>
    <x v="18"/>
    <x v="5"/>
    <x v="18"/>
    <x v="1"/>
    <n v="43206"/>
    <n v="44150"/>
    <n v="114"/>
    <n v="-944"/>
    <n v="-2.1381653454133634E-2"/>
    <n v="379"/>
  </r>
  <r>
    <x v="95"/>
    <s v="S020"/>
    <s v="C01"/>
    <x v="19"/>
    <x v="6"/>
    <x v="19"/>
    <x v="0"/>
    <n v="77580"/>
    <n v="82624"/>
    <n v="180"/>
    <n v="-5044"/>
    <n v="-6.104763749031758E-2"/>
    <n v="431"/>
  </r>
  <r>
    <x v="96"/>
    <s v="S001"/>
    <s v="C05"/>
    <x v="0"/>
    <x v="0"/>
    <x v="0"/>
    <x v="3"/>
    <n v="76020"/>
    <n v="77462"/>
    <n v="181"/>
    <n v="-1442"/>
    <n v="-1.8615579251762153E-2"/>
    <n v="420"/>
  </r>
  <r>
    <x v="96"/>
    <s v="S002"/>
    <s v="C02"/>
    <x v="1"/>
    <x v="0"/>
    <x v="1"/>
    <x v="1"/>
    <n v="34112"/>
    <n v="34038"/>
    <n v="164"/>
    <n v="74"/>
    <n v="2.1740407779540514E-3"/>
    <n v="208"/>
  </r>
  <r>
    <x v="96"/>
    <s v="S003"/>
    <s v="C04"/>
    <x v="2"/>
    <x v="0"/>
    <x v="2"/>
    <x v="2"/>
    <n v="69378"/>
    <n v="73140"/>
    <n v="186"/>
    <n v="-3762"/>
    <n v="-5.1435602953240359E-2"/>
    <n v="373"/>
  </r>
  <r>
    <x v="96"/>
    <s v="S004"/>
    <s v="C03"/>
    <x v="3"/>
    <x v="0"/>
    <x v="3"/>
    <x v="4"/>
    <n v="36808"/>
    <n v="33692"/>
    <n v="107"/>
    <n v="3116"/>
    <n v="9.2484862875460053E-2"/>
    <n v="344"/>
  </r>
  <r>
    <x v="96"/>
    <s v="S005"/>
    <s v="C05"/>
    <x v="4"/>
    <x v="0"/>
    <x v="4"/>
    <x v="3"/>
    <n v="11270"/>
    <n v="12501"/>
    <n v="46"/>
    <n v="-1231"/>
    <n v="-9.8472122230221587E-2"/>
    <n v="245"/>
  </r>
  <r>
    <x v="96"/>
    <s v="S006"/>
    <s v="C03"/>
    <x v="5"/>
    <x v="1"/>
    <x v="5"/>
    <x v="4"/>
    <n v="35512"/>
    <n v="38754"/>
    <n v="184"/>
    <n v="-3242"/>
    <n v="-8.3655880683284306E-2"/>
    <n v="193"/>
  </r>
  <r>
    <x v="96"/>
    <s v="S007"/>
    <s v="C03"/>
    <x v="6"/>
    <x v="1"/>
    <x v="6"/>
    <x v="4"/>
    <n v="30228"/>
    <n v="30440"/>
    <n v="132"/>
    <n v="-212"/>
    <n v="-6.9645203679369249E-3"/>
    <n v="229"/>
  </r>
  <r>
    <x v="96"/>
    <s v="S008"/>
    <s v="C03"/>
    <x v="7"/>
    <x v="1"/>
    <x v="7"/>
    <x v="4"/>
    <n v="50260"/>
    <n v="45943"/>
    <n v="140"/>
    <n v="4317"/>
    <n v="9.3964260061380409E-2"/>
    <n v="359"/>
  </r>
  <r>
    <x v="96"/>
    <s v="S009"/>
    <s v="C02"/>
    <x v="8"/>
    <x v="1"/>
    <x v="8"/>
    <x v="1"/>
    <n v="29400"/>
    <n v="31223"/>
    <n v="98"/>
    <n v="-1823"/>
    <n v="-5.8386445889248309E-2"/>
    <n v="300"/>
  </r>
  <r>
    <x v="96"/>
    <s v="S010"/>
    <s v="C05"/>
    <x v="9"/>
    <x v="1"/>
    <x v="9"/>
    <x v="3"/>
    <n v="11928"/>
    <n v="13326"/>
    <n v="56"/>
    <n v="-1398"/>
    <n v="-0.10490769923457902"/>
    <n v="213"/>
  </r>
  <r>
    <x v="96"/>
    <s v="S011"/>
    <s v="C01"/>
    <x v="10"/>
    <x v="2"/>
    <x v="10"/>
    <x v="0"/>
    <n v="32186"/>
    <n v="29126"/>
    <n v="121"/>
    <n v="3060"/>
    <n v="0.10506077044564993"/>
    <n v="266"/>
  </r>
  <r>
    <x v="96"/>
    <s v="S012"/>
    <s v="C03"/>
    <x v="11"/>
    <x v="2"/>
    <x v="11"/>
    <x v="4"/>
    <n v="18260"/>
    <n v="19436"/>
    <n v="44"/>
    <n v="-1176"/>
    <n v="-6.0506277011730808E-2"/>
    <n v="415"/>
  </r>
  <r>
    <x v="96"/>
    <s v="S013"/>
    <s v="C04"/>
    <x v="12"/>
    <x v="2"/>
    <x v="12"/>
    <x v="2"/>
    <n v="79740"/>
    <n v="89735"/>
    <n v="180"/>
    <n v="-9995"/>
    <n v="-0.11138351813673594"/>
    <n v="443"/>
  </r>
  <r>
    <x v="96"/>
    <s v="S014"/>
    <s v="C03"/>
    <x v="13"/>
    <x v="2"/>
    <x v="13"/>
    <x v="4"/>
    <n v="16800"/>
    <n v="17589"/>
    <n v="40"/>
    <n v="-789"/>
    <n v="-4.4857581442947297E-2"/>
    <n v="420"/>
  </r>
  <r>
    <x v="96"/>
    <s v="S015"/>
    <s v="C03"/>
    <x v="14"/>
    <x v="2"/>
    <x v="14"/>
    <x v="4"/>
    <n v="61832"/>
    <n v="61682"/>
    <n v="131"/>
    <n v="150"/>
    <n v="2.4318277617457282E-3"/>
    <n v="472"/>
  </r>
  <r>
    <x v="96"/>
    <s v="S016"/>
    <s v="C05"/>
    <x v="15"/>
    <x v="3"/>
    <x v="15"/>
    <x v="3"/>
    <n v="25800"/>
    <n v="23865"/>
    <n v="60"/>
    <n v="1935"/>
    <n v="8.1081081081081086E-2"/>
    <n v="430"/>
  </r>
  <r>
    <x v="96"/>
    <s v="S017"/>
    <s v="C02"/>
    <x v="16"/>
    <x v="3"/>
    <x v="16"/>
    <x v="1"/>
    <n v="52514"/>
    <n v="53863"/>
    <n v="121"/>
    <n v="-1349"/>
    <n v="-2.5045021628947516E-2"/>
    <n v="434"/>
  </r>
  <r>
    <x v="96"/>
    <s v="S018"/>
    <s v="C03"/>
    <x v="17"/>
    <x v="4"/>
    <x v="17"/>
    <x v="4"/>
    <n v="38038"/>
    <n v="37082"/>
    <n v="77"/>
    <n v="956"/>
    <n v="2.578070222749582E-2"/>
    <n v="494"/>
  </r>
  <r>
    <x v="96"/>
    <s v="S019"/>
    <s v="C04"/>
    <x v="18"/>
    <x v="5"/>
    <x v="18"/>
    <x v="2"/>
    <n v="37324"/>
    <n v="39520"/>
    <n v="86"/>
    <n v="-2196"/>
    <n v="-5.5566801619433198E-2"/>
    <n v="434"/>
  </r>
  <r>
    <x v="96"/>
    <s v="S020"/>
    <s v="C01"/>
    <x v="19"/>
    <x v="6"/>
    <x v="19"/>
    <x v="0"/>
    <n v="49708"/>
    <n v="48308"/>
    <n v="172"/>
    <n v="1400"/>
    <n v="2.8980707129253953E-2"/>
    <n v="289"/>
  </r>
  <r>
    <x v="97"/>
    <s v="S001"/>
    <s v="C01"/>
    <x v="0"/>
    <x v="0"/>
    <x v="0"/>
    <x v="0"/>
    <n v="52503"/>
    <n v="52529"/>
    <n v="111"/>
    <n v="-26"/>
    <n v="-4.9496468617335183E-4"/>
    <n v="473"/>
  </r>
  <r>
    <x v="97"/>
    <s v="S002"/>
    <s v="C02"/>
    <x v="1"/>
    <x v="0"/>
    <x v="1"/>
    <x v="1"/>
    <n v="44038"/>
    <n v="47535"/>
    <n v="194"/>
    <n v="-3497"/>
    <n v="-7.3566845482276211E-2"/>
    <n v="227"/>
  </r>
  <r>
    <x v="97"/>
    <s v="S003"/>
    <s v="C05"/>
    <x v="2"/>
    <x v="0"/>
    <x v="2"/>
    <x v="3"/>
    <n v="28497"/>
    <n v="28047"/>
    <n v="59"/>
    <n v="450"/>
    <n v="1.6044496737618996E-2"/>
    <n v="483"/>
  </r>
  <r>
    <x v="97"/>
    <s v="S004"/>
    <s v="C01"/>
    <x v="3"/>
    <x v="0"/>
    <x v="3"/>
    <x v="0"/>
    <n v="81180"/>
    <n v="82707"/>
    <n v="180"/>
    <n v="-1527"/>
    <n v="-1.8462766150386303E-2"/>
    <n v="451"/>
  </r>
  <r>
    <x v="97"/>
    <s v="S005"/>
    <s v="C02"/>
    <x v="4"/>
    <x v="0"/>
    <x v="4"/>
    <x v="1"/>
    <n v="26937"/>
    <n v="28630"/>
    <n v="123"/>
    <n v="-1693"/>
    <n v="-5.9133775759692628E-2"/>
    <n v="219"/>
  </r>
  <r>
    <x v="97"/>
    <s v="S006"/>
    <s v="C03"/>
    <x v="5"/>
    <x v="1"/>
    <x v="5"/>
    <x v="4"/>
    <n v="54612"/>
    <n v="55061"/>
    <n v="164"/>
    <n v="-449"/>
    <n v="-8.1545921795826443E-3"/>
    <n v="333"/>
  </r>
  <r>
    <x v="97"/>
    <s v="S007"/>
    <s v="C05"/>
    <x v="6"/>
    <x v="1"/>
    <x v="6"/>
    <x v="3"/>
    <n v="32430"/>
    <n v="32546"/>
    <n v="115"/>
    <n v="-116"/>
    <n v="-3.5641860750937134E-3"/>
    <n v="282"/>
  </r>
  <r>
    <x v="97"/>
    <s v="S008"/>
    <s v="C03"/>
    <x v="7"/>
    <x v="1"/>
    <x v="7"/>
    <x v="4"/>
    <n v="85942"/>
    <n v="87085"/>
    <n v="194"/>
    <n v="-1143"/>
    <n v="-1.3125107653442039E-2"/>
    <n v="443"/>
  </r>
  <r>
    <x v="97"/>
    <s v="S009"/>
    <s v="C05"/>
    <x v="8"/>
    <x v="1"/>
    <x v="8"/>
    <x v="3"/>
    <n v="15309"/>
    <n v="16181"/>
    <n v="81"/>
    <n v="-872"/>
    <n v="-5.3890365243186453E-2"/>
    <n v="189"/>
  </r>
  <r>
    <x v="97"/>
    <s v="S010"/>
    <s v="C05"/>
    <x v="9"/>
    <x v="1"/>
    <x v="9"/>
    <x v="3"/>
    <n v="38950"/>
    <n v="39915"/>
    <n v="82"/>
    <n v="-965"/>
    <n v="-2.417637479644244E-2"/>
    <n v="475"/>
  </r>
  <r>
    <x v="97"/>
    <s v="S011"/>
    <s v="C04"/>
    <x v="10"/>
    <x v="2"/>
    <x v="10"/>
    <x v="2"/>
    <n v="52118"/>
    <n v="53847"/>
    <n v="103"/>
    <n v="-1729"/>
    <n v="-3.2109495422214793E-2"/>
    <n v="506"/>
  </r>
  <r>
    <x v="97"/>
    <s v="S012"/>
    <s v="C05"/>
    <x v="11"/>
    <x v="2"/>
    <x v="11"/>
    <x v="3"/>
    <n v="68474"/>
    <n v="74065"/>
    <n v="146"/>
    <n v="-5591"/>
    <n v="-7.5487747249038006E-2"/>
    <n v="469"/>
  </r>
  <r>
    <x v="97"/>
    <s v="S013"/>
    <s v="C01"/>
    <x v="12"/>
    <x v="2"/>
    <x v="12"/>
    <x v="0"/>
    <n v="47376"/>
    <n v="46952"/>
    <n v="168"/>
    <n v="424"/>
    <n v="9.0304992332594994E-3"/>
    <n v="282"/>
  </r>
  <r>
    <x v="97"/>
    <s v="S014"/>
    <s v="C02"/>
    <x v="13"/>
    <x v="2"/>
    <x v="13"/>
    <x v="1"/>
    <n v="24672"/>
    <n v="26808"/>
    <n v="96"/>
    <n v="-2136"/>
    <n v="-7.9677708146821846E-2"/>
    <n v="257"/>
  </r>
  <r>
    <x v="97"/>
    <s v="S015"/>
    <s v="C03"/>
    <x v="14"/>
    <x v="2"/>
    <x v="14"/>
    <x v="4"/>
    <n v="56940"/>
    <n v="55782"/>
    <n v="146"/>
    <n v="1158"/>
    <n v="2.0759384747768096E-2"/>
    <n v="390"/>
  </r>
  <r>
    <x v="97"/>
    <s v="S016"/>
    <s v="C01"/>
    <x v="15"/>
    <x v="3"/>
    <x v="15"/>
    <x v="0"/>
    <n v="55948"/>
    <n v="62185"/>
    <n v="197"/>
    <n v="-6237"/>
    <n v="-0.10029749939696068"/>
    <n v="284"/>
  </r>
  <r>
    <x v="97"/>
    <s v="S017"/>
    <s v="C03"/>
    <x v="16"/>
    <x v="3"/>
    <x v="16"/>
    <x v="4"/>
    <n v="55080"/>
    <n v="51783"/>
    <n v="108"/>
    <n v="3297"/>
    <n v="6.3669544058861022E-2"/>
    <n v="510"/>
  </r>
  <r>
    <x v="97"/>
    <s v="S018"/>
    <s v="C05"/>
    <x v="17"/>
    <x v="4"/>
    <x v="17"/>
    <x v="3"/>
    <n v="36765"/>
    <n v="35280"/>
    <n v="95"/>
    <n v="1485"/>
    <n v="4.2091836734693876E-2"/>
    <n v="387"/>
  </r>
  <r>
    <x v="97"/>
    <s v="S019"/>
    <s v="C02"/>
    <x v="18"/>
    <x v="5"/>
    <x v="18"/>
    <x v="1"/>
    <n v="16296"/>
    <n v="15666"/>
    <n v="84"/>
    <n v="630"/>
    <n v="4.0214477211796246E-2"/>
    <n v="194"/>
  </r>
  <r>
    <x v="97"/>
    <s v="S020"/>
    <s v="C03"/>
    <x v="19"/>
    <x v="6"/>
    <x v="19"/>
    <x v="4"/>
    <n v="65484"/>
    <n v="68100"/>
    <n v="153"/>
    <n v="-2616"/>
    <n v="-3.8414096916299559E-2"/>
    <n v="428"/>
  </r>
  <r>
    <x v="98"/>
    <s v="S001"/>
    <s v="C04"/>
    <x v="0"/>
    <x v="0"/>
    <x v="0"/>
    <x v="2"/>
    <n v="73073"/>
    <n v="82310"/>
    <n v="143"/>
    <n v="-9237"/>
    <n v="-0.11222208723119913"/>
    <n v="511"/>
  </r>
  <r>
    <x v="98"/>
    <s v="S002"/>
    <s v="C02"/>
    <x v="1"/>
    <x v="0"/>
    <x v="1"/>
    <x v="1"/>
    <n v="23925"/>
    <n v="22348"/>
    <n v="75"/>
    <n v="1577"/>
    <n v="7.0565598711294072E-2"/>
    <n v="319"/>
  </r>
  <r>
    <x v="98"/>
    <s v="S003"/>
    <s v="C03"/>
    <x v="2"/>
    <x v="0"/>
    <x v="2"/>
    <x v="4"/>
    <n v="54802"/>
    <n v="56866"/>
    <n v="106"/>
    <n v="-2064"/>
    <n v="-3.6295853409770339E-2"/>
    <n v="517"/>
  </r>
  <r>
    <x v="98"/>
    <s v="S004"/>
    <s v="C01"/>
    <x v="3"/>
    <x v="0"/>
    <x v="3"/>
    <x v="0"/>
    <n v="93732"/>
    <n v="102688"/>
    <n v="219"/>
    <n v="-8956"/>
    <n v="-8.7215643502648807E-2"/>
    <n v="428"/>
  </r>
  <r>
    <x v="98"/>
    <s v="S005"/>
    <s v="C01"/>
    <x v="4"/>
    <x v="0"/>
    <x v="4"/>
    <x v="0"/>
    <n v="19040"/>
    <n v="19999"/>
    <n v="56"/>
    <n v="-959"/>
    <n v="-4.7952397619880995E-2"/>
    <n v="340"/>
  </r>
  <r>
    <x v="98"/>
    <s v="S006"/>
    <s v="C01"/>
    <x v="5"/>
    <x v="1"/>
    <x v="5"/>
    <x v="0"/>
    <n v="50874"/>
    <n v="54329"/>
    <n v="139"/>
    <n v="-3455"/>
    <n v="-6.3594028971635769E-2"/>
    <n v="366"/>
  </r>
  <r>
    <x v="98"/>
    <s v="S007"/>
    <s v="C01"/>
    <x v="6"/>
    <x v="1"/>
    <x v="6"/>
    <x v="0"/>
    <n v="34136"/>
    <n v="32736"/>
    <n v="136"/>
    <n v="1400"/>
    <n v="4.2766373411534699E-2"/>
    <n v="251"/>
  </r>
  <r>
    <x v="98"/>
    <s v="S008"/>
    <s v="C05"/>
    <x v="7"/>
    <x v="1"/>
    <x v="7"/>
    <x v="3"/>
    <n v="39283"/>
    <n v="40480"/>
    <n v="163"/>
    <n v="-1197"/>
    <n v="-2.9570158102766798E-2"/>
    <n v="241"/>
  </r>
  <r>
    <x v="98"/>
    <s v="S009"/>
    <s v="C05"/>
    <x v="8"/>
    <x v="1"/>
    <x v="8"/>
    <x v="3"/>
    <n v="52052"/>
    <n v="53307"/>
    <n v="169"/>
    <n v="-1255"/>
    <n v="-2.3542874294182753E-2"/>
    <n v="308"/>
  </r>
  <r>
    <x v="98"/>
    <s v="S010"/>
    <s v="C01"/>
    <x v="9"/>
    <x v="1"/>
    <x v="9"/>
    <x v="0"/>
    <n v="46265"/>
    <n v="43052"/>
    <n v="95"/>
    <n v="3213"/>
    <n v="7.4630679178667655E-2"/>
    <n v="487"/>
  </r>
  <r>
    <x v="98"/>
    <s v="S011"/>
    <s v="C03"/>
    <x v="10"/>
    <x v="2"/>
    <x v="10"/>
    <x v="4"/>
    <n v="57001"/>
    <n v="61806"/>
    <n v="119"/>
    <n v="-4805"/>
    <n v="-7.774326117205449E-2"/>
    <n v="479"/>
  </r>
  <r>
    <x v="98"/>
    <s v="S012"/>
    <s v="C02"/>
    <x v="11"/>
    <x v="2"/>
    <x v="11"/>
    <x v="1"/>
    <n v="41613"/>
    <n v="38952"/>
    <n v="143"/>
    <n v="2661"/>
    <n v="6.8314849044978435E-2"/>
    <n v="291"/>
  </r>
  <r>
    <x v="98"/>
    <s v="S013"/>
    <s v="C02"/>
    <x v="12"/>
    <x v="2"/>
    <x v="12"/>
    <x v="1"/>
    <n v="28480"/>
    <n v="28761"/>
    <n v="89"/>
    <n v="-281"/>
    <n v="-9.7701748896074549E-3"/>
    <n v="320"/>
  </r>
  <r>
    <x v="98"/>
    <s v="S014"/>
    <s v="C03"/>
    <x v="13"/>
    <x v="2"/>
    <x v="13"/>
    <x v="4"/>
    <n v="38480"/>
    <n v="39349"/>
    <n v="185"/>
    <n v="-869"/>
    <n v="-2.2084424000609927E-2"/>
    <n v="208"/>
  </r>
  <r>
    <x v="98"/>
    <s v="S015"/>
    <s v="C03"/>
    <x v="14"/>
    <x v="2"/>
    <x v="14"/>
    <x v="4"/>
    <n v="50718"/>
    <n v="49659"/>
    <n v="214"/>
    <n v="1059"/>
    <n v="2.1325439497372079E-2"/>
    <n v="237"/>
  </r>
  <r>
    <x v="98"/>
    <s v="S016"/>
    <s v="C04"/>
    <x v="15"/>
    <x v="3"/>
    <x v="15"/>
    <x v="2"/>
    <n v="47736"/>
    <n v="54458"/>
    <n v="156"/>
    <n v="-6722"/>
    <n v="-0.12343457343273716"/>
    <n v="306"/>
  </r>
  <r>
    <x v="98"/>
    <s v="S017"/>
    <s v="C02"/>
    <x v="16"/>
    <x v="3"/>
    <x v="16"/>
    <x v="1"/>
    <n v="53721"/>
    <n v="57960"/>
    <n v="127"/>
    <n v="-4239"/>
    <n v="-7.3136645962732921E-2"/>
    <n v="423"/>
  </r>
  <r>
    <x v="98"/>
    <s v="S018"/>
    <s v="C03"/>
    <x v="17"/>
    <x v="4"/>
    <x v="17"/>
    <x v="4"/>
    <n v="20400"/>
    <n v="23290"/>
    <n v="40"/>
    <n v="-2890"/>
    <n v="-0.12408759124087591"/>
    <n v="510"/>
  </r>
  <r>
    <x v="98"/>
    <s v="S019"/>
    <s v="C05"/>
    <x v="18"/>
    <x v="5"/>
    <x v="18"/>
    <x v="3"/>
    <n v="22317"/>
    <n v="24542"/>
    <n v="43"/>
    <n v="-2225"/>
    <n v="-9.0660907831472584E-2"/>
    <n v="519"/>
  </r>
  <r>
    <x v="98"/>
    <s v="S020"/>
    <s v="C01"/>
    <x v="19"/>
    <x v="6"/>
    <x v="19"/>
    <x v="0"/>
    <n v="63722"/>
    <n v="61379"/>
    <n v="211"/>
    <n v="2343"/>
    <n v="3.8172664917968689E-2"/>
    <n v="302"/>
  </r>
  <r>
    <x v="99"/>
    <s v="S001"/>
    <s v="C04"/>
    <x v="0"/>
    <x v="0"/>
    <x v="0"/>
    <x v="2"/>
    <n v="57798"/>
    <n v="65867"/>
    <n v="114"/>
    <n v="-8069"/>
    <n v="-0.12250444076700016"/>
    <n v="507"/>
  </r>
  <r>
    <x v="99"/>
    <s v="S002"/>
    <s v="C03"/>
    <x v="1"/>
    <x v="0"/>
    <x v="1"/>
    <x v="4"/>
    <n v="50820"/>
    <n v="52534"/>
    <n v="210"/>
    <n v="-1714"/>
    <n v="-3.2626489511554418E-2"/>
    <n v="242"/>
  </r>
  <r>
    <x v="99"/>
    <s v="S003"/>
    <s v="C02"/>
    <x v="2"/>
    <x v="0"/>
    <x v="2"/>
    <x v="1"/>
    <n v="55944"/>
    <n v="50459"/>
    <n v="148"/>
    <n v="5485"/>
    <n v="0.10870211458808142"/>
    <n v="378"/>
  </r>
  <r>
    <x v="99"/>
    <s v="S004"/>
    <s v="C04"/>
    <x v="3"/>
    <x v="0"/>
    <x v="3"/>
    <x v="2"/>
    <n v="33400"/>
    <n v="30813"/>
    <n v="100"/>
    <n v="2587"/>
    <n v="8.3958069645928668E-2"/>
    <n v="334"/>
  </r>
  <r>
    <x v="99"/>
    <s v="S005"/>
    <s v="C02"/>
    <x v="4"/>
    <x v="0"/>
    <x v="4"/>
    <x v="1"/>
    <n v="31857"/>
    <n v="35515"/>
    <n v="111"/>
    <n v="-3658"/>
    <n v="-0.102998732929748"/>
    <n v="287"/>
  </r>
  <r>
    <x v="99"/>
    <s v="S006"/>
    <s v="C02"/>
    <x v="5"/>
    <x v="1"/>
    <x v="5"/>
    <x v="1"/>
    <n v="73941"/>
    <n v="72410"/>
    <n v="147"/>
    <n v="1531"/>
    <n v="2.1143488468443584E-2"/>
    <n v="503"/>
  </r>
  <r>
    <x v="99"/>
    <s v="S007"/>
    <s v="C04"/>
    <x v="6"/>
    <x v="1"/>
    <x v="6"/>
    <x v="2"/>
    <n v="13760"/>
    <n v="15364"/>
    <n v="43"/>
    <n v="-1604"/>
    <n v="-0.10439989586045301"/>
    <n v="320"/>
  </r>
  <r>
    <x v="99"/>
    <s v="S008"/>
    <s v="C04"/>
    <x v="7"/>
    <x v="1"/>
    <x v="7"/>
    <x v="2"/>
    <n v="60605"/>
    <n v="68582"/>
    <n v="155"/>
    <n v="-7977"/>
    <n v="-0.11631331836341897"/>
    <n v="391"/>
  </r>
  <r>
    <x v="99"/>
    <s v="S009"/>
    <s v="C03"/>
    <x v="8"/>
    <x v="1"/>
    <x v="8"/>
    <x v="4"/>
    <n v="86328"/>
    <n v="96617"/>
    <n v="218"/>
    <n v="-10289"/>
    <n v="-0.10649264622167942"/>
    <n v="396"/>
  </r>
  <r>
    <x v="99"/>
    <s v="S010"/>
    <s v="C01"/>
    <x v="9"/>
    <x v="1"/>
    <x v="9"/>
    <x v="0"/>
    <n v="23788"/>
    <n v="24420"/>
    <n v="76"/>
    <n v="-632"/>
    <n v="-2.588042588042588E-2"/>
    <n v="313"/>
  </r>
  <r>
    <x v="99"/>
    <s v="S011"/>
    <s v="C03"/>
    <x v="10"/>
    <x v="2"/>
    <x v="10"/>
    <x v="4"/>
    <n v="69296"/>
    <n v="74999"/>
    <n v="142"/>
    <n v="-5703"/>
    <n v="-7.6041013880185068E-2"/>
    <n v="488"/>
  </r>
  <r>
    <x v="99"/>
    <s v="S012"/>
    <s v="C05"/>
    <x v="11"/>
    <x v="2"/>
    <x v="11"/>
    <x v="3"/>
    <n v="48616"/>
    <n v="52203"/>
    <n v="118"/>
    <n v="-3587"/>
    <n v="-6.8712526100032562E-2"/>
    <n v="412"/>
  </r>
  <r>
    <x v="99"/>
    <s v="S013"/>
    <s v="C01"/>
    <x v="12"/>
    <x v="2"/>
    <x v="12"/>
    <x v="0"/>
    <n v="101092"/>
    <n v="95626"/>
    <n v="199"/>
    <n v="5466"/>
    <n v="5.7160186560140547E-2"/>
    <n v="508"/>
  </r>
  <r>
    <x v="99"/>
    <s v="S014"/>
    <s v="C04"/>
    <x v="13"/>
    <x v="2"/>
    <x v="13"/>
    <x v="2"/>
    <n v="49551"/>
    <n v="44634"/>
    <n v="199"/>
    <n v="4917"/>
    <n v="0.11016265627100416"/>
    <n v="249"/>
  </r>
  <r>
    <x v="99"/>
    <s v="S015"/>
    <s v="C02"/>
    <x v="14"/>
    <x v="2"/>
    <x v="14"/>
    <x v="1"/>
    <n v="65520"/>
    <n v="64106"/>
    <n v="195"/>
    <n v="1414"/>
    <n v="2.2057217733129506E-2"/>
    <n v="336"/>
  </r>
  <r>
    <x v="99"/>
    <s v="S016"/>
    <s v="C01"/>
    <x v="15"/>
    <x v="3"/>
    <x v="15"/>
    <x v="0"/>
    <n v="16380"/>
    <n v="15764"/>
    <n v="63"/>
    <n v="616"/>
    <n v="3.9076376554174071E-2"/>
    <n v="260"/>
  </r>
  <r>
    <x v="99"/>
    <s v="S017"/>
    <s v="C02"/>
    <x v="16"/>
    <x v="3"/>
    <x v="16"/>
    <x v="1"/>
    <n v="72930"/>
    <n v="80088"/>
    <n v="187"/>
    <n v="-7158"/>
    <n v="-8.9376685645789627E-2"/>
    <n v="390"/>
  </r>
  <r>
    <x v="99"/>
    <s v="S018"/>
    <s v="C03"/>
    <x v="17"/>
    <x v="4"/>
    <x v="17"/>
    <x v="4"/>
    <n v="63600"/>
    <n v="71128"/>
    <n v="150"/>
    <n v="-7528"/>
    <n v="-0.1058373636261388"/>
    <n v="424"/>
  </r>
  <r>
    <x v="99"/>
    <s v="S019"/>
    <s v="C02"/>
    <x v="18"/>
    <x v="5"/>
    <x v="18"/>
    <x v="1"/>
    <n v="27068"/>
    <n v="29013"/>
    <n v="101"/>
    <n v="-1945"/>
    <n v="-6.7038913590459451E-2"/>
    <n v="268"/>
  </r>
  <r>
    <x v="99"/>
    <s v="S020"/>
    <s v="C03"/>
    <x v="19"/>
    <x v="6"/>
    <x v="19"/>
    <x v="4"/>
    <n v="30067"/>
    <n v="27694"/>
    <n v="107"/>
    <n v="2373"/>
    <n v="8.5686430273705497E-2"/>
    <n v="281"/>
  </r>
  <r>
    <x v="100"/>
    <s v="S001"/>
    <s v="C03"/>
    <x v="0"/>
    <x v="0"/>
    <x v="0"/>
    <x v="4"/>
    <n v="30861"/>
    <n v="34536"/>
    <n v="81"/>
    <n v="-3675"/>
    <n v="-0.10641070187630298"/>
    <n v="381"/>
  </r>
  <r>
    <x v="100"/>
    <s v="S002"/>
    <s v="C05"/>
    <x v="1"/>
    <x v="0"/>
    <x v="1"/>
    <x v="3"/>
    <n v="17480"/>
    <n v="19875"/>
    <n v="92"/>
    <n v="-2395"/>
    <n v="-0.12050314465408805"/>
    <n v="190"/>
  </r>
  <r>
    <x v="100"/>
    <s v="S003"/>
    <s v="C05"/>
    <x v="2"/>
    <x v="0"/>
    <x v="2"/>
    <x v="3"/>
    <n v="98600"/>
    <n v="104186"/>
    <n v="200"/>
    <n v="-5586"/>
    <n v="-5.3615648935557564E-2"/>
    <n v="493"/>
  </r>
  <r>
    <x v="100"/>
    <s v="S004"/>
    <s v="C01"/>
    <x v="3"/>
    <x v="0"/>
    <x v="3"/>
    <x v="0"/>
    <n v="42993"/>
    <n v="41507"/>
    <n v="153"/>
    <n v="1486"/>
    <n v="3.5801190160695787E-2"/>
    <n v="281"/>
  </r>
  <r>
    <x v="100"/>
    <s v="S005"/>
    <s v="C02"/>
    <x v="4"/>
    <x v="0"/>
    <x v="4"/>
    <x v="1"/>
    <n v="18095"/>
    <n v="19081"/>
    <n v="47"/>
    <n v="-986"/>
    <n v="-5.167444054294848E-2"/>
    <n v="385"/>
  </r>
  <r>
    <x v="100"/>
    <s v="S006"/>
    <s v="C05"/>
    <x v="5"/>
    <x v="1"/>
    <x v="5"/>
    <x v="3"/>
    <n v="25856"/>
    <n v="23846"/>
    <n v="101"/>
    <n v="2010"/>
    <n v="8.4290866392686403E-2"/>
    <n v="256"/>
  </r>
  <r>
    <x v="100"/>
    <s v="S007"/>
    <s v="C03"/>
    <x v="6"/>
    <x v="1"/>
    <x v="6"/>
    <x v="4"/>
    <n v="36660"/>
    <n v="34069"/>
    <n v="78"/>
    <n v="2591"/>
    <n v="7.6051542457952981E-2"/>
    <n v="470"/>
  </r>
  <r>
    <x v="100"/>
    <s v="S008"/>
    <s v="C05"/>
    <x v="7"/>
    <x v="1"/>
    <x v="7"/>
    <x v="3"/>
    <n v="60152"/>
    <n v="66577"/>
    <n v="146"/>
    <n v="-6425"/>
    <n v="-9.6504798954593934E-2"/>
    <n v="412"/>
  </r>
  <r>
    <x v="100"/>
    <s v="S009"/>
    <s v="C04"/>
    <x v="8"/>
    <x v="1"/>
    <x v="8"/>
    <x v="2"/>
    <n v="19110"/>
    <n v="20608"/>
    <n v="65"/>
    <n v="-1498"/>
    <n v="-7.2690217391304351E-2"/>
    <n v="294"/>
  </r>
  <r>
    <x v="100"/>
    <s v="S010"/>
    <s v="C02"/>
    <x v="9"/>
    <x v="1"/>
    <x v="9"/>
    <x v="1"/>
    <n v="33681"/>
    <n v="36598"/>
    <n v="103"/>
    <n v="-2917"/>
    <n v="-7.970380895130881E-2"/>
    <n v="327"/>
  </r>
  <r>
    <x v="100"/>
    <s v="S011"/>
    <s v="C04"/>
    <x v="10"/>
    <x v="2"/>
    <x v="10"/>
    <x v="2"/>
    <n v="27200"/>
    <n v="30303"/>
    <n v="68"/>
    <n v="-3103"/>
    <n v="-0.1023991023991024"/>
    <n v="400"/>
  </r>
  <r>
    <x v="100"/>
    <s v="S012"/>
    <s v="C05"/>
    <x v="11"/>
    <x v="2"/>
    <x v="11"/>
    <x v="3"/>
    <n v="29160"/>
    <n v="31541"/>
    <n v="90"/>
    <n v="-2381"/>
    <n v="-7.5489046003614349E-2"/>
    <n v="324"/>
  </r>
  <r>
    <x v="100"/>
    <s v="S013"/>
    <s v="C02"/>
    <x v="12"/>
    <x v="2"/>
    <x v="12"/>
    <x v="1"/>
    <n v="38624"/>
    <n v="38706"/>
    <n v="142"/>
    <n v="-82"/>
    <n v="-2.1185345941197747E-3"/>
    <n v="272"/>
  </r>
  <r>
    <x v="100"/>
    <s v="S014"/>
    <s v="C02"/>
    <x v="13"/>
    <x v="2"/>
    <x v="13"/>
    <x v="1"/>
    <n v="13776"/>
    <n v="15760"/>
    <n v="42"/>
    <n v="-1984"/>
    <n v="-0.12588832487309645"/>
    <n v="328"/>
  </r>
  <r>
    <x v="100"/>
    <s v="S015"/>
    <s v="C02"/>
    <x v="14"/>
    <x v="2"/>
    <x v="14"/>
    <x v="1"/>
    <n v="79130"/>
    <n v="89166"/>
    <n v="193"/>
    <n v="-10036"/>
    <n v="-0.11255411255411256"/>
    <n v="410"/>
  </r>
  <r>
    <x v="100"/>
    <s v="S016"/>
    <s v="C03"/>
    <x v="15"/>
    <x v="3"/>
    <x v="15"/>
    <x v="4"/>
    <n v="94024"/>
    <n v="95391"/>
    <n v="184"/>
    <n v="-1367"/>
    <n v="-1.4330492394460694E-2"/>
    <n v="511"/>
  </r>
  <r>
    <x v="100"/>
    <s v="S017"/>
    <s v="C01"/>
    <x v="16"/>
    <x v="3"/>
    <x v="16"/>
    <x v="0"/>
    <n v="38440"/>
    <n v="42970"/>
    <n v="155"/>
    <n v="-4530"/>
    <n v="-0.10542238771235746"/>
    <n v="248"/>
  </r>
  <r>
    <x v="100"/>
    <s v="S018"/>
    <s v="C04"/>
    <x v="17"/>
    <x v="4"/>
    <x v="17"/>
    <x v="2"/>
    <n v="60480"/>
    <n v="65217"/>
    <n v="210"/>
    <n v="-4737"/>
    <n v="-7.2634435806614842E-2"/>
    <n v="288"/>
  </r>
  <r>
    <x v="100"/>
    <s v="S019"/>
    <s v="C04"/>
    <x v="18"/>
    <x v="5"/>
    <x v="18"/>
    <x v="2"/>
    <n v="58157"/>
    <n v="53403"/>
    <n v="187"/>
    <n v="4754"/>
    <n v="8.9021216036552248E-2"/>
    <n v="311"/>
  </r>
  <r>
    <x v="100"/>
    <s v="S020"/>
    <s v="C05"/>
    <x v="19"/>
    <x v="6"/>
    <x v="19"/>
    <x v="3"/>
    <n v="10300"/>
    <n v="10127"/>
    <n v="50"/>
    <n v="173"/>
    <n v="1.7083045324380368E-2"/>
    <n v="206"/>
  </r>
  <r>
    <x v="101"/>
    <s v="S001"/>
    <s v="C02"/>
    <x v="0"/>
    <x v="0"/>
    <x v="0"/>
    <x v="1"/>
    <n v="55955"/>
    <n v="64302"/>
    <n v="155"/>
    <n v="-8347"/>
    <n v="-0.12980933719013404"/>
    <n v="361"/>
  </r>
  <r>
    <x v="101"/>
    <s v="S002"/>
    <s v="C05"/>
    <x v="1"/>
    <x v="0"/>
    <x v="1"/>
    <x v="3"/>
    <n v="43848"/>
    <n v="39521"/>
    <n v="216"/>
    <n v="4327"/>
    <n v="0.10948609599959515"/>
    <n v="203"/>
  </r>
  <r>
    <x v="101"/>
    <s v="S003"/>
    <s v="C05"/>
    <x v="2"/>
    <x v="0"/>
    <x v="2"/>
    <x v="3"/>
    <n v="72375"/>
    <n v="70610"/>
    <n v="193"/>
    <n v="1765"/>
    <n v="2.4996459425010623E-2"/>
    <n v="375"/>
  </r>
  <r>
    <x v="101"/>
    <s v="S004"/>
    <s v="C04"/>
    <x v="3"/>
    <x v="0"/>
    <x v="3"/>
    <x v="2"/>
    <n v="76014"/>
    <n v="70925"/>
    <n v="206"/>
    <n v="5089"/>
    <n v="7.1751850546351775E-2"/>
    <n v="369"/>
  </r>
  <r>
    <x v="101"/>
    <s v="S005"/>
    <s v="C05"/>
    <x v="4"/>
    <x v="0"/>
    <x v="4"/>
    <x v="3"/>
    <n v="21465"/>
    <n v="20281"/>
    <n v="45"/>
    <n v="1184"/>
    <n v="5.8379764311424484E-2"/>
    <n v="477"/>
  </r>
  <r>
    <x v="101"/>
    <s v="S006"/>
    <s v="C02"/>
    <x v="5"/>
    <x v="1"/>
    <x v="5"/>
    <x v="1"/>
    <n v="70416"/>
    <n v="79751"/>
    <n v="163"/>
    <n v="-9335"/>
    <n v="-0.11705182380158242"/>
    <n v="432"/>
  </r>
  <r>
    <x v="101"/>
    <s v="S007"/>
    <s v="C04"/>
    <x v="6"/>
    <x v="1"/>
    <x v="6"/>
    <x v="2"/>
    <n v="15300"/>
    <n v="14983"/>
    <n v="68"/>
    <n v="317"/>
    <n v="2.1157311619835813E-2"/>
    <n v="225"/>
  </r>
  <r>
    <x v="101"/>
    <s v="S008"/>
    <s v="C05"/>
    <x v="7"/>
    <x v="1"/>
    <x v="7"/>
    <x v="3"/>
    <n v="36540"/>
    <n v="35264"/>
    <n v="145"/>
    <n v="1276"/>
    <n v="3.6184210526315791E-2"/>
    <n v="252"/>
  </r>
  <r>
    <x v="101"/>
    <s v="S009"/>
    <s v="C03"/>
    <x v="8"/>
    <x v="1"/>
    <x v="8"/>
    <x v="4"/>
    <n v="11270"/>
    <n v="11549"/>
    <n v="46"/>
    <n v="-279"/>
    <n v="-2.4157935752013162E-2"/>
    <n v="245"/>
  </r>
  <r>
    <x v="101"/>
    <s v="S010"/>
    <s v="C03"/>
    <x v="9"/>
    <x v="1"/>
    <x v="9"/>
    <x v="4"/>
    <n v="50800"/>
    <n v="49313"/>
    <n v="127"/>
    <n v="1487"/>
    <n v="3.015432036177073E-2"/>
    <n v="400"/>
  </r>
  <r>
    <x v="101"/>
    <s v="S011"/>
    <s v="C03"/>
    <x v="10"/>
    <x v="2"/>
    <x v="10"/>
    <x v="4"/>
    <n v="60165"/>
    <n v="61924"/>
    <n v="191"/>
    <n v="-1759"/>
    <n v="-2.840578773981009E-2"/>
    <n v="315"/>
  </r>
  <r>
    <x v="101"/>
    <s v="S012"/>
    <s v="C04"/>
    <x v="11"/>
    <x v="2"/>
    <x v="11"/>
    <x v="2"/>
    <n v="26257"/>
    <n v="28468"/>
    <n v="77"/>
    <n v="-2211"/>
    <n v="-7.7666151468315306E-2"/>
    <n v="341"/>
  </r>
  <r>
    <x v="101"/>
    <s v="S013"/>
    <s v="C04"/>
    <x v="12"/>
    <x v="2"/>
    <x v="12"/>
    <x v="2"/>
    <n v="33872"/>
    <n v="37708"/>
    <n v="73"/>
    <n v="-3836"/>
    <n v="-0.1017290760581309"/>
    <n v="464"/>
  </r>
  <r>
    <x v="101"/>
    <s v="S014"/>
    <s v="C04"/>
    <x v="13"/>
    <x v="2"/>
    <x v="13"/>
    <x v="2"/>
    <n v="13248"/>
    <n v="12415"/>
    <n v="48"/>
    <n v="833"/>
    <n v="6.7096254530809502E-2"/>
    <n v="276"/>
  </r>
  <r>
    <x v="101"/>
    <s v="S015"/>
    <s v="C02"/>
    <x v="14"/>
    <x v="2"/>
    <x v="14"/>
    <x v="1"/>
    <n v="16038"/>
    <n v="16319"/>
    <n v="81"/>
    <n v="-281"/>
    <n v="-1.7219192352472577E-2"/>
    <n v="198"/>
  </r>
  <r>
    <x v="101"/>
    <s v="S016"/>
    <s v="C02"/>
    <x v="15"/>
    <x v="3"/>
    <x v="15"/>
    <x v="1"/>
    <n v="90085"/>
    <n v="90905"/>
    <n v="215"/>
    <n v="-820"/>
    <n v="-9.0204059182663228E-3"/>
    <n v="419"/>
  </r>
  <r>
    <x v="101"/>
    <s v="S017"/>
    <s v="C04"/>
    <x v="16"/>
    <x v="3"/>
    <x v="16"/>
    <x v="2"/>
    <n v="18270"/>
    <n v="18071"/>
    <n v="45"/>
    <n v="199"/>
    <n v="1.1012118864479E-2"/>
    <n v="406"/>
  </r>
  <r>
    <x v="101"/>
    <s v="S018"/>
    <s v="C05"/>
    <x v="17"/>
    <x v="4"/>
    <x v="17"/>
    <x v="3"/>
    <n v="65826"/>
    <n v="67356"/>
    <n v="159"/>
    <n v="-1530"/>
    <n v="-2.2715125601282738E-2"/>
    <n v="414"/>
  </r>
  <r>
    <x v="101"/>
    <s v="S019"/>
    <s v="C02"/>
    <x v="18"/>
    <x v="5"/>
    <x v="18"/>
    <x v="1"/>
    <n v="23628"/>
    <n v="21817"/>
    <n v="66"/>
    <n v="1811"/>
    <n v="8.3008662969244168E-2"/>
    <n v="358"/>
  </r>
  <r>
    <x v="101"/>
    <s v="S020"/>
    <s v="C03"/>
    <x v="19"/>
    <x v="6"/>
    <x v="19"/>
    <x v="4"/>
    <n v="21546"/>
    <n v="23430"/>
    <n v="81"/>
    <n v="-1884"/>
    <n v="-8.0409731113956467E-2"/>
    <n v="266"/>
  </r>
  <r>
    <x v="102"/>
    <s v="S001"/>
    <s v="C03"/>
    <x v="0"/>
    <x v="0"/>
    <x v="0"/>
    <x v="4"/>
    <n v="92901"/>
    <n v="97213"/>
    <n v="179"/>
    <n v="-4312"/>
    <n v="-4.4356207503111721E-2"/>
    <n v="519"/>
  </r>
  <r>
    <x v="102"/>
    <s v="S002"/>
    <s v="C05"/>
    <x v="1"/>
    <x v="0"/>
    <x v="1"/>
    <x v="3"/>
    <n v="16164"/>
    <n v="17646"/>
    <n v="36"/>
    <n v="-1482"/>
    <n v="-8.3985039102346143E-2"/>
    <n v="449"/>
  </r>
  <r>
    <x v="102"/>
    <s v="S003"/>
    <s v="C02"/>
    <x v="2"/>
    <x v="0"/>
    <x v="2"/>
    <x v="1"/>
    <n v="30879"/>
    <n v="29691"/>
    <n v="141"/>
    <n v="1188"/>
    <n v="4.0012124886329194E-2"/>
    <n v="219"/>
  </r>
  <r>
    <x v="102"/>
    <s v="S004"/>
    <s v="C04"/>
    <x v="3"/>
    <x v="0"/>
    <x v="3"/>
    <x v="2"/>
    <n v="47424"/>
    <n v="53202"/>
    <n v="208"/>
    <n v="-5778"/>
    <n v="-0.10860493966392241"/>
    <n v="228"/>
  </r>
  <r>
    <x v="102"/>
    <s v="S005"/>
    <s v="C01"/>
    <x v="4"/>
    <x v="0"/>
    <x v="4"/>
    <x v="0"/>
    <n v="25894"/>
    <n v="25856"/>
    <n v="107"/>
    <n v="38"/>
    <n v="1.4696782178217822E-3"/>
    <n v="242"/>
  </r>
  <r>
    <x v="102"/>
    <s v="S006"/>
    <s v="C05"/>
    <x v="5"/>
    <x v="1"/>
    <x v="5"/>
    <x v="3"/>
    <n v="21390"/>
    <n v="20073"/>
    <n v="62"/>
    <n v="1317"/>
    <n v="6.5610521596173962E-2"/>
    <n v="345"/>
  </r>
  <r>
    <x v="102"/>
    <s v="S007"/>
    <s v="C01"/>
    <x v="6"/>
    <x v="1"/>
    <x v="6"/>
    <x v="0"/>
    <n v="78584"/>
    <n v="80152"/>
    <n v="152"/>
    <n v="-1568"/>
    <n v="-1.9562830621818544E-2"/>
    <n v="517"/>
  </r>
  <r>
    <x v="102"/>
    <s v="S008"/>
    <s v="C03"/>
    <x v="7"/>
    <x v="1"/>
    <x v="7"/>
    <x v="4"/>
    <n v="96492"/>
    <n v="86982"/>
    <n v="187"/>
    <n v="9510"/>
    <n v="0.10933296544112575"/>
    <n v="516"/>
  </r>
  <r>
    <x v="102"/>
    <s v="S009"/>
    <s v="C01"/>
    <x v="8"/>
    <x v="1"/>
    <x v="8"/>
    <x v="0"/>
    <n v="100596"/>
    <n v="114450"/>
    <n v="202"/>
    <n v="-13854"/>
    <n v="-0.12104849279161206"/>
    <n v="498"/>
  </r>
  <r>
    <x v="102"/>
    <s v="S010"/>
    <s v="C03"/>
    <x v="9"/>
    <x v="1"/>
    <x v="9"/>
    <x v="4"/>
    <n v="44280"/>
    <n v="42191"/>
    <n v="180"/>
    <n v="2089"/>
    <n v="4.9512929297717521E-2"/>
    <n v="246"/>
  </r>
  <r>
    <x v="102"/>
    <s v="S011"/>
    <s v="C01"/>
    <x v="10"/>
    <x v="2"/>
    <x v="10"/>
    <x v="0"/>
    <n v="64476"/>
    <n v="63237"/>
    <n v="199"/>
    <n v="1239"/>
    <n v="1.959295981782817E-2"/>
    <n v="324"/>
  </r>
  <r>
    <x v="102"/>
    <s v="S012"/>
    <s v="C01"/>
    <x v="11"/>
    <x v="2"/>
    <x v="11"/>
    <x v="0"/>
    <n v="24380"/>
    <n v="27743"/>
    <n v="53"/>
    <n v="-3363"/>
    <n v="-0.12121976714846988"/>
    <n v="460"/>
  </r>
  <r>
    <x v="102"/>
    <s v="S013"/>
    <s v="C04"/>
    <x v="12"/>
    <x v="2"/>
    <x v="12"/>
    <x v="2"/>
    <n v="22272"/>
    <n v="21465"/>
    <n v="58"/>
    <n v="807"/>
    <n v="3.7596086652690423E-2"/>
    <n v="384"/>
  </r>
  <r>
    <x v="102"/>
    <s v="S014"/>
    <s v="C02"/>
    <x v="13"/>
    <x v="2"/>
    <x v="13"/>
    <x v="1"/>
    <n v="30825"/>
    <n v="27900"/>
    <n v="137"/>
    <n v="2925"/>
    <n v="0.10483870967741936"/>
    <n v="225"/>
  </r>
  <r>
    <x v="102"/>
    <s v="S015"/>
    <s v="C02"/>
    <x v="14"/>
    <x v="2"/>
    <x v="14"/>
    <x v="1"/>
    <n v="28728"/>
    <n v="31453"/>
    <n v="76"/>
    <n v="-2725"/>
    <n v="-8.6637204718150895E-2"/>
    <n v="378"/>
  </r>
  <r>
    <x v="102"/>
    <s v="S016"/>
    <s v="C03"/>
    <x v="15"/>
    <x v="3"/>
    <x v="15"/>
    <x v="4"/>
    <n v="102800"/>
    <n v="96481"/>
    <n v="200"/>
    <n v="6319"/>
    <n v="6.549476062644459E-2"/>
    <n v="514"/>
  </r>
  <r>
    <x v="102"/>
    <s v="S017"/>
    <s v="C03"/>
    <x v="16"/>
    <x v="3"/>
    <x v="16"/>
    <x v="4"/>
    <n v="64160"/>
    <n v="69547"/>
    <n v="160"/>
    <n v="-5387"/>
    <n v="-7.7458409420967114E-2"/>
    <n v="401"/>
  </r>
  <r>
    <x v="102"/>
    <s v="S018"/>
    <s v="C03"/>
    <x v="17"/>
    <x v="4"/>
    <x v="17"/>
    <x v="4"/>
    <n v="102480"/>
    <n v="95595"/>
    <n v="210"/>
    <n v="6885"/>
    <n v="7.202259532402322E-2"/>
    <n v="488"/>
  </r>
  <r>
    <x v="102"/>
    <s v="S019"/>
    <s v="C01"/>
    <x v="18"/>
    <x v="5"/>
    <x v="18"/>
    <x v="0"/>
    <n v="57018"/>
    <n v="54165"/>
    <n v="129"/>
    <n v="2853"/>
    <n v="5.2672389919689838E-2"/>
    <n v="442"/>
  </r>
  <r>
    <x v="102"/>
    <s v="S020"/>
    <s v="C04"/>
    <x v="19"/>
    <x v="6"/>
    <x v="19"/>
    <x v="2"/>
    <n v="56682"/>
    <n v="54818"/>
    <n v="134"/>
    <n v="1864"/>
    <n v="3.4003429530446203E-2"/>
    <n v="423"/>
  </r>
  <r>
    <x v="103"/>
    <s v="S001"/>
    <s v="C05"/>
    <x v="0"/>
    <x v="0"/>
    <x v="0"/>
    <x v="3"/>
    <n v="32318"/>
    <n v="35198"/>
    <n v="143"/>
    <n v="-2880"/>
    <n v="-8.1822830842661509E-2"/>
    <n v="226"/>
  </r>
  <r>
    <x v="103"/>
    <s v="S002"/>
    <s v="C03"/>
    <x v="1"/>
    <x v="0"/>
    <x v="1"/>
    <x v="4"/>
    <n v="52800"/>
    <n v="53250"/>
    <n v="192"/>
    <n v="-450"/>
    <n v="-8.4507042253521118E-3"/>
    <n v="275"/>
  </r>
  <r>
    <x v="103"/>
    <s v="S003"/>
    <s v="C04"/>
    <x v="2"/>
    <x v="0"/>
    <x v="2"/>
    <x v="2"/>
    <n v="11600"/>
    <n v="11928"/>
    <n v="58"/>
    <n v="-328"/>
    <n v="-2.7498323272971161E-2"/>
    <n v="200"/>
  </r>
  <r>
    <x v="103"/>
    <s v="S004"/>
    <s v="C04"/>
    <x v="3"/>
    <x v="0"/>
    <x v="3"/>
    <x v="2"/>
    <n v="61152"/>
    <n v="64937"/>
    <n v="208"/>
    <n v="-3785"/>
    <n v="-5.8287263039561422E-2"/>
    <n v="294"/>
  </r>
  <r>
    <x v="103"/>
    <s v="S005"/>
    <s v="C02"/>
    <x v="4"/>
    <x v="0"/>
    <x v="4"/>
    <x v="1"/>
    <n v="72289"/>
    <n v="76437"/>
    <n v="161"/>
    <n v="-4148"/>
    <n v="-5.4266912620851156E-2"/>
    <n v="449"/>
  </r>
  <r>
    <x v="103"/>
    <s v="S006"/>
    <s v="C05"/>
    <x v="5"/>
    <x v="1"/>
    <x v="5"/>
    <x v="3"/>
    <n v="18368"/>
    <n v="18681"/>
    <n v="56"/>
    <n v="-313"/>
    <n v="-1.6754991702799635E-2"/>
    <n v="328"/>
  </r>
  <r>
    <x v="103"/>
    <s v="S007"/>
    <s v="C01"/>
    <x v="6"/>
    <x v="1"/>
    <x v="6"/>
    <x v="0"/>
    <n v="52281"/>
    <n v="48995"/>
    <n v="157"/>
    <n v="3286"/>
    <n v="6.7068068170221457E-2"/>
    <n v="333"/>
  </r>
  <r>
    <x v="103"/>
    <s v="S008"/>
    <s v="C02"/>
    <x v="7"/>
    <x v="1"/>
    <x v="7"/>
    <x v="1"/>
    <n v="69930"/>
    <n v="77649"/>
    <n v="210"/>
    <n v="-7719"/>
    <n v="-9.9408878414403282E-2"/>
    <n v="333"/>
  </r>
  <r>
    <x v="103"/>
    <s v="S009"/>
    <s v="C05"/>
    <x v="8"/>
    <x v="1"/>
    <x v="8"/>
    <x v="3"/>
    <n v="47664"/>
    <n v="49672"/>
    <n v="144"/>
    <n v="-2008"/>
    <n v="-4.0425189241423742E-2"/>
    <n v="331"/>
  </r>
  <r>
    <x v="103"/>
    <s v="S010"/>
    <s v="C05"/>
    <x v="9"/>
    <x v="1"/>
    <x v="9"/>
    <x v="3"/>
    <n v="10962"/>
    <n v="11272"/>
    <n v="54"/>
    <n v="-310"/>
    <n v="-2.7501774308019873E-2"/>
    <n v="203"/>
  </r>
  <r>
    <x v="103"/>
    <s v="S011"/>
    <s v="C05"/>
    <x v="10"/>
    <x v="2"/>
    <x v="10"/>
    <x v="3"/>
    <n v="55913"/>
    <n v="51642"/>
    <n v="143"/>
    <n v="4271"/>
    <n v="8.2704000619650678E-2"/>
    <n v="391"/>
  </r>
  <r>
    <x v="103"/>
    <s v="S012"/>
    <s v="C05"/>
    <x v="11"/>
    <x v="2"/>
    <x v="11"/>
    <x v="3"/>
    <n v="35739"/>
    <n v="34442"/>
    <n v="99"/>
    <n v="1297"/>
    <n v="3.7657511178212651E-2"/>
    <n v="361"/>
  </r>
  <r>
    <x v="103"/>
    <s v="S013"/>
    <s v="C01"/>
    <x v="12"/>
    <x v="2"/>
    <x v="12"/>
    <x v="0"/>
    <n v="30644"/>
    <n v="28452"/>
    <n v="163"/>
    <n v="2192"/>
    <n v="7.7042035709264725E-2"/>
    <n v="188"/>
  </r>
  <r>
    <x v="103"/>
    <s v="S014"/>
    <s v="C04"/>
    <x v="13"/>
    <x v="2"/>
    <x v="13"/>
    <x v="2"/>
    <n v="21840"/>
    <n v="24258"/>
    <n v="80"/>
    <n v="-2418"/>
    <n v="-9.9678456591639875E-2"/>
    <n v="273"/>
  </r>
  <r>
    <x v="103"/>
    <s v="S015"/>
    <s v="C01"/>
    <x v="14"/>
    <x v="2"/>
    <x v="14"/>
    <x v="0"/>
    <n v="22008"/>
    <n v="24631"/>
    <n v="56"/>
    <n v="-2623"/>
    <n v="-0.1064918192521619"/>
    <n v="393"/>
  </r>
  <r>
    <x v="103"/>
    <s v="S016"/>
    <s v="C03"/>
    <x v="15"/>
    <x v="3"/>
    <x v="15"/>
    <x v="4"/>
    <n v="55200"/>
    <n v="59672"/>
    <n v="115"/>
    <n v="-4472"/>
    <n v="-7.4943021852795277E-2"/>
    <n v="480"/>
  </r>
  <r>
    <x v="103"/>
    <s v="S017"/>
    <s v="C04"/>
    <x v="16"/>
    <x v="3"/>
    <x v="16"/>
    <x v="2"/>
    <n v="61110"/>
    <n v="60213"/>
    <n v="194"/>
    <n v="897"/>
    <n v="1.4897115240894824E-2"/>
    <n v="315"/>
  </r>
  <r>
    <x v="103"/>
    <s v="S018"/>
    <s v="C02"/>
    <x v="17"/>
    <x v="4"/>
    <x v="17"/>
    <x v="1"/>
    <n v="24386"/>
    <n v="22424"/>
    <n v="89"/>
    <n v="1962"/>
    <n v="8.7495540492329646E-2"/>
    <n v="274"/>
  </r>
  <r>
    <x v="103"/>
    <s v="S019"/>
    <s v="C05"/>
    <x v="18"/>
    <x v="5"/>
    <x v="18"/>
    <x v="3"/>
    <n v="23634"/>
    <n v="23833"/>
    <n v="101"/>
    <n v="-199"/>
    <n v="-8.3497671296102038E-3"/>
    <n v="234"/>
  </r>
  <r>
    <x v="103"/>
    <s v="S020"/>
    <s v="C01"/>
    <x v="19"/>
    <x v="6"/>
    <x v="19"/>
    <x v="0"/>
    <n v="13752"/>
    <n v="12777"/>
    <n v="36"/>
    <n v="975"/>
    <n v="7.6308992721296084E-2"/>
    <n v="382"/>
  </r>
  <r>
    <x v="104"/>
    <s v="S001"/>
    <s v="C02"/>
    <x v="0"/>
    <x v="0"/>
    <x v="0"/>
    <x v="1"/>
    <n v="85648"/>
    <n v="86936"/>
    <n v="202"/>
    <n v="-1288"/>
    <n v="-1.4815496457163891E-2"/>
    <n v="424"/>
  </r>
  <r>
    <x v="104"/>
    <s v="S002"/>
    <s v="C04"/>
    <x v="1"/>
    <x v="0"/>
    <x v="1"/>
    <x v="2"/>
    <n v="99064"/>
    <n v="107135"/>
    <n v="203"/>
    <n v="-8071"/>
    <n v="-7.5334857889578569E-2"/>
    <n v="488"/>
  </r>
  <r>
    <x v="104"/>
    <s v="S003"/>
    <s v="C03"/>
    <x v="2"/>
    <x v="0"/>
    <x v="2"/>
    <x v="4"/>
    <n v="95535"/>
    <n v="94597"/>
    <n v="193"/>
    <n v="938"/>
    <n v="9.9157478566973579E-3"/>
    <n v="495"/>
  </r>
  <r>
    <x v="104"/>
    <s v="S004"/>
    <s v="C04"/>
    <x v="3"/>
    <x v="0"/>
    <x v="3"/>
    <x v="2"/>
    <n v="25088"/>
    <n v="23363"/>
    <n v="112"/>
    <n v="1725"/>
    <n v="7.3834695886658391E-2"/>
    <n v="224"/>
  </r>
  <r>
    <x v="104"/>
    <s v="S005"/>
    <s v="C01"/>
    <x v="4"/>
    <x v="0"/>
    <x v="4"/>
    <x v="0"/>
    <n v="19671"/>
    <n v="21716"/>
    <n v="83"/>
    <n v="-2045"/>
    <n v="-9.417019708970345E-2"/>
    <n v="237"/>
  </r>
  <r>
    <x v="104"/>
    <s v="S006"/>
    <s v="C02"/>
    <x v="5"/>
    <x v="1"/>
    <x v="5"/>
    <x v="1"/>
    <n v="11767"/>
    <n v="12005"/>
    <n v="41"/>
    <n v="-238"/>
    <n v="-1.9825072886297375E-2"/>
    <n v="287"/>
  </r>
  <r>
    <x v="104"/>
    <s v="S007"/>
    <s v="C02"/>
    <x v="6"/>
    <x v="1"/>
    <x v="6"/>
    <x v="1"/>
    <n v="60903"/>
    <n v="61447"/>
    <n v="201"/>
    <n v="-544"/>
    <n v="-8.8531580060865461E-3"/>
    <n v="303"/>
  </r>
  <r>
    <x v="104"/>
    <s v="S008"/>
    <s v="C05"/>
    <x v="7"/>
    <x v="1"/>
    <x v="7"/>
    <x v="3"/>
    <n v="18592"/>
    <n v="18131"/>
    <n v="83"/>
    <n v="461"/>
    <n v="2.5426065854062103E-2"/>
    <n v="224"/>
  </r>
  <r>
    <x v="104"/>
    <s v="S009"/>
    <s v="C04"/>
    <x v="8"/>
    <x v="1"/>
    <x v="8"/>
    <x v="2"/>
    <n v="30384"/>
    <n v="30550"/>
    <n v="72"/>
    <n v="-166"/>
    <n v="-5.4337152209492636E-3"/>
    <n v="422"/>
  </r>
  <r>
    <x v="104"/>
    <s v="S010"/>
    <s v="C01"/>
    <x v="9"/>
    <x v="1"/>
    <x v="9"/>
    <x v="0"/>
    <n v="19866"/>
    <n v="21548"/>
    <n v="77"/>
    <n v="-1682"/>
    <n v="-7.8058288472248008E-2"/>
    <n v="258"/>
  </r>
  <r>
    <x v="104"/>
    <s v="S011"/>
    <s v="C04"/>
    <x v="10"/>
    <x v="2"/>
    <x v="10"/>
    <x v="2"/>
    <n v="66939"/>
    <n v="60573"/>
    <n v="159"/>
    <n v="6366"/>
    <n v="0.10509633004804121"/>
    <n v="421"/>
  </r>
  <r>
    <x v="104"/>
    <s v="S012"/>
    <s v="C04"/>
    <x v="11"/>
    <x v="2"/>
    <x v="11"/>
    <x v="2"/>
    <n v="55936"/>
    <n v="53157"/>
    <n v="184"/>
    <n v="2779"/>
    <n v="5.2279097766992119E-2"/>
    <n v="304"/>
  </r>
  <r>
    <x v="104"/>
    <s v="S013"/>
    <s v="C05"/>
    <x v="12"/>
    <x v="2"/>
    <x v="12"/>
    <x v="3"/>
    <n v="27810"/>
    <n v="27350"/>
    <n v="135"/>
    <n v="460"/>
    <n v="1.6819012797074956E-2"/>
    <n v="206"/>
  </r>
  <r>
    <x v="104"/>
    <s v="S014"/>
    <s v="C01"/>
    <x v="13"/>
    <x v="2"/>
    <x v="13"/>
    <x v="0"/>
    <n v="78596"/>
    <n v="89982"/>
    <n v="196"/>
    <n v="-11386"/>
    <n v="-0.12653641839479007"/>
    <n v="401"/>
  </r>
  <r>
    <x v="104"/>
    <s v="S015"/>
    <s v="C04"/>
    <x v="14"/>
    <x v="2"/>
    <x v="14"/>
    <x v="2"/>
    <n v="88755"/>
    <n v="96101"/>
    <n v="183"/>
    <n v="-7346"/>
    <n v="-7.644041165024297E-2"/>
    <n v="485"/>
  </r>
  <r>
    <x v="104"/>
    <s v="S016"/>
    <s v="C03"/>
    <x v="15"/>
    <x v="3"/>
    <x v="15"/>
    <x v="4"/>
    <n v="18876"/>
    <n v="18874"/>
    <n v="44"/>
    <n v="2"/>
    <n v="1.059658789869662E-4"/>
    <n v="429"/>
  </r>
  <r>
    <x v="104"/>
    <s v="S017"/>
    <s v="C05"/>
    <x v="16"/>
    <x v="3"/>
    <x v="16"/>
    <x v="3"/>
    <n v="91698"/>
    <n v="103969"/>
    <n v="186"/>
    <n v="-12271"/>
    <n v="-0.11802556531273745"/>
    <n v="493"/>
  </r>
  <r>
    <x v="104"/>
    <s v="S018"/>
    <s v="C04"/>
    <x v="17"/>
    <x v="4"/>
    <x v="17"/>
    <x v="2"/>
    <n v="19834"/>
    <n v="20470"/>
    <n v="94"/>
    <n v="-636"/>
    <n v="-3.1069858329262335E-2"/>
    <n v="211"/>
  </r>
  <r>
    <x v="104"/>
    <s v="S019"/>
    <s v="C04"/>
    <x v="18"/>
    <x v="5"/>
    <x v="18"/>
    <x v="2"/>
    <n v="62062"/>
    <n v="64439"/>
    <n v="182"/>
    <n v="-2377"/>
    <n v="-3.6887599124753645E-2"/>
    <n v="341"/>
  </r>
  <r>
    <x v="104"/>
    <s v="S020"/>
    <s v="C03"/>
    <x v="19"/>
    <x v="6"/>
    <x v="19"/>
    <x v="4"/>
    <n v="78600"/>
    <n v="88211"/>
    <n v="200"/>
    <n v="-9611"/>
    <n v="-0.10895466551790593"/>
    <n v="393"/>
  </r>
  <r>
    <x v="105"/>
    <s v="S001"/>
    <s v="C01"/>
    <x v="0"/>
    <x v="0"/>
    <x v="0"/>
    <x v="0"/>
    <n v="80178"/>
    <n v="90981"/>
    <n v="161"/>
    <n v="-10803"/>
    <n v="-0.11873907738978468"/>
    <n v="498"/>
  </r>
  <r>
    <x v="105"/>
    <s v="S002"/>
    <s v="C03"/>
    <x v="1"/>
    <x v="0"/>
    <x v="1"/>
    <x v="4"/>
    <n v="60047"/>
    <n v="54354"/>
    <n v="149"/>
    <n v="5693"/>
    <n v="0.1047393016153365"/>
    <n v="403"/>
  </r>
  <r>
    <x v="105"/>
    <s v="S003"/>
    <s v="C03"/>
    <x v="2"/>
    <x v="0"/>
    <x v="2"/>
    <x v="4"/>
    <n v="61160"/>
    <n v="62218"/>
    <n v="220"/>
    <n v="-1058"/>
    <n v="-1.7004725320646757E-2"/>
    <n v="278"/>
  </r>
  <r>
    <x v="105"/>
    <s v="S004"/>
    <s v="C04"/>
    <x v="3"/>
    <x v="0"/>
    <x v="3"/>
    <x v="2"/>
    <n v="41266"/>
    <n v="39405"/>
    <n v="94"/>
    <n v="1861"/>
    <n v="4.7227509199340184E-2"/>
    <n v="439"/>
  </r>
  <r>
    <x v="105"/>
    <s v="S005"/>
    <s v="C03"/>
    <x v="4"/>
    <x v="0"/>
    <x v="4"/>
    <x v="4"/>
    <n v="97524"/>
    <n v="99193"/>
    <n v="189"/>
    <n v="-1669"/>
    <n v="-1.6825784077505471E-2"/>
    <n v="516"/>
  </r>
  <r>
    <x v="105"/>
    <s v="S006"/>
    <s v="C03"/>
    <x v="5"/>
    <x v="1"/>
    <x v="5"/>
    <x v="4"/>
    <n v="83380"/>
    <n v="95049"/>
    <n v="220"/>
    <n v="-11669"/>
    <n v="-0.12276825637302864"/>
    <n v="379"/>
  </r>
  <r>
    <x v="105"/>
    <s v="S007"/>
    <s v="C03"/>
    <x v="6"/>
    <x v="1"/>
    <x v="6"/>
    <x v="4"/>
    <n v="40610"/>
    <n v="42862"/>
    <n v="155"/>
    <n v="-2252"/>
    <n v="-5.2540712052634032E-2"/>
    <n v="262"/>
  </r>
  <r>
    <x v="105"/>
    <s v="S008"/>
    <s v="C03"/>
    <x v="7"/>
    <x v="1"/>
    <x v="7"/>
    <x v="4"/>
    <n v="47264"/>
    <n v="50419"/>
    <n v="211"/>
    <n v="-3155"/>
    <n v="-6.2575616335111758E-2"/>
    <n v="224"/>
  </r>
  <r>
    <x v="105"/>
    <s v="S009"/>
    <s v="C02"/>
    <x v="8"/>
    <x v="1"/>
    <x v="8"/>
    <x v="1"/>
    <n v="22278"/>
    <n v="20920"/>
    <n v="79"/>
    <n v="1358"/>
    <n v="6.4913957934990441E-2"/>
    <n v="282"/>
  </r>
  <r>
    <x v="105"/>
    <s v="S010"/>
    <s v="C04"/>
    <x v="9"/>
    <x v="1"/>
    <x v="9"/>
    <x v="2"/>
    <n v="23520"/>
    <n v="26713"/>
    <n v="60"/>
    <n v="-3193"/>
    <n v="-0.11952981694306143"/>
    <n v="392"/>
  </r>
  <r>
    <x v="105"/>
    <s v="S011"/>
    <s v="C04"/>
    <x v="10"/>
    <x v="2"/>
    <x v="10"/>
    <x v="2"/>
    <n v="33600"/>
    <n v="31999"/>
    <n v="112"/>
    <n v="1601"/>
    <n v="5.0032813525422666E-2"/>
    <n v="300"/>
  </r>
  <r>
    <x v="105"/>
    <s v="S012"/>
    <s v="C01"/>
    <x v="11"/>
    <x v="2"/>
    <x v="11"/>
    <x v="0"/>
    <n v="14157"/>
    <n v="15859"/>
    <n v="39"/>
    <n v="-1702"/>
    <n v="-0.10732076423481934"/>
    <n v="363"/>
  </r>
  <r>
    <x v="105"/>
    <s v="S013"/>
    <s v="C03"/>
    <x v="12"/>
    <x v="2"/>
    <x v="12"/>
    <x v="4"/>
    <n v="54288"/>
    <n v="51230"/>
    <n v="208"/>
    <n v="3058"/>
    <n v="5.9691586960765174E-2"/>
    <n v="261"/>
  </r>
  <r>
    <x v="105"/>
    <s v="S014"/>
    <s v="C05"/>
    <x v="13"/>
    <x v="2"/>
    <x v="13"/>
    <x v="3"/>
    <n v="9116"/>
    <n v="8974"/>
    <n v="43"/>
    <n v="142"/>
    <n v="1.582349008246044E-2"/>
    <n v="212"/>
  </r>
  <r>
    <x v="105"/>
    <s v="S015"/>
    <s v="C01"/>
    <x v="14"/>
    <x v="2"/>
    <x v="14"/>
    <x v="0"/>
    <n v="57128"/>
    <n v="53138"/>
    <n v="193"/>
    <n v="3990"/>
    <n v="7.5087507998042827E-2"/>
    <n v="296"/>
  </r>
  <r>
    <x v="105"/>
    <s v="S016"/>
    <s v="C02"/>
    <x v="15"/>
    <x v="3"/>
    <x v="15"/>
    <x v="1"/>
    <n v="49608"/>
    <n v="56970"/>
    <n v="159"/>
    <n v="-7362"/>
    <n v="-0.1292259083728278"/>
    <n v="312"/>
  </r>
  <r>
    <x v="105"/>
    <s v="S017"/>
    <s v="C03"/>
    <x v="16"/>
    <x v="3"/>
    <x v="16"/>
    <x v="4"/>
    <n v="21390"/>
    <n v="20681"/>
    <n v="46"/>
    <n v="709"/>
    <n v="3.4282674919007786E-2"/>
    <n v="465"/>
  </r>
  <r>
    <x v="105"/>
    <s v="S018"/>
    <s v="C02"/>
    <x v="17"/>
    <x v="4"/>
    <x v="17"/>
    <x v="1"/>
    <n v="93473"/>
    <n v="98246"/>
    <n v="211"/>
    <n v="-4773"/>
    <n v="-4.8582130570201332E-2"/>
    <n v="443"/>
  </r>
  <r>
    <x v="105"/>
    <s v="S019"/>
    <s v="C01"/>
    <x v="18"/>
    <x v="5"/>
    <x v="18"/>
    <x v="0"/>
    <n v="44075"/>
    <n v="49877"/>
    <n v="215"/>
    <n v="-5802"/>
    <n v="-0.11632616235940413"/>
    <n v="205"/>
  </r>
  <r>
    <x v="105"/>
    <s v="S020"/>
    <s v="C04"/>
    <x v="19"/>
    <x v="6"/>
    <x v="19"/>
    <x v="2"/>
    <n v="35872"/>
    <n v="41025"/>
    <n v="152"/>
    <n v="-5153"/>
    <n v="-0.12560633759902498"/>
    <n v="236"/>
  </r>
  <r>
    <x v="106"/>
    <s v="S001"/>
    <s v="C05"/>
    <x v="0"/>
    <x v="0"/>
    <x v="0"/>
    <x v="3"/>
    <n v="44312"/>
    <n v="49004"/>
    <n v="191"/>
    <n v="-4692"/>
    <n v="-9.5747285935841975E-2"/>
    <n v="232"/>
  </r>
  <r>
    <x v="106"/>
    <s v="S002"/>
    <s v="C01"/>
    <x v="1"/>
    <x v="0"/>
    <x v="1"/>
    <x v="0"/>
    <n v="38212"/>
    <n v="35986"/>
    <n v="164"/>
    <n v="2226"/>
    <n v="6.1857388984605126E-2"/>
    <n v="233"/>
  </r>
  <r>
    <x v="106"/>
    <s v="S003"/>
    <s v="C01"/>
    <x v="2"/>
    <x v="0"/>
    <x v="2"/>
    <x v="0"/>
    <n v="31755"/>
    <n v="29826"/>
    <n v="87"/>
    <n v="1929"/>
    <n v="6.4675115670891167E-2"/>
    <n v="365"/>
  </r>
  <r>
    <x v="106"/>
    <s v="S004"/>
    <s v="C03"/>
    <x v="3"/>
    <x v="0"/>
    <x v="3"/>
    <x v="4"/>
    <n v="87696"/>
    <n v="95631"/>
    <n v="216"/>
    <n v="-7935"/>
    <n v="-8.2975185870690471E-2"/>
    <n v="406"/>
  </r>
  <r>
    <x v="106"/>
    <s v="S005"/>
    <s v="C04"/>
    <x v="4"/>
    <x v="0"/>
    <x v="4"/>
    <x v="2"/>
    <n v="15480"/>
    <n v="16436"/>
    <n v="60"/>
    <n v="-956"/>
    <n v="-5.8165003650523239E-2"/>
    <n v="258"/>
  </r>
  <r>
    <x v="106"/>
    <s v="S006"/>
    <s v="C03"/>
    <x v="5"/>
    <x v="1"/>
    <x v="5"/>
    <x v="4"/>
    <n v="16940"/>
    <n v="18839"/>
    <n v="70"/>
    <n v="-1899"/>
    <n v="-0.10080152874356388"/>
    <n v="242"/>
  </r>
  <r>
    <x v="106"/>
    <s v="S007"/>
    <s v="C04"/>
    <x v="6"/>
    <x v="1"/>
    <x v="6"/>
    <x v="2"/>
    <n v="25803"/>
    <n v="24805"/>
    <n v="141"/>
    <n v="998"/>
    <n v="4.0233823825841564E-2"/>
    <n v="183"/>
  </r>
  <r>
    <x v="106"/>
    <s v="S008"/>
    <s v="C04"/>
    <x v="7"/>
    <x v="1"/>
    <x v="7"/>
    <x v="2"/>
    <n v="39772"/>
    <n v="40816"/>
    <n v="122"/>
    <n v="-1044"/>
    <n v="-2.5578204625637004E-2"/>
    <n v="326"/>
  </r>
  <r>
    <x v="106"/>
    <s v="S009"/>
    <s v="C01"/>
    <x v="8"/>
    <x v="1"/>
    <x v="8"/>
    <x v="0"/>
    <n v="38110"/>
    <n v="41113"/>
    <n v="103"/>
    <n v="-3003"/>
    <n v="-7.3042589935057037E-2"/>
    <n v="370"/>
  </r>
  <r>
    <x v="106"/>
    <s v="S010"/>
    <s v="C04"/>
    <x v="9"/>
    <x v="1"/>
    <x v="9"/>
    <x v="2"/>
    <n v="63754"/>
    <n v="67977"/>
    <n v="127"/>
    <n v="-4223"/>
    <n v="-6.2123953690218753E-2"/>
    <n v="502"/>
  </r>
  <r>
    <x v="106"/>
    <s v="S011"/>
    <s v="C02"/>
    <x v="10"/>
    <x v="2"/>
    <x v="10"/>
    <x v="1"/>
    <n v="67150"/>
    <n v="73650"/>
    <n v="170"/>
    <n v="-6500"/>
    <n v="-8.8255261371350979E-2"/>
    <n v="395"/>
  </r>
  <r>
    <x v="106"/>
    <s v="S012"/>
    <s v="C02"/>
    <x v="11"/>
    <x v="2"/>
    <x v="11"/>
    <x v="1"/>
    <n v="56304"/>
    <n v="63595"/>
    <n v="144"/>
    <n v="-7291"/>
    <n v="-0.11464737793851718"/>
    <n v="391"/>
  </r>
  <r>
    <x v="106"/>
    <s v="S013"/>
    <s v="C04"/>
    <x v="12"/>
    <x v="2"/>
    <x v="12"/>
    <x v="2"/>
    <n v="60955"/>
    <n v="69240"/>
    <n v="167"/>
    <n v="-8285"/>
    <n v="-0.11965626805314847"/>
    <n v="365"/>
  </r>
  <r>
    <x v="106"/>
    <s v="S014"/>
    <s v="C04"/>
    <x v="13"/>
    <x v="2"/>
    <x v="13"/>
    <x v="2"/>
    <n v="13320"/>
    <n v="14377"/>
    <n v="72"/>
    <n v="-1057"/>
    <n v="-7.3520205884398698E-2"/>
    <n v="185"/>
  </r>
  <r>
    <x v="106"/>
    <s v="S015"/>
    <s v="C05"/>
    <x v="14"/>
    <x v="2"/>
    <x v="14"/>
    <x v="3"/>
    <n v="11596"/>
    <n v="11417"/>
    <n v="52"/>
    <n v="179"/>
    <n v="1.5678374354033457E-2"/>
    <n v="223"/>
  </r>
  <r>
    <x v="106"/>
    <s v="S016"/>
    <s v="C04"/>
    <x v="15"/>
    <x v="3"/>
    <x v="15"/>
    <x v="2"/>
    <n v="30954"/>
    <n v="28334"/>
    <n v="77"/>
    <n v="2620"/>
    <n v="9.2468412507940995E-2"/>
    <n v="402"/>
  </r>
  <r>
    <x v="106"/>
    <s v="S017"/>
    <s v="C01"/>
    <x v="16"/>
    <x v="3"/>
    <x v="16"/>
    <x v="0"/>
    <n v="103632"/>
    <n v="97179"/>
    <n v="204"/>
    <n v="6453"/>
    <n v="6.6403235266878649E-2"/>
    <n v="508"/>
  </r>
  <r>
    <x v="106"/>
    <s v="S018"/>
    <s v="C05"/>
    <x v="17"/>
    <x v="4"/>
    <x v="17"/>
    <x v="3"/>
    <n v="24647"/>
    <n v="28221"/>
    <n v="49"/>
    <n v="-3574"/>
    <n v="-0.12664327982707912"/>
    <n v="503"/>
  </r>
  <r>
    <x v="106"/>
    <s v="S019"/>
    <s v="C05"/>
    <x v="18"/>
    <x v="5"/>
    <x v="18"/>
    <x v="3"/>
    <n v="43340"/>
    <n v="43361"/>
    <n v="110"/>
    <n v="-21"/>
    <n v="-4.8430617375060537E-4"/>
    <n v="394"/>
  </r>
  <r>
    <x v="106"/>
    <s v="S020"/>
    <s v="C05"/>
    <x v="19"/>
    <x v="6"/>
    <x v="19"/>
    <x v="3"/>
    <n v="38080"/>
    <n v="42927"/>
    <n v="112"/>
    <n v="-4847"/>
    <n v="-0.11291261909753768"/>
    <n v="340"/>
  </r>
  <r>
    <x v="107"/>
    <s v="S001"/>
    <s v="C01"/>
    <x v="0"/>
    <x v="0"/>
    <x v="0"/>
    <x v="0"/>
    <n v="47700"/>
    <n v="50209"/>
    <n v="106"/>
    <n v="-2509"/>
    <n v="-4.9971120715409587E-2"/>
    <n v="450"/>
  </r>
  <r>
    <x v="107"/>
    <s v="S002"/>
    <s v="C02"/>
    <x v="1"/>
    <x v="0"/>
    <x v="1"/>
    <x v="1"/>
    <n v="82604"/>
    <n v="83557"/>
    <n v="214"/>
    <n v="-953"/>
    <n v="-1.1405387938772335E-2"/>
    <n v="386"/>
  </r>
  <r>
    <x v="107"/>
    <s v="S003"/>
    <s v="C02"/>
    <x v="2"/>
    <x v="0"/>
    <x v="2"/>
    <x v="1"/>
    <n v="86826"/>
    <n v="95255"/>
    <n v="174"/>
    <n v="-8429"/>
    <n v="-8.8488793239200045E-2"/>
    <n v="499"/>
  </r>
  <r>
    <x v="107"/>
    <s v="S004"/>
    <s v="C04"/>
    <x v="3"/>
    <x v="0"/>
    <x v="3"/>
    <x v="2"/>
    <n v="75828"/>
    <n v="85072"/>
    <n v="213"/>
    <n v="-9244"/>
    <n v="-0.10866089900319729"/>
    <n v="356"/>
  </r>
  <r>
    <x v="107"/>
    <s v="S005"/>
    <s v="C04"/>
    <x v="4"/>
    <x v="0"/>
    <x v="4"/>
    <x v="2"/>
    <n v="28390"/>
    <n v="26149"/>
    <n v="85"/>
    <n v="2241"/>
    <n v="8.5701174041072317E-2"/>
    <n v="334"/>
  </r>
  <r>
    <x v="107"/>
    <s v="S006"/>
    <s v="C05"/>
    <x v="5"/>
    <x v="1"/>
    <x v="5"/>
    <x v="3"/>
    <n v="45480"/>
    <n v="49176"/>
    <n v="120"/>
    <n v="-3696"/>
    <n v="-7.5158613958028309E-2"/>
    <n v="379"/>
  </r>
  <r>
    <x v="107"/>
    <s v="S007"/>
    <s v="C02"/>
    <x v="6"/>
    <x v="1"/>
    <x v="6"/>
    <x v="1"/>
    <n v="76608"/>
    <n v="74384"/>
    <n v="168"/>
    <n v="2224"/>
    <n v="2.98989029898903E-2"/>
    <n v="456"/>
  </r>
  <r>
    <x v="107"/>
    <s v="S008"/>
    <s v="C01"/>
    <x v="7"/>
    <x v="1"/>
    <x v="7"/>
    <x v="0"/>
    <n v="76230"/>
    <n v="74557"/>
    <n v="165"/>
    <n v="1673"/>
    <n v="2.2439207586142148E-2"/>
    <n v="462"/>
  </r>
  <r>
    <x v="107"/>
    <s v="S009"/>
    <s v="C03"/>
    <x v="8"/>
    <x v="1"/>
    <x v="8"/>
    <x v="4"/>
    <n v="51417"/>
    <n v="46576"/>
    <n v="197"/>
    <n v="4841"/>
    <n v="0.10393765029199588"/>
    <n v="261"/>
  </r>
  <r>
    <x v="107"/>
    <s v="S010"/>
    <s v="C05"/>
    <x v="9"/>
    <x v="1"/>
    <x v="9"/>
    <x v="3"/>
    <n v="58032"/>
    <n v="55730"/>
    <n v="186"/>
    <n v="2302"/>
    <n v="4.1306298223577967E-2"/>
    <n v="312"/>
  </r>
  <r>
    <x v="107"/>
    <s v="S011"/>
    <s v="C03"/>
    <x v="10"/>
    <x v="2"/>
    <x v="10"/>
    <x v="4"/>
    <n v="87120"/>
    <n v="99903"/>
    <n v="220"/>
    <n v="-12783"/>
    <n v="-0.12795411549202726"/>
    <n v="396"/>
  </r>
  <r>
    <x v="107"/>
    <s v="S012"/>
    <s v="C01"/>
    <x v="11"/>
    <x v="2"/>
    <x v="11"/>
    <x v="0"/>
    <n v="18500"/>
    <n v="17851"/>
    <n v="50"/>
    <n v="649"/>
    <n v="3.6356506638283569E-2"/>
    <n v="370"/>
  </r>
  <r>
    <x v="107"/>
    <s v="S013"/>
    <s v="C05"/>
    <x v="12"/>
    <x v="2"/>
    <x v="12"/>
    <x v="3"/>
    <n v="30375"/>
    <n v="27699"/>
    <n v="125"/>
    <n v="2676"/>
    <n v="9.6609985920069322E-2"/>
    <n v="243"/>
  </r>
  <r>
    <x v="107"/>
    <s v="S014"/>
    <s v="C01"/>
    <x v="13"/>
    <x v="2"/>
    <x v="13"/>
    <x v="0"/>
    <n v="49468"/>
    <n v="51600"/>
    <n v="149"/>
    <n v="-2132"/>
    <n v="-4.1317829457364341E-2"/>
    <n v="332"/>
  </r>
  <r>
    <x v="107"/>
    <s v="S015"/>
    <s v="C01"/>
    <x v="14"/>
    <x v="2"/>
    <x v="14"/>
    <x v="0"/>
    <n v="53303"/>
    <n v="61071"/>
    <n v="151"/>
    <n v="-7768"/>
    <n v="-0.12719621424243913"/>
    <n v="353"/>
  </r>
  <r>
    <x v="107"/>
    <s v="S016"/>
    <s v="C05"/>
    <x v="15"/>
    <x v="3"/>
    <x v="15"/>
    <x v="3"/>
    <n v="89679"/>
    <n v="95631"/>
    <n v="179"/>
    <n v="-5952"/>
    <n v="-6.2239232048185211E-2"/>
    <n v="501"/>
  </r>
  <r>
    <x v="107"/>
    <s v="S017"/>
    <s v="C05"/>
    <x v="16"/>
    <x v="3"/>
    <x v="16"/>
    <x v="3"/>
    <n v="33746"/>
    <n v="32895"/>
    <n v="94"/>
    <n v="851"/>
    <n v="2.5870193038455693E-2"/>
    <n v="359"/>
  </r>
  <r>
    <x v="107"/>
    <s v="S018"/>
    <s v="C05"/>
    <x v="17"/>
    <x v="4"/>
    <x v="17"/>
    <x v="3"/>
    <n v="51957"/>
    <n v="56040"/>
    <n v="207"/>
    <n v="-4083"/>
    <n v="-7.2858672376873657E-2"/>
    <n v="251"/>
  </r>
  <r>
    <x v="107"/>
    <s v="S019"/>
    <s v="C05"/>
    <x v="18"/>
    <x v="5"/>
    <x v="18"/>
    <x v="3"/>
    <n v="22834"/>
    <n v="22422"/>
    <n v="98"/>
    <n v="412"/>
    <n v="1.8374810454018373E-2"/>
    <n v="233"/>
  </r>
  <r>
    <x v="107"/>
    <s v="S020"/>
    <s v="C05"/>
    <x v="19"/>
    <x v="6"/>
    <x v="19"/>
    <x v="3"/>
    <n v="30576"/>
    <n v="30991"/>
    <n v="84"/>
    <n v="-415"/>
    <n v="-1.3390984479364976E-2"/>
    <n v="364"/>
  </r>
  <r>
    <x v="108"/>
    <s v="S001"/>
    <s v="C02"/>
    <x v="0"/>
    <x v="0"/>
    <x v="0"/>
    <x v="1"/>
    <n v="86149"/>
    <n v="95376"/>
    <n v="217"/>
    <n v="-9227"/>
    <n v="-9.6743415534306321E-2"/>
    <n v="397"/>
  </r>
  <r>
    <x v="108"/>
    <s v="S002"/>
    <s v="C01"/>
    <x v="1"/>
    <x v="0"/>
    <x v="1"/>
    <x v="0"/>
    <n v="12238"/>
    <n v="12314"/>
    <n v="58"/>
    <n v="-76"/>
    <n v="-6.1718369335715447E-3"/>
    <n v="211"/>
  </r>
  <r>
    <x v="108"/>
    <s v="S003"/>
    <s v="C02"/>
    <x v="2"/>
    <x v="0"/>
    <x v="2"/>
    <x v="1"/>
    <n v="45084"/>
    <n v="45604"/>
    <n v="156"/>
    <n v="-520"/>
    <n v="-1.1402508551881414E-2"/>
    <n v="289"/>
  </r>
  <r>
    <x v="108"/>
    <s v="S004"/>
    <s v="C03"/>
    <x v="3"/>
    <x v="0"/>
    <x v="3"/>
    <x v="4"/>
    <n v="93392"/>
    <n v="93456"/>
    <n v="208"/>
    <n v="-64"/>
    <n v="-6.8481424413627799E-4"/>
    <n v="449"/>
  </r>
  <r>
    <x v="108"/>
    <s v="S005"/>
    <s v="C05"/>
    <x v="4"/>
    <x v="0"/>
    <x v="4"/>
    <x v="3"/>
    <n v="63794"/>
    <n v="71321"/>
    <n v="167"/>
    <n v="-7527"/>
    <n v="-0.10553693862957614"/>
    <n v="382"/>
  </r>
  <r>
    <x v="108"/>
    <s v="S006"/>
    <s v="C05"/>
    <x v="5"/>
    <x v="1"/>
    <x v="5"/>
    <x v="3"/>
    <n v="81810"/>
    <n v="82289"/>
    <n v="162"/>
    <n v="-479"/>
    <n v="-5.8209481218631891E-3"/>
    <n v="505"/>
  </r>
  <r>
    <x v="108"/>
    <s v="S007"/>
    <s v="C04"/>
    <x v="6"/>
    <x v="1"/>
    <x v="6"/>
    <x v="2"/>
    <n v="90730"/>
    <n v="98254"/>
    <n v="211"/>
    <n v="-7524"/>
    <n v="-7.6577035031652654E-2"/>
    <n v="430"/>
  </r>
  <r>
    <x v="108"/>
    <s v="S008"/>
    <s v="C04"/>
    <x v="7"/>
    <x v="1"/>
    <x v="7"/>
    <x v="2"/>
    <n v="19228"/>
    <n v="19736"/>
    <n v="76"/>
    <n v="-508"/>
    <n v="-2.573976489663559E-2"/>
    <n v="253"/>
  </r>
  <r>
    <x v="108"/>
    <s v="S009"/>
    <s v="C04"/>
    <x v="8"/>
    <x v="1"/>
    <x v="8"/>
    <x v="2"/>
    <n v="89838"/>
    <n v="83760"/>
    <n v="217"/>
    <n v="6078"/>
    <n v="7.2564469914040114E-2"/>
    <n v="414"/>
  </r>
  <r>
    <x v="108"/>
    <s v="S010"/>
    <s v="C05"/>
    <x v="9"/>
    <x v="1"/>
    <x v="9"/>
    <x v="3"/>
    <n v="40800"/>
    <n v="43803"/>
    <n v="170"/>
    <n v="-3003"/>
    <n v="-6.8556948154236005E-2"/>
    <n v="240"/>
  </r>
  <r>
    <x v="108"/>
    <s v="S011"/>
    <s v="C04"/>
    <x v="10"/>
    <x v="2"/>
    <x v="10"/>
    <x v="2"/>
    <n v="30576"/>
    <n v="33224"/>
    <n v="156"/>
    <n v="-2648"/>
    <n v="-7.970142065976403E-2"/>
    <n v="196"/>
  </r>
  <r>
    <x v="108"/>
    <s v="S012"/>
    <s v="C05"/>
    <x v="11"/>
    <x v="2"/>
    <x v="11"/>
    <x v="3"/>
    <n v="30960"/>
    <n v="32520"/>
    <n v="129"/>
    <n v="-1560"/>
    <n v="-4.797047970479705E-2"/>
    <n v="240"/>
  </r>
  <r>
    <x v="108"/>
    <s v="S013"/>
    <s v="C04"/>
    <x v="12"/>
    <x v="2"/>
    <x v="12"/>
    <x v="2"/>
    <n v="15183"/>
    <n v="15067"/>
    <n v="63"/>
    <n v="116"/>
    <n v="7.6989447136125303E-3"/>
    <n v="241"/>
  </r>
  <r>
    <x v="108"/>
    <s v="S014"/>
    <s v="C03"/>
    <x v="13"/>
    <x v="2"/>
    <x v="13"/>
    <x v="4"/>
    <n v="20115"/>
    <n v="18874"/>
    <n v="45"/>
    <n v="1241"/>
    <n v="6.5751827911412528E-2"/>
    <n v="447"/>
  </r>
  <r>
    <x v="108"/>
    <s v="S015"/>
    <s v="C03"/>
    <x v="14"/>
    <x v="2"/>
    <x v="14"/>
    <x v="4"/>
    <n v="41923"/>
    <n v="40909"/>
    <n v="113"/>
    <n v="1014"/>
    <n v="2.4786721748270551E-2"/>
    <n v="371"/>
  </r>
  <r>
    <x v="108"/>
    <s v="S016"/>
    <s v="C04"/>
    <x v="15"/>
    <x v="3"/>
    <x v="15"/>
    <x v="2"/>
    <n v="10626"/>
    <n v="9940"/>
    <n v="42"/>
    <n v="686"/>
    <n v="6.9014084507042259E-2"/>
    <n v="253"/>
  </r>
  <r>
    <x v="108"/>
    <s v="S017"/>
    <s v="C05"/>
    <x v="16"/>
    <x v="3"/>
    <x v="16"/>
    <x v="3"/>
    <n v="28968"/>
    <n v="32855"/>
    <n v="142"/>
    <n v="-3887"/>
    <n v="-0.11830771572059047"/>
    <n v="204"/>
  </r>
  <r>
    <x v="108"/>
    <s v="S018"/>
    <s v="C03"/>
    <x v="17"/>
    <x v="4"/>
    <x v="17"/>
    <x v="4"/>
    <n v="31030"/>
    <n v="29347"/>
    <n v="107"/>
    <n v="1683"/>
    <n v="5.734828091457389E-2"/>
    <n v="290"/>
  </r>
  <r>
    <x v="108"/>
    <s v="S019"/>
    <s v="C04"/>
    <x v="18"/>
    <x v="5"/>
    <x v="18"/>
    <x v="2"/>
    <n v="8470"/>
    <n v="8782"/>
    <n v="35"/>
    <n v="-312"/>
    <n v="-3.5527214757458438E-2"/>
    <n v="242"/>
  </r>
  <r>
    <x v="108"/>
    <s v="S020"/>
    <s v="C01"/>
    <x v="19"/>
    <x v="6"/>
    <x v="19"/>
    <x v="0"/>
    <n v="18078"/>
    <n v="18444"/>
    <n v="46"/>
    <n v="-366"/>
    <n v="-1.9843851659076123E-2"/>
    <n v="393"/>
  </r>
  <r>
    <x v="109"/>
    <s v="S001"/>
    <s v="C03"/>
    <x v="0"/>
    <x v="0"/>
    <x v="0"/>
    <x v="4"/>
    <n v="73569"/>
    <n v="82770"/>
    <n v="179"/>
    <n v="-9201"/>
    <n v="-0.11116346502355925"/>
    <n v="411"/>
  </r>
  <r>
    <x v="109"/>
    <s v="S002"/>
    <s v="C04"/>
    <x v="1"/>
    <x v="0"/>
    <x v="1"/>
    <x v="2"/>
    <n v="76440"/>
    <n v="71333"/>
    <n v="156"/>
    <n v="5107"/>
    <n v="7.1593792494357447E-2"/>
    <n v="490"/>
  </r>
  <r>
    <x v="109"/>
    <s v="S003"/>
    <s v="C02"/>
    <x v="2"/>
    <x v="0"/>
    <x v="2"/>
    <x v="1"/>
    <n v="82820"/>
    <n v="84081"/>
    <n v="164"/>
    <n v="-1261"/>
    <n v="-1.4997442941925048E-2"/>
    <n v="505"/>
  </r>
  <r>
    <x v="109"/>
    <s v="S004"/>
    <s v="C04"/>
    <x v="3"/>
    <x v="0"/>
    <x v="3"/>
    <x v="2"/>
    <n v="83845"/>
    <n v="78583"/>
    <n v="205"/>
    <n v="5262"/>
    <n v="6.6961047554814648E-2"/>
    <n v="409"/>
  </r>
  <r>
    <x v="109"/>
    <s v="S005"/>
    <s v="C03"/>
    <x v="4"/>
    <x v="0"/>
    <x v="4"/>
    <x v="4"/>
    <n v="28443"/>
    <n v="30323"/>
    <n v="57"/>
    <n v="-1880"/>
    <n v="-6.1999142565049632E-2"/>
    <n v="499"/>
  </r>
  <r>
    <x v="109"/>
    <s v="S006"/>
    <s v="C04"/>
    <x v="5"/>
    <x v="1"/>
    <x v="5"/>
    <x v="2"/>
    <n v="40066"/>
    <n v="45076"/>
    <n v="134"/>
    <n v="-5010"/>
    <n v="-0.11114562072943474"/>
    <n v="299"/>
  </r>
  <r>
    <x v="109"/>
    <s v="S007"/>
    <s v="C03"/>
    <x v="6"/>
    <x v="1"/>
    <x v="6"/>
    <x v="4"/>
    <n v="35119"/>
    <n v="40018"/>
    <n v="173"/>
    <n v="-4899"/>
    <n v="-0.12241991104003198"/>
    <n v="203"/>
  </r>
  <r>
    <x v="109"/>
    <s v="S008"/>
    <s v="C04"/>
    <x v="7"/>
    <x v="1"/>
    <x v="7"/>
    <x v="2"/>
    <n v="54060"/>
    <n v="49850"/>
    <n v="106"/>
    <n v="4210"/>
    <n v="8.4453360080240722E-2"/>
    <n v="510"/>
  </r>
  <r>
    <x v="109"/>
    <s v="S009"/>
    <s v="C02"/>
    <x v="8"/>
    <x v="1"/>
    <x v="8"/>
    <x v="1"/>
    <n v="41472"/>
    <n v="43255"/>
    <n v="216"/>
    <n v="-1783"/>
    <n v="-4.1220668130851922E-2"/>
    <n v="192"/>
  </r>
  <r>
    <x v="109"/>
    <s v="S010"/>
    <s v="C03"/>
    <x v="9"/>
    <x v="1"/>
    <x v="9"/>
    <x v="4"/>
    <n v="90780"/>
    <n v="84511"/>
    <n v="178"/>
    <n v="6269"/>
    <n v="7.41796925843973E-2"/>
    <n v="510"/>
  </r>
  <r>
    <x v="109"/>
    <s v="S011"/>
    <s v="C05"/>
    <x v="10"/>
    <x v="2"/>
    <x v="10"/>
    <x v="3"/>
    <n v="15568"/>
    <n v="17728"/>
    <n v="56"/>
    <n v="-2160"/>
    <n v="-0.12184115523465704"/>
    <n v="278"/>
  </r>
  <r>
    <x v="109"/>
    <s v="S012"/>
    <s v="C05"/>
    <x v="11"/>
    <x v="2"/>
    <x v="11"/>
    <x v="3"/>
    <n v="37674"/>
    <n v="42922"/>
    <n v="182"/>
    <n v="-5248"/>
    <n v="-0.12226830063836727"/>
    <n v="207"/>
  </r>
  <r>
    <x v="109"/>
    <s v="S013"/>
    <s v="C05"/>
    <x v="12"/>
    <x v="2"/>
    <x v="12"/>
    <x v="3"/>
    <n v="35109"/>
    <n v="36009"/>
    <n v="83"/>
    <n v="-900"/>
    <n v="-2.4993751562109472E-2"/>
    <n v="423"/>
  </r>
  <r>
    <x v="109"/>
    <s v="S014"/>
    <s v="C01"/>
    <x v="13"/>
    <x v="2"/>
    <x v="13"/>
    <x v="0"/>
    <n v="33605"/>
    <n v="38109"/>
    <n v="65"/>
    <n v="-4504"/>
    <n v="-0.11818730483612795"/>
    <n v="517"/>
  </r>
  <r>
    <x v="109"/>
    <s v="S015"/>
    <s v="C02"/>
    <x v="14"/>
    <x v="2"/>
    <x v="14"/>
    <x v="1"/>
    <n v="12480"/>
    <n v="13686"/>
    <n v="39"/>
    <n v="-1206"/>
    <n v="-8.8119245944761074E-2"/>
    <n v="320"/>
  </r>
  <r>
    <x v="109"/>
    <s v="S016"/>
    <s v="C02"/>
    <x v="15"/>
    <x v="3"/>
    <x v="15"/>
    <x v="1"/>
    <n v="102340"/>
    <n v="103471"/>
    <n v="215"/>
    <n v="-1131"/>
    <n v="-1.0930598911772381E-2"/>
    <n v="476"/>
  </r>
  <r>
    <x v="109"/>
    <s v="S017"/>
    <s v="C05"/>
    <x v="16"/>
    <x v="3"/>
    <x v="16"/>
    <x v="3"/>
    <n v="65360"/>
    <n v="65389"/>
    <n v="190"/>
    <n v="-29"/>
    <n v="-4.4349967119851965E-4"/>
    <n v="344"/>
  </r>
  <r>
    <x v="109"/>
    <s v="S018"/>
    <s v="C01"/>
    <x v="17"/>
    <x v="4"/>
    <x v="17"/>
    <x v="0"/>
    <n v="30560"/>
    <n v="30101"/>
    <n v="160"/>
    <n v="459"/>
    <n v="1.5248662835121756E-2"/>
    <n v="191"/>
  </r>
  <r>
    <x v="109"/>
    <s v="S019"/>
    <s v="C02"/>
    <x v="18"/>
    <x v="5"/>
    <x v="18"/>
    <x v="1"/>
    <n v="27072"/>
    <n v="30182"/>
    <n v="141"/>
    <n v="-3110"/>
    <n v="-0.10304154794248227"/>
    <n v="192"/>
  </r>
  <r>
    <x v="109"/>
    <s v="S020"/>
    <s v="C03"/>
    <x v="19"/>
    <x v="6"/>
    <x v="19"/>
    <x v="4"/>
    <n v="41052"/>
    <n v="37880"/>
    <n v="132"/>
    <n v="3172"/>
    <n v="8.3738120380147829E-2"/>
    <n v="311"/>
  </r>
  <r>
    <x v="110"/>
    <s v="S001"/>
    <s v="C01"/>
    <x v="0"/>
    <x v="0"/>
    <x v="0"/>
    <x v="0"/>
    <n v="46018"/>
    <n v="44699"/>
    <n v="173"/>
    <n v="1319"/>
    <n v="2.9508490122821539E-2"/>
    <n v="266"/>
  </r>
  <r>
    <x v="110"/>
    <s v="S002"/>
    <s v="C02"/>
    <x v="1"/>
    <x v="0"/>
    <x v="1"/>
    <x v="1"/>
    <n v="22500"/>
    <n v="21117"/>
    <n v="100"/>
    <n v="1383"/>
    <n v="6.5492257422929398E-2"/>
    <n v="225"/>
  </r>
  <r>
    <x v="110"/>
    <s v="S003"/>
    <s v="C04"/>
    <x v="2"/>
    <x v="0"/>
    <x v="2"/>
    <x v="2"/>
    <n v="55328"/>
    <n v="50610"/>
    <n v="208"/>
    <n v="4718"/>
    <n v="9.3222683264177042E-2"/>
    <n v="266"/>
  </r>
  <r>
    <x v="110"/>
    <s v="S004"/>
    <s v="C03"/>
    <x v="3"/>
    <x v="0"/>
    <x v="3"/>
    <x v="4"/>
    <n v="15633"/>
    <n v="16857"/>
    <n v="81"/>
    <n v="-1224"/>
    <n v="-7.2610784837159631E-2"/>
    <n v="193"/>
  </r>
  <r>
    <x v="110"/>
    <s v="S005"/>
    <s v="C03"/>
    <x v="4"/>
    <x v="0"/>
    <x v="4"/>
    <x v="4"/>
    <n v="30820"/>
    <n v="30203"/>
    <n v="134"/>
    <n v="617"/>
    <n v="2.0428434261497201E-2"/>
    <n v="230"/>
  </r>
  <r>
    <x v="110"/>
    <s v="S006"/>
    <s v="C04"/>
    <x v="5"/>
    <x v="1"/>
    <x v="5"/>
    <x v="2"/>
    <n v="36504"/>
    <n v="36280"/>
    <n v="117"/>
    <n v="224"/>
    <n v="6.1742006615214994E-3"/>
    <n v="312"/>
  </r>
  <r>
    <x v="110"/>
    <s v="S007"/>
    <s v="C01"/>
    <x v="6"/>
    <x v="1"/>
    <x v="6"/>
    <x v="0"/>
    <n v="13584"/>
    <n v="13039"/>
    <n v="48"/>
    <n v="545"/>
    <n v="4.1797683871462536E-2"/>
    <n v="283"/>
  </r>
  <r>
    <x v="110"/>
    <s v="S008"/>
    <s v="C05"/>
    <x v="7"/>
    <x v="1"/>
    <x v="7"/>
    <x v="3"/>
    <n v="55685"/>
    <n v="56979"/>
    <n v="185"/>
    <n v="-1294"/>
    <n v="-2.2710121272749611E-2"/>
    <n v="301"/>
  </r>
  <r>
    <x v="110"/>
    <s v="S009"/>
    <s v="C05"/>
    <x v="8"/>
    <x v="1"/>
    <x v="8"/>
    <x v="3"/>
    <n v="31654"/>
    <n v="30619"/>
    <n v="133"/>
    <n v="1035"/>
    <n v="3.3802540905973413E-2"/>
    <n v="238"/>
  </r>
  <r>
    <x v="110"/>
    <s v="S010"/>
    <s v="C03"/>
    <x v="9"/>
    <x v="1"/>
    <x v="9"/>
    <x v="4"/>
    <n v="70839"/>
    <n v="70964"/>
    <n v="153"/>
    <n v="-125"/>
    <n v="-1.7614565131616031E-3"/>
    <n v="463"/>
  </r>
  <r>
    <x v="110"/>
    <s v="S011"/>
    <s v="C04"/>
    <x v="10"/>
    <x v="2"/>
    <x v="10"/>
    <x v="2"/>
    <n v="16296"/>
    <n v="17247"/>
    <n v="42"/>
    <n v="-951"/>
    <n v="-5.514002435206123E-2"/>
    <n v="388"/>
  </r>
  <r>
    <x v="110"/>
    <s v="S012"/>
    <s v="C01"/>
    <x v="11"/>
    <x v="2"/>
    <x v="11"/>
    <x v="0"/>
    <n v="47689"/>
    <n v="54406"/>
    <n v="103"/>
    <n v="-6717"/>
    <n v="-0.12346064772267765"/>
    <n v="463"/>
  </r>
  <r>
    <x v="110"/>
    <s v="S013"/>
    <s v="C01"/>
    <x v="12"/>
    <x v="2"/>
    <x v="12"/>
    <x v="0"/>
    <n v="45472"/>
    <n v="48331"/>
    <n v="98"/>
    <n v="-2859"/>
    <n v="-5.9154579876269889E-2"/>
    <n v="464"/>
  </r>
  <r>
    <x v="110"/>
    <s v="S014"/>
    <s v="C02"/>
    <x v="13"/>
    <x v="2"/>
    <x v="13"/>
    <x v="1"/>
    <n v="52640"/>
    <n v="52728"/>
    <n v="112"/>
    <n v="-88"/>
    <n v="-1.6689424973448642E-3"/>
    <n v="470"/>
  </r>
  <r>
    <x v="110"/>
    <s v="S015"/>
    <s v="C01"/>
    <x v="14"/>
    <x v="2"/>
    <x v="14"/>
    <x v="0"/>
    <n v="85892"/>
    <n v="81671"/>
    <n v="197"/>
    <n v="4221"/>
    <n v="5.1682971923938732E-2"/>
    <n v="436"/>
  </r>
  <r>
    <x v="110"/>
    <s v="S016"/>
    <s v="C02"/>
    <x v="15"/>
    <x v="3"/>
    <x v="15"/>
    <x v="1"/>
    <n v="59280"/>
    <n v="67954"/>
    <n v="130"/>
    <n v="-8674"/>
    <n v="-0.12764517173381992"/>
    <n v="456"/>
  </r>
  <r>
    <x v="110"/>
    <s v="S017"/>
    <s v="C02"/>
    <x v="16"/>
    <x v="3"/>
    <x v="16"/>
    <x v="1"/>
    <n v="68112"/>
    <n v="77670"/>
    <n v="172"/>
    <n v="-9558"/>
    <n v="-0.12305909617612978"/>
    <n v="396"/>
  </r>
  <r>
    <x v="110"/>
    <s v="S018"/>
    <s v="C05"/>
    <x v="17"/>
    <x v="4"/>
    <x v="17"/>
    <x v="3"/>
    <n v="30150"/>
    <n v="27142"/>
    <n v="150"/>
    <n v="3008"/>
    <n v="0.11082455235428487"/>
    <n v="201"/>
  </r>
  <r>
    <x v="110"/>
    <s v="S019"/>
    <s v="C04"/>
    <x v="18"/>
    <x v="5"/>
    <x v="18"/>
    <x v="2"/>
    <n v="63304"/>
    <n v="67308"/>
    <n v="193"/>
    <n v="-4004"/>
    <n v="-5.9487728056100315E-2"/>
    <n v="328"/>
  </r>
  <r>
    <x v="110"/>
    <s v="S020"/>
    <s v="C02"/>
    <x v="19"/>
    <x v="6"/>
    <x v="19"/>
    <x v="1"/>
    <n v="7350"/>
    <n v="8330"/>
    <n v="35"/>
    <n v="-980"/>
    <n v="-0.11764705882352941"/>
    <n v="210"/>
  </r>
  <r>
    <x v="111"/>
    <s v="S001"/>
    <s v="C04"/>
    <x v="0"/>
    <x v="0"/>
    <x v="0"/>
    <x v="2"/>
    <n v="50544"/>
    <n v="48659"/>
    <n v="104"/>
    <n v="1885"/>
    <n v="3.8738979428266096E-2"/>
    <n v="486"/>
  </r>
  <r>
    <x v="111"/>
    <s v="S002"/>
    <s v="C04"/>
    <x v="1"/>
    <x v="0"/>
    <x v="1"/>
    <x v="2"/>
    <n v="62372"/>
    <n v="59452"/>
    <n v="124"/>
    <n v="2920"/>
    <n v="4.9115252640785846E-2"/>
    <n v="503"/>
  </r>
  <r>
    <x v="111"/>
    <s v="S003"/>
    <s v="C05"/>
    <x v="2"/>
    <x v="0"/>
    <x v="2"/>
    <x v="3"/>
    <n v="21721"/>
    <n v="20425"/>
    <n v="107"/>
    <n v="1296"/>
    <n v="6.345165238678091E-2"/>
    <n v="203"/>
  </r>
  <r>
    <x v="111"/>
    <s v="S004"/>
    <s v="C05"/>
    <x v="3"/>
    <x v="0"/>
    <x v="3"/>
    <x v="3"/>
    <n v="38485"/>
    <n v="37529"/>
    <n v="179"/>
    <n v="956"/>
    <n v="2.5473633723254018E-2"/>
    <n v="215"/>
  </r>
  <r>
    <x v="111"/>
    <s v="S005"/>
    <s v="C04"/>
    <x v="4"/>
    <x v="0"/>
    <x v="4"/>
    <x v="2"/>
    <n v="51546"/>
    <n v="57093"/>
    <n v="213"/>
    <n v="-5547"/>
    <n v="-9.7157269717828801E-2"/>
    <n v="242"/>
  </r>
  <r>
    <x v="111"/>
    <s v="S006"/>
    <s v="C05"/>
    <x v="5"/>
    <x v="1"/>
    <x v="5"/>
    <x v="3"/>
    <n v="42506"/>
    <n v="40495"/>
    <n v="106"/>
    <n v="2011"/>
    <n v="4.966045190764292E-2"/>
    <n v="401"/>
  </r>
  <r>
    <x v="111"/>
    <s v="S007"/>
    <s v="C05"/>
    <x v="6"/>
    <x v="1"/>
    <x v="6"/>
    <x v="3"/>
    <n v="41180"/>
    <n v="43601"/>
    <n v="116"/>
    <n v="-2421"/>
    <n v="-5.552624939794959E-2"/>
    <n v="355"/>
  </r>
  <r>
    <x v="111"/>
    <s v="S008"/>
    <s v="C04"/>
    <x v="7"/>
    <x v="1"/>
    <x v="7"/>
    <x v="2"/>
    <n v="31720"/>
    <n v="33799"/>
    <n v="104"/>
    <n v="-2079"/>
    <n v="-6.1510695582709544E-2"/>
    <n v="305"/>
  </r>
  <r>
    <x v="111"/>
    <s v="S009"/>
    <s v="C03"/>
    <x v="8"/>
    <x v="1"/>
    <x v="8"/>
    <x v="4"/>
    <n v="35014"/>
    <n v="35537"/>
    <n v="122"/>
    <n v="-523"/>
    <n v="-1.471705546331992E-2"/>
    <n v="287"/>
  </r>
  <r>
    <x v="111"/>
    <s v="S010"/>
    <s v="C05"/>
    <x v="9"/>
    <x v="1"/>
    <x v="9"/>
    <x v="3"/>
    <n v="22372"/>
    <n v="25246"/>
    <n v="119"/>
    <n v="-2874"/>
    <n v="-0.11383981620850828"/>
    <n v="188"/>
  </r>
  <r>
    <x v="111"/>
    <s v="S011"/>
    <s v="C02"/>
    <x v="10"/>
    <x v="2"/>
    <x v="10"/>
    <x v="1"/>
    <n v="36200"/>
    <n v="38089"/>
    <n v="200"/>
    <n v="-1889"/>
    <n v="-4.9594371078264067E-2"/>
    <n v="181"/>
  </r>
  <r>
    <x v="111"/>
    <s v="S012"/>
    <s v="C01"/>
    <x v="11"/>
    <x v="2"/>
    <x v="11"/>
    <x v="0"/>
    <n v="9916"/>
    <n v="9948"/>
    <n v="37"/>
    <n v="-32"/>
    <n v="-3.2167269802975472E-3"/>
    <n v="268"/>
  </r>
  <r>
    <x v="111"/>
    <s v="S013"/>
    <s v="C04"/>
    <x v="12"/>
    <x v="2"/>
    <x v="12"/>
    <x v="2"/>
    <n v="61425"/>
    <n v="56528"/>
    <n v="135"/>
    <n v="4897"/>
    <n v="8.6629634871214264E-2"/>
    <n v="455"/>
  </r>
  <r>
    <x v="111"/>
    <s v="S014"/>
    <s v="C01"/>
    <x v="13"/>
    <x v="2"/>
    <x v="13"/>
    <x v="0"/>
    <n v="33540"/>
    <n v="37670"/>
    <n v="172"/>
    <n v="-4130"/>
    <n v="-0.10963631537032122"/>
    <n v="195"/>
  </r>
  <r>
    <x v="111"/>
    <s v="S015"/>
    <s v="C04"/>
    <x v="14"/>
    <x v="2"/>
    <x v="14"/>
    <x v="2"/>
    <n v="50301"/>
    <n v="49709"/>
    <n v="207"/>
    <n v="592"/>
    <n v="1.1909312196986462E-2"/>
    <n v="243"/>
  </r>
  <r>
    <x v="111"/>
    <s v="S016"/>
    <s v="C04"/>
    <x v="15"/>
    <x v="3"/>
    <x v="15"/>
    <x v="2"/>
    <n v="68244"/>
    <n v="68017"/>
    <n v="188"/>
    <n v="227"/>
    <n v="3.3374009438816767E-3"/>
    <n v="363"/>
  </r>
  <r>
    <x v="111"/>
    <s v="S017"/>
    <s v="C01"/>
    <x v="16"/>
    <x v="3"/>
    <x v="16"/>
    <x v="0"/>
    <n v="27456"/>
    <n v="27253"/>
    <n v="66"/>
    <n v="203"/>
    <n v="7.4487212416981616E-3"/>
    <n v="416"/>
  </r>
  <r>
    <x v="111"/>
    <s v="S018"/>
    <s v="C02"/>
    <x v="17"/>
    <x v="4"/>
    <x v="17"/>
    <x v="1"/>
    <n v="27232"/>
    <n v="26016"/>
    <n v="148"/>
    <n v="1216"/>
    <n v="4.6740467404674045E-2"/>
    <n v="184"/>
  </r>
  <r>
    <x v="111"/>
    <s v="S019"/>
    <s v="C01"/>
    <x v="18"/>
    <x v="5"/>
    <x v="18"/>
    <x v="0"/>
    <n v="38478"/>
    <n v="36472"/>
    <n v="106"/>
    <n v="2006"/>
    <n v="5.5001096731739418E-2"/>
    <n v="363"/>
  </r>
  <r>
    <x v="111"/>
    <s v="S020"/>
    <s v="C05"/>
    <x v="19"/>
    <x v="6"/>
    <x v="19"/>
    <x v="3"/>
    <n v="65325"/>
    <n v="71994"/>
    <n v="195"/>
    <n v="-6669"/>
    <n v="-9.263271939328277E-2"/>
    <n v="335"/>
  </r>
  <r>
    <x v="112"/>
    <s v="S001"/>
    <s v="C02"/>
    <x v="0"/>
    <x v="0"/>
    <x v="0"/>
    <x v="1"/>
    <n v="40608"/>
    <n v="46367"/>
    <n v="94"/>
    <n v="-5759"/>
    <n v="-0.12420471455992409"/>
    <n v="432"/>
  </r>
  <r>
    <x v="112"/>
    <s v="S002"/>
    <s v="C01"/>
    <x v="1"/>
    <x v="0"/>
    <x v="1"/>
    <x v="0"/>
    <n v="45792"/>
    <n v="51567"/>
    <n v="106"/>
    <n v="-5775"/>
    <n v="-0.11199022630752226"/>
    <n v="432"/>
  </r>
  <r>
    <x v="112"/>
    <s v="S003"/>
    <s v="C05"/>
    <x v="2"/>
    <x v="0"/>
    <x v="2"/>
    <x v="3"/>
    <n v="16104"/>
    <n v="15283"/>
    <n v="88"/>
    <n v="821"/>
    <n v="5.3719819407184455E-2"/>
    <n v="183"/>
  </r>
  <r>
    <x v="112"/>
    <s v="S004"/>
    <s v="C04"/>
    <x v="3"/>
    <x v="0"/>
    <x v="3"/>
    <x v="2"/>
    <n v="20286"/>
    <n v="21143"/>
    <n v="63"/>
    <n v="-857"/>
    <n v="-4.0533509908716833E-2"/>
    <n v="322"/>
  </r>
  <r>
    <x v="112"/>
    <s v="S005"/>
    <s v="C04"/>
    <x v="4"/>
    <x v="0"/>
    <x v="4"/>
    <x v="2"/>
    <n v="36036"/>
    <n v="34178"/>
    <n v="78"/>
    <n v="1858"/>
    <n v="5.436245538065422E-2"/>
    <n v="462"/>
  </r>
  <r>
    <x v="112"/>
    <s v="S006"/>
    <s v="C05"/>
    <x v="5"/>
    <x v="1"/>
    <x v="5"/>
    <x v="3"/>
    <n v="101016"/>
    <n v="105186"/>
    <n v="207"/>
    <n v="-4170"/>
    <n v="-3.9644059095316868E-2"/>
    <n v="488"/>
  </r>
  <r>
    <x v="112"/>
    <s v="S007"/>
    <s v="C01"/>
    <x v="6"/>
    <x v="1"/>
    <x v="6"/>
    <x v="0"/>
    <n v="45325"/>
    <n v="49245"/>
    <n v="185"/>
    <n v="-3920"/>
    <n v="-7.9601990049751242E-2"/>
    <n v="245"/>
  </r>
  <r>
    <x v="112"/>
    <s v="S008"/>
    <s v="C02"/>
    <x v="7"/>
    <x v="1"/>
    <x v="7"/>
    <x v="1"/>
    <n v="47571"/>
    <n v="52987"/>
    <n v="101"/>
    <n v="-5416"/>
    <n v="-0.10221375054258591"/>
    <n v="471"/>
  </r>
  <r>
    <x v="112"/>
    <s v="S009"/>
    <s v="C05"/>
    <x v="8"/>
    <x v="1"/>
    <x v="8"/>
    <x v="3"/>
    <n v="29190"/>
    <n v="32456"/>
    <n v="105"/>
    <n v="-3266"/>
    <n v="-0.10062854325856545"/>
    <n v="278"/>
  </r>
  <r>
    <x v="112"/>
    <s v="S010"/>
    <s v="C01"/>
    <x v="9"/>
    <x v="1"/>
    <x v="9"/>
    <x v="0"/>
    <n v="95824"/>
    <n v="100961"/>
    <n v="212"/>
    <n v="-5137"/>
    <n v="-5.0881033270272678E-2"/>
    <n v="452"/>
  </r>
  <r>
    <x v="112"/>
    <s v="S011"/>
    <s v="C05"/>
    <x v="10"/>
    <x v="2"/>
    <x v="10"/>
    <x v="3"/>
    <n v="27331"/>
    <n v="31006"/>
    <n v="151"/>
    <n v="-3675"/>
    <n v="-0.11852544668773786"/>
    <n v="181"/>
  </r>
  <r>
    <x v="112"/>
    <s v="S012"/>
    <s v="C01"/>
    <x v="11"/>
    <x v="2"/>
    <x v="11"/>
    <x v="0"/>
    <n v="46917"/>
    <n v="52128"/>
    <n v="117"/>
    <n v="-5211"/>
    <n v="-9.9965469613259667E-2"/>
    <n v="401"/>
  </r>
  <r>
    <x v="112"/>
    <s v="S013"/>
    <s v="C04"/>
    <x v="12"/>
    <x v="2"/>
    <x v="12"/>
    <x v="2"/>
    <n v="25410"/>
    <n v="27189"/>
    <n v="105"/>
    <n v="-1779"/>
    <n v="-6.5430872779432853E-2"/>
    <n v="242"/>
  </r>
  <r>
    <x v="112"/>
    <s v="S014"/>
    <s v="C04"/>
    <x v="13"/>
    <x v="2"/>
    <x v="13"/>
    <x v="2"/>
    <n v="58765"/>
    <n v="60487"/>
    <n v="161"/>
    <n v="-1722"/>
    <n v="-2.846892720749913E-2"/>
    <n v="365"/>
  </r>
  <r>
    <x v="112"/>
    <s v="S015"/>
    <s v="C01"/>
    <x v="14"/>
    <x v="2"/>
    <x v="14"/>
    <x v="0"/>
    <n v="64386"/>
    <n v="58703"/>
    <n v="219"/>
    <n v="5683"/>
    <n v="9.6809362383523834E-2"/>
    <n v="294"/>
  </r>
  <r>
    <x v="112"/>
    <s v="S016"/>
    <s v="C04"/>
    <x v="15"/>
    <x v="3"/>
    <x v="15"/>
    <x v="2"/>
    <n v="69939"/>
    <n v="68474"/>
    <n v="171"/>
    <n v="1465"/>
    <n v="2.1394982036977539E-2"/>
    <n v="409"/>
  </r>
  <r>
    <x v="112"/>
    <s v="S017"/>
    <s v="C04"/>
    <x v="16"/>
    <x v="3"/>
    <x v="16"/>
    <x v="2"/>
    <n v="29484"/>
    <n v="27138"/>
    <n v="84"/>
    <n v="2346"/>
    <n v="8.6447048419190806E-2"/>
    <n v="351"/>
  </r>
  <r>
    <x v="112"/>
    <s v="S018"/>
    <s v="C05"/>
    <x v="17"/>
    <x v="4"/>
    <x v="17"/>
    <x v="3"/>
    <n v="12095"/>
    <n v="13843"/>
    <n v="41"/>
    <n v="-1748"/>
    <n v="-0.12627320667485373"/>
    <n v="295"/>
  </r>
  <r>
    <x v="112"/>
    <s v="S019"/>
    <s v="C04"/>
    <x v="18"/>
    <x v="5"/>
    <x v="18"/>
    <x v="2"/>
    <n v="16578"/>
    <n v="15736"/>
    <n v="54"/>
    <n v="842"/>
    <n v="5.350788002033554E-2"/>
    <n v="307"/>
  </r>
  <r>
    <x v="112"/>
    <s v="S020"/>
    <s v="C03"/>
    <x v="19"/>
    <x v="6"/>
    <x v="19"/>
    <x v="4"/>
    <n v="24168"/>
    <n v="25533"/>
    <n v="114"/>
    <n v="-1365"/>
    <n v="-5.3460227940312535E-2"/>
    <n v="212"/>
  </r>
  <r>
    <x v="113"/>
    <s v="S001"/>
    <s v="C01"/>
    <x v="0"/>
    <x v="0"/>
    <x v="0"/>
    <x v="0"/>
    <n v="17850"/>
    <n v="17992"/>
    <n v="42"/>
    <n v="-142"/>
    <n v="-7.8923966207203201E-3"/>
    <n v="425"/>
  </r>
  <r>
    <x v="113"/>
    <s v="S002"/>
    <s v="C01"/>
    <x v="1"/>
    <x v="0"/>
    <x v="1"/>
    <x v="0"/>
    <n v="93000"/>
    <n v="105440"/>
    <n v="186"/>
    <n v="-12440"/>
    <n v="-0.11798179059180576"/>
    <n v="500"/>
  </r>
  <r>
    <x v="113"/>
    <s v="S003"/>
    <s v="C03"/>
    <x v="2"/>
    <x v="0"/>
    <x v="2"/>
    <x v="4"/>
    <n v="23030"/>
    <n v="23453"/>
    <n v="98"/>
    <n v="-423"/>
    <n v="-1.8036072144288578E-2"/>
    <n v="235"/>
  </r>
  <r>
    <x v="113"/>
    <s v="S004"/>
    <s v="C03"/>
    <x v="3"/>
    <x v="0"/>
    <x v="3"/>
    <x v="4"/>
    <n v="16800"/>
    <n v="17302"/>
    <n v="48"/>
    <n v="-502"/>
    <n v="-2.901398682233268E-2"/>
    <n v="350"/>
  </r>
  <r>
    <x v="113"/>
    <s v="S005"/>
    <s v="C02"/>
    <x v="4"/>
    <x v="0"/>
    <x v="4"/>
    <x v="1"/>
    <n v="25811"/>
    <n v="27227"/>
    <n v="53"/>
    <n v="-1416"/>
    <n v="-5.2007198736548278E-2"/>
    <n v="487"/>
  </r>
  <r>
    <x v="113"/>
    <s v="S006"/>
    <s v="C01"/>
    <x v="5"/>
    <x v="1"/>
    <x v="5"/>
    <x v="0"/>
    <n v="79560"/>
    <n v="83119"/>
    <n v="195"/>
    <n v="-3559"/>
    <n v="-4.2818128225796746E-2"/>
    <n v="408"/>
  </r>
  <r>
    <x v="113"/>
    <s v="S007"/>
    <s v="C01"/>
    <x v="6"/>
    <x v="1"/>
    <x v="6"/>
    <x v="0"/>
    <n v="9850"/>
    <n v="9794"/>
    <n v="50"/>
    <n v="56"/>
    <n v="5.717786399836635E-3"/>
    <n v="197"/>
  </r>
  <r>
    <x v="113"/>
    <s v="S008"/>
    <s v="C01"/>
    <x v="7"/>
    <x v="1"/>
    <x v="7"/>
    <x v="0"/>
    <n v="14137"/>
    <n v="15971"/>
    <n v="67"/>
    <n v="-1834"/>
    <n v="-0.11483313505729134"/>
    <n v="211"/>
  </r>
  <r>
    <x v="113"/>
    <s v="S009"/>
    <s v="C04"/>
    <x v="8"/>
    <x v="1"/>
    <x v="8"/>
    <x v="2"/>
    <n v="16366"/>
    <n v="17228"/>
    <n v="49"/>
    <n v="-862"/>
    <n v="-5.0034827025772E-2"/>
    <n v="334"/>
  </r>
  <r>
    <x v="113"/>
    <s v="S010"/>
    <s v="C04"/>
    <x v="9"/>
    <x v="1"/>
    <x v="9"/>
    <x v="2"/>
    <n v="11832"/>
    <n v="12653"/>
    <n v="51"/>
    <n v="-821"/>
    <n v="-6.4885797834505654E-2"/>
    <n v="232"/>
  </r>
  <r>
    <x v="113"/>
    <s v="S011"/>
    <s v="C05"/>
    <x v="10"/>
    <x v="2"/>
    <x v="10"/>
    <x v="3"/>
    <n v="15840"/>
    <n v="17621"/>
    <n v="48"/>
    <n v="-1781"/>
    <n v="-0.10107258384881675"/>
    <n v="330"/>
  </r>
  <r>
    <x v="113"/>
    <s v="S012"/>
    <s v="C04"/>
    <x v="11"/>
    <x v="2"/>
    <x v="11"/>
    <x v="2"/>
    <n v="29264"/>
    <n v="31838"/>
    <n v="59"/>
    <n v="-2574"/>
    <n v="-8.0846786858471006E-2"/>
    <n v="496"/>
  </r>
  <r>
    <x v="113"/>
    <s v="S013"/>
    <s v="C02"/>
    <x v="12"/>
    <x v="2"/>
    <x v="12"/>
    <x v="1"/>
    <n v="97196"/>
    <n v="102639"/>
    <n v="188"/>
    <n v="-5443"/>
    <n v="-5.3030524459513444E-2"/>
    <n v="517"/>
  </r>
  <r>
    <x v="113"/>
    <s v="S014"/>
    <s v="C04"/>
    <x v="13"/>
    <x v="2"/>
    <x v="13"/>
    <x v="2"/>
    <n v="55461"/>
    <n v="60940"/>
    <n v="133"/>
    <n v="-5479"/>
    <n v="-8.9908106334099111E-2"/>
    <n v="417"/>
  </r>
  <r>
    <x v="113"/>
    <s v="S015"/>
    <s v="C05"/>
    <x v="14"/>
    <x v="2"/>
    <x v="14"/>
    <x v="3"/>
    <n v="44583"/>
    <n v="43909"/>
    <n v="193"/>
    <n v="674"/>
    <n v="1.5349928260721037E-2"/>
    <n v="231"/>
  </r>
  <r>
    <x v="113"/>
    <s v="S016"/>
    <s v="C01"/>
    <x v="15"/>
    <x v="3"/>
    <x v="15"/>
    <x v="0"/>
    <n v="67044"/>
    <n v="65840"/>
    <n v="151"/>
    <n v="1204"/>
    <n v="1.8286755771567437E-2"/>
    <n v="444"/>
  </r>
  <r>
    <x v="113"/>
    <s v="S017"/>
    <s v="C02"/>
    <x v="16"/>
    <x v="3"/>
    <x v="16"/>
    <x v="1"/>
    <n v="14384"/>
    <n v="12989"/>
    <n v="62"/>
    <n v="1395"/>
    <n v="0.10739856801909307"/>
    <n v="232"/>
  </r>
  <r>
    <x v="113"/>
    <s v="S018"/>
    <s v="C01"/>
    <x v="17"/>
    <x v="4"/>
    <x v="17"/>
    <x v="0"/>
    <n v="51894"/>
    <n v="58437"/>
    <n v="186"/>
    <n v="-6543"/>
    <n v="-0.1119667334052056"/>
    <n v="279"/>
  </r>
  <r>
    <x v="113"/>
    <s v="S019"/>
    <s v="C02"/>
    <x v="18"/>
    <x v="5"/>
    <x v="18"/>
    <x v="1"/>
    <n v="87120"/>
    <n v="83989"/>
    <n v="198"/>
    <n v="3131"/>
    <n v="3.727869125718844E-2"/>
    <n v="440"/>
  </r>
  <r>
    <x v="113"/>
    <s v="S020"/>
    <s v="C04"/>
    <x v="19"/>
    <x v="6"/>
    <x v="19"/>
    <x v="2"/>
    <n v="78526"/>
    <n v="79402"/>
    <n v="158"/>
    <n v="-876"/>
    <n v="-1.1032467696027807E-2"/>
    <n v="497"/>
  </r>
  <r>
    <x v="114"/>
    <s v="S001"/>
    <s v="C02"/>
    <x v="0"/>
    <x v="0"/>
    <x v="0"/>
    <x v="1"/>
    <n v="14140"/>
    <n v="12939"/>
    <n v="70"/>
    <n v="1201"/>
    <n v="9.2820156117165153E-2"/>
    <n v="202"/>
  </r>
  <r>
    <x v="114"/>
    <s v="S002"/>
    <s v="C03"/>
    <x v="1"/>
    <x v="0"/>
    <x v="1"/>
    <x v="4"/>
    <n v="74152"/>
    <n v="76249"/>
    <n v="184"/>
    <n v="-2097"/>
    <n v="-2.7502000026229854E-2"/>
    <n v="403"/>
  </r>
  <r>
    <x v="114"/>
    <s v="S003"/>
    <s v="C03"/>
    <x v="2"/>
    <x v="0"/>
    <x v="2"/>
    <x v="4"/>
    <n v="54492"/>
    <n v="61102"/>
    <n v="114"/>
    <n v="-6610"/>
    <n v="-0.10817976498314294"/>
    <n v="478"/>
  </r>
  <r>
    <x v="114"/>
    <s v="S004"/>
    <s v="C02"/>
    <x v="3"/>
    <x v="0"/>
    <x v="3"/>
    <x v="1"/>
    <n v="30240"/>
    <n v="29549"/>
    <n v="72"/>
    <n v="691"/>
    <n v="2.3384886121357744E-2"/>
    <n v="420"/>
  </r>
  <r>
    <x v="114"/>
    <s v="S005"/>
    <s v="C03"/>
    <x v="4"/>
    <x v="0"/>
    <x v="4"/>
    <x v="4"/>
    <n v="40112"/>
    <n v="45830"/>
    <n v="109"/>
    <n v="-5718"/>
    <n v="-0.12476543748636265"/>
    <n v="368"/>
  </r>
  <r>
    <x v="114"/>
    <s v="S006"/>
    <s v="C05"/>
    <x v="5"/>
    <x v="1"/>
    <x v="5"/>
    <x v="3"/>
    <n v="95460"/>
    <n v="102101"/>
    <n v="185"/>
    <n v="-6641"/>
    <n v="-6.5043437380632896E-2"/>
    <n v="516"/>
  </r>
  <r>
    <x v="114"/>
    <s v="S007"/>
    <s v="C01"/>
    <x v="6"/>
    <x v="1"/>
    <x v="6"/>
    <x v="0"/>
    <n v="41705"/>
    <n v="46075"/>
    <n v="95"/>
    <n v="-4370"/>
    <n v="-9.4845360824742264E-2"/>
    <n v="439"/>
  </r>
  <r>
    <x v="114"/>
    <s v="S008"/>
    <s v="C05"/>
    <x v="7"/>
    <x v="1"/>
    <x v="7"/>
    <x v="3"/>
    <n v="19008"/>
    <n v="18741"/>
    <n v="48"/>
    <n v="267"/>
    <n v="1.4246838482471587E-2"/>
    <n v="396"/>
  </r>
  <r>
    <x v="114"/>
    <s v="S009"/>
    <s v="C02"/>
    <x v="8"/>
    <x v="1"/>
    <x v="8"/>
    <x v="1"/>
    <n v="56034"/>
    <n v="61430"/>
    <n v="198"/>
    <n v="-5396"/>
    <n v="-8.783981767865863E-2"/>
    <n v="283"/>
  </r>
  <r>
    <x v="114"/>
    <s v="S010"/>
    <s v="C03"/>
    <x v="9"/>
    <x v="1"/>
    <x v="9"/>
    <x v="4"/>
    <n v="35109"/>
    <n v="37696"/>
    <n v="83"/>
    <n v="-2587"/>
    <n v="-6.8627971137521226E-2"/>
    <n v="423"/>
  </r>
  <r>
    <x v="114"/>
    <s v="S011"/>
    <s v="C04"/>
    <x v="10"/>
    <x v="2"/>
    <x v="10"/>
    <x v="2"/>
    <n v="65612"/>
    <n v="73026"/>
    <n v="188"/>
    <n v="-7414"/>
    <n v="-0.10152548407416537"/>
    <n v="349"/>
  </r>
  <r>
    <x v="114"/>
    <s v="S012"/>
    <s v="C05"/>
    <x v="11"/>
    <x v="2"/>
    <x v="11"/>
    <x v="3"/>
    <n v="59400"/>
    <n v="57909"/>
    <n v="120"/>
    <n v="1491"/>
    <n v="2.5747293166865255E-2"/>
    <n v="495"/>
  </r>
  <r>
    <x v="114"/>
    <s v="S013"/>
    <s v="C03"/>
    <x v="12"/>
    <x v="2"/>
    <x v="12"/>
    <x v="4"/>
    <n v="17708"/>
    <n v="17948"/>
    <n v="76"/>
    <n v="-240"/>
    <n v="-1.337196344996657E-2"/>
    <n v="233"/>
  </r>
  <r>
    <x v="114"/>
    <s v="S014"/>
    <s v="C01"/>
    <x v="13"/>
    <x v="2"/>
    <x v="13"/>
    <x v="0"/>
    <n v="47012"/>
    <n v="53123"/>
    <n v="161"/>
    <n v="-6111"/>
    <n v="-0.11503491896165503"/>
    <n v="292"/>
  </r>
  <r>
    <x v="114"/>
    <s v="S015"/>
    <s v="C02"/>
    <x v="14"/>
    <x v="2"/>
    <x v="14"/>
    <x v="1"/>
    <n v="62964"/>
    <n v="64011"/>
    <n v="212"/>
    <n v="-1047"/>
    <n v="-1.635656371561138E-2"/>
    <n v="297"/>
  </r>
  <r>
    <x v="114"/>
    <s v="S016"/>
    <s v="C02"/>
    <x v="15"/>
    <x v="3"/>
    <x v="15"/>
    <x v="1"/>
    <n v="40896"/>
    <n v="44316"/>
    <n v="96"/>
    <n v="-3420"/>
    <n v="-7.7173030056864336E-2"/>
    <n v="426"/>
  </r>
  <r>
    <x v="114"/>
    <s v="S017"/>
    <s v="C03"/>
    <x v="16"/>
    <x v="3"/>
    <x v="16"/>
    <x v="4"/>
    <n v="37335"/>
    <n v="37337"/>
    <n v="131"/>
    <n v="-2"/>
    <n v="-5.3566167608538446E-5"/>
    <n v="285"/>
  </r>
  <r>
    <x v="114"/>
    <s v="S018"/>
    <s v="C01"/>
    <x v="17"/>
    <x v="4"/>
    <x v="17"/>
    <x v="0"/>
    <n v="23495"/>
    <n v="21578"/>
    <n v="127"/>
    <n v="1917"/>
    <n v="8.884048567985911E-2"/>
    <n v="185"/>
  </r>
  <r>
    <x v="114"/>
    <s v="S019"/>
    <s v="C01"/>
    <x v="18"/>
    <x v="5"/>
    <x v="18"/>
    <x v="0"/>
    <n v="42126"/>
    <n v="39413"/>
    <n v="177"/>
    <n v="2713"/>
    <n v="6.8835155913023624E-2"/>
    <n v="238"/>
  </r>
  <r>
    <x v="114"/>
    <s v="S020"/>
    <s v="C04"/>
    <x v="19"/>
    <x v="6"/>
    <x v="19"/>
    <x v="2"/>
    <n v="42252"/>
    <n v="44213"/>
    <n v="84"/>
    <n v="-1961"/>
    <n v="-4.4353470698663286E-2"/>
    <n v="503"/>
  </r>
  <r>
    <x v="115"/>
    <s v="S001"/>
    <s v="C03"/>
    <x v="0"/>
    <x v="0"/>
    <x v="0"/>
    <x v="4"/>
    <n v="8970"/>
    <n v="8519"/>
    <n v="46"/>
    <n v="451"/>
    <n v="5.2940485972531988E-2"/>
    <n v="195"/>
  </r>
  <r>
    <x v="115"/>
    <s v="S002"/>
    <s v="C03"/>
    <x v="1"/>
    <x v="0"/>
    <x v="1"/>
    <x v="4"/>
    <n v="23068"/>
    <n v="25867"/>
    <n v="79"/>
    <n v="-2799"/>
    <n v="-0.10820736846174663"/>
    <n v="292"/>
  </r>
  <r>
    <x v="115"/>
    <s v="S003"/>
    <s v="C02"/>
    <x v="2"/>
    <x v="0"/>
    <x v="2"/>
    <x v="1"/>
    <n v="56023"/>
    <n v="53865"/>
    <n v="121"/>
    <n v="2158"/>
    <n v="4.006312076487515E-2"/>
    <n v="463"/>
  </r>
  <r>
    <x v="115"/>
    <s v="S004"/>
    <s v="C02"/>
    <x v="3"/>
    <x v="0"/>
    <x v="3"/>
    <x v="1"/>
    <n v="10800"/>
    <n v="11995"/>
    <n v="40"/>
    <n v="-1195"/>
    <n v="-9.9624843684868694E-2"/>
    <n v="270"/>
  </r>
  <r>
    <x v="115"/>
    <s v="S005"/>
    <s v="C01"/>
    <x v="4"/>
    <x v="0"/>
    <x v="4"/>
    <x v="0"/>
    <n v="10000"/>
    <n v="9947"/>
    <n v="40"/>
    <n v="53"/>
    <n v="5.3282396702523374E-3"/>
    <n v="250"/>
  </r>
  <r>
    <x v="115"/>
    <s v="S006"/>
    <s v="C01"/>
    <x v="5"/>
    <x v="1"/>
    <x v="5"/>
    <x v="0"/>
    <n v="34727"/>
    <n v="33902"/>
    <n v="121"/>
    <n v="825"/>
    <n v="2.4334847501622323E-2"/>
    <n v="287"/>
  </r>
  <r>
    <x v="115"/>
    <s v="S007"/>
    <s v="C02"/>
    <x v="6"/>
    <x v="1"/>
    <x v="6"/>
    <x v="1"/>
    <n v="47730"/>
    <n v="50843"/>
    <n v="129"/>
    <n v="-3113"/>
    <n v="-6.1227700961784315E-2"/>
    <n v="370"/>
  </r>
  <r>
    <x v="115"/>
    <s v="S008"/>
    <s v="C05"/>
    <x v="7"/>
    <x v="1"/>
    <x v="7"/>
    <x v="3"/>
    <n v="77988"/>
    <n v="87315"/>
    <n v="194"/>
    <n v="-9327"/>
    <n v="-0.10682013399759492"/>
    <n v="402"/>
  </r>
  <r>
    <x v="115"/>
    <s v="S009"/>
    <s v="C01"/>
    <x v="8"/>
    <x v="1"/>
    <x v="8"/>
    <x v="0"/>
    <n v="16445"/>
    <n v="18429"/>
    <n v="65"/>
    <n v="-1984"/>
    <n v="-0.10765641109121493"/>
    <n v="253"/>
  </r>
  <r>
    <x v="115"/>
    <s v="S010"/>
    <s v="C02"/>
    <x v="9"/>
    <x v="1"/>
    <x v="9"/>
    <x v="1"/>
    <n v="23074"/>
    <n v="23838"/>
    <n v="83"/>
    <n v="-764"/>
    <n v="-3.2049668596358757E-2"/>
    <n v="278"/>
  </r>
  <r>
    <x v="115"/>
    <s v="S011"/>
    <s v="C03"/>
    <x v="10"/>
    <x v="2"/>
    <x v="10"/>
    <x v="4"/>
    <n v="56376"/>
    <n v="56792"/>
    <n v="116"/>
    <n v="-416"/>
    <n v="-7.3249753486406537E-3"/>
    <n v="486"/>
  </r>
  <r>
    <x v="115"/>
    <s v="S012"/>
    <s v="C02"/>
    <x v="11"/>
    <x v="2"/>
    <x v="11"/>
    <x v="1"/>
    <n v="22770"/>
    <n v="23836"/>
    <n v="46"/>
    <n v="-1066"/>
    <n v="-4.47222688370532E-2"/>
    <n v="495"/>
  </r>
  <r>
    <x v="115"/>
    <s v="S013"/>
    <s v="C05"/>
    <x v="12"/>
    <x v="2"/>
    <x v="12"/>
    <x v="3"/>
    <n v="28160"/>
    <n v="27650"/>
    <n v="110"/>
    <n v="510"/>
    <n v="1.8444846292947559E-2"/>
    <n v="256"/>
  </r>
  <r>
    <x v="115"/>
    <s v="S014"/>
    <s v="C01"/>
    <x v="13"/>
    <x v="2"/>
    <x v="13"/>
    <x v="0"/>
    <n v="63308"/>
    <n v="70791"/>
    <n v="196"/>
    <n v="-7483"/>
    <n v="-0.10570552753881143"/>
    <n v="323"/>
  </r>
  <r>
    <x v="115"/>
    <s v="S015"/>
    <s v="C05"/>
    <x v="14"/>
    <x v="2"/>
    <x v="14"/>
    <x v="3"/>
    <n v="79120"/>
    <n v="75346"/>
    <n v="184"/>
    <n v="3774"/>
    <n v="5.0088923101425424E-2"/>
    <n v="430"/>
  </r>
  <r>
    <x v="115"/>
    <s v="S016"/>
    <s v="C01"/>
    <x v="15"/>
    <x v="3"/>
    <x v="15"/>
    <x v="0"/>
    <n v="80445"/>
    <n v="84766"/>
    <n v="155"/>
    <n v="-4321"/>
    <n v="-5.0975627020267561E-2"/>
    <n v="519"/>
  </r>
  <r>
    <x v="115"/>
    <s v="S017"/>
    <s v="C02"/>
    <x v="16"/>
    <x v="3"/>
    <x v="16"/>
    <x v="1"/>
    <n v="62370"/>
    <n v="67847"/>
    <n v="165"/>
    <n v="-5477"/>
    <n v="-8.072575058587704E-2"/>
    <n v="378"/>
  </r>
  <r>
    <x v="115"/>
    <s v="S018"/>
    <s v="C05"/>
    <x v="17"/>
    <x v="4"/>
    <x v="17"/>
    <x v="3"/>
    <n v="56550"/>
    <n v="58230"/>
    <n v="130"/>
    <n v="-1680"/>
    <n v="-2.8851107676455434E-2"/>
    <n v="435"/>
  </r>
  <r>
    <x v="115"/>
    <s v="S019"/>
    <s v="C02"/>
    <x v="18"/>
    <x v="5"/>
    <x v="18"/>
    <x v="1"/>
    <n v="43407"/>
    <n v="44768"/>
    <n v="117"/>
    <n v="-1361"/>
    <n v="-3.0401179413867049E-2"/>
    <n v="371"/>
  </r>
  <r>
    <x v="115"/>
    <s v="S020"/>
    <s v="C04"/>
    <x v="19"/>
    <x v="6"/>
    <x v="19"/>
    <x v="2"/>
    <n v="94394"/>
    <n v="96134"/>
    <n v="218"/>
    <n v="-1740"/>
    <n v="-1.8099735785466121E-2"/>
    <n v="433"/>
  </r>
  <r>
    <x v="116"/>
    <s v="S001"/>
    <s v="C05"/>
    <x v="0"/>
    <x v="0"/>
    <x v="0"/>
    <x v="3"/>
    <n v="69322"/>
    <n v="78354"/>
    <n v="137"/>
    <n v="-9032"/>
    <n v="-0.11527171554738749"/>
    <n v="506"/>
  </r>
  <r>
    <x v="116"/>
    <s v="S002"/>
    <s v="C05"/>
    <x v="1"/>
    <x v="0"/>
    <x v="1"/>
    <x v="3"/>
    <n v="39798"/>
    <n v="37879"/>
    <n v="201"/>
    <n v="1919"/>
    <n v="5.066131629662874E-2"/>
    <n v="198"/>
  </r>
  <r>
    <x v="116"/>
    <s v="S003"/>
    <s v="C02"/>
    <x v="2"/>
    <x v="0"/>
    <x v="2"/>
    <x v="1"/>
    <n v="45000"/>
    <n v="44953"/>
    <n v="150"/>
    <n v="47"/>
    <n v="1.045536449180255E-3"/>
    <n v="300"/>
  </r>
  <r>
    <x v="116"/>
    <s v="S004"/>
    <s v="C03"/>
    <x v="3"/>
    <x v="0"/>
    <x v="3"/>
    <x v="4"/>
    <n v="53339"/>
    <n v="55624"/>
    <n v="143"/>
    <n v="-2285"/>
    <n v="-4.1079390191284336E-2"/>
    <n v="373"/>
  </r>
  <r>
    <x v="116"/>
    <s v="S005"/>
    <s v="C03"/>
    <x v="4"/>
    <x v="0"/>
    <x v="4"/>
    <x v="4"/>
    <n v="46100"/>
    <n v="42466"/>
    <n v="100"/>
    <n v="3634"/>
    <n v="8.5574341826402292E-2"/>
    <n v="461"/>
  </r>
  <r>
    <x v="116"/>
    <s v="S006"/>
    <s v="C01"/>
    <x v="5"/>
    <x v="1"/>
    <x v="5"/>
    <x v="0"/>
    <n v="44770"/>
    <n v="46099"/>
    <n v="110"/>
    <n v="-1329"/>
    <n v="-2.8829258769170699E-2"/>
    <n v="407"/>
  </r>
  <r>
    <x v="116"/>
    <s v="S007"/>
    <s v="C02"/>
    <x v="6"/>
    <x v="1"/>
    <x v="6"/>
    <x v="1"/>
    <n v="36984"/>
    <n v="37587"/>
    <n v="184"/>
    <n v="-603"/>
    <n v="-1.6042780748663103E-2"/>
    <n v="201"/>
  </r>
  <r>
    <x v="116"/>
    <s v="S008"/>
    <s v="C05"/>
    <x v="7"/>
    <x v="1"/>
    <x v="7"/>
    <x v="3"/>
    <n v="48158"/>
    <n v="48773"/>
    <n v="121"/>
    <n v="-615"/>
    <n v="-1.2609435548356673E-2"/>
    <n v="398"/>
  </r>
  <r>
    <x v="116"/>
    <s v="S009"/>
    <s v="C04"/>
    <x v="8"/>
    <x v="1"/>
    <x v="8"/>
    <x v="2"/>
    <n v="51152"/>
    <n v="56324"/>
    <n v="139"/>
    <n v="-5172"/>
    <n v="-9.1825864640295435E-2"/>
    <n v="368"/>
  </r>
  <r>
    <x v="116"/>
    <s v="S010"/>
    <s v="C03"/>
    <x v="9"/>
    <x v="1"/>
    <x v="9"/>
    <x v="4"/>
    <n v="39000"/>
    <n v="35341"/>
    <n v="104"/>
    <n v="3659"/>
    <n v="0.10353413881893551"/>
    <n v="375"/>
  </r>
  <r>
    <x v="116"/>
    <s v="S011"/>
    <s v="C04"/>
    <x v="10"/>
    <x v="2"/>
    <x v="10"/>
    <x v="2"/>
    <n v="29610"/>
    <n v="31426"/>
    <n v="94"/>
    <n v="-1816"/>
    <n v="-5.7786546171959524E-2"/>
    <n v="315"/>
  </r>
  <r>
    <x v="116"/>
    <s v="S012"/>
    <s v="C03"/>
    <x v="11"/>
    <x v="2"/>
    <x v="11"/>
    <x v="4"/>
    <n v="18480"/>
    <n v="20524"/>
    <n v="56"/>
    <n v="-2044"/>
    <n v="-9.9590723055934513E-2"/>
    <n v="330"/>
  </r>
  <r>
    <x v="116"/>
    <s v="S013"/>
    <s v="C05"/>
    <x v="12"/>
    <x v="2"/>
    <x v="12"/>
    <x v="3"/>
    <n v="88566"/>
    <n v="81439"/>
    <n v="174"/>
    <n v="7127"/>
    <n v="8.7513353552966022E-2"/>
    <n v="509"/>
  </r>
  <r>
    <x v="116"/>
    <s v="S014"/>
    <s v="C03"/>
    <x v="13"/>
    <x v="2"/>
    <x v="13"/>
    <x v="4"/>
    <n v="21390"/>
    <n v="19885"/>
    <n v="93"/>
    <n v="1505"/>
    <n v="7.5685189841589132E-2"/>
    <n v="230"/>
  </r>
  <r>
    <x v="116"/>
    <s v="S015"/>
    <s v="C03"/>
    <x v="14"/>
    <x v="2"/>
    <x v="14"/>
    <x v="4"/>
    <n v="20196"/>
    <n v="19187"/>
    <n v="44"/>
    <n v="1009"/>
    <n v="5.2587689581487462E-2"/>
    <n v="459"/>
  </r>
  <r>
    <x v="116"/>
    <s v="S016"/>
    <s v="C02"/>
    <x v="15"/>
    <x v="3"/>
    <x v="15"/>
    <x v="1"/>
    <n v="72036"/>
    <n v="69335"/>
    <n v="207"/>
    <n v="2701"/>
    <n v="3.8955794331867022E-2"/>
    <n v="348"/>
  </r>
  <r>
    <x v="116"/>
    <s v="S017"/>
    <s v="C03"/>
    <x v="16"/>
    <x v="3"/>
    <x v="16"/>
    <x v="4"/>
    <n v="40587"/>
    <n v="46654"/>
    <n v="83"/>
    <n v="-6067"/>
    <n v="-0.13004244009088181"/>
    <n v="489"/>
  </r>
  <r>
    <x v="116"/>
    <s v="S018"/>
    <s v="C05"/>
    <x v="17"/>
    <x v="4"/>
    <x v="17"/>
    <x v="3"/>
    <n v="18584"/>
    <n v="20303"/>
    <n v="101"/>
    <n v="-1719"/>
    <n v="-8.4667290548194843E-2"/>
    <n v="184"/>
  </r>
  <r>
    <x v="116"/>
    <s v="S019"/>
    <s v="C03"/>
    <x v="18"/>
    <x v="5"/>
    <x v="18"/>
    <x v="4"/>
    <n v="47478"/>
    <n v="53956"/>
    <n v="123"/>
    <n v="-6478"/>
    <n v="-0.12006079027355623"/>
    <n v="386"/>
  </r>
  <r>
    <x v="116"/>
    <s v="S020"/>
    <s v="C05"/>
    <x v="19"/>
    <x v="6"/>
    <x v="19"/>
    <x v="3"/>
    <n v="37572"/>
    <n v="38248"/>
    <n v="202"/>
    <n v="-676"/>
    <n v="-1.7674126751725579E-2"/>
    <n v="186"/>
  </r>
  <r>
    <x v="117"/>
    <s v="S001"/>
    <s v="C05"/>
    <x v="0"/>
    <x v="0"/>
    <x v="0"/>
    <x v="3"/>
    <n v="27959"/>
    <n v="26753"/>
    <n v="73"/>
    <n v="1206"/>
    <n v="4.5079056554405111E-2"/>
    <n v="383"/>
  </r>
  <r>
    <x v="117"/>
    <s v="S002"/>
    <s v="C02"/>
    <x v="1"/>
    <x v="0"/>
    <x v="1"/>
    <x v="1"/>
    <n v="46644"/>
    <n v="47994"/>
    <n v="156"/>
    <n v="-1350"/>
    <n v="-2.8128516064508065E-2"/>
    <n v="299"/>
  </r>
  <r>
    <x v="117"/>
    <s v="S003"/>
    <s v="C05"/>
    <x v="2"/>
    <x v="0"/>
    <x v="2"/>
    <x v="3"/>
    <n v="64064"/>
    <n v="63113"/>
    <n v="154"/>
    <n v="951"/>
    <n v="1.5068210986643005E-2"/>
    <n v="416"/>
  </r>
  <r>
    <x v="117"/>
    <s v="S004"/>
    <s v="C01"/>
    <x v="3"/>
    <x v="0"/>
    <x v="3"/>
    <x v="0"/>
    <n v="31740"/>
    <n v="31968"/>
    <n v="115"/>
    <n v="-228"/>
    <n v="-7.1321321321321319E-3"/>
    <n v="276"/>
  </r>
  <r>
    <x v="117"/>
    <s v="S005"/>
    <s v="C04"/>
    <x v="4"/>
    <x v="0"/>
    <x v="4"/>
    <x v="2"/>
    <n v="35552"/>
    <n v="35996"/>
    <n v="88"/>
    <n v="-444"/>
    <n v="-1.2334703855983998E-2"/>
    <n v="404"/>
  </r>
  <r>
    <x v="117"/>
    <s v="S006"/>
    <s v="C05"/>
    <x v="5"/>
    <x v="1"/>
    <x v="5"/>
    <x v="3"/>
    <n v="15582"/>
    <n v="14565"/>
    <n v="42"/>
    <n v="1017"/>
    <n v="6.9824922760041194E-2"/>
    <n v="371"/>
  </r>
  <r>
    <x v="117"/>
    <s v="S007"/>
    <s v="C02"/>
    <x v="6"/>
    <x v="1"/>
    <x v="6"/>
    <x v="1"/>
    <n v="20792"/>
    <n v="21310"/>
    <n v="113"/>
    <n v="-518"/>
    <n v="-2.4307836696386673E-2"/>
    <n v="184"/>
  </r>
  <r>
    <x v="117"/>
    <s v="S008"/>
    <s v="C03"/>
    <x v="7"/>
    <x v="1"/>
    <x v="7"/>
    <x v="4"/>
    <n v="35695"/>
    <n v="35865"/>
    <n v="121"/>
    <n v="-170"/>
    <n v="-4.7399972117663459E-3"/>
    <n v="295"/>
  </r>
  <r>
    <x v="117"/>
    <s v="S009"/>
    <s v="C04"/>
    <x v="8"/>
    <x v="1"/>
    <x v="8"/>
    <x v="2"/>
    <n v="96005"/>
    <n v="93596"/>
    <n v="211"/>
    <n v="2409"/>
    <n v="2.5738279413650155E-2"/>
    <n v="455"/>
  </r>
  <r>
    <x v="117"/>
    <s v="S010"/>
    <s v="C05"/>
    <x v="9"/>
    <x v="1"/>
    <x v="9"/>
    <x v="3"/>
    <n v="18800"/>
    <n v="20611"/>
    <n v="40"/>
    <n v="-1811"/>
    <n v="-8.7865702780068888E-2"/>
    <n v="470"/>
  </r>
  <r>
    <x v="117"/>
    <s v="S011"/>
    <s v="C02"/>
    <x v="10"/>
    <x v="2"/>
    <x v="10"/>
    <x v="1"/>
    <n v="25826"/>
    <n v="26911"/>
    <n v="74"/>
    <n v="-1085"/>
    <n v="-4.0318085541228496E-2"/>
    <n v="349"/>
  </r>
  <r>
    <x v="117"/>
    <s v="S012"/>
    <s v="C05"/>
    <x v="11"/>
    <x v="2"/>
    <x v="11"/>
    <x v="3"/>
    <n v="89870"/>
    <n v="100361"/>
    <n v="190"/>
    <n v="-10491"/>
    <n v="-0.10453263717978099"/>
    <n v="473"/>
  </r>
  <r>
    <x v="117"/>
    <s v="S013"/>
    <s v="C04"/>
    <x v="12"/>
    <x v="2"/>
    <x v="12"/>
    <x v="2"/>
    <n v="33060"/>
    <n v="30280"/>
    <n v="87"/>
    <n v="2780"/>
    <n v="9.1809775429326293E-2"/>
    <n v="380"/>
  </r>
  <r>
    <x v="117"/>
    <s v="S014"/>
    <s v="C04"/>
    <x v="13"/>
    <x v="2"/>
    <x v="13"/>
    <x v="2"/>
    <n v="35109"/>
    <n v="32551"/>
    <n v="83"/>
    <n v="2558"/>
    <n v="7.8584375288009586E-2"/>
    <n v="423"/>
  </r>
  <r>
    <x v="117"/>
    <s v="S015"/>
    <s v="C05"/>
    <x v="14"/>
    <x v="2"/>
    <x v="14"/>
    <x v="3"/>
    <n v="76050"/>
    <n v="85456"/>
    <n v="150"/>
    <n v="-9406"/>
    <n v="-0.11006833926231042"/>
    <n v="507"/>
  </r>
  <r>
    <x v="117"/>
    <s v="S016"/>
    <s v="C01"/>
    <x v="15"/>
    <x v="3"/>
    <x v="15"/>
    <x v="0"/>
    <n v="18174"/>
    <n v="19422"/>
    <n v="78"/>
    <n v="-1248"/>
    <n v="-6.4257028112449793E-2"/>
    <n v="233"/>
  </r>
  <r>
    <x v="117"/>
    <s v="S017"/>
    <s v="C02"/>
    <x v="16"/>
    <x v="3"/>
    <x v="16"/>
    <x v="1"/>
    <n v="20984"/>
    <n v="21448"/>
    <n v="43"/>
    <n v="-464"/>
    <n v="-2.1633718761656099E-2"/>
    <n v="488"/>
  </r>
  <r>
    <x v="117"/>
    <s v="S018"/>
    <s v="C02"/>
    <x v="17"/>
    <x v="4"/>
    <x v="17"/>
    <x v="1"/>
    <n v="18275"/>
    <n v="20611"/>
    <n v="85"/>
    <n v="-2336"/>
    <n v="-0.11333753820775314"/>
    <n v="215"/>
  </r>
  <r>
    <x v="117"/>
    <s v="S019"/>
    <s v="C04"/>
    <x v="18"/>
    <x v="5"/>
    <x v="18"/>
    <x v="2"/>
    <n v="30495"/>
    <n v="29222"/>
    <n v="107"/>
    <n v="1273"/>
    <n v="4.3563068920676205E-2"/>
    <n v="285"/>
  </r>
  <r>
    <x v="117"/>
    <s v="S020"/>
    <s v="C05"/>
    <x v="19"/>
    <x v="6"/>
    <x v="19"/>
    <x v="3"/>
    <n v="21424"/>
    <n v="19589"/>
    <n v="52"/>
    <n v="1835"/>
    <n v="9.3675021695849708E-2"/>
    <n v="412"/>
  </r>
  <r>
    <x v="118"/>
    <s v="S001"/>
    <s v="C05"/>
    <x v="0"/>
    <x v="0"/>
    <x v="0"/>
    <x v="3"/>
    <n v="9879"/>
    <n v="9698"/>
    <n v="37"/>
    <n v="181"/>
    <n v="1.8663641988038771E-2"/>
    <n v="267"/>
  </r>
  <r>
    <x v="118"/>
    <s v="S002"/>
    <s v="C04"/>
    <x v="1"/>
    <x v="0"/>
    <x v="1"/>
    <x v="2"/>
    <n v="35100"/>
    <n v="40273"/>
    <n v="135"/>
    <n v="-5173"/>
    <n v="-0.12844834007896108"/>
    <n v="260"/>
  </r>
  <r>
    <x v="118"/>
    <s v="S003"/>
    <s v="C02"/>
    <x v="2"/>
    <x v="0"/>
    <x v="2"/>
    <x v="1"/>
    <n v="67768"/>
    <n v="69093"/>
    <n v="172"/>
    <n v="-1325"/>
    <n v="-1.9177051220818319E-2"/>
    <n v="394"/>
  </r>
  <r>
    <x v="118"/>
    <s v="S004"/>
    <s v="C01"/>
    <x v="3"/>
    <x v="0"/>
    <x v="3"/>
    <x v="0"/>
    <n v="38190"/>
    <n v="35611"/>
    <n v="134"/>
    <n v="2579"/>
    <n v="7.2421442812614076E-2"/>
    <n v="285"/>
  </r>
  <r>
    <x v="118"/>
    <s v="S005"/>
    <s v="C02"/>
    <x v="4"/>
    <x v="0"/>
    <x v="4"/>
    <x v="1"/>
    <n v="45714"/>
    <n v="50489"/>
    <n v="114"/>
    <n v="-4775"/>
    <n v="-9.4575055952781789E-2"/>
    <n v="401"/>
  </r>
  <r>
    <x v="118"/>
    <s v="S006"/>
    <s v="C04"/>
    <x v="5"/>
    <x v="1"/>
    <x v="5"/>
    <x v="2"/>
    <n v="36675"/>
    <n v="38280"/>
    <n v="75"/>
    <n v="-1605"/>
    <n v="-4.1927899686520373E-2"/>
    <n v="489"/>
  </r>
  <r>
    <x v="118"/>
    <s v="S007"/>
    <s v="C03"/>
    <x v="6"/>
    <x v="1"/>
    <x v="6"/>
    <x v="4"/>
    <n v="52355"/>
    <n v="53696"/>
    <n v="185"/>
    <n v="-1341"/>
    <n v="-2.4973927294398093E-2"/>
    <n v="283"/>
  </r>
  <r>
    <x v="118"/>
    <s v="S008"/>
    <s v="C04"/>
    <x v="7"/>
    <x v="1"/>
    <x v="7"/>
    <x v="2"/>
    <n v="29715"/>
    <n v="26798"/>
    <n v="105"/>
    <n v="2917"/>
    <n v="0.10885140682140458"/>
    <n v="283"/>
  </r>
  <r>
    <x v="118"/>
    <s v="S009"/>
    <s v="C02"/>
    <x v="8"/>
    <x v="1"/>
    <x v="8"/>
    <x v="1"/>
    <n v="31588"/>
    <n v="34940"/>
    <n v="149"/>
    <n v="-3352"/>
    <n v="-9.593589009730967E-2"/>
    <n v="212"/>
  </r>
  <r>
    <x v="118"/>
    <s v="S010"/>
    <s v="C05"/>
    <x v="9"/>
    <x v="1"/>
    <x v="9"/>
    <x v="3"/>
    <n v="44002"/>
    <n v="43219"/>
    <n v="98"/>
    <n v="783"/>
    <n v="1.8117031860987065E-2"/>
    <n v="449"/>
  </r>
  <r>
    <x v="118"/>
    <s v="S011"/>
    <s v="C05"/>
    <x v="10"/>
    <x v="2"/>
    <x v="10"/>
    <x v="3"/>
    <n v="66400"/>
    <n v="67440"/>
    <n v="160"/>
    <n v="-1040"/>
    <n v="-1.542111506524318E-2"/>
    <n v="415"/>
  </r>
  <r>
    <x v="118"/>
    <s v="S012"/>
    <s v="C01"/>
    <x v="11"/>
    <x v="2"/>
    <x v="11"/>
    <x v="0"/>
    <n v="18966"/>
    <n v="20133"/>
    <n v="58"/>
    <n v="-1167"/>
    <n v="-5.7964535836686037E-2"/>
    <n v="327"/>
  </r>
  <r>
    <x v="118"/>
    <s v="S013"/>
    <s v="C04"/>
    <x v="12"/>
    <x v="2"/>
    <x v="12"/>
    <x v="2"/>
    <n v="40836"/>
    <n v="40745"/>
    <n v="123"/>
    <n v="91"/>
    <n v="2.2334028715179778E-3"/>
    <n v="332"/>
  </r>
  <r>
    <x v="118"/>
    <s v="S014"/>
    <s v="C02"/>
    <x v="13"/>
    <x v="2"/>
    <x v="13"/>
    <x v="1"/>
    <n v="43287"/>
    <n v="40901"/>
    <n v="141"/>
    <n v="2386"/>
    <n v="5.8335982005329946E-2"/>
    <n v="307"/>
  </r>
  <r>
    <x v="118"/>
    <s v="S015"/>
    <s v="C05"/>
    <x v="14"/>
    <x v="2"/>
    <x v="14"/>
    <x v="3"/>
    <n v="60030"/>
    <n v="59799"/>
    <n v="145"/>
    <n v="231"/>
    <n v="3.86294085185371E-3"/>
    <n v="414"/>
  </r>
  <r>
    <x v="118"/>
    <s v="S016"/>
    <s v="C02"/>
    <x v="15"/>
    <x v="3"/>
    <x v="15"/>
    <x v="1"/>
    <n v="100323"/>
    <n v="92686"/>
    <n v="213"/>
    <n v="7637"/>
    <n v="8.2396478432557235E-2"/>
    <n v="471"/>
  </r>
  <r>
    <x v="118"/>
    <s v="S017"/>
    <s v="C01"/>
    <x v="16"/>
    <x v="3"/>
    <x v="16"/>
    <x v="0"/>
    <n v="24960"/>
    <n v="24172"/>
    <n v="96"/>
    <n v="788"/>
    <n v="3.2599702134701307E-2"/>
    <n v="260"/>
  </r>
  <r>
    <x v="118"/>
    <s v="S018"/>
    <s v="C05"/>
    <x v="17"/>
    <x v="4"/>
    <x v="17"/>
    <x v="3"/>
    <n v="23326"/>
    <n v="25064"/>
    <n v="109"/>
    <n v="-1738"/>
    <n v="-6.9342483242898184E-2"/>
    <n v="214"/>
  </r>
  <r>
    <x v="118"/>
    <s v="S019"/>
    <s v="C02"/>
    <x v="18"/>
    <x v="5"/>
    <x v="18"/>
    <x v="1"/>
    <n v="62790"/>
    <n v="72089"/>
    <n v="161"/>
    <n v="-9299"/>
    <n v="-0.12899332769215829"/>
    <n v="390"/>
  </r>
  <r>
    <x v="118"/>
    <s v="S020"/>
    <s v="C05"/>
    <x v="19"/>
    <x v="6"/>
    <x v="19"/>
    <x v="3"/>
    <n v="24288"/>
    <n v="22323"/>
    <n v="66"/>
    <n v="1965"/>
    <n v="8.8025802983469958E-2"/>
    <n v="368"/>
  </r>
  <r>
    <x v="119"/>
    <s v="S001"/>
    <s v="C01"/>
    <x v="0"/>
    <x v="0"/>
    <x v="0"/>
    <x v="0"/>
    <n v="56744"/>
    <n v="56887"/>
    <n v="164"/>
    <n v="-143"/>
    <n v="-2.5137553395327577E-3"/>
    <n v="346"/>
  </r>
  <r>
    <x v="119"/>
    <s v="S002"/>
    <s v="C02"/>
    <x v="1"/>
    <x v="0"/>
    <x v="1"/>
    <x v="1"/>
    <n v="28314"/>
    <n v="29064"/>
    <n v="99"/>
    <n v="-750"/>
    <n v="-2.5805119735755572E-2"/>
    <n v="286"/>
  </r>
  <r>
    <x v="119"/>
    <s v="S003"/>
    <s v="C04"/>
    <x v="2"/>
    <x v="0"/>
    <x v="2"/>
    <x v="2"/>
    <n v="8897"/>
    <n v="9428"/>
    <n v="41"/>
    <n v="-531"/>
    <n v="-5.6321595248196861E-2"/>
    <n v="217"/>
  </r>
  <r>
    <x v="119"/>
    <s v="S004"/>
    <s v="C04"/>
    <x v="3"/>
    <x v="0"/>
    <x v="3"/>
    <x v="2"/>
    <n v="46860"/>
    <n v="50912"/>
    <n v="132"/>
    <n v="-4052"/>
    <n v="-7.9588309239472035E-2"/>
    <n v="355"/>
  </r>
  <r>
    <x v="119"/>
    <s v="S005"/>
    <s v="C02"/>
    <x v="4"/>
    <x v="0"/>
    <x v="4"/>
    <x v="1"/>
    <n v="27064"/>
    <n v="24430"/>
    <n v="136"/>
    <n v="2634"/>
    <n v="0.10781825624232501"/>
    <n v="199"/>
  </r>
  <r>
    <x v="119"/>
    <s v="S006"/>
    <s v="C01"/>
    <x v="5"/>
    <x v="1"/>
    <x v="5"/>
    <x v="0"/>
    <n v="53784"/>
    <n v="52803"/>
    <n v="216"/>
    <n v="981"/>
    <n v="1.8578489858530764E-2"/>
    <n v="249"/>
  </r>
  <r>
    <x v="119"/>
    <s v="S007"/>
    <s v="C04"/>
    <x v="6"/>
    <x v="1"/>
    <x v="6"/>
    <x v="2"/>
    <n v="66144"/>
    <n v="60657"/>
    <n v="159"/>
    <n v="5487"/>
    <n v="9.0459468816459762E-2"/>
    <n v="416"/>
  </r>
  <r>
    <x v="119"/>
    <s v="S008"/>
    <s v="C05"/>
    <x v="7"/>
    <x v="1"/>
    <x v="7"/>
    <x v="3"/>
    <n v="61712"/>
    <n v="66549"/>
    <n v="203"/>
    <n v="-4837"/>
    <n v="-7.2683285999789626E-2"/>
    <n v="304"/>
  </r>
  <r>
    <x v="119"/>
    <s v="S009"/>
    <s v="C04"/>
    <x v="8"/>
    <x v="1"/>
    <x v="8"/>
    <x v="2"/>
    <n v="29470"/>
    <n v="32567"/>
    <n v="70"/>
    <n v="-3097"/>
    <n v="-9.5096263088402369E-2"/>
    <n v="421"/>
  </r>
  <r>
    <x v="119"/>
    <s v="S010"/>
    <s v="C02"/>
    <x v="9"/>
    <x v="1"/>
    <x v="9"/>
    <x v="1"/>
    <n v="14742"/>
    <n v="15504"/>
    <n v="78"/>
    <n v="-762"/>
    <n v="-4.9148606811145509E-2"/>
    <n v="189"/>
  </r>
  <r>
    <x v="119"/>
    <s v="S011"/>
    <s v="C02"/>
    <x v="10"/>
    <x v="2"/>
    <x v="10"/>
    <x v="1"/>
    <n v="26730"/>
    <n v="27629"/>
    <n v="110"/>
    <n v="-899"/>
    <n v="-3.2538275000904844E-2"/>
    <n v="243"/>
  </r>
  <r>
    <x v="119"/>
    <s v="S012"/>
    <s v="C04"/>
    <x v="11"/>
    <x v="2"/>
    <x v="11"/>
    <x v="2"/>
    <n v="17082"/>
    <n v="18240"/>
    <n v="78"/>
    <n v="-1158"/>
    <n v="-6.3486842105263161E-2"/>
    <n v="219"/>
  </r>
  <r>
    <x v="119"/>
    <s v="S013"/>
    <s v="C01"/>
    <x v="12"/>
    <x v="2"/>
    <x v="12"/>
    <x v="0"/>
    <n v="66352"/>
    <n v="62262"/>
    <n v="208"/>
    <n v="4090"/>
    <n v="6.5690148083903499E-2"/>
    <n v="319"/>
  </r>
  <r>
    <x v="119"/>
    <s v="S014"/>
    <s v="C03"/>
    <x v="13"/>
    <x v="2"/>
    <x v="13"/>
    <x v="4"/>
    <n v="23200"/>
    <n v="25023"/>
    <n v="80"/>
    <n v="-1823"/>
    <n v="-7.285297526275826E-2"/>
    <n v="290"/>
  </r>
  <r>
    <x v="119"/>
    <s v="S015"/>
    <s v="C05"/>
    <x v="14"/>
    <x v="2"/>
    <x v="14"/>
    <x v="3"/>
    <n v="36540"/>
    <n v="39250"/>
    <n v="90"/>
    <n v="-2710"/>
    <n v="-6.9044585987261153E-2"/>
    <n v="406"/>
  </r>
  <r>
    <x v="119"/>
    <s v="S016"/>
    <s v="C05"/>
    <x v="15"/>
    <x v="3"/>
    <x v="15"/>
    <x v="3"/>
    <n v="103281"/>
    <n v="111450"/>
    <n v="199"/>
    <n v="-8169"/>
    <n v="-7.329744279946164E-2"/>
    <n v="519"/>
  </r>
  <r>
    <x v="119"/>
    <s v="S017"/>
    <s v="C01"/>
    <x v="16"/>
    <x v="3"/>
    <x v="16"/>
    <x v="0"/>
    <n v="45158"/>
    <n v="45654"/>
    <n v="134"/>
    <n v="-496"/>
    <n v="-1.0864327331668639E-2"/>
    <n v="337"/>
  </r>
  <r>
    <x v="119"/>
    <s v="S018"/>
    <s v="C05"/>
    <x v="17"/>
    <x v="4"/>
    <x v="17"/>
    <x v="3"/>
    <n v="7344"/>
    <n v="8027"/>
    <n v="36"/>
    <n v="-683"/>
    <n v="-8.5087828578547409E-2"/>
    <n v="204"/>
  </r>
  <r>
    <x v="119"/>
    <s v="S019"/>
    <s v="C02"/>
    <x v="18"/>
    <x v="5"/>
    <x v="18"/>
    <x v="1"/>
    <n v="36358"/>
    <n v="40982"/>
    <n v="98"/>
    <n v="-4624"/>
    <n v="-0.11283002293689913"/>
    <n v="371"/>
  </r>
  <r>
    <x v="119"/>
    <s v="S020"/>
    <s v="C02"/>
    <x v="19"/>
    <x v="6"/>
    <x v="19"/>
    <x v="1"/>
    <n v="10904"/>
    <n v="10963"/>
    <n v="58"/>
    <n v="-59"/>
    <n v="-5.3817385752075158E-3"/>
    <n v="188"/>
  </r>
  <r>
    <x v="120"/>
    <s v="S001"/>
    <s v="C01"/>
    <x v="0"/>
    <x v="0"/>
    <x v="0"/>
    <x v="0"/>
    <n v="33638"/>
    <n v="35992"/>
    <n v="121"/>
    <n v="-2354"/>
    <n v="-6.5403422982885082E-2"/>
    <n v="278"/>
  </r>
  <r>
    <x v="120"/>
    <s v="S002"/>
    <s v="C01"/>
    <x v="1"/>
    <x v="0"/>
    <x v="1"/>
    <x v="0"/>
    <n v="20839"/>
    <n v="22906"/>
    <n v="91"/>
    <n v="-2067"/>
    <n v="-9.0238365493757092E-2"/>
    <n v="229"/>
  </r>
  <r>
    <x v="120"/>
    <s v="S003"/>
    <s v="C02"/>
    <x v="2"/>
    <x v="0"/>
    <x v="2"/>
    <x v="1"/>
    <n v="58300"/>
    <n v="53111"/>
    <n v="220"/>
    <n v="5189"/>
    <n v="9.77010412155674E-2"/>
    <n v="265"/>
  </r>
  <r>
    <x v="120"/>
    <s v="S004"/>
    <s v="C05"/>
    <x v="3"/>
    <x v="0"/>
    <x v="3"/>
    <x v="3"/>
    <n v="21514"/>
    <n v="21098"/>
    <n v="62"/>
    <n v="416"/>
    <n v="1.9717508768603658E-2"/>
    <n v="347"/>
  </r>
  <r>
    <x v="120"/>
    <s v="S005"/>
    <s v="C02"/>
    <x v="4"/>
    <x v="0"/>
    <x v="4"/>
    <x v="1"/>
    <n v="55484"/>
    <n v="62895"/>
    <n v="194"/>
    <n v="-7411"/>
    <n v="-0.11783130614516257"/>
    <n v="286"/>
  </r>
  <r>
    <x v="120"/>
    <s v="S006"/>
    <s v="C04"/>
    <x v="5"/>
    <x v="1"/>
    <x v="5"/>
    <x v="2"/>
    <n v="34704"/>
    <n v="33249"/>
    <n v="144"/>
    <n v="1455"/>
    <n v="4.3760714607958134E-2"/>
    <n v="241"/>
  </r>
  <r>
    <x v="120"/>
    <s v="S007"/>
    <s v="C01"/>
    <x v="6"/>
    <x v="1"/>
    <x v="6"/>
    <x v="0"/>
    <n v="43470"/>
    <n v="41009"/>
    <n v="126"/>
    <n v="2461"/>
    <n v="6.0011217049915869E-2"/>
    <n v="345"/>
  </r>
  <r>
    <x v="120"/>
    <s v="S008"/>
    <s v="C04"/>
    <x v="7"/>
    <x v="1"/>
    <x v="7"/>
    <x v="2"/>
    <n v="68882"/>
    <n v="62200"/>
    <n v="202"/>
    <n v="6682"/>
    <n v="0.10742765273311897"/>
    <n v="341"/>
  </r>
  <r>
    <x v="120"/>
    <s v="S009"/>
    <s v="C02"/>
    <x v="8"/>
    <x v="1"/>
    <x v="8"/>
    <x v="1"/>
    <n v="44384"/>
    <n v="40678"/>
    <n v="152"/>
    <n v="3706"/>
    <n v="9.1105757411868826E-2"/>
    <n v="292"/>
  </r>
  <r>
    <x v="120"/>
    <s v="S010"/>
    <s v="C03"/>
    <x v="9"/>
    <x v="1"/>
    <x v="9"/>
    <x v="4"/>
    <n v="100299"/>
    <n v="99521"/>
    <n v="201"/>
    <n v="778"/>
    <n v="7.8174455642527705E-3"/>
    <n v="499"/>
  </r>
  <r>
    <x v="120"/>
    <s v="S011"/>
    <s v="C01"/>
    <x v="10"/>
    <x v="2"/>
    <x v="10"/>
    <x v="0"/>
    <n v="35100"/>
    <n v="34235"/>
    <n v="90"/>
    <n v="865"/>
    <n v="2.5266540090550606E-2"/>
    <n v="390"/>
  </r>
  <r>
    <x v="120"/>
    <s v="S012"/>
    <s v="C05"/>
    <x v="11"/>
    <x v="2"/>
    <x v="11"/>
    <x v="3"/>
    <n v="37584"/>
    <n v="40520"/>
    <n v="162"/>
    <n v="-2936"/>
    <n v="-7.2458045409674238E-2"/>
    <n v="232"/>
  </r>
  <r>
    <x v="120"/>
    <s v="S013"/>
    <s v="C05"/>
    <x v="12"/>
    <x v="2"/>
    <x v="12"/>
    <x v="3"/>
    <n v="24024"/>
    <n v="27381"/>
    <n v="78"/>
    <n v="-3357"/>
    <n v="-0.12260326503779993"/>
    <n v="308"/>
  </r>
  <r>
    <x v="120"/>
    <s v="S014"/>
    <s v="C05"/>
    <x v="13"/>
    <x v="2"/>
    <x v="13"/>
    <x v="3"/>
    <n v="59354"/>
    <n v="63750"/>
    <n v="118"/>
    <n v="-4396"/>
    <n v="-6.8956862745098033E-2"/>
    <n v="503"/>
  </r>
  <r>
    <x v="120"/>
    <s v="S015"/>
    <s v="C02"/>
    <x v="14"/>
    <x v="2"/>
    <x v="14"/>
    <x v="1"/>
    <n v="32280"/>
    <n v="34179"/>
    <n v="120"/>
    <n v="-1899"/>
    <n v="-5.5560431844114806E-2"/>
    <n v="269"/>
  </r>
  <r>
    <x v="120"/>
    <s v="S016"/>
    <s v="C03"/>
    <x v="15"/>
    <x v="3"/>
    <x v="15"/>
    <x v="4"/>
    <n v="87330"/>
    <n v="80070"/>
    <n v="205"/>
    <n v="7260"/>
    <n v="9.0670663169726495E-2"/>
    <n v="426"/>
  </r>
  <r>
    <x v="120"/>
    <s v="S017"/>
    <s v="C01"/>
    <x v="16"/>
    <x v="3"/>
    <x v="16"/>
    <x v="0"/>
    <n v="91010"/>
    <n v="92122"/>
    <n v="190"/>
    <n v="-1112"/>
    <n v="-1.2070949393195978E-2"/>
    <n v="479"/>
  </r>
  <r>
    <x v="120"/>
    <s v="S018"/>
    <s v="C05"/>
    <x v="17"/>
    <x v="4"/>
    <x v="17"/>
    <x v="3"/>
    <n v="59202"/>
    <n v="60732"/>
    <n v="198"/>
    <n v="-1530"/>
    <n v="-2.5192649673977476E-2"/>
    <n v="299"/>
  </r>
  <r>
    <x v="120"/>
    <s v="S019"/>
    <s v="C01"/>
    <x v="18"/>
    <x v="5"/>
    <x v="18"/>
    <x v="0"/>
    <n v="17860"/>
    <n v="18825"/>
    <n v="94"/>
    <n v="-965"/>
    <n v="-5.1261620185922972E-2"/>
    <n v="190"/>
  </r>
  <r>
    <x v="120"/>
    <s v="S020"/>
    <s v="C01"/>
    <x v="19"/>
    <x v="6"/>
    <x v="19"/>
    <x v="0"/>
    <n v="34314"/>
    <n v="37212"/>
    <n v="114"/>
    <n v="-2898"/>
    <n v="-7.7878103837471777E-2"/>
    <n v="301"/>
  </r>
  <r>
    <x v="121"/>
    <s v="S001"/>
    <s v="C02"/>
    <x v="0"/>
    <x v="0"/>
    <x v="0"/>
    <x v="1"/>
    <n v="42460"/>
    <n v="38850"/>
    <n v="193"/>
    <n v="3610"/>
    <n v="9.2921492921492918E-2"/>
    <n v="220"/>
  </r>
  <r>
    <x v="121"/>
    <s v="S002"/>
    <s v="C03"/>
    <x v="1"/>
    <x v="0"/>
    <x v="1"/>
    <x v="4"/>
    <n v="53622"/>
    <n v="50967"/>
    <n v="162"/>
    <n v="2655"/>
    <n v="5.2092530460886459E-2"/>
    <n v="331"/>
  </r>
  <r>
    <x v="121"/>
    <s v="S003"/>
    <s v="C04"/>
    <x v="2"/>
    <x v="0"/>
    <x v="2"/>
    <x v="2"/>
    <n v="44196"/>
    <n v="40195"/>
    <n v="87"/>
    <n v="4001"/>
    <n v="9.9539743749222545E-2"/>
    <n v="508"/>
  </r>
  <r>
    <x v="121"/>
    <s v="S004"/>
    <s v="C05"/>
    <x v="3"/>
    <x v="0"/>
    <x v="3"/>
    <x v="3"/>
    <n v="51504"/>
    <n v="48082"/>
    <n v="148"/>
    <n v="3422"/>
    <n v="7.1170084439083237E-2"/>
    <n v="348"/>
  </r>
  <r>
    <x v="121"/>
    <s v="S005"/>
    <s v="C03"/>
    <x v="4"/>
    <x v="0"/>
    <x v="4"/>
    <x v="4"/>
    <n v="39800"/>
    <n v="41002"/>
    <n v="199"/>
    <n v="-1202"/>
    <n v="-2.9315643139359054E-2"/>
    <n v="200"/>
  </r>
  <r>
    <x v="121"/>
    <s v="S006"/>
    <s v="C04"/>
    <x v="5"/>
    <x v="1"/>
    <x v="5"/>
    <x v="2"/>
    <n v="65400"/>
    <n v="71131"/>
    <n v="200"/>
    <n v="-5731"/>
    <n v="-8.0569653175127584E-2"/>
    <n v="327"/>
  </r>
  <r>
    <x v="121"/>
    <s v="S007"/>
    <s v="C02"/>
    <x v="6"/>
    <x v="1"/>
    <x v="6"/>
    <x v="1"/>
    <n v="42245"/>
    <n v="40578"/>
    <n v="119"/>
    <n v="1667"/>
    <n v="4.1081374143624623E-2"/>
    <n v="355"/>
  </r>
  <r>
    <x v="121"/>
    <s v="S008"/>
    <s v="C05"/>
    <x v="7"/>
    <x v="1"/>
    <x v="7"/>
    <x v="3"/>
    <n v="24960"/>
    <n v="28631"/>
    <n v="48"/>
    <n v="-3671"/>
    <n v="-0.1282176661660438"/>
    <n v="520"/>
  </r>
  <r>
    <x v="121"/>
    <s v="S009"/>
    <s v="C02"/>
    <x v="8"/>
    <x v="1"/>
    <x v="8"/>
    <x v="1"/>
    <n v="71250"/>
    <n v="73413"/>
    <n v="190"/>
    <n v="-2163"/>
    <n v="-2.9463446528543991E-2"/>
    <n v="375"/>
  </r>
  <r>
    <x v="121"/>
    <s v="S010"/>
    <s v="C02"/>
    <x v="9"/>
    <x v="1"/>
    <x v="9"/>
    <x v="1"/>
    <n v="74296"/>
    <n v="66978"/>
    <n v="148"/>
    <n v="7318"/>
    <n v="0.10925975693511303"/>
    <n v="502"/>
  </r>
  <r>
    <x v="121"/>
    <s v="S011"/>
    <s v="C04"/>
    <x v="10"/>
    <x v="2"/>
    <x v="10"/>
    <x v="2"/>
    <n v="14456"/>
    <n v="13198"/>
    <n v="52"/>
    <n v="1258"/>
    <n v="9.5317472344294593E-2"/>
    <n v="278"/>
  </r>
  <r>
    <x v="121"/>
    <s v="S012"/>
    <s v="C02"/>
    <x v="11"/>
    <x v="2"/>
    <x v="11"/>
    <x v="1"/>
    <n v="21228"/>
    <n v="19592"/>
    <n v="87"/>
    <n v="1636"/>
    <n v="8.3503470804409965E-2"/>
    <n v="244"/>
  </r>
  <r>
    <x v="121"/>
    <s v="S013"/>
    <s v="C05"/>
    <x v="12"/>
    <x v="2"/>
    <x v="12"/>
    <x v="3"/>
    <n v="49700"/>
    <n v="47666"/>
    <n v="175"/>
    <n v="2034"/>
    <n v="4.2671925481475269E-2"/>
    <n v="284"/>
  </r>
  <r>
    <x v="121"/>
    <s v="S014"/>
    <s v="C01"/>
    <x v="13"/>
    <x v="2"/>
    <x v="13"/>
    <x v="0"/>
    <n v="60336"/>
    <n v="59000"/>
    <n v="144"/>
    <n v="1336"/>
    <n v="2.2644067796610171E-2"/>
    <n v="419"/>
  </r>
  <r>
    <x v="121"/>
    <s v="S015"/>
    <s v="C02"/>
    <x v="14"/>
    <x v="2"/>
    <x v="14"/>
    <x v="1"/>
    <n v="38509"/>
    <n v="36356"/>
    <n v="97"/>
    <n v="2153"/>
    <n v="5.9219936186599188E-2"/>
    <n v="397"/>
  </r>
  <r>
    <x v="121"/>
    <s v="S016"/>
    <s v="C02"/>
    <x v="15"/>
    <x v="3"/>
    <x v="15"/>
    <x v="1"/>
    <n v="36512"/>
    <n v="38122"/>
    <n v="112"/>
    <n v="-1610"/>
    <n v="-4.2232831435916267E-2"/>
    <n v="326"/>
  </r>
  <r>
    <x v="121"/>
    <s v="S017"/>
    <s v="C02"/>
    <x v="16"/>
    <x v="3"/>
    <x v="16"/>
    <x v="1"/>
    <n v="44304"/>
    <n v="40759"/>
    <n v="104"/>
    <n v="3545"/>
    <n v="8.6974655904217477E-2"/>
    <n v="426"/>
  </r>
  <r>
    <x v="121"/>
    <s v="S018"/>
    <s v="C03"/>
    <x v="17"/>
    <x v="4"/>
    <x v="17"/>
    <x v="4"/>
    <n v="50728"/>
    <n v="47782"/>
    <n v="136"/>
    <n v="2946"/>
    <n v="6.1655016533422626E-2"/>
    <n v="373"/>
  </r>
  <r>
    <x v="121"/>
    <s v="S019"/>
    <s v="C04"/>
    <x v="18"/>
    <x v="5"/>
    <x v="18"/>
    <x v="2"/>
    <n v="62634"/>
    <n v="65912"/>
    <n v="143"/>
    <n v="-3278"/>
    <n v="-4.9732977303070761E-2"/>
    <n v="438"/>
  </r>
  <r>
    <x v="121"/>
    <s v="S020"/>
    <s v="C04"/>
    <x v="19"/>
    <x v="6"/>
    <x v="19"/>
    <x v="2"/>
    <n v="31524"/>
    <n v="28527"/>
    <n v="74"/>
    <n v="2997"/>
    <n v="0.10505836575875487"/>
    <n v="426"/>
  </r>
  <r>
    <x v="122"/>
    <s v="S001"/>
    <s v="C04"/>
    <x v="0"/>
    <x v="0"/>
    <x v="0"/>
    <x v="2"/>
    <n v="31968"/>
    <n v="34835"/>
    <n v="144"/>
    <n v="-2867"/>
    <n v="-8.2302282187455139E-2"/>
    <n v="222"/>
  </r>
  <r>
    <x v="122"/>
    <s v="S002"/>
    <s v="C03"/>
    <x v="1"/>
    <x v="0"/>
    <x v="1"/>
    <x v="4"/>
    <n v="85085"/>
    <n v="79826"/>
    <n v="187"/>
    <n v="5259"/>
    <n v="6.5880790719815605E-2"/>
    <n v="455"/>
  </r>
  <r>
    <x v="122"/>
    <s v="S003"/>
    <s v="C02"/>
    <x v="2"/>
    <x v="0"/>
    <x v="2"/>
    <x v="1"/>
    <n v="37400"/>
    <n v="37995"/>
    <n v="100"/>
    <n v="-595"/>
    <n v="-1.5659955257270694E-2"/>
    <n v="374"/>
  </r>
  <r>
    <x v="122"/>
    <s v="S004"/>
    <s v="C04"/>
    <x v="3"/>
    <x v="0"/>
    <x v="3"/>
    <x v="2"/>
    <n v="39804"/>
    <n v="41417"/>
    <n v="107"/>
    <n v="-1613"/>
    <n v="-3.8945360600719514E-2"/>
    <n v="372"/>
  </r>
  <r>
    <x v="122"/>
    <s v="S005"/>
    <s v="C04"/>
    <x v="4"/>
    <x v="0"/>
    <x v="4"/>
    <x v="2"/>
    <n v="18550"/>
    <n v="17328"/>
    <n v="53"/>
    <n v="1222"/>
    <n v="7.0521698984302869E-2"/>
    <n v="350"/>
  </r>
  <r>
    <x v="122"/>
    <s v="S006"/>
    <s v="C04"/>
    <x v="5"/>
    <x v="1"/>
    <x v="5"/>
    <x v="2"/>
    <n v="22015"/>
    <n v="24855"/>
    <n v="85"/>
    <n v="-2840"/>
    <n v="-0.11426272379802857"/>
    <n v="259"/>
  </r>
  <r>
    <x v="122"/>
    <s v="S007"/>
    <s v="C01"/>
    <x v="6"/>
    <x v="1"/>
    <x v="6"/>
    <x v="0"/>
    <n v="16568"/>
    <n v="17936"/>
    <n v="38"/>
    <n v="-1368"/>
    <n v="-7.6271186440677971E-2"/>
    <n v="436"/>
  </r>
  <r>
    <x v="122"/>
    <s v="S008"/>
    <s v="C03"/>
    <x v="7"/>
    <x v="1"/>
    <x v="7"/>
    <x v="4"/>
    <n v="61920"/>
    <n v="70057"/>
    <n v="160"/>
    <n v="-8137"/>
    <n v="-0.11614827925831822"/>
    <n v="387"/>
  </r>
  <r>
    <x v="122"/>
    <s v="S009"/>
    <s v="C04"/>
    <x v="8"/>
    <x v="1"/>
    <x v="8"/>
    <x v="2"/>
    <n v="48880"/>
    <n v="49974"/>
    <n v="130"/>
    <n v="-1094"/>
    <n v="-2.1891383519430103E-2"/>
    <n v="376"/>
  </r>
  <r>
    <x v="122"/>
    <s v="S010"/>
    <s v="C05"/>
    <x v="9"/>
    <x v="1"/>
    <x v="9"/>
    <x v="3"/>
    <n v="20617"/>
    <n v="23116"/>
    <n v="53"/>
    <n v="-2499"/>
    <n v="-0.10810693891676761"/>
    <n v="389"/>
  </r>
  <r>
    <x v="122"/>
    <s v="S011"/>
    <s v="C01"/>
    <x v="10"/>
    <x v="2"/>
    <x v="10"/>
    <x v="0"/>
    <n v="62377"/>
    <n v="58671"/>
    <n v="133"/>
    <n v="3706"/>
    <n v="6.3165788890593308E-2"/>
    <n v="469"/>
  </r>
  <r>
    <x v="122"/>
    <s v="S012"/>
    <s v="C04"/>
    <x v="11"/>
    <x v="2"/>
    <x v="11"/>
    <x v="2"/>
    <n v="35800"/>
    <n v="36780"/>
    <n v="100"/>
    <n v="-980"/>
    <n v="-2.6644915715062535E-2"/>
    <n v="358"/>
  </r>
  <r>
    <x v="122"/>
    <s v="S013"/>
    <s v="C04"/>
    <x v="12"/>
    <x v="2"/>
    <x v="12"/>
    <x v="2"/>
    <n v="72496"/>
    <n v="77868"/>
    <n v="197"/>
    <n v="-5372"/>
    <n v="-6.8988544716700059E-2"/>
    <n v="368"/>
  </r>
  <r>
    <x v="122"/>
    <s v="S014"/>
    <s v="C04"/>
    <x v="13"/>
    <x v="2"/>
    <x v="13"/>
    <x v="2"/>
    <n v="43758"/>
    <n v="42033"/>
    <n v="143"/>
    <n v="1725"/>
    <n v="4.1039183498679611E-2"/>
    <n v="306"/>
  </r>
  <r>
    <x v="122"/>
    <s v="S015"/>
    <s v="C01"/>
    <x v="14"/>
    <x v="2"/>
    <x v="14"/>
    <x v="0"/>
    <n v="63881"/>
    <n v="68776"/>
    <n v="127"/>
    <n v="-4895"/>
    <n v="-7.1173083633825754E-2"/>
    <n v="503"/>
  </r>
  <r>
    <x v="122"/>
    <s v="S016"/>
    <s v="C01"/>
    <x v="15"/>
    <x v="3"/>
    <x v="15"/>
    <x v="0"/>
    <n v="110760"/>
    <n v="117553"/>
    <n v="213"/>
    <n v="-6793"/>
    <n v="-5.7786700467023389E-2"/>
    <n v="520"/>
  </r>
  <r>
    <x v="122"/>
    <s v="S017"/>
    <s v="C03"/>
    <x v="16"/>
    <x v="3"/>
    <x v="16"/>
    <x v="4"/>
    <n v="78057"/>
    <n v="88677"/>
    <n v="189"/>
    <n v="-10620"/>
    <n v="-0.11976047904191617"/>
    <n v="413"/>
  </r>
  <r>
    <x v="122"/>
    <s v="S018"/>
    <s v="C02"/>
    <x v="17"/>
    <x v="4"/>
    <x v="17"/>
    <x v="1"/>
    <n v="30600"/>
    <n v="32146"/>
    <n v="100"/>
    <n v="-1546"/>
    <n v="-4.8093075343744164E-2"/>
    <n v="306"/>
  </r>
  <r>
    <x v="122"/>
    <s v="S019"/>
    <s v="C02"/>
    <x v="18"/>
    <x v="5"/>
    <x v="18"/>
    <x v="1"/>
    <n v="9082"/>
    <n v="9924"/>
    <n v="38"/>
    <n v="-842"/>
    <n v="-8.4844820636839985E-2"/>
    <n v="239"/>
  </r>
  <r>
    <x v="122"/>
    <s v="S020"/>
    <s v="C04"/>
    <x v="19"/>
    <x v="6"/>
    <x v="19"/>
    <x v="2"/>
    <n v="65280"/>
    <n v="74650"/>
    <n v="136"/>
    <n v="-9370"/>
    <n v="-0.12551908908238446"/>
    <n v="480"/>
  </r>
  <r>
    <x v="123"/>
    <s v="S001"/>
    <s v="C01"/>
    <x v="0"/>
    <x v="0"/>
    <x v="0"/>
    <x v="0"/>
    <n v="46092"/>
    <n v="51577"/>
    <n v="167"/>
    <n v="-5485"/>
    <n v="-0.10634585183318146"/>
    <n v="276"/>
  </r>
  <r>
    <x v="123"/>
    <s v="S002"/>
    <s v="C02"/>
    <x v="1"/>
    <x v="0"/>
    <x v="1"/>
    <x v="1"/>
    <n v="44496"/>
    <n v="47742"/>
    <n v="144"/>
    <n v="-3246"/>
    <n v="-6.7990448661555861E-2"/>
    <n v="309"/>
  </r>
  <r>
    <x v="123"/>
    <s v="S003"/>
    <s v="C05"/>
    <x v="2"/>
    <x v="0"/>
    <x v="2"/>
    <x v="3"/>
    <n v="88407"/>
    <n v="99162"/>
    <n v="171"/>
    <n v="-10755"/>
    <n v="-0.10845888546015611"/>
    <n v="517"/>
  </r>
  <r>
    <x v="123"/>
    <s v="S004"/>
    <s v="C05"/>
    <x v="3"/>
    <x v="0"/>
    <x v="3"/>
    <x v="3"/>
    <n v="44070"/>
    <n v="47953"/>
    <n v="113"/>
    <n v="-3883"/>
    <n v="-8.0975121473109091E-2"/>
    <n v="390"/>
  </r>
  <r>
    <x v="123"/>
    <s v="S005"/>
    <s v="C01"/>
    <x v="4"/>
    <x v="0"/>
    <x v="4"/>
    <x v="0"/>
    <n v="31310"/>
    <n v="32661"/>
    <n v="62"/>
    <n v="-1351"/>
    <n v="-4.1364318300113286E-2"/>
    <n v="505"/>
  </r>
  <r>
    <x v="123"/>
    <s v="S006"/>
    <s v="C03"/>
    <x v="5"/>
    <x v="1"/>
    <x v="5"/>
    <x v="4"/>
    <n v="22507"/>
    <n v="24469"/>
    <n v="71"/>
    <n v="-1962"/>
    <n v="-8.018308880624464E-2"/>
    <n v="317"/>
  </r>
  <r>
    <x v="123"/>
    <s v="S007"/>
    <s v="C04"/>
    <x v="6"/>
    <x v="1"/>
    <x v="6"/>
    <x v="2"/>
    <n v="71781"/>
    <n v="64718"/>
    <n v="213"/>
    <n v="7063"/>
    <n v="0.1091350165332674"/>
    <n v="337"/>
  </r>
  <r>
    <x v="123"/>
    <s v="S008"/>
    <s v="C02"/>
    <x v="7"/>
    <x v="1"/>
    <x v="7"/>
    <x v="1"/>
    <n v="28800"/>
    <n v="26617"/>
    <n v="160"/>
    <n v="2183"/>
    <n v="8.2015253409475145E-2"/>
    <n v="180"/>
  </r>
  <r>
    <x v="123"/>
    <s v="S009"/>
    <s v="C04"/>
    <x v="8"/>
    <x v="1"/>
    <x v="8"/>
    <x v="2"/>
    <n v="66417"/>
    <n v="70643"/>
    <n v="169"/>
    <n v="-4226"/>
    <n v="-5.9821921492575342E-2"/>
    <n v="393"/>
  </r>
  <r>
    <x v="123"/>
    <s v="S010"/>
    <s v="C04"/>
    <x v="9"/>
    <x v="1"/>
    <x v="9"/>
    <x v="2"/>
    <n v="21060"/>
    <n v="20926"/>
    <n v="78"/>
    <n v="134"/>
    <n v="6.4035171556914841E-3"/>
    <n v="270"/>
  </r>
  <r>
    <x v="123"/>
    <s v="S011"/>
    <s v="C02"/>
    <x v="10"/>
    <x v="2"/>
    <x v="10"/>
    <x v="1"/>
    <n v="36465"/>
    <n v="34477"/>
    <n v="85"/>
    <n v="1988"/>
    <n v="5.7661629492125187E-2"/>
    <n v="429"/>
  </r>
  <r>
    <x v="123"/>
    <s v="S012"/>
    <s v="C01"/>
    <x v="11"/>
    <x v="2"/>
    <x v="11"/>
    <x v="0"/>
    <n v="70500"/>
    <n v="77803"/>
    <n v="150"/>
    <n v="-7303"/>
    <n v="-9.3865275117926042E-2"/>
    <n v="470"/>
  </r>
  <r>
    <x v="123"/>
    <s v="S013"/>
    <s v="C02"/>
    <x v="12"/>
    <x v="2"/>
    <x v="12"/>
    <x v="1"/>
    <n v="18060"/>
    <n v="19639"/>
    <n v="86"/>
    <n v="-1579"/>
    <n v="-8.0401242425785432E-2"/>
    <n v="210"/>
  </r>
  <r>
    <x v="123"/>
    <s v="S014"/>
    <s v="C02"/>
    <x v="13"/>
    <x v="2"/>
    <x v="13"/>
    <x v="1"/>
    <n v="39289"/>
    <n v="39689"/>
    <n v="101"/>
    <n v="-400"/>
    <n v="-1.0078359243115221E-2"/>
    <n v="389"/>
  </r>
  <r>
    <x v="123"/>
    <s v="S015"/>
    <s v="C05"/>
    <x v="14"/>
    <x v="2"/>
    <x v="14"/>
    <x v="3"/>
    <n v="31310"/>
    <n v="29479"/>
    <n v="62"/>
    <n v="1831"/>
    <n v="6.2112011940703551E-2"/>
    <n v="505"/>
  </r>
  <r>
    <x v="123"/>
    <s v="S016"/>
    <s v="C03"/>
    <x v="15"/>
    <x v="3"/>
    <x v="15"/>
    <x v="4"/>
    <n v="20888"/>
    <n v="19450"/>
    <n v="56"/>
    <n v="1438"/>
    <n v="7.3933161953727511E-2"/>
    <n v="373"/>
  </r>
  <r>
    <x v="123"/>
    <s v="S017"/>
    <s v="C01"/>
    <x v="16"/>
    <x v="3"/>
    <x v="16"/>
    <x v="0"/>
    <n v="23790"/>
    <n v="24894"/>
    <n v="122"/>
    <n v="-1104"/>
    <n v="-4.434803567124608E-2"/>
    <n v="195"/>
  </r>
  <r>
    <x v="123"/>
    <s v="S018"/>
    <s v="C04"/>
    <x v="17"/>
    <x v="4"/>
    <x v="17"/>
    <x v="2"/>
    <n v="36729"/>
    <n v="33143"/>
    <n v="159"/>
    <n v="3586"/>
    <n v="0.10819780949220047"/>
    <n v="231"/>
  </r>
  <r>
    <x v="123"/>
    <s v="S019"/>
    <s v="C03"/>
    <x v="18"/>
    <x v="5"/>
    <x v="18"/>
    <x v="4"/>
    <n v="18720"/>
    <n v="19573"/>
    <n v="36"/>
    <n v="-853"/>
    <n v="-4.3580442446226948E-2"/>
    <n v="520"/>
  </r>
  <r>
    <x v="123"/>
    <s v="S020"/>
    <s v="C01"/>
    <x v="19"/>
    <x v="6"/>
    <x v="19"/>
    <x v="0"/>
    <n v="16992"/>
    <n v="17511"/>
    <n v="59"/>
    <n v="-519"/>
    <n v="-2.9638512934726743E-2"/>
    <n v="288"/>
  </r>
  <r>
    <x v="124"/>
    <s v="S001"/>
    <s v="C01"/>
    <x v="0"/>
    <x v="0"/>
    <x v="0"/>
    <x v="0"/>
    <n v="63928"/>
    <n v="65847"/>
    <n v="131"/>
    <n v="-1919"/>
    <n v="-2.9143317083542151E-2"/>
    <n v="488"/>
  </r>
  <r>
    <x v="124"/>
    <s v="S002"/>
    <s v="C03"/>
    <x v="1"/>
    <x v="0"/>
    <x v="1"/>
    <x v="4"/>
    <n v="67098"/>
    <n v="73085"/>
    <n v="159"/>
    <n v="-5987"/>
    <n v="-8.1918314291578295E-2"/>
    <n v="422"/>
  </r>
  <r>
    <x v="124"/>
    <s v="S003"/>
    <s v="C05"/>
    <x v="2"/>
    <x v="0"/>
    <x v="2"/>
    <x v="3"/>
    <n v="50688"/>
    <n v="50317"/>
    <n v="144"/>
    <n v="371"/>
    <n v="7.3732535723512928E-3"/>
    <n v="352"/>
  </r>
  <r>
    <x v="124"/>
    <s v="S004"/>
    <s v="C03"/>
    <x v="3"/>
    <x v="0"/>
    <x v="3"/>
    <x v="4"/>
    <n v="34730"/>
    <n v="39427"/>
    <n v="115"/>
    <n v="-4697"/>
    <n v="-0.11913155959114312"/>
    <n v="302"/>
  </r>
  <r>
    <x v="124"/>
    <s v="S005"/>
    <s v="C04"/>
    <x v="4"/>
    <x v="0"/>
    <x v="4"/>
    <x v="2"/>
    <n v="64452"/>
    <n v="58929"/>
    <n v="131"/>
    <n v="5523"/>
    <n v="9.3722954742147327E-2"/>
    <n v="492"/>
  </r>
  <r>
    <x v="124"/>
    <s v="S006"/>
    <s v="C03"/>
    <x v="5"/>
    <x v="1"/>
    <x v="5"/>
    <x v="4"/>
    <n v="27489"/>
    <n v="24761"/>
    <n v="119"/>
    <n v="2728"/>
    <n v="0.11017325633051978"/>
    <n v="231"/>
  </r>
  <r>
    <x v="124"/>
    <s v="S007"/>
    <s v="C04"/>
    <x v="6"/>
    <x v="1"/>
    <x v="6"/>
    <x v="2"/>
    <n v="55220"/>
    <n v="50052"/>
    <n v="220"/>
    <n v="5168"/>
    <n v="0.10325261727803085"/>
    <n v="251"/>
  </r>
  <r>
    <x v="124"/>
    <s v="S008"/>
    <s v="C01"/>
    <x v="7"/>
    <x v="1"/>
    <x v="7"/>
    <x v="0"/>
    <n v="54910"/>
    <n v="62474"/>
    <n v="170"/>
    <n v="-7564"/>
    <n v="-0.12107436693664564"/>
    <n v="323"/>
  </r>
  <r>
    <x v="124"/>
    <s v="S009"/>
    <s v="C02"/>
    <x v="8"/>
    <x v="1"/>
    <x v="8"/>
    <x v="1"/>
    <n v="53019"/>
    <n v="55913"/>
    <n v="129"/>
    <n v="-2894"/>
    <n v="-5.1758982705274265E-2"/>
    <n v="411"/>
  </r>
  <r>
    <x v="124"/>
    <s v="S010"/>
    <s v="C04"/>
    <x v="9"/>
    <x v="1"/>
    <x v="9"/>
    <x v="2"/>
    <n v="64906"/>
    <n v="69128"/>
    <n v="166"/>
    <n v="-4222"/>
    <n v="-6.1075107047795396E-2"/>
    <n v="391"/>
  </r>
  <r>
    <x v="124"/>
    <s v="S011"/>
    <s v="C01"/>
    <x v="10"/>
    <x v="2"/>
    <x v="10"/>
    <x v="0"/>
    <n v="68112"/>
    <n v="61583"/>
    <n v="198"/>
    <n v="6529"/>
    <n v="0.10601951837357712"/>
    <n v="344"/>
  </r>
  <r>
    <x v="124"/>
    <s v="S012"/>
    <s v="C03"/>
    <x v="11"/>
    <x v="2"/>
    <x v="11"/>
    <x v="4"/>
    <n v="15916"/>
    <n v="17021"/>
    <n v="46"/>
    <n v="-1105"/>
    <n v="-6.4919804946830389E-2"/>
    <n v="346"/>
  </r>
  <r>
    <x v="124"/>
    <s v="S013"/>
    <s v="C02"/>
    <x v="12"/>
    <x v="2"/>
    <x v="12"/>
    <x v="1"/>
    <n v="81320"/>
    <n v="81323"/>
    <n v="190"/>
    <n v="-3"/>
    <n v="-3.6889932737355979E-5"/>
    <n v="428"/>
  </r>
  <r>
    <x v="124"/>
    <s v="S014"/>
    <s v="C05"/>
    <x v="13"/>
    <x v="2"/>
    <x v="13"/>
    <x v="3"/>
    <n v="19690"/>
    <n v="19827"/>
    <n v="55"/>
    <n v="-137"/>
    <n v="-6.9097695062288796E-3"/>
    <n v="358"/>
  </r>
  <r>
    <x v="124"/>
    <s v="S015"/>
    <s v="C04"/>
    <x v="14"/>
    <x v="2"/>
    <x v="14"/>
    <x v="2"/>
    <n v="46893"/>
    <n v="50811"/>
    <n v="203"/>
    <n v="-3918"/>
    <n v="-7.7109287359036424E-2"/>
    <n v="231"/>
  </r>
  <r>
    <x v="124"/>
    <s v="S016"/>
    <s v="C03"/>
    <x v="15"/>
    <x v="3"/>
    <x v="15"/>
    <x v="4"/>
    <n v="53010"/>
    <n v="57144"/>
    <n v="190"/>
    <n v="-4134"/>
    <n v="-7.2343553128937421E-2"/>
    <n v="279"/>
  </r>
  <r>
    <x v="124"/>
    <s v="S017"/>
    <s v="C05"/>
    <x v="16"/>
    <x v="3"/>
    <x v="16"/>
    <x v="3"/>
    <n v="79278"/>
    <n v="71979"/>
    <n v="181"/>
    <n v="7299"/>
    <n v="0.10140457633476431"/>
    <n v="438"/>
  </r>
  <r>
    <x v="124"/>
    <s v="S018"/>
    <s v="C04"/>
    <x v="17"/>
    <x v="4"/>
    <x v="17"/>
    <x v="2"/>
    <n v="19038"/>
    <n v="21095"/>
    <n v="57"/>
    <n v="-2057"/>
    <n v="-9.7511258592083427E-2"/>
    <n v="334"/>
  </r>
  <r>
    <x v="124"/>
    <s v="S019"/>
    <s v="C05"/>
    <x v="18"/>
    <x v="5"/>
    <x v="18"/>
    <x v="3"/>
    <n v="40964"/>
    <n v="46047"/>
    <n v="154"/>
    <n v="-5083"/>
    <n v="-0.11038721306491193"/>
    <n v="266"/>
  </r>
  <r>
    <x v="124"/>
    <s v="S020"/>
    <s v="C01"/>
    <x v="19"/>
    <x v="6"/>
    <x v="19"/>
    <x v="0"/>
    <n v="82002"/>
    <n v="84885"/>
    <n v="158"/>
    <n v="-2883"/>
    <n v="-3.3963597808800143E-2"/>
    <n v="519"/>
  </r>
  <r>
    <x v="125"/>
    <s v="S001"/>
    <s v="C02"/>
    <x v="0"/>
    <x v="0"/>
    <x v="0"/>
    <x v="1"/>
    <n v="23763"/>
    <n v="25861"/>
    <n v="89"/>
    <n v="-2098"/>
    <n v="-8.1126019875488189E-2"/>
    <n v="267"/>
  </r>
  <r>
    <x v="125"/>
    <s v="S002"/>
    <s v="C01"/>
    <x v="1"/>
    <x v="0"/>
    <x v="1"/>
    <x v="0"/>
    <n v="24924"/>
    <n v="28621"/>
    <n v="62"/>
    <n v="-3697"/>
    <n v="-0.12917088850843786"/>
    <n v="402"/>
  </r>
  <r>
    <x v="125"/>
    <s v="S003"/>
    <s v="C01"/>
    <x v="2"/>
    <x v="0"/>
    <x v="2"/>
    <x v="0"/>
    <n v="26372"/>
    <n v="29685"/>
    <n v="76"/>
    <n v="-3313"/>
    <n v="-0.11160518780528887"/>
    <n v="347"/>
  </r>
  <r>
    <x v="125"/>
    <s v="S004"/>
    <s v="C03"/>
    <x v="3"/>
    <x v="0"/>
    <x v="3"/>
    <x v="4"/>
    <n v="28301"/>
    <n v="30182"/>
    <n v="91"/>
    <n v="-1881"/>
    <n v="-6.2321913723411303E-2"/>
    <n v="311"/>
  </r>
  <r>
    <x v="125"/>
    <s v="S005"/>
    <s v="C01"/>
    <x v="4"/>
    <x v="0"/>
    <x v="4"/>
    <x v="0"/>
    <n v="51045"/>
    <n v="57715"/>
    <n v="205"/>
    <n v="-6670"/>
    <n v="-0.11556787663519016"/>
    <n v="249"/>
  </r>
  <r>
    <x v="125"/>
    <s v="S006"/>
    <s v="C04"/>
    <x v="5"/>
    <x v="1"/>
    <x v="5"/>
    <x v="2"/>
    <n v="20300"/>
    <n v="22695"/>
    <n v="58"/>
    <n v="-2395"/>
    <n v="-0.10552985239039436"/>
    <n v="350"/>
  </r>
  <r>
    <x v="125"/>
    <s v="S007"/>
    <s v="C05"/>
    <x v="6"/>
    <x v="1"/>
    <x v="6"/>
    <x v="3"/>
    <n v="40044"/>
    <n v="42486"/>
    <n v="188"/>
    <n v="-2442"/>
    <n v="-5.7477757378901283E-2"/>
    <n v="213"/>
  </r>
  <r>
    <x v="125"/>
    <s v="S008"/>
    <s v="C04"/>
    <x v="7"/>
    <x v="1"/>
    <x v="7"/>
    <x v="2"/>
    <n v="81750"/>
    <n v="86939"/>
    <n v="218"/>
    <n v="-5189"/>
    <n v="-5.9685526633616676E-2"/>
    <n v="375"/>
  </r>
  <r>
    <x v="125"/>
    <s v="S009"/>
    <s v="C05"/>
    <x v="8"/>
    <x v="1"/>
    <x v="8"/>
    <x v="3"/>
    <n v="43654"/>
    <n v="41728"/>
    <n v="146"/>
    <n v="1926"/>
    <n v="4.615605828220859E-2"/>
    <n v="299"/>
  </r>
  <r>
    <x v="125"/>
    <s v="S010"/>
    <s v="C01"/>
    <x v="9"/>
    <x v="1"/>
    <x v="9"/>
    <x v="0"/>
    <n v="24416"/>
    <n v="22654"/>
    <n v="109"/>
    <n v="1762"/>
    <n v="7.7778758718107174E-2"/>
    <n v="224"/>
  </r>
  <r>
    <x v="125"/>
    <s v="S011"/>
    <s v="C03"/>
    <x v="10"/>
    <x v="2"/>
    <x v="10"/>
    <x v="4"/>
    <n v="51336"/>
    <n v="55758"/>
    <n v="186"/>
    <n v="-4422"/>
    <n v="-7.9307005272785974E-2"/>
    <n v="276"/>
  </r>
  <r>
    <x v="125"/>
    <s v="S012"/>
    <s v="C01"/>
    <x v="11"/>
    <x v="2"/>
    <x v="11"/>
    <x v="0"/>
    <n v="66608"/>
    <n v="62068"/>
    <n v="181"/>
    <n v="4540"/>
    <n v="7.3145582264612999E-2"/>
    <n v="368"/>
  </r>
  <r>
    <x v="125"/>
    <s v="S013"/>
    <s v="C03"/>
    <x v="12"/>
    <x v="2"/>
    <x v="12"/>
    <x v="4"/>
    <n v="62700"/>
    <n v="67981"/>
    <n v="132"/>
    <n v="-5281"/>
    <n v="-7.76834703814301E-2"/>
    <n v="475"/>
  </r>
  <r>
    <x v="125"/>
    <s v="S014"/>
    <s v="C03"/>
    <x v="13"/>
    <x v="2"/>
    <x v="13"/>
    <x v="4"/>
    <n v="24100"/>
    <n v="24917"/>
    <n v="50"/>
    <n v="-817"/>
    <n v="-3.2788859011919573E-2"/>
    <n v="482"/>
  </r>
  <r>
    <x v="125"/>
    <s v="S015"/>
    <s v="C04"/>
    <x v="14"/>
    <x v="2"/>
    <x v="14"/>
    <x v="2"/>
    <n v="49049"/>
    <n v="53601"/>
    <n v="143"/>
    <n v="-4552"/>
    <n v="-8.4923788735284791E-2"/>
    <n v="343"/>
  </r>
  <r>
    <x v="125"/>
    <s v="S016"/>
    <s v="C02"/>
    <x v="15"/>
    <x v="3"/>
    <x v="15"/>
    <x v="1"/>
    <n v="87192"/>
    <n v="91586"/>
    <n v="168"/>
    <n v="-4394"/>
    <n v="-4.7976765007752276E-2"/>
    <n v="519"/>
  </r>
  <r>
    <x v="125"/>
    <s v="S017"/>
    <s v="C02"/>
    <x v="16"/>
    <x v="3"/>
    <x v="16"/>
    <x v="1"/>
    <n v="23684"/>
    <n v="21370"/>
    <n v="62"/>
    <n v="2314"/>
    <n v="0.10828263921385119"/>
    <n v="382"/>
  </r>
  <r>
    <x v="125"/>
    <s v="S018"/>
    <s v="C04"/>
    <x v="17"/>
    <x v="4"/>
    <x v="17"/>
    <x v="2"/>
    <n v="29210"/>
    <n v="32248"/>
    <n v="115"/>
    <n v="-3038"/>
    <n v="-9.4207392706524437E-2"/>
    <n v="254"/>
  </r>
  <r>
    <x v="125"/>
    <s v="S019"/>
    <s v="C03"/>
    <x v="18"/>
    <x v="5"/>
    <x v="18"/>
    <x v="4"/>
    <n v="39585"/>
    <n v="42355"/>
    <n v="91"/>
    <n v="-2770"/>
    <n v="-6.5399598630622127E-2"/>
    <n v="435"/>
  </r>
  <r>
    <x v="125"/>
    <s v="S020"/>
    <s v="C02"/>
    <x v="19"/>
    <x v="6"/>
    <x v="19"/>
    <x v="1"/>
    <n v="61100"/>
    <n v="57218"/>
    <n v="188"/>
    <n v="3882"/>
    <n v="6.7845782795623755E-2"/>
    <n v="325"/>
  </r>
  <r>
    <x v="126"/>
    <s v="S001"/>
    <s v="C01"/>
    <x v="0"/>
    <x v="0"/>
    <x v="0"/>
    <x v="0"/>
    <n v="64484"/>
    <n v="63015"/>
    <n v="188"/>
    <n v="1469"/>
    <n v="2.3311909862731097E-2"/>
    <n v="343"/>
  </r>
  <r>
    <x v="126"/>
    <s v="S002"/>
    <s v="C01"/>
    <x v="1"/>
    <x v="0"/>
    <x v="1"/>
    <x v="0"/>
    <n v="49665"/>
    <n v="50636"/>
    <n v="105"/>
    <n v="-971"/>
    <n v="-1.9176080259104195E-2"/>
    <n v="473"/>
  </r>
  <r>
    <x v="126"/>
    <s v="S003"/>
    <s v="C02"/>
    <x v="2"/>
    <x v="0"/>
    <x v="2"/>
    <x v="1"/>
    <n v="52969"/>
    <n v="56996"/>
    <n v="161"/>
    <n v="-4027"/>
    <n v="-7.0654080988139523E-2"/>
    <n v="329"/>
  </r>
  <r>
    <x v="126"/>
    <s v="S004"/>
    <s v="C04"/>
    <x v="3"/>
    <x v="0"/>
    <x v="3"/>
    <x v="2"/>
    <n v="17500"/>
    <n v="16418"/>
    <n v="50"/>
    <n v="1082"/>
    <n v="6.5903276891216958E-2"/>
    <n v="350"/>
  </r>
  <r>
    <x v="126"/>
    <s v="S005"/>
    <s v="C02"/>
    <x v="4"/>
    <x v="0"/>
    <x v="4"/>
    <x v="1"/>
    <n v="18952"/>
    <n v="21430"/>
    <n v="92"/>
    <n v="-2478"/>
    <n v="-0.11563229118058796"/>
    <n v="206"/>
  </r>
  <r>
    <x v="126"/>
    <s v="S006"/>
    <s v="C02"/>
    <x v="5"/>
    <x v="1"/>
    <x v="5"/>
    <x v="1"/>
    <n v="60420"/>
    <n v="58895"/>
    <n v="159"/>
    <n v="1525"/>
    <n v="2.5893539349690128E-2"/>
    <n v="380"/>
  </r>
  <r>
    <x v="126"/>
    <s v="S007"/>
    <s v="C02"/>
    <x v="6"/>
    <x v="1"/>
    <x v="6"/>
    <x v="1"/>
    <n v="18400"/>
    <n v="18364"/>
    <n v="40"/>
    <n v="36"/>
    <n v="1.960357220649096E-3"/>
    <n v="460"/>
  </r>
  <r>
    <x v="126"/>
    <s v="S008"/>
    <s v="C04"/>
    <x v="7"/>
    <x v="1"/>
    <x v="7"/>
    <x v="2"/>
    <n v="87776"/>
    <n v="100729"/>
    <n v="208"/>
    <n v="-12953"/>
    <n v="-0.12859256023588042"/>
    <n v="422"/>
  </r>
  <r>
    <x v="126"/>
    <s v="S009"/>
    <s v="C04"/>
    <x v="8"/>
    <x v="1"/>
    <x v="8"/>
    <x v="2"/>
    <n v="29160"/>
    <n v="30091"/>
    <n v="135"/>
    <n v="-931"/>
    <n v="-3.0939483566514905E-2"/>
    <n v="216"/>
  </r>
  <r>
    <x v="126"/>
    <s v="S010"/>
    <s v="C03"/>
    <x v="9"/>
    <x v="1"/>
    <x v="9"/>
    <x v="4"/>
    <n v="29853"/>
    <n v="32100"/>
    <n v="107"/>
    <n v="-2247"/>
    <n v="-7.0000000000000007E-2"/>
    <n v="279"/>
  </r>
  <r>
    <x v="126"/>
    <s v="S011"/>
    <s v="C05"/>
    <x v="10"/>
    <x v="2"/>
    <x v="10"/>
    <x v="3"/>
    <n v="30915"/>
    <n v="28835"/>
    <n v="135"/>
    <n v="2080"/>
    <n v="7.2134558696029125E-2"/>
    <n v="229"/>
  </r>
  <r>
    <x v="126"/>
    <s v="S012"/>
    <s v="C05"/>
    <x v="11"/>
    <x v="2"/>
    <x v="11"/>
    <x v="3"/>
    <n v="16080"/>
    <n v="16311"/>
    <n v="48"/>
    <n v="-231"/>
    <n v="-1.4162221813500093E-2"/>
    <n v="335"/>
  </r>
  <r>
    <x v="126"/>
    <s v="S013"/>
    <s v="C02"/>
    <x v="12"/>
    <x v="2"/>
    <x v="12"/>
    <x v="1"/>
    <n v="45500"/>
    <n v="45976"/>
    <n v="182"/>
    <n v="-476"/>
    <n v="-1.0353227771010963E-2"/>
    <n v="250"/>
  </r>
  <r>
    <x v="126"/>
    <s v="S014"/>
    <s v="C04"/>
    <x v="13"/>
    <x v="2"/>
    <x v="13"/>
    <x v="2"/>
    <n v="27686"/>
    <n v="26369"/>
    <n v="109"/>
    <n v="1317"/>
    <n v="4.9945011187379117E-2"/>
    <n v="254"/>
  </r>
  <r>
    <x v="126"/>
    <s v="S015"/>
    <s v="C02"/>
    <x v="14"/>
    <x v="2"/>
    <x v="14"/>
    <x v="1"/>
    <n v="36984"/>
    <n v="36634"/>
    <n v="201"/>
    <n v="350"/>
    <n v="9.5539662608505761E-3"/>
    <n v="184"/>
  </r>
  <r>
    <x v="126"/>
    <s v="S016"/>
    <s v="C05"/>
    <x v="15"/>
    <x v="3"/>
    <x v="15"/>
    <x v="3"/>
    <n v="15555"/>
    <n v="15463"/>
    <n v="61"/>
    <n v="92"/>
    <n v="5.9496863480566512E-3"/>
    <n v="255"/>
  </r>
  <r>
    <x v="126"/>
    <s v="S017"/>
    <s v="C04"/>
    <x v="16"/>
    <x v="3"/>
    <x v="16"/>
    <x v="2"/>
    <n v="55328"/>
    <n v="62603"/>
    <n v="208"/>
    <n v="-7275"/>
    <n v="-0.11620848841109852"/>
    <n v="266"/>
  </r>
  <r>
    <x v="126"/>
    <s v="S018"/>
    <s v="C01"/>
    <x v="17"/>
    <x v="4"/>
    <x v="17"/>
    <x v="0"/>
    <n v="53172"/>
    <n v="50242"/>
    <n v="126"/>
    <n v="2930"/>
    <n v="5.8317742128099995E-2"/>
    <n v="422"/>
  </r>
  <r>
    <x v="126"/>
    <s v="S019"/>
    <s v="C01"/>
    <x v="18"/>
    <x v="5"/>
    <x v="18"/>
    <x v="0"/>
    <n v="28795"/>
    <n v="30595"/>
    <n v="65"/>
    <n v="-1800"/>
    <n v="-5.8833142670370979E-2"/>
    <n v="443"/>
  </r>
  <r>
    <x v="126"/>
    <s v="S020"/>
    <s v="C05"/>
    <x v="19"/>
    <x v="6"/>
    <x v="19"/>
    <x v="3"/>
    <n v="37376"/>
    <n v="39496"/>
    <n v="146"/>
    <n v="-2120"/>
    <n v="-5.3676321652825605E-2"/>
    <n v="256"/>
  </r>
  <r>
    <x v="127"/>
    <s v="S001"/>
    <s v="C04"/>
    <x v="0"/>
    <x v="0"/>
    <x v="0"/>
    <x v="2"/>
    <n v="19109"/>
    <n v="17765"/>
    <n v="97"/>
    <n v="1344"/>
    <n v="7.5654376583169147E-2"/>
    <n v="197"/>
  </r>
  <r>
    <x v="127"/>
    <s v="S002"/>
    <s v="C04"/>
    <x v="1"/>
    <x v="0"/>
    <x v="1"/>
    <x v="2"/>
    <n v="53440"/>
    <n v="57287"/>
    <n v="160"/>
    <n v="-3847"/>
    <n v="-6.715310628938502E-2"/>
    <n v="334"/>
  </r>
  <r>
    <x v="127"/>
    <s v="S003"/>
    <s v="C02"/>
    <x v="2"/>
    <x v="0"/>
    <x v="2"/>
    <x v="1"/>
    <n v="75144"/>
    <n v="82204"/>
    <n v="202"/>
    <n v="-7060"/>
    <n v="-8.5883898593742403E-2"/>
    <n v="372"/>
  </r>
  <r>
    <x v="127"/>
    <s v="S004"/>
    <s v="C01"/>
    <x v="3"/>
    <x v="0"/>
    <x v="3"/>
    <x v="0"/>
    <n v="78336"/>
    <n v="77985"/>
    <n v="153"/>
    <n v="351"/>
    <n v="4.5008655510675134E-3"/>
    <n v="512"/>
  </r>
  <r>
    <x v="127"/>
    <s v="S005"/>
    <s v="C04"/>
    <x v="4"/>
    <x v="0"/>
    <x v="4"/>
    <x v="2"/>
    <n v="23865"/>
    <n v="22194"/>
    <n v="129"/>
    <n v="1671"/>
    <n v="7.5290619086239519E-2"/>
    <n v="185"/>
  </r>
  <r>
    <x v="127"/>
    <s v="S006"/>
    <s v="C01"/>
    <x v="5"/>
    <x v="1"/>
    <x v="5"/>
    <x v="0"/>
    <n v="28380"/>
    <n v="30092"/>
    <n v="66"/>
    <n v="-1712"/>
    <n v="-5.6892197261730691E-2"/>
    <n v="430"/>
  </r>
  <r>
    <x v="127"/>
    <s v="S007"/>
    <s v="C05"/>
    <x v="6"/>
    <x v="1"/>
    <x v="6"/>
    <x v="3"/>
    <n v="17572"/>
    <n v="18392"/>
    <n v="92"/>
    <n v="-820"/>
    <n v="-4.4584602000869944E-2"/>
    <n v="191"/>
  </r>
  <r>
    <x v="127"/>
    <s v="S008"/>
    <s v="C05"/>
    <x v="7"/>
    <x v="1"/>
    <x v="7"/>
    <x v="3"/>
    <n v="50240"/>
    <n v="53929"/>
    <n v="157"/>
    <n v="-3689"/>
    <n v="-6.8404754399302783E-2"/>
    <n v="320"/>
  </r>
  <r>
    <x v="127"/>
    <s v="S009"/>
    <s v="C01"/>
    <x v="8"/>
    <x v="1"/>
    <x v="8"/>
    <x v="0"/>
    <n v="50592"/>
    <n v="50389"/>
    <n v="186"/>
    <n v="203"/>
    <n v="4.0286570481652744E-3"/>
    <n v="272"/>
  </r>
  <r>
    <x v="127"/>
    <s v="S010"/>
    <s v="C04"/>
    <x v="9"/>
    <x v="1"/>
    <x v="9"/>
    <x v="2"/>
    <n v="52392"/>
    <n v="48793"/>
    <n v="111"/>
    <n v="3599"/>
    <n v="7.3760580411124543E-2"/>
    <n v="472"/>
  </r>
  <r>
    <x v="127"/>
    <s v="S011"/>
    <s v="C03"/>
    <x v="10"/>
    <x v="2"/>
    <x v="10"/>
    <x v="4"/>
    <n v="23205"/>
    <n v="21957"/>
    <n v="51"/>
    <n v="1248"/>
    <n v="5.6838365896980464E-2"/>
    <n v="455"/>
  </r>
  <r>
    <x v="127"/>
    <s v="S012"/>
    <s v="C01"/>
    <x v="11"/>
    <x v="2"/>
    <x v="11"/>
    <x v="0"/>
    <n v="62640"/>
    <n v="69177"/>
    <n v="135"/>
    <n v="-6537"/>
    <n v="-9.4496725790363847E-2"/>
    <n v="464"/>
  </r>
  <r>
    <x v="127"/>
    <s v="S013"/>
    <s v="C05"/>
    <x v="12"/>
    <x v="2"/>
    <x v="12"/>
    <x v="3"/>
    <n v="33920"/>
    <n v="34928"/>
    <n v="160"/>
    <n v="-1008"/>
    <n v="-2.8859367842418691E-2"/>
    <n v="212"/>
  </r>
  <r>
    <x v="127"/>
    <s v="S014"/>
    <s v="C05"/>
    <x v="13"/>
    <x v="2"/>
    <x v="13"/>
    <x v="3"/>
    <n v="88236"/>
    <n v="82149"/>
    <n v="172"/>
    <n v="6087"/>
    <n v="7.409706752364606E-2"/>
    <n v="513"/>
  </r>
  <r>
    <x v="127"/>
    <s v="S015"/>
    <s v="C02"/>
    <x v="14"/>
    <x v="2"/>
    <x v="14"/>
    <x v="1"/>
    <n v="48720"/>
    <n v="46048"/>
    <n v="203"/>
    <n v="2672"/>
    <n v="5.8026407227241138E-2"/>
    <n v="240"/>
  </r>
  <r>
    <x v="127"/>
    <s v="S016"/>
    <s v="C05"/>
    <x v="15"/>
    <x v="3"/>
    <x v="15"/>
    <x v="3"/>
    <n v="57664"/>
    <n v="51974"/>
    <n v="212"/>
    <n v="5690"/>
    <n v="0.10947781583099242"/>
    <n v="272"/>
  </r>
  <r>
    <x v="127"/>
    <s v="S017"/>
    <s v="C04"/>
    <x v="16"/>
    <x v="3"/>
    <x v="16"/>
    <x v="2"/>
    <n v="27830"/>
    <n v="25319"/>
    <n v="115"/>
    <n v="2511"/>
    <n v="9.9174532959437581E-2"/>
    <n v="242"/>
  </r>
  <r>
    <x v="127"/>
    <s v="S018"/>
    <s v="C05"/>
    <x v="17"/>
    <x v="4"/>
    <x v="17"/>
    <x v="3"/>
    <n v="44718"/>
    <n v="42048"/>
    <n v="87"/>
    <n v="2670"/>
    <n v="6.3498858447488579E-2"/>
    <n v="514"/>
  </r>
  <r>
    <x v="127"/>
    <s v="S019"/>
    <s v="C05"/>
    <x v="18"/>
    <x v="5"/>
    <x v="18"/>
    <x v="3"/>
    <n v="19700"/>
    <n v="18146"/>
    <n v="100"/>
    <n v="1554"/>
    <n v="8.5638708255262874E-2"/>
    <n v="197"/>
  </r>
  <r>
    <x v="127"/>
    <s v="S020"/>
    <s v="C01"/>
    <x v="19"/>
    <x v="6"/>
    <x v="19"/>
    <x v="0"/>
    <n v="54448"/>
    <n v="53951"/>
    <n v="164"/>
    <n v="497"/>
    <n v="9.212062797723861E-3"/>
    <n v="332"/>
  </r>
  <r>
    <x v="128"/>
    <s v="S001"/>
    <s v="C05"/>
    <x v="0"/>
    <x v="0"/>
    <x v="0"/>
    <x v="3"/>
    <n v="30888"/>
    <n v="35344"/>
    <n v="78"/>
    <n v="-4456"/>
    <n v="-0.12607514712539611"/>
    <n v="396"/>
  </r>
  <r>
    <x v="128"/>
    <s v="S002"/>
    <s v="C01"/>
    <x v="1"/>
    <x v="0"/>
    <x v="1"/>
    <x v="0"/>
    <n v="32634"/>
    <n v="29747"/>
    <n v="98"/>
    <n v="2887"/>
    <n v="9.7051803543214438E-2"/>
    <n v="333"/>
  </r>
  <r>
    <x v="128"/>
    <s v="S003"/>
    <s v="C05"/>
    <x v="2"/>
    <x v="0"/>
    <x v="2"/>
    <x v="3"/>
    <n v="56870"/>
    <n v="58776"/>
    <n v="110"/>
    <n v="-1906"/>
    <n v="-3.2428201987205661E-2"/>
    <n v="517"/>
  </r>
  <r>
    <x v="128"/>
    <s v="S004"/>
    <s v="C02"/>
    <x v="3"/>
    <x v="0"/>
    <x v="3"/>
    <x v="1"/>
    <n v="78442"/>
    <n v="84229"/>
    <n v="182"/>
    <n v="-5787"/>
    <n v="-6.870555271937219E-2"/>
    <n v="431"/>
  </r>
  <r>
    <x v="128"/>
    <s v="S005"/>
    <s v="C05"/>
    <x v="4"/>
    <x v="0"/>
    <x v="4"/>
    <x v="3"/>
    <n v="61250"/>
    <n v="63366"/>
    <n v="125"/>
    <n v="-2116"/>
    <n v="-3.3393302401919012E-2"/>
    <n v="490"/>
  </r>
  <r>
    <x v="128"/>
    <s v="S006"/>
    <s v="C02"/>
    <x v="5"/>
    <x v="1"/>
    <x v="5"/>
    <x v="1"/>
    <n v="48530"/>
    <n v="51716"/>
    <n v="211"/>
    <n v="-3186"/>
    <n v="-6.1605692628973627E-2"/>
    <n v="230"/>
  </r>
  <r>
    <x v="128"/>
    <s v="S007"/>
    <s v="C01"/>
    <x v="6"/>
    <x v="1"/>
    <x v="6"/>
    <x v="0"/>
    <n v="18810"/>
    <n v="17813"/>
    <n v="95"/>
    <n v="997"/>
    <n v="5.5970358726772584E-2"/>
    <n v="198"/>
  </r>
  <r>
    <x v="128"/>
    <s v="S008"/>
    <s v="C03"/>
    <x v="7"/>
    <x v="1"/>
    <x v="7"/>
    <x v="4"/>
    <n v="22320"/>
    <n v="23447"/>
    <n v="90"/>
    <n v="-1127"/>
    <n v="-4.8065850641873159E-2"/>
    <n v="248"/>
  </r>
  <r>
    <x v="128"/>
    <s v="S009"/>
    <s v="C02"/>
    <x v="8"/>
    <x v="1"/>
    <x v="8"/>
    <x v="1"/>
    <n v="67518"/>
    <n v="65448"/>
    <n v="186"/>
    <n v="2070"/>
    <n v="3.1628162816281627E-2"/>
    <n v="363"/>
  </r>
  <r>
    <x v="128"/>
    <s v="S010"/>
    <s v="C05"/>
    <x v="9"/>
    <x v="1"/>
    <x v="9"/>
    <x v="3"/>
    <n v="31174"/>
    <n v="32341"/>
    <n v="143"/>
    <n v="-1167"/>
    <n v="-3.6084227451222903E-2"/>
    <n v="218"/>
  </r>
  <r>
    <x v="128"/>
    <s v="S011"/>
    <s v="C03"/>
    <x v="10"/>
    <x v="2"/>
    <x v="10"/>
    <x v="4"/>
    <n v="67584"/>
    <n v="76093"/>
    <n v="132"/>
    <n v="-8509"/>
    <n v="-0.11182368943266792"/>
    <n v="512"/>
  </r>
  <r>
    <x v="128"/>
    <s v="S012"/>
    <s v="C04"/>
    <x v="11"/>
    <x v="2"/>
    <x v="11"/>
    <x v="2"/>
    <n v="33522"/>
    <n v="38087"/>
    <n v="151"/>
    <n v="-4565"/>
    <n v="-0.11985716911282064"/>
    <n v="222"/>
  </r>
  <r>
    <x v="128"/>
    <s v="S013"/>
    <s v="C04"/>
    <x v="12"/>
    <x v="2"/>
    <x v="12"/>
    <x v="2"/>
    <n v="53636"/>
    <n v="55458"/>
    <n v="212"/>
    <n v="-1822"/>
    <n v="-3.2853691081539182E-2"/>
    <n v="253"/>
  </r>
  <r>
    <x v="128"/>
    <s v="S014"/>
    <s v="C01"/>
    <x v="13"/>
    <x v="2"/>
    <x v="13"/>
    <x v="0"/>
    <n v="62132"/>
    <n v="71379"/>
    <n v="196"/>
    <n v="-9247"/>
    <n v="-0.12954790624693538"/>
    <n v="317"/>
  </r>
  <r>
    <x v="128"/>
    <s v="S015"/>
    <s v="C02"/>
    <x v="14"/>
    <x v="2"/>
    <x v="14"/>
    <x v="1"/>
    <n v="80290"/>
    <n v="83574"/>
    <n v="217"/>
    <n v="-3284"/>
    <n v="-3.9294517433651616E-2"/>
    <n v="370"/>
  </r>
  <r>
    <x v="128"/>
    <s v="S016"/>
    <s v="C05"/>
    <x v="15"/>
    <x v="3"/>
    <x v="15"/>
    <x v="3"/>
    <n v="49707"/>
    <n v="49951"/>
    <n v="189"/>
    <n v="-244"/>
    <n v="-4.8847870913495224E-3"/>
    <n v="263"/>
  </r>
  <r>
    <x v="128"/>
    <s v="S017"/>
    <s v="C02"/>
    <x v="16"/>
    <x v="3"/>
    <x v="16"/>
    <x v="1"/>
    <n v="46230"/>
    <n v="45986"/>
    <n v="115"/>
    <n v="244"/>
    <n v="5.3059626842952203E-3"/>
    <n v="402"/>
  </r>
  <r>
    <x v="128"/>
    <s v="S018"/>
    <s v="C05"/>
    <x v="17"/>
    <x v="4"/>
    <x v="17"/>
    <x v="3"/>
    <n v="21462"/>
    <n v="20765"/>
    <n v="98"/>
    <n v="697"/>
    <n v="3.3566096797495788E-2"/>
    <n v="219"/>
  </r>
  <r>
    <x v="128"/>
    <s v="S019"/>
    <s v="C05"/>
    <x v="18"/>
    <x v="5"/>
    <x v="18"/>
    <x v="3"/>
    <n v="28980"/>
    <n v="29029"/>
    <n v="63"/>
    <n v="-49"/>
    <n v="-1.6879672052085846E-3"/>
    <n v="460"/>
  </r>
  <r>
    <x v="128"/>
    <s v="S020"/>
    <s v="C03"/>
    <x v="19"/>
    <x v="6"/>
    <x v="19"/>
    <x v="4"/>
    <n v="44550"/>
    <n v="44135"/>
    <n v="198"/>
    <n v="415"/>
    <n v="9.4029681658547633E-3"/>
    <n v="225"/>
  </r>
  <r>
    <x v="129"/>
    <s v="S001"/>
    <s v="C03"/>
    <x v="0"/>
    <x v="0"/>
    <x v="0"/>
    <x v="4"/>
    <n v="26416"/>
    <n v="29512"/>
    <n v="104"/>
    <n v="-3096"/>
    <n v="-0.10490647872052046"/>
    <n v="254"/>
  </r>
  <r>
    <x v="129"/>
    <s v="S002"/>
    <s v="C02"/>
    <x v="1"/>
    <x v="0"/>
    <x v="1"/>
    <x v="1"/>
    <n v="19425"/>
    <n v="17958"/>
    <n v="105"/>
    <n v="1467"/>
    <n v="8.1690611426662216E-2"/>
    <n v="185"/>
  </r>
  <r>
    <x v="129"/>
    <s v="S003"/>
    <s v="C02"/>
    <x v="2"/>
    <x v="0"/>
    <x v="2"/>
    <x v="1"/>
    <n v="30523"/>
    <n v="33443"/>
    <n v="131"/>
    <n v="-2920"/>
    <n v="-8.7312741081840742E-2"/>
    <n v="233"/>
  </r>
  <r>
    <x v="129"/>
    <s v="S004"/>
    <s v="C01"/>
    <x v="3"/>
    <x v="0"/>
    <x v="3"/>
    <x v="0"/>
    <n v="35471"/>
    <n v="38382"/>
    <n v="79"/>
    <n v="-2911"/>
    <n v="-7.5842842999322604E-2"/>
    <n v="449"/>
  </r>
  <r>
    <x v="129"/>
    <s v="S005"/>
    <s v="C03"/>
    <x v="4"/>
    <x v="0"/>
    <x v="4"/>
    <x v="4"/>
    <n v="79550"/>
    <n v="73495"/>
    <n v="185"/>
    <n v="6055"/>
    <n v="8.2386556908633238E-2"/>
    <n v="430"/>
  </r>
  <r>
    <x v="129"/>
    <s v="S006"/>
    <s v="C03"/>
    <x v="5"/>
    <x v="1"/>
    <x v="5"/>
    <x v="4"/>
    <n v="101008"/>
    <n v="112760"/>
    <n v="214"/>
    <n v="-11752"/>
    <n v="-0.10422135509045762"/>
    <n v="472"/>
  </r>
  <r>
    <x v="129"/>
    <s v="S007"/>
    <s v="C05"/>
    <x v="6"/>
    <x v="1"/>
    <x v="6"/>
    <x v="3"/>
    <n v="51064"/>
    <n v="47222"/>
    <n v="104"/>
    <n v="3842"/>
    <n v="8.1360382872389989E-2"/>
    <n v="491"/>
  </r>
  <r>
    <x v="129"/>
    <s v="S008"/>
    <s v="C01"/>
    <x v="7"/>
    <x v="1"/>
    <x v="7"/>
    <x v="0"/>
    <n v="26676"/>
    <n v="30320"/>
    <n v="78"/>
    <n v="-3644"/>
    <n v="-0.12018469656992084"/>
    <n v="342"/>
  </r>
  <r>
    <x v="129"/>
    <s v="S009"/>
    <s v="C04"/>
    <x v="8"/>
    <x v="1"/>
    <x v="8"/>
    <x v="2"/>
    <n v="28836"/>
    <n v="31763"/>
    <n v="81"/>
    <n v="-2927"/>
    <n v="-9.2151245159462269E-2"/>
    <n v="356"/>
  </r>
  <r>
    <x v="129"/>
    <s v="S010"/>
    <s v="C05"/>
    <x v="9"/>
    <x v="1"/>
    <x v="9"/>
    <x v="3"/>
    <n v="85184"/>
    <n v="95449"/>
    <n v="176"/>
    <n v="-10265"/>
    <n v="-0.10754434305231066"/>
    <n v="484"/>
  </r>
  <r>
    <x v="129"/>
    <s v="S011"/>
    <s v="C04"/>
    <x v="10"/>
    <x v="2"/>
    <x v="10"/>
    <x v="2"/>
    <n v="75831"/>
    <n v="70666"/>
    <n v="157"/>
    <n v="5165"/>
    <n v="7.3090312172756342E-2"/>
    <n v="483"/>
  </r>
  <r>
    <x v="129"/>
    <s v="S012"/>
    <s v="C01"/>
    <x v="11"/>
    <x v="2"/>
    <x v="11"/>
    <x v="0"/>
    <n v="92820"/>
    <n v="100088"/>
    <n v="210"/>
    <n v="-7268"/>
    <n v="-7.2616097833906157E-2"/>
    <n v="442"/>
  </r>
  <r>
    <x v="129"/>
    <s v="S013"/>
    <s v="C02"/>
    <x v="12"/>
    <x v="2"/>
    <x v="12"/>
    <x v="1"/>
    <n v="26483"/>
    <n v="27592"/>
    <n v="71"/>
    <n v="-1109"/>
    <n v="-4.0192809510002897E-2"/>
    <n v="373"/>
  </r>
  <r>
    <x v="129"/>
    <s v="S014"/>
    <s v="C03"/>
    <x v="13"/>
    <x v="2"/>
    <x v="13"/>
    <x v="4"/>
    <n v="24336"/>
    <n v="27831"/>
    <n v="48"/>
    <n v="-3495"/>
    <n v="-0.12557938988897271"/>
    <n v="507"/>
  </r>
  <r>
    <x v="129"/>
    <s v="S015"/>
    <s v="C02"/>
    <x v="14"/>
    <x v="2"/>
    <x v="14"/>
    <x v="1"/>
    <n v="102128"/>
    <n v="102593"/>
    <n v="208"/>
    <n v="-465"/>
    <n v="-4.5324729757390859E-3"/>
    <n v="491"/>
  </r>
  <r>
    <x v="129"/>
    <s v="S016"/>
    <s v="C04"/>
    <x v="15"/>
    <x v="3"/>
    <x v="15"/>
    <x v="2"/>
    <n v="32724"/>
    <n v="37520"/>
    <n v="81"/>
    <n v="-4796"/>
    <n v="-0.12782515991471216"/>
    <n v="404"/>
  </r>
  <r>
    <x v="129"/>
    <s v="S017"/>
    <s v="C04"/>
    <x v="16"/>
    <x v="3"/>
    <x v="16"/>
    <x v="2"/>
    <n v="53138"/>
    <n v="51488"/>
    <n v="163"/>
    <n v="1650"/>
    <n v="3.204630205096333E-2"/>
    <n v="326"/>
  </r>
  <r>
    <x v="129"/>
    <s v="S018"/>
    <s v="C04"/>
    <x v="17"/>
    <x v="4"/>
    <x v="17"/>
    <x v="2"/>
    <n v="49896"/>
    <n v="48713"/>
    <n v="168"/>
    <n v="1183"/>
    <n v="2.4285098433683001E-2"/>
    <n v="297"/>
  </r>
  <r>
    <x v="129"/>
    <s v="S019"/>
    <s v="C01"/>
    <x v="18"/>
    <x v="5"/>
    <x v="18"/>
    <x v="0"/>
    <n v="43844"/>
    <n v="47905"/>
    <n v="113"/>
    <n v="-4061"/>
    <n v="-8.4771944473437014E-2"/>
    <n v="388"/>
  </r>
  <r>
    <x v="129"/>
    <s v="S020"/>
    <s v="C01"/>
    <x v="19"/>
    <x v="6"/>
    <x v="19"/>
    <x v="0"/>
    <n v="43340"/>
    <n v="39836"/>
    <n v="197"/>
    <n v="3504"/>
    <n v="8.7960638618335169E-2"/>
    <n v="220"/>
  </r>
  <r>
    <x v="130"/>
    <s v="S001"/>
    <s v="C02"/>
    <x v="0"/>
    <x v="0"/>
    <x v="0"/>
    <x v="1"/>
    <n v="15312"/>
    <n v="15983"/>
    <n v="58"/>
    <n v="-671"/>
    <n v="-4.1982105987611838E-2"/>
    <n v="264"/>
  </r>
  <r>
    <x v="130"/>
    <s v="S002"/>
    <s v="C01"/>
    <x v="1"/>
    <x v="0"/>
    <x v="1"/>
    <x v="0"/>
    <n v="50004"/>
    <n v="56624"/>
    <n v="108"/>
    <n v="-6620"/>
    <n v="-0.11691155693698785"/>
    <n v="463"/>
  </r>
  <r>
    <x v="130"/>
    <s v="S003"/>
    <s v="C01"/>
    <x v="2"/>
    <x v="0"/>
    <x v="2"/>
    <x v="0"/>
    <n v="62920"/>
    <n v="71295"/>
    <n v="143"/>
    <n v="-8375"/>
    <n v="-0.11746966827968301"/>
    <n v="440"/>
  </r>
  <r>
    <x v="130"/>
    <s v="S004"/>
    <s v="C02"/>
    <x v="3"/>
    <x v="0"/>
    <x v="3"/>
    <x v="1"/>
    <n v="68138"/>
    <n v="70097"/>
    <n v="157"/>
    <n v="-1959"/>
    <n v="-2.7946987745552591E-2"/>
    <n v="434"/>
  </r>
  <r>
    <x v="130"/>
    <s v="S005"/>
    <s v="C05"/>
    <x v="4"/>
    <x v="0"/>
    <x v="4"/>
    <x v="3"/>
    <n v="51759"/>
    <n v="51829"/>
    <n v="213"/>
    <n v="-70"/>
    <n v="-1.3505952266105849E-3"/>
    <n v="243"/>
  </r>
  <r>
    <x v="130"/>
    <s v="S006"/>
    <s v="C05"/>
    <x v="5"/>
    <x v="1"/>
    <x v="5"/>
    <x v="3"/>
    <n v="15189"/>
    <n v="16381"/>
    <n v="83"/>
    <n v="-1192"/>
    <n v="-7.2767230327818816E-2"/>
    <n v="183"/>
  </r>
  <r>
    <x v="130"/>
    <s v="S007"/>
    <s v="C05"/>
    <x v="6"/>
    <x v="1"/>
    <x v="6"/>
    <x v="3"/>
    <n v="37515"/>
    <n v="43088"/>
    <n v="123"/>
    <n v="-5573"/>
    <n v="-0.12933995544002971"/>
    <n v="305"/>
  </r>
  <r>
    <x v="130"/>
    <s v="S008"/>
    <s v="C05"/>
    <x v="7"/>
    <x v="1"/>
    <x v="7"/>
    <x v="3"/>
    <n v="103110"/>
    <n v="93890"/>
    <n v="210"/>
    <n v="9220"/>
    <n v="9.8200021301523055E-2"/>
    <n v="491"/>
  </r>
  <r>
    <x v="130"/>
    <s v="S009"/>
    <s v="C04"/>
    <x v="8"/>
    <x v="1"/>
    <x v="8"/>
    <x v="2"/>
    <n v="34944"/>
    <n v="39345"/>
    <n v="78"/>
    <n v="-4401"/>
    <n v="-0.1118566526877621"/>
    <n v="448"/>
  </r>
  <r>
    <x v="130"/>
    <s v="S010"/>
    <s v="C02"/>
    <x v="9"/>
    <x v="1"/>
    <x v="9"/>
    <x v="1"/>
    <n v="19818"/>
    <n v="21995"/>
    <n v="54"/>
    <n v="-2177"/>
    <n v="-9.8977040236417374E-2"/>
    <n v="367"/>
  </r>
  <r>
    <x v="130"/>
    <s v="S011"/>
    <s v="C05"/>
    <x v="10"/>
    <x v="2"/>
    <x v="10"/>
    <x v="3"/>
    <n v="25750"/>
    <n v="25896"/>
    <n v="125"/>
    <n v="-146"/>
    <n v="-5.6379363608279271E-3"/>
    <n v="206"/>
  </r>
  <r>
    <x v="130"/>
    <s v="S012"/>
    <s v="C04"/>
    <x v="11"/>
    <x v="2"/>
    <x v="11"/>
    <x v="2"/>
    <n v="28938"/>
    <n v="33059"/>
    <n v="78"/>
    <n v="-4121"/>
    <n v="-0.12465591820684231"/>
    <n v="371"/>
  </r>
  <r>
    <x v="130"/>
    <s v="S013"/>
    <s v="C03"/>
    <x v="12"/>
    <x v="2"/>
    <x v="12"/>
    <x v="4"/>
    <n v="63856"/>
    <n v="70748"/>
    <n v="208"/>
    <n v="-6892"/>
    <n v="-9.7416181376151975E-2"/>
    <n v="307"/>
  </r>
  <r>
    <x v="130"/>
    <s v="S014"/>
    <s v="C01"/>
    <x v="13"/>
    <x v="2"/>
    <x v="13"/>
    <x v="0"/>
    <n v="36297"/>
    <n v="37051"/>
    <n v="109"/>
    <n v="-754"/>
    <n v="-2.0350327926371758E-2"/>
    <n v="333"/>
  </r>
  <r>
    <x v="130"/>
    <s v="S015"/>
    <s v="C03"/>
    <x v="14"/>
    <x v="2"/>
    <x v="14"/>
    <x v="4"/>
    <n v="16109"/>
    <n v="17470"/>
    <n v="89"/>
    <n v="-1361"/>
    <n v="-7.7904979965655416E-2"/>
    <n v="181"/>
  </r>
  <r>
    <x v="130"/>
    <s v="S016"/>
    <s v="C05"/>
    <x v="15"/>
    <x v="3"/>
    <x v="15"/>
    <x v="3"/>
    <n v="39285"/>
    <n v="44422"/>
    <n v="135"/>
    <n v="-5137"/>
    <n v="-0.11564089865382018"/>
    <n v="291"/>
  </r>
  <r>
    <x v="130"/>
    <s v="S017"/>
    <s v="C05"/>
    <x v="16"/>
    <x v="3"/>
    <x v="16"/>
    <x v="3"/>
    <n v="18348"/>
    <n v="20607"/>
    <n v="44"/>
    <n v="-2259"/>
    <n v="-0.10962294365992138"/>
    <n v="417"/>
  </r>
  <r>
    <x v="130"/>
    <s v="S018"/>
    <s v="C04"/>
    <x v="17"/>
    <x v="4"/>
    <x v="17"/>
    <x v="2"/>
    <n v="17738"/>
    <n v="15990"/>
    <n v="49"/>
    <n v="1748"/>
    <n v="0.10931832395247029"/>
    <n v="362"/>
  </r>
  <r>
    <x v="130"/>
    <s v="S019"/>
    <s v="C04"/>
    <x v="18"/>
    <x v="5"/>
    <x v="18"/>
    <x v="2"/>
    <n v="39508"/>
    <n v="39052"/>
    <n v="119"/>
    <n v="456"/>
    <n v="1.1676738707364539E-2"/>
    <n v="332"/>
  </r>
  <r>
    <x v="130"/>
    <s v="S020"/>
    <s v="C01"/>
    <x v="19"/>
    <x v="6"/>
    <x v="19"/>
    <x v="0"/>
    <n v="34100"/>
    <n v="34117"/>
    <n v="124"/>
    <n v="-17"/>
    <n v="-4.982853123076472E-4"/>
    <n v="275"/>
  </r>
  <r>
    <x v="131"/>
    <s v="S001"/>
    <s v="C01"/>
    <x v="0"/>
    <x v="0"/>
    <x v="0"/>
    <x v="0"/>
    <n v="24000"/>
    <n v="24552"/>
    <n v="60"/>
    <n v="-552"/>
    <n v="-2.2482893450635387E-2"/>
    <n v="400"/>
  </r>
  <r>
    <x v="131"/>
    <s v="S002"/>
    <s v="C01"/>
    <x v="1"/>
    <x v="0"/>
    <x v="1"/>
    <x v="0"/>
    <n v="75310"/>
    <n v="84695"/>
    <n v="170"/>
    <n v="-9385"/>
    <n v="-0.11080937481551449"/>
    <n v="443"/>
  </r>
  <r>
    <x v="131"/>
    <s v="S003"/>
    <s v="C04"/>
    <x v="2"/>
    <x v="0"/>
    <x v="2"/>
    <x v="2"/>
    <n v="28314"/>
    <n v="25531"/>
    <n v="66"/>
    <n v="2783"/>
    <n v="0.10900473933649289"/>
    <n v="429"/>
  </r>
  <r>
    <x v="131"/>
    <s v="S004"/>
    <s v="C03"/>
    <x v="3"/>
    <x v="0"/>
    <x v="3"/>
    <x v="4"/>
    <n v="38640"/>
    <n v="38595"/>
    <n v="92"/>
    <n v="45"/>
    <n v="1.165954139137194E-3"/>
    <n v="420"/>
  </r>
  <r>
    <x v="131"/>
    <s v="S005"/>
    <s v="C03"/>
    <x v="4"/>
    <x v="0"/>
    <x v="4"/>
    <x v="4"/>
    <n v="51072"/>
    <n v="57356"/>
    <n v="128"/>
    <n v="-6284"/>
    <n v="-0.10956133621591464"/>
    <n v="399"/>
  </r>
  <r>
    <x v="131"/>
    <s v="S006"/>
    <s v="C05"/>
    <x v="5"/>
    <x v="1"/>
    <x v="5"/>
    <x v="3"/>
    <n v="24205"/>
    <n v="27771"/>
    <n v="103"/>
    <n v="-3566"/>
    <n v="-0.12840733138885888"/>
    <n v="235"/>
  </r>
  <r>
    <x v="131"/>
    <s v="S007"/>
    <s v="C04"/>
    <x v="6"/>
    <x v="1"/>
    <x v="6"/>
    <x v="2"/>
    <n v="19076"/>
    <n v="18855"/>
    <n v="76"/>
    <n v="221"/>
    <n v="1.1721028904799789E-2"/>
    <n v="251"/>
  </r>
  <r>
    <x v="131"/>
    <s v="S008"/>
    <s v="C04"/>
    <x v="7"/>
    <x v="1"/>
    <x v="7"/>
    <x v="2"/>
    <n v="13068"/>
    <n v="14647"/>
    <n v="36"/>
    <n v="-1579"/>
    <n v="-0.10780364579777429"/>
    <n v="363"/>
  </r>
  <r>
    <x v="131"/>
    <s v="S009"/>
    <s v="C02"/>
    <x v="8"/>
    <x v="1"/>
    <x v="8"/>
    <x v="1"/>
    <n v="17451"/>
    <n v="16948"/>
    <n v="63"/>
    <n v="503"/>
    <n v="2.9679018173235781E-2"/>
    <n v="277"/>
  </r>
  <r>
    <x v="131"/>
    <s v="S010"/>
    <s v="C02"/>
    <x v="9"/>
    <x v="1"/>
    <x v="9"/>
    <x v="1"/>
    <n v="53720"/>
    <n v="58338"/>
    <n v="136"/>
    <n v="-4618"/>
    <n v="-7.9159381535191475E-2"/>
    <n v="395"/>
  </r>
  <r>
    <x v="131"/>
    <s v="S011"/>
    <s v="C01"/>
    <x v="10"/>
    <x v="2"/>
    <x v="10"/>
    <x v="0"/>
    <n v="21356"/>
    <n v="24283"/>
    <n v="76"/>
    <n v="-2927"/>
    <n v="-0.12053700119425112"/>
    <n v="281"/>
  </r>
  <r>
    <x v="131"/>
    <s v="S012"/>
    <s v="C03"/>
    <x v="11"/>
    <x v="2"/>
    <x v="11"/>
    <x v="4"/>
    <n v="25675"/>
    <n v="26246"/>
    <n v="65"/>
    <n v="-571"/>
    <n v="-2.1755696106073308E-2"/>
    <n v="395"/>
  </r>
  <r>
    <x v="131"/>
    <s v="S013"/>
    <s v="C04"/>
    <x v="12"/>
    <x v="2"/>
    <x v="12"/>
    <x v="2"/>
    <n v="51205"/>
    <n v="50243"/>
    <n v="209"/>
    <n v="962"/>
    <n v="1.9146945843202038E-2"/>
    <n v="245"/>
  </r>
  <r>
    <x v="131"/>
    <s v="S014"/>
    <s v="C04"/>
    <x v="13"/>
    <x v="2"/>
    <x v="13"/>
    <x v="2"/>
    <n v="61777"/>
    <n v="57628"/>
    <n v="163"/>
    <n v="4149"/>
    <n v="7.1996251822030954E-2"/>
    <n v="379"/>
  </r>
  <r>
    <x v="131"/>
    <s v="S015"/>
    <s v="C01"/>
    <x v="14"/>
    <x v="2"/>
    <x v="14"/>
    <x v="0"/>
    <n v="9760"/>
    <n v="9163"/>
    <n v="40"/>
    <n v="597"/>
    <n v="6.5153334060897086E-2"/>
    <n v="244"/>
  </r>
  <r>
    <x v="131"/>
    <s v="S016"/>
    <s v="C05"/>
    <x v="15"/>
    <x v="3"/>
    <x v="15"/>
    <x v="3"/>
    <n v="11438"/>
    <n v="10443"/>
    <n v="38"/>
    <n v="995"/>
    <n v="9.5279134348367323E-2"/>
    <n v="301"/>
  </r>
  <r>
    <x v="131"/>
    <s v="S017"/>
    <s v="C03"/>
    <x v="16"/>
    <x v="3"/>
    <x v="16"/>
    <x v="4"/>
    <n v="69840"/>
    <n v="75731"/>
    <n v="144"/>
    <n v="-5891"/>
    <n v="-7.7788488201661149E-2"/>
    <n v="485"/>
  </r>
  <r>
    <x v="131"/>
    <s v="S018"/>
    <s v="C04"/>
    <x v="17"/>
    <x v="4"/>
    <x v="17"/>
    <x v="2"/>
    <n v="51496"/>
    <n v="49979"/>
    <n v="157"/>
    <n v="1517"/>
    <n v="3.0352748154224774E-2"/>
    <n v="328"/>
  </r>
  <r>
    <x v="131"/>
    <s v="S019"/>
    <s v="C01"/>
    <x v="18"/>
    <x v="5"/>
    <x v="18"/>
    <x v="0"/>
    <n v="44064"/>
    <n v="46461"/>
    <n v="144"/>
    <n v="-2397"/>
    <n v="-5.159165751920966E-2"/>
    <n v="306"/>
  </r>
  <r>
    <x v="131"/>
    <s v="S020"/>
    <s v="C05"/>
    <x v="19"/>
    <x v="6"/>
    <x v="19"/>
    <x v="3"/>
    <n v="25174"/>
    <n v="24425"/>
    <n v="82"/>
    <n v="749"/>
    <n v="3.0665301944728763E-2"/>
    <n v="307"/>
  </r>
  <r>
    <x v="132"/>
    <s v="S001"/>
    <s v="C01"/>
    <x v="0"/>
    <x v="0"/>
    <x v="0"/>
    <x v="0"/>
    <n v="31212"/>
    <n v="33290"/>
    <n v="102"/>
    <n v="-2078"/>
    <n v="-6.2421147491739264E-2"/>
    <n v="306"/>
  </r>
  <r>
    <x v="132"/>
    <s v="S002"/>
    <s v="C04"/>
    <x v="1"/>
    <x v="0"/>
    <x v="1"/>
    <x v="2"/>
    <n v="35870"/>
    <n v="38618"/>
    <n v="85"/>
    <n v="-2748"/>
    <n v="-7.1158527111709571E-2"/>
    <n v="422"/>
  </r>
  <r>
    <x v="132"/>
    <s v="S003"/>
    <s v="C01"/>
    <x v="2"/>
    <x v="0"/>
    <x v="2"/>
    <x v="0"/>
    <n v="93518"/>
    <n v="98453"/>
    <n v="214"/>
    <n v="-4935"/>
    <n v="-5.0125440565549045E-2"/>
    <n v="437"/>
  </r>
  <r>
    <x v="132"/>
    <s v="S004"/>
    <s v="C02"/>
    <x v="3"/>
    <x v="0"/>
    <x v="3"/>
    <x v="1"/>
    <n v="93372"/>
    <n v="98845"/>
    <n v="186"/>
    <n v="-5473"/>
    <n v="-5.536951793211594E-2"/>
    <n v="502"/>
  </r>
  <r>
    <x v="132"/>
    <s v="S005"/>
    <s v="C02"/>
    <x v="4"/>
    <x v="0"/>
    <x v="4"/>
    <x v="1"/>
    <n v="16055"/>
    <n v="16060"/>
    <n v="65"/>
    <n v="-5"/>
    <n v="-3.1133250311332503E-4"/>
    <n v="247"/>
  </r>
  <r>
    <x v="132"/>
    <s v="S006"/>
    <s v="C03"/>
    <x v="5"/>
    <x v="1"/>
    <x v="5"/>
    <x v="4"/>
    <n v="21336"/>
    <n v="21476"/>
    <n v="84"/>
    <n v="-140"/>
    <n v="-6.51890482398957E-3"/>
    <n v="254"/>
  </r>
  <r>
    <x v="132"/>
    <s v="S007"/>
    <s v="C05"/>
    <x v="6"/>
    <x v="1"/>
    <x v="6"/>
    <x v="3"/>
    <n v="19436"/>
    <n v="21692"/>
    <n v="86"/>
    <n v="-2256"/>
    <n v="-0.10400147519822976"/>
    <n v="226"/>
  </r>
  <r>
    <x v="132"/>
    <s v="S008"/>
    <s v="C04"/>
    <x v="7"/>
    <x v="1"/>
    <x v="7"/>
    <x v="2"/>
    <n v="62272"/>
    <n v="60815"/>
    <n v="139"/>
    <n v="1457"/>
    <n v="2.3957905122091588E-2"/>
    <n v="448"/>
  </r>
  <r>
    <x v="132"/>
    <s v="S009"/>
    <s v="C02"/>
    <x v="8"/>
    <x v="1"/>
    <x v="8"/>
    <x v="1"/>
    <n v="32032"/>
    <n v="32240"/>
    <n v="91"/>
    <n v="-208"/>
    <n v="-6.4516129032258064E-3"/>
    <n v="352"/>
  </r>
  <r>
    <x v="132"/>
    <s v="S010"/>
    <s v="C01"/>
    <x v="9"/>
    <x v="1"/>
    <x v="9"/>
    <x v="0"/>
    <n v="65670"/>
    <n v="69673"/>
    <n v="165"/>
    <n v="-4003"/>
    <n v="-5.7454107042900403E-2"/>
    <n v="398"/>
  </r>
  <r>
    <x v="132"/>
    <s v="S011"/>
    <s v="C03"/>
    <x v="10"/>
    <x v="2"/>
    <x v="10"/>
    <x v="4"/>
    <n v="19971"/>
    <n v="19789"/>
    <n v="63"/>
    <n v="182"/>
    <n v="9.1970286522815702E-3"/>
    <n v="317"/>
  </r>
  <r>
    <x v="132"/>
    <s v="S012"/>
    <s v="C03"/>
    <x v="11"/>
    <x v="2"/>
    <x v="11"/>
    <x v="4"/>
    <n v="85498"/>
    <n v="82227"/>
    <n v="217"/>
    <n v="3271"/>
    <n v="3.9780120884867501E-2"/>
    <n v="394"/>
  </r>
  <r>
    <x v="132"/>
    <s v="S013"/>
    <s v="C01"/>
    <x v="12"/>
    <x v="2"/>
    <x v="12"/>
    <x v="0"/>
    <n v="16200"/>
    <n v="14582"/>
    <n v="81"/>
    <n v="1618"/>
    <n v="0.11095871622548348"/>
    <n v="200"/>
  </r>
  <r>
    <x v="132"/>
    <s v="S014"/>
    <s v="C03"/>
    <x v="13"/>
    <x v="2"/>
    <x v="13"/>
    <x v="4"/>
    <n v="29014"/>
    <n v="29536"/>
    <n v="89"/>
    <n v="-522"/>
    <n v="-1.7673347778981583E-2"/>
    <n v="326"/>
  </r>
  <r>
    <x v="132"/>
    <s v="S015"/>
    <s v="C05"/>
    <x v="14"/>
    <x v="2"/>
    <x v="14"/>
    <x v="3"/>
    <n v="24000"/>
    <n v="22709"/>
    <n v="60"/>
    <n v="1291"/>
    <n v="5.6849707164560309E-2"/>
    <n v="400"/>
  </r>
  <r>
    <x v="132"/>
    <s v="S016"/>
    <s v="C04"/>
    <x v="15"/>
    <x v="3"/>
    <x v="15"/>
    <x v="2"/>
    <n v="44928"/>
    <n v="43853"/>
    <n v="128"/>
    <n v="1075"/>
    <n v="2.4513716279387955E-2"/>
    <n v="351"/>
  </r>
  <r>
    <x v="132"/>
    <s v="S017"/>
    <s v="C01"/>
    <x v="16"/>
    <x v="3"/>
    <x v="16"/>
    <x v="0"/>
    <n v="38316"/>
    <n v="41026"/>
    <n v="206"/>
    <n v="-2710"/>
    <n v="-6.6055672012869882E-2"/>
    <n v="186"/>
  </r>
  <r>
    <x v="132"/>
    <s v="S018"/>
    <s v="C02"/>
    <x v="17"/>
    <x v="4"/>
    <x v="17"/>
    <x v="1"/>
    <n v="43316"/>
    <n v="47011"/>
    <n v="119"/>
    <n v="-3695"/>
    <n v="-7.8598625853523646E-2"/>
    <n v="364"/>
  </r>
  <r>
    <x v="132"/>
    <s v="S019"/>
    <s v="C03"/>
    <x v="18"/>
    <x v="5"/>
    <x v="18"/>
    <x v="4"/>
    <n v="83250"/>
    <n v="87510"/>
    <n v="185"/>
    <n v="-4260"/>
    <n v="-4.8680150839904013E-2"/>
    <n v="450"/>
  </r>
  <r>
    <x v="132"/>
    <s v="S020"/>
    <s v="C02"/>
    <x v="19"/>
    <x v="6"/>
    <x v="19"/>
    <x v="1"/>
    <n v="64521"/>
    <n v="61456"/>
    <n v="201"/>
    <n v="3065"/>
    <n v="4.9873079927102319E-2"/>
    <n v="321"/>
  </r>
  <r>
    <x v="133"/>
    <s v="S001"/>
    <s v="C04"/>
    <x v="0"/>
    <x v="0"/>
    <x v="0"/>
    <x v="2"/>
    <n v="13338"/>
    <n v="12439"/>
    <n v="57"/>
    <n v="899"/>
    <n v="7.2272690730766143E-2"/>
    <n v="234"/>
  </r>
  <r>
    <x v="133"/>
    <s v="S002"/>
    <s v="C05"/>
    <x v="1"/>
    <x v="0"/>
    <x v="1"/>
    <x v="3"/>
    <n v="13065"/>
    <n v="13674"/>
    <n v="65"/>
    <n v="-609"/>
    <n v="-4.4537077665642827E-2"/>
    <n v="201"/>
  </r>
  <r>
    <x v="133"/>
    <s v="S003"/>
    <s v="C02"/>
    <x v="2"/>
    <x v="0"/>
    <x v="2"/>
    <x v="1"/>
    <n v="34272"/>
    <n v="38774"/>
    <n v="84"/>
    <n v="-4502"/>
    <n v="-0.11610873265590343"/>
    <n v="408"/>
  </r>
  <r>
    <x v="133"/>
    <s v="S004"/>
    <s v="C01"/>
    <x v="3"/>
    <x v="0"/>
    <x v="3"/>
    <x v="0"/>
    <n v="86304"/>
    <n v="85071"/>
    <n v="174"/>
    <n v="1233"/>
    <n v="1.4493775787283563E-2"/>
    <n v="496"/>
  </r>
  <r>
    <x v="133"/>
    <s v="S005"/>
    <s v="C04"/>
    <x v="4"/>
    <x v="0"/>
    <x v="4"/>
    <x v="2"/>
    <n v="38958"/>
    <n v="42082"/>
    <n v="86"/>
    <n v="-3124"/>
    <n v="-7.4236015398507674E-2"/>
    <n v="453"/>
  </r>
  <r>
    <x v="133"/>
    <s v="S006"/>
    <s v="C01"/>
    <x v="5"/>
    <x v="1"/>
    <x v="5"/>
    <x v="0"/>
    <n v="18626"/>
    <n v="18710"/>
    <n v="67"/>
    <n v="-84"/>
    <n v="-4.4895777659005875E-3"/>
    <n v="278"/>
  </r>
  <r>
    <x v="133"/>
    <s v="S007"/>
    <s v="C03"/>
    <x v="6"/>
    <x v="1"/>
    <x v="6"/>
    <x v="4"/>
    <n v="63546"/>
    <n v="71408"/>
    <n v="178"/>
    <n v="-7862"/>
    <n v="-0.11009970871611025"/>
    <n v="357"/>
  </r>
  <r>
    <x v="133"/>
    <s v="S008"/>
    <s v="C04"/>
    <x v="7"/>
    <x v="1"/>
    <x v="7"/>
    <x v="2"/>
    <n v="47040"/>
    <n v="53047"/>
    <n v="196"/>
    <n v="-6007"/>
    <n v="-0.11323920297095029"/>
    <n v="240"/>
  </r>
  <r>
    <x v="133"/>
    <s v="S009"/>
    <s v="C01"/>
    <x v="8"/>
    <x v="1"/>
    <x v="8"/>
    <x v="0"/>
    <n v="62252"/>
    <n v="64178"/>
    <n v="158"/>
    <n v="-1926"/>
    <n v="-3.001028389790894E-2"/>
    <n v="394"/>
  </r>
  <r>
    <x v="133"/>
    <s v="S010"/>
    <s v="C05"/>
    <x v="9"/>
    <x v="1"/>
    <x v="9"/>
    <x v="3"/>
    <n v="10600"/>
    <n v="11127"/>
    <n v="40"/>
    <n v="-527"/>
    <n v="-4.7362271951109911E-2"/>
    <n v="265"/>
  </r>
  <r>
    <x v="133"/>
    <s v="S011"/>
    <s v="C02"/>
    <x v="10"/>
    <x v="2"/>
    <x v="10"/>
    <x v="1"/>
    <n v="22127"/>
    <n v="25201"/>
    <n v="109"/>
    <n v="-3074"/>
    <n v="-0.12197928653624857"/>
    <n v="203"/>
  </r>
  <r>
    <x v="133"/>
    <s v="S012"/>
    <s v="C01"/>
    <x v="11"/>
    <x v="2"/>
    <x v="11"/>
    <x v="0"/>
    <n v="58724"/>
    <n v="63726"/>
    <n v="212"/>
    <n v="-5002"/>
    <n v="-7.8492295138561971E-2"/>
    <n v="277"/>
  </r>
  <r>
    <x v="133"/>
    <s v="S013"/>
    <s v="C04"/>
    <x v="12"/>
    <x v="2"/>
    <x v="12"/>
    <x v="2"/>
    <n v="72772"/>
    <n v="81327"/>
    <n v="161"/>
    <n v="-8555"/>
    <n v="-0.1051926174579168"/>
    <n v="452"/>
  </r>
  <r>
    <x v="133"/>
    <s v="S014"/>
    <s v="C01"/>
    <x v="13"/>
    <x v="2"/>
    <x v="13"/>
    <x v="0"/>
    <n v="31108"/>
    <n v="33835"/>
    <n v="77"/>
    <n v="-2727"/>
    <n v="-8.0597014925373134E-2"/>
    <n v="404"/>
  </r>
  <r>
    <x v="133"/>
    <s v="S015"/>
    <s v="C04"/>
    <x v="14"/>
    <x v="2"/>
    <x v="14"/>
    <x v="2"/>
    <n v="67462"/>
    <n v="67476"/>
    <n v="178"/>
    <n v="-14"/>
    <n v="-2.0748117849309384E-4"/>
    <n v="379"/>
  </r>
  <r>
    <x v="133"/>
    <s v="S016"/>
    <s v="C03"/>
    <x v="15"/>
    <x v="3"/>
    <x v="15"/>
    <x v="4"/>
    <n v="23838"/>
    <n v="21475"/>
    <n v="87"/>
    <n v="2363"/>
    <n v="0.110034924330617"/>
    <n v="274"/>
  </r>
  <r>
    <x v="133"/>
    <s v="S017"/>
    <s v="C05"/>
    <x v="16"/>
    <x v="3"/>
    <x v="16"/>
    <x v="3"/>
    <n v="43470"/>
    <n v="46694"/>
    <n v="90"/>
    <n v="-3224"/>
    <n v="-6.9045273482674432E-2"/>
    <n v="483"/>
  </r>
  <r>
    <x v="133"/>
    <s v="S018"/>
    <s v="C05"/>
    <x v="17"/>
    <x v="4"/>
    <x v="17"/>
    <x v="3"/>
    <n v="65987"/>
    <n v="71063"/>
    <n v="151"/>
    <n v="-5076"/>
    <n v="-7.1429576572900097E-2"/>
    <n v="437"/>
  </r>
  <r>
    <x v="133"/>
    <s v="S019"/>
    <s v="C05"/>
    <x v="18"/>
    <x v="5"/>
    <x v="18"/>
    <x v="3"/>
    <n v="33835"/>
    <n v="37662"/>
    <n v="101"/>
    <n v="-3827"/>
    <n v="-0.10161435930115235"/>
    <n v="335"/>
  </r>
  <r>
    <x v="133"/>
    <s v="S020"/>
    <s v="C03"/>
    <x v="19"/>
    <x v="6"/>
    <x v="19"/>
    <x v="4"/>
    <n v="68472"/>
    <n v="71076"/>
    <n v="216"/>
    <n v="-2604"/>
    <n v="-3.663683943947324E-2"/>
    <n v="317"/>
  </r>
  <r>
    <x v="134"/>
    <s v="S001"/>
    <s v="C02"/>
    <x v="0"/>
    <x v="0"/>
    <x v="0"/>
    <x v="1"/>
    <n v="18676"/>
    <n v="19299"/>
    <n v="92"/>
    <n v="-623"/>
    <n v="-3.2281465360899528E-2"/>
    <n v="203"/>
  </r>
  <r>
    <x v="134"/>
    <s v="S002"/>
    <s v="C03"/>
    <x v="1"/>
    <x v="0"/>
    <x v="1"/>
    <x v="4"/>
    <n v="22815"/>
    <n v="21378"/>
    <n v="45"/>
    <n v="1437"/>
    <n v="6.7218635980914959E-2"/>
    <n v="507"/>
  </r>
  <r>
    <x v="134"/>
    <s v="S003"/>
    <s v="C03"/>
    <x v="2"/>
    <x v="0"/>
    <x v="2"/>
    <x v="4"/>
    <n v="21942"/>
    <n v="24538"/>
    <n v="69"/>
    <n v="-2596"/>
    <n v="-0.10579509332463934"/>
    <n v="318"/>
  </r>
  <r>
    <x v="134"/>
    <s v="S004"/>
    <s v="C01"/>
    <x v="3"/>
    <x v="0"/>
    <x v="3"/>
    <x v="0"/>
    <n v="61093"/>
    <n v="70097"/>
    <n v="199"/>
    <n v="-9004"/>
    <n v="-0.12845057563091145"/>
    <n v="307"/>
  </r>
  <r>
    <x v="134"/>
    <s v="S005"/>
    <s v="C02"/>
    <x v="4"/>
    <x v="0"/>
    <x v="4"/>
    <x v="1"/>
    <n v="40869"/>
    <n v="36796"/>
    <n v="171"/>
    <n v="4073"/>
    <n v="0.1106913794977715"/>
    <n v="239"/>
  </r>
  <r>
    <x v="134"/>
    <s v="S006"/>
    <s v="C03"/>
    <x v="5"/>
    <x v="1"/>
    <x v="5"/>
    <x v="4"/>
    <n v="95844"/>
    <n v="109554"/>
    <n v="196"/>
    <n v="-13710"/>
    <n v="-0.12514376471876881"/>
    <n v="489"/>
  </r>
  <r>
    <x v="134"/>
    <s v="S007"/>
    <s v="C03"/>
    <x v="6"/>
    <x v="1"/>
    <x v="6"/>
    <x v="4"/>
    <n v="25816"/>
    <n v="24938"/>
    <n v="56"/>
    <n v="878"/>
    <n v="3.5207314139064881E-2"/>
    <n v="461"/>
  </r>
  <r>
    <x v="134"/>
    <s v="S008"/>
    <s v="C02"/>
    <x v="7"/>
    <x v="1"/>
    <x v="7"/>
    <x v="1"/>
    <n v="68527"/>
    <n v="66726"/>
    <n v="139"/>
    <n v="1801"/>
    <n v="2.6990978029553699E-2"/>
    <n v="493"/>
  </r>
  <r>
    <x v="134"/>
    <s v="S009"/>
    <s v="C01"/>
    <x v="8"/>
    <x v="1"/>
    <x v="8"/>
    <x v="0"/>
    <n v="36075"/>
    <n v="39898"/>
    <n v="195"/>
    <n v="-3823"/>
    <n v="-9.5819339315253896E-2"/>
    <n v="185"/>
  </r>
  <r>
    <x v="134"/>
    <s v="S010"/>
    <s v="C02"/>
    <x v="9"/>
    <x v="1"/>
    <x v="9"/>
    <x v="1"/>
    <n v="28620"/>
    <n v="27589"/>
    <n v="106"/>
    <n v="1031"/>
    <n v="3.7369966290913048E-2"/>
    <n v="270"/>
  </r>
  <r>
    <x v="134"/>
    <s v="S011"/>
    <s v="C01"/>
    <x v="10"/>
    <x v="2"/>
    <x v="10"/>
    <x v="0"/>
    <n v="88752"/>
    <n v="101593"/>
    <n v="172"/>
    <n v="-12841"/>
    <n v="-0.12639650369612079"/>
    <n v="516"/>
  </r>
  <r>
    <x v="134"/>
    <s v="S012"/>
    <s v="C05"/>
    <x v="11"/>
    <x v="2"/>
    <x v="11"/>
    <x v="3"/>
    <n v="23250"/>
    <n v="26421"/>
    <n v="62"/>
    <n v="-3171"/>
    <n v="-0.12001816736686727"/>
    <n v="375"/>
  </r>
  <r>
    <x v="134"/>
    <s v="S013"/>
    <s v="C03"/>
    <x v="12"/>
    <x v="2"/>
    <x v="12"/>
    <x v="4"/>
    <n v="98280"/>
    <n v="103300"/>
    <n v="195"/>
    <n v="-5020"/>
    <n v="-4.8596321393998061E-2"/>
    <n v="504"/>
  </r>
  <r>
    <x v="134"/>
    <s v="S014"/>
    <s v="C02"/>
    <x v="13"/>
    <x v="2"/>
    <x v="13"/>
    <x v="1"/>
    <n v="43216"/>
    <n v="42397"/>
    <n v="148"/>
    <n v="819"/>
    <n v="1.9317404533339622E-2"/>
    <n v="292"/>
  </r>
  <r>
    <x v="134"/>
    <s v="S015"/>
    <s v="C02"/>
    <x v="14"/>
    <x v="2"/>
    <x v="14"/>
    <x v="1"/>
    <n v="91866"/>
    <n v="101230"/>
    <n v="183"/>
    <n v="-9364"/>
    <n v="-9.2502222661266426E-2"/>
    <n v="502"/>
  </r>
  <r>
    <x v="134"/>
    <s v="S016"/>
    <s v="C04"/>
    <x v="15"/>
    <x v="3"/>
    <x v="15"/>
    <x v="2"/>
    <n v="30192"/>
    <n v="28921"/>
    <n v="74"/>
    <n v="1271"/>
    <n v="4.3947304726669204E-2"/>
    <n v="408"/>
  </r>
  <r>
    <x v="134"/>
    <s v="S017"/>
    <s v="C04"/>
    <x v="16"/>
    <x v="3"/>
    <x v="16"/>
    <x v="2"/>
    <n v="32895"/>
    <n v="37024"/>
    <n v="129"/>
    <n v="-4129"/>
    <n v="-0.11152225583405359"/>
    <n v="255"/>
  </r>
  <r>
    <x v="134"/>
    <s v="S018"/>
    <s v="C01"/>
    <x v="17"/>
    <x v="4"/>
    <x v="17"/>
    <x v="0"/>
    <n v="43792"/>
    <n v="44442"/>
    <n v="161"/>
    <n v="-650"/>
    <n v="-1.4625804419243058E-2"/>
    <n v="272"/>
  </r>
  <r>
    <x v="134"/>
    <s v="S019"/>
    <s v="C02"/>
    <x v="18"/>
    <x v="5"/>
    <x v="18"/>
    <x v="1"/>
    <n v="39093"/>
    <n v="39977"/>
    <n v="83"/>
    <n v="-884"/>
    <n v="-2.2112714811016336E-2"/>
    <n v="471"/>
  </r>
  <r>
    <x v="134"/>
    <s v="S020"/>
    <s v="C02"/>
    <x v="19"/>
    <x v="6"/>
    <x v="19"/>
    <x v="1"/>
    <n v="64800"/>
    <n v="58660"/>
    <n v="200"/>
    <n v="6140"/>
    <n v="0.1046709853392431"/>
    <n v="324"/>
  </r>
  <r>
    <x v="135"/>
    <s v="S001"/>
    <s v="C02"/>
    <x v="0"/>
    <x v="0"/>
    <x v="0"/>
    <x v="1"/>
    <n v="30480"/>
    <n v="32669"/>
    <n v="80"/>
    <n v="-2189"/>
    <n v="-6.7005417980348342E-2"/>
    <n v="381"/>
  </r>
  <r>
    <x v="135"/>
    <s v="S002"/>
    <s v="C02"/>
    <x v="1"/>
    <x v="0"/>
    <x v="1"/>
    <x v="1"/>
    <n v="13156"/>
    <n v="12077"/>
    <n v="52"/>
    <n v="1079"/>
    <n v="8.9343379978471471E-2"/>
    <n v="253"/>
  </r>
  <r>
    <x v="135"/>
    <s v="S003"/>
    <s v="C02"/>
    <x v="2"/>
    <x v="0"/>
    <x v="2"/>
    <x v="1"/>
    <n v="77010"/>
    <n v="87991"/>
    <n v="151"/>
    <n v="-10981"/>
    <n v="-0.12479685422372742"/>
    <n v="510"/>
  </r>
  <r>
    <x v="135"/>
    <s v="S004"/>
    <s v="C01"/>
    <x v="3"/>
    <x v="0"/>
    <x v="3"/>
    <x v="0"/>
    <n v="98780"/>
    <n v="92292"/>
    <n v="220"/>
    <n v="6488"/>
    <n v="7.0298617431630045E-2"/>
    <n v="449"/>
  </r>
  <r>
    <x v="135"/>
    <s v="S005"/>
    <s v="C01"/>
    <x v="4"/>
    <x v="0"/>
    <x v="4"/>
    <x v="0"/>
    <n v="43659"/>
    <n v="43417"/>
    <n v="189"/>
    <n v="242"/>
    <n v="5.5738535596655684E-3"/>
    <n v="231"/>
  </r>
  <r>
    <x v="135"/>
    <s v="S006"/>
    <s v="C01"/>
    <x v="5"/>
    <x v="1"/>
    <x v="5"/>
    <x v="0"/>
    <n v="11718"/>
    <n v="12782"/>
    <n v="63"/>
    <n v="-1064"/>
    <n v="-8.3242059145673605E-2"/>
    <n v="186"/>
  </r>
  <r>
    <x v="135"/>
    <s v="S007"/>
    <s v="C01"/>
    <x v="6"/>
    <x v="1"/>
    <x v="6"/>
    <x v="0"/>
    <n v="20876"/>
    <n v="22807"/>
    <n v="68"/>
    <n v="-1931"/>
    <n v="-8.4666988205375548E-2"/>
    <n v="307"/>
  </r>
  <r>
    <x v="135"/>
    <s v="S008"/>
    <s v="C03"/>
    <x v="7"/>
    <x v="1"/>
    <x v="7"/>
    <x v="4"/>
    <n v="35571"/>
    <n v="37346"/>
    <n v="71"/>
    <n v="-1775"/>
    <n v="-4.7528517110266157E-2"/>
    <n v="501"/>
  </r>
  <r>
    <x v="135"/>
    <s v="S009"/>
    <s v="C01"/>
    <x v="8"/>
    <x v="1"/>
    <x v="8"/>
    <x v="0"/>
    <n v="28334"/>
    <n v="30714"/>
    <n v="62"/>
    <n v="-2380"/>
    <n v="-7.7489092921794622E-2"/>
    <n v="457"/>
  </r>
  <r>
    <x v="135"/>
    <s v="S010"/>
    <s v="C03"/>
    <x v="9"/>
    <x v="1"/>
    <x v="9"/>
    <x v="4"/>
    <n v="48168"/>
    <n v="45787"/>
    <n v="216"/>
    <n v="2381"/>
    <n v="5.2001659859785526E-2"/>
    <n v="223"/>
  </r>
  <r>
    <x v="135"/>
    <s v="S011"/>
    <s v="C04"/>
    <x v="10"/>
    <x v="2"/>
    <x v="10"/>
    <x v="2"/>
    <n v="72853"/>
    <n v="80419"/>
    <n v="179"/>
    <n v="-7566"/>
    <n v="-9.4082244245762822E-2"/>
    <n v="407"/>
  </r>
  <r>
    <x v="135"/>
    <s v="S012"/>
    <s v="C03"/>
    <x v="11"/>
    <x v="2"/>
    <x v="11"/>
    <x v="4"/>
    <n v="50575"/>
    <n v="47471"/>
    <n v="119"/>
    <n v="3104"/>
    <n v="6.5387289081755173E-2"/>
    <n v="425"/>
  </r>
  <r>
    <x v="135"/>
    <s v="S013"/>
    <s v="C01"/>
    <x v="12"/>
    <x v="2"/>
    <x v="12"/>
    <x v="0"/>
    <n v="54984"/>
    <n v="58111"/>
    <n v="174"/>
    <n v="-3127"/>
    <n v="-5.3810810345717677E-2"/>
    <n v="316"/>
  </r>
  <r>
    <x v="135"/>
    <s v="S014"/>
    <s v="C01"/>
    <x v="13"/>
    <x v="2"/>
    <x v="13"/>
    <x v="0"/>
    <n v="8080"/>
    <n v="7479"/>
    <n v="40"/>
    <n v="601"/>
    <n v="8.035833667602621E-2"/>
    <n v="202"/>
  </r>
  <r>
    <x v="135"/>
    <s v="S015"/>
    <s v="C03"/>
    <x v="14"/>
    <x v="2"/>
    <x v="14"/>
    <x v="4"/>
    <n v="26901"/>
    <n v="30172"/>
    <n v="61"/>
    <n v="-3271"/>
    <n v="-0.10841177250430863"/>
    <n v="441"/>
  </r>
  <r>
    <x v="135"/>
    <s v="S016"/>
    <s v="C04"/>
    <x v="15"/>
    <x v="3"/>
    <x v="15"/>
    <x v="2"/>
    <n v="12780"/>
    <n v="14416"/>
    <n v="71"/>
    <n v="-1636"/>
    <n v="-0.11348501664816871"/>
    <n v="180"/>
  </r>
  <r>
    <x v="135"/>
    <s v="S017"/>
    <s v="C01"/>
    <x v="16"/>
    <x v="3"/>
    <x v="16"/>
    <x v="0"/>
    <n v="37014"/>
    <n v="36878"/>
    <n v="93"/>
    <n v="136"/>
    <n v="3.6878355659200608E-3"/>
    <n v="398"/>
  </r>
  <r>
    <x v="135"/>
    <s v="S018"/>
    <s v="C03"/>
    <x v="17"/>
    <x v="4"/>
    <x v="17"/>
    <x v="4"/>
    <n v="65852"/>
    <n v="62985"/>
    <n v="202"/>
    <n v="2867"/>
    <n v="4.5518774311343969E-2"/>
    <n v="326"/>
  </r>
  <r>
    <x v="135"/>
    <s v="S019"/>
    <s v="C04"/>
    <x v="18"/>
    <x v="5"/>
    <x v="18"/>
    <x v="2"/>
    <n v="49770"/>
    <n v="50912"/>
    <n v="210"/>
    <n v="-1142"/>
    <n v="-2.2430861093651791E-2"/>
    <n v="237"/>
  </r>
  <r>
    <x v="135"/>
    <s v="S020"/>
    <s v="C01"/>
    <x v="19"/>
    <x v="6"/>
    <x v="19"/>
    <x v="0"/>
    <n v="21344"/>
    <n v="24313"/>
    <n v="92"/>
    <n v="-2969"/>
    <n v="-0.12211574055032287"/>
    <n v="232"/>
  </r>
  <r>
    <x v="136"/>
    <s v="S001"/>
    <s v="C03"/>
    <x v="0"/>
    <x v="0"/>
    <x v="0"/>
    <x v="4"/>
    <n v="27594"/>
    <n v="29081"/>
    <n v="126"/>
    <n v="-1487"/>
    <n v="-5.1133042192496821E-2"/>
    <n v="219"/>
  </r>
  <r>
    <x v="136"/>
    <s v="S002"/>
    <s v="C01"/>
    <x v="1"/>
    <x v="0"/>
    <x v="1"/>
    <x v="0"/>
    <n v="28321"/>
    <n v="31829"/>
    <n v="127"/>
    <n v="-3508"/>
    <n v="-0.11021395582644758"/>
    <n v="223"/>
  </r>
  <r>
    <x v="136"/>
    <s v="S003"/>
    <s v="C05"/>
    <x v="2"/>
    <x v="0"/>
    <x v="2"/>
    <x v="3"/>
    <n v="19783"/>
    <n v="19924"/>
    <n v="73"/>
    <n v="-141"/>
    <n v="-7.0768921903232281E-3"/>
    <n v="271"/>
  </r>
  <r>
    <x v="136"/>
    <s v="S004"/>
    <s v="C03"/>
    <x v="3"/>
    <x v="0"/>
    <x v="3"/>
    <x v="4"/>
    <n v="51136"/>
    <n v="54708"/>
    <n v="188"/>
    <n v="-3572"/>
    <n v="-6.5292096219931275E-2"/>
    <n v="272"/>
  </r>
  <r>
    <x v="136"/>
    <s v="S005"/>
    <s v="C02"/>
    <x v="4"/>
    <x v="0"/>
    <x v="4"/>
    <x v="1"/>
    <n v="68470"/>
    <n v="72317"/>
    <n v="205"/>
    <n v="-3847"/>
    <n v="-5.3196343874884193E-2"/>
    <n v="334"/>
  </r>
  <r>
    <x v="136"/>
    <s v="S006"/>
    <s v="C03"/>
    <x v="5"/>
    <x v="1"/>
    <x v="5"/>
    <x v="4"/>
    <n v="28892"/>
    <n v="27960"/>
    <n v="124"/>
    <n v="932"/>
    <n v="3.3333333333333333E-2"/>
    <n v="233"/>
  </r>
  <r>
    <x v="136"/>
    <s v="S007"/>
    <s v="C04"/>
    <x v="6"/>
    <x v="1"/>
    <x v="6"/>
    <x v="2"/>
    <n v="75072"/>
    <n v="85073"/>
    <n v="204"/>
    <n v="-10001"/>
    <n v="-0.11755786207139751"/>
    <n v="368"/>
  </r>
  <r>
    <x v="136"/>
    <s v="S008"/>
    <s v="C01"/>
    <x v="7"/>
    <x v="1"/>
    <x v="7"/>
    <x v="0"/>
    <n v="8960"/>
    <n v="9806"/>
    <n v="35"/>
    <n v="-846"/>
    <n v="-8.6273709973485616E-2"/>
    <n v="256"/>
  </r>
  <r>
    <x v="136"/>
    <s v="S009"/>
    <s v="C02"/>
    <x v="8"/>
    <x v="1"/>
    <x v="8"/>
    <x v="1"/>
    <n v="29580"/>
    <n v="29510"/>
    <n v="116"/>
    <n v="70"/>
    <n v="2.3720772619451034E-3"/>
    <n v="255"/>
  </r>
  <r>
    <x v="136"/>
    <s v="S010"/>
    <s v="C04"/>
    <x v="9"/>
    <x v="1"/>
    <x v="9"/>
    <x v="2"/>
    <n v="12324"/>
    <n v="12871"/>
    <n v="52"/>
    <n v="-547"/>
    <n v="-4.2498640354284828E-2"/>
    <n v="237"/>
  </r>
  <r>
    <x v="136"/>
    <s v="S011"/>
    <s v="C03"/>
    <x v="10"/>
    <x v="2"/>
    <x v="10"/>
    <x v="4"/>
    <n v="16272"/>
    <n v="15958"/>
    <n v="72"/>
    <n v="314"/>
    <n v="1.9676651209424741E-2"/>
    <n v="226"/>
  </r>
  <r>
    <x v="136"/>
    <s v="S012"/>
    <s v="C02"/>
    <x v="11"/>
    <x v="2"/>
    <x v="11"/>
    <x v="1"/>
    <n v="30537"/>
    <n v="30175"/>
    <n v="81"/>
    <n v="362"/>
    <n v="1.1996685998342999E-2"/>
    <n v="377"/>
  </r>
  <r>
    <x v="136"/>
    <s v="S013"/>
    <s v="C04"/>
    <x v="12"/>
    <x v="2"/>
    <x v="12"/>
    <x v="2"/>
    <n v="60918"/>
    <n v="65386"/>
    <n v="143"/>
    <n v="-4468"/>
    <n v="-6.8332670602269593E-2"/>
    <n v="426"/>
  </r>
  <r>
    <x v="136"/>
    <s v="S014"/>
    <s v="C04"/>
    <x v="13"/>
    <x v="2"/>
    <x v="13"/>
    <x v="2"/>
    <n v="95445"/>
    <n v="93857"/>
    <n v="189"/>
    <n v="1588"/>
    <n v="1.6919356041637811E-2"/>
    <n v="505"/>
  </r>
  <r>
    <x v="136"/>
    <s v="S015"/>
    <s v="C02"/>
    <x v="14"/>
    <x v="2"/>
    <x v="14"/>
    <x v="1"/>
    <n v="52402"/>
    <n v="54358"/>
    <n v="133"/>
    <n v="-1956"/>
    <n v="-3.5983663858125757E-2"/>
    <n v="394"/>
  </r>
  <r>
    <x v="136"/>
    <s v="S016"/>
    <s v="C05"/>
    <x v="15"/>
    <x v="3"/>
    <x v="15"/>
    <x v="3"/>
    <n v="73872"/>
    <n v="76318"/>
    <n v="171"/>
    <n v="-2446"/>
    <n v="-3.205010613485678E-2"/>
    <n v="432"/>
  </r>
  <r>
    <x v="136"/>
    <s v="S017"/>
    <s v="C02"/>
    <x v="16"/>
    <x v="3"/>
    <x v="16"/>
    <x v="1"/>
    <n v="29526"/>
    <n v="30861"/>
    <n v="133"/>
    <n v="-1335"/>
    <n v="-4.3258481578691554E-2"/>
    <n v="222"/>
  </r>
  <r>
    <x v="136"/>
    <s v="S018"/>
    <s v="C04"/>
    <x v="17"/>
    <x v="4"/>
    <x v="17"/>
    <x v="2"/>
    <n v="80275"/>
    <n v="87832"/>
    <n v="169"/>
    <n v="-7557"/>
    <n v="-8.6039256762911007E-2"/>
    <n v="475"/>
  </r>
  <r>
    <x v="136"/>
    <s v="S019"/>
    <s v="C02"/>
    <x v="18"/>
    <x v="5"/>
    <x v="18"/>
    <x v="1"/>
    <n v="47936"/>
    <n v="45960"/>
    <n v="214"/>
    <n v="1976"/>
    <n v="4.2993907745865971E-2"/>
    <n v="224"/>
  </r>
  <r>
    <x v="136"/>
    <s v="S020"/>
    <s v="C01"/>
    <x v="19"/>
    <x v="6"/>
    <x v="19"/>
    <x v="0"/>
    <n v="16356"/>
    <n v="16202"/>
    <n v="87"/>
    <n v="154"/>
    <n v="9.5049993827922476E-3"/>
    <n v="188"/>
  </r>
  <r>
    <x v="137"/>
    <s v="S001"/>
    <s v="C04"/>
    <x v="0"/>
    <x v="0"/>
    <x v="0"/>
    <x v="2"/>
    <n v="16284"/>
    <n v="14898"/>
    <n v="69"/>
    <n v="1386"/>
    <n v="9.3032621828433346E-2"/>
    <n v="236"/>
  </r>
  <r>
    <x v="137"/>
    <s v="S002"/>
    <s v="C03"/>
    <x v="1"/>
    <x v="0"/>
    <x v="1"/>
    <x v="4"/>
    <n v="31877"/>
    <n v="31037"/>
    <n v="127"/>
    <n v="840"/>
    <n v="2.7064471437316752E-2"/>
    <n v="251"/>
  </r>
  <r>
    <x v="137"/>
    <s v="S003"/>
    <s v="C02"/>
    <x v="2"/>
    <x v="0"/>
    <x v="2"/>
    <x v="1"/>
    <n v="69520"/>
    <n v="66782"/>
    <n v="176"/>
    <n v="2738"/>
    <n v="4.0999071606121408E-2"/>
    <n v="395"/>
  </r>
  <r>
    <x v="137"/>
    <s v="S004"/>
    <s v="C02"/>
    <x v="3"/>
    <x v="0"/>
    <x v="3"/>
    <x v="1"/>
    <n v="12250"/>
    <n v="11384"/>
    <n v="49"/>
    <n v="866"/>
    <n v="7.6071679550245963E-2"/>
    <n v="250"/>
  </r>
  <r>
    <x v="137"/>
    <s v="S005"/>
    <s v="C02"/>
    <x v="4"/>
    <x v="0"/>
    <x v="4"/>
    <x v="1"/>
    <n v="25283"/>
    <n v="27154"/>
    <n v="131"/>
    <n v="-1871"/>
    <n v="-6.8903292332621338E-2"/>
    <n v="193"/>
  </r>
  <r>
    <x v="137"/>
    <s v="S006"/>
    <s v="C04"/>
    <x v="5"/>
    <x v="1"/>
    <x v="5"/>
    <x v="2"/>
    <n v="26910"/>
    <n v="28937"/>
    <n v="130"/>
    <n v="-2027"/>
    <n v="-7.0048726543871162E-2"/>
    <n v="207"/>
  </r>
  <r>
    <x v="137"/>
    <s v="S007"/>
    <s v="C05"/>
    <x v="6"/>
    <x v="1"/>
    <x v="6"/>
    <x v="3"/>
    <n v="22472"/>
    <n v="24929"/>
    <n v="53"/>
    <n v="-2457"/>
    <n v="-9.8559910144811261E-2"/>
    <n v="424"/>
  </r>
  <r>
    <x v="137"/>
    <s v="S008"/>
    <s v="C02"/>
    <x v="7"/>
    <x v="1"/>
    <x v="7"/>
    <x v="1"/>
    <n v="10710"/>
    <n v="10616"/>
    <n v="42"/>
    <n v="94"/>
    <n v="8.8545591559909577E-3"/>
    <n v="255"/>
  </r>
  <r>
    <x v="137"/>
    <s v="S009"/>
    <s v="C01"/>
    <x v="8"/>
    <x v="1"/>
    <x v="8"/>
    <x v="0"/>
    <n v="21243"/>
    <n v="19184"/>
    <n v="97"/>
    <n v="2059"/>
    <n v="0.10732902418682236"/>
    <n v="219"/>
  </r>
  <r>
    <x v="137"/>
    <s v="S010"/>
    <s v="C04"/>
    <x v="9"/>
    <x v="1"/>
    <x v="9"/>
    <x v="2"/>
    <n v="19929"/>
    <n v="20276"/>
    <n v="73"/>
    <n v="-347"/>
    <n v="-1.7113829157624778E-2"/>
    <n v="273"/>
  </r>
  <r>
    <x v="137"/>
    <s v="S011"/>
    <s v="C02"/>
    <x v="10"/>
    <x v="2"/>
    <x v="10"/>
    <x v="1"/>
    <n v="56610"/>
    <n v="57603"/>
    <n v="170"/>
    <n v="-993"/>
    <n v="-1.7238685485130984E-2"/>
    <n v="333"/>
  </r>
  <r>
    <x v="137"/>
    <s v="S012"/>
    <s v="C03"/>
    <x v="11"/>
    <x v="2"/>
    <x v="11"/>
    <x v="4"/>
    <n v="75480"/>
    <n v="81051"/>
    <n v="148"/>
    <n v="-5571"/>
    <n v="-6.873450049968538E-2"/>
    <n v="510"/>
  </r>
  <r>
    <x v="137"/>
    <s v="S013"/>
    <s v="C03"/>
    <x v="12"/>
    <x v="2"/>
    <x v="12"/>
    <x v="4"/>
    <n v="16317"/>
    <n v="14930"/>
    <n v="63"/>
    <n v="1387"/>
    <n v="9.2900200937709315E-2"/>
    <n v="259"/>
  </r>
  <r>
    <x v="137"/>
    <s v="S014"/>
    <s v="C01"/>
    <x v="13"/>
    <x v="2"/>
    <x v="13"/>
    <x v="0"/>
    <n v="50652"/>
    <n v="51960"/>
    <n v="189"/>
    <n v="-1308"/>
    <n v="-2.5173210161662816E-2"/>
    <n v="268"/>
  </r>
  <r>
    <x v="137"/>
    <s v="S015"/>
    <s v="C01"/>
    <x v="14"/>
    <x v="2"/>
    <x v="14"/>
    <x v="0"/>
    <n v="53856"/>
    <n v="57624"/>
    <n v="136"/>
    <n v="-3768"/>
    <n v="-6.538942107455227E-2"/>
    <n v="396"/>
  </r>
  <r>
    <x v="137"/>
    <s v="S016"/>
    <s v="C04"/>
    <x v="15"/>
    <x v="3"/>
    <x v="15"/>
    <x v="2"/>
    <n v="54912"/>
    <n v="62038"/>
    <n v="176"/>
    <n v="-7126"/>
    <n v="-0.11486508269125374"/>
    <n v="312"/>
  </r>
  <r>
    <x v="137"/>
    <s v="S017"/>
    <s v="C05"/>
    <x v="16"/>
    <x v="3"/>
    <x v="16"/>
    <x v="3"/>
    <n v="33448"/>
    <n v="33645"/>
    <n v="113"/>
    <n v="-197"/>
    <n v="-5.8552533808886907E-3"/>
    <n v="296"/>
  </r>
  <r>
    <x v="137"/>
    <s v="S018"/>
    <s v="C02"/>
    <x v="17"/>
    <x v="4"/>
    <x v="17"/>
    <x v="1"/>
    <n v="23608"/>
    <n v="24325"/>
    <n v="104"/>
    <n v="-717"/>
    <n v="-2.9475847893114079E-2"/>
    <n v="227"/>
  </r>
  <r>
    <x v="137"/>
    <s v="S019"/>
    <s v="C02"/>
    <x v="18"/>
    <x v="5"/>
    <x v="18"/>
    <x v="1"/>
    <n v="34265"/>
    <n v="36141"/>
    <n v="89"/>
    <n v="-1876"/>
    <n v="-5.1907805539415069E-2"/>
    <n v="385"/>
  </r>
  <r>
    <x v="137"/>
    <s v="S020"/>
    <s v="C02"/>
    <x v="19"/>
    <x v="6"/>
    <x v="19"/>
    <x v="1"/>
    <n v="36990"/>
    <n v="40897"/>
    <n v="135"/>
    <n v="-3907"/>
    <n v="-9.5532679658654668E-2"/>
    <n v="274"/>
  </r>
  <r>
    <x v="138"/>
    <s v="S001"/>
    <s v="C05"/>
    <x v="0"/>
    <x v="0"/>
    <x v="0"/>
    <x v="3"/>
    <n v="41391"/>
    <n v="45701"/>
    <n v="189"/>
    <n v="-4310"/>
    <n v="-9.4308658453863159E-2"/>
    <n v="219"/>
  </r>
  <r>
    <x v="138"/>
    <s v="S002"/>
    <s v="C04"/>
    <x v="1"/>
    <x v="0"/>
    <x v="1"/>
    <x v="2"/>
    <n v="53380"/>
    <n v="56752"/>
    <n v="157"/>
    <n v="-3372"/>
    <n v="-5.9416408232308995E-2"/>
    <n v="340"/>
  </r>
  <r>
    <x v="138"/>
    <s v="S003"/>
    <s v="C04"/>
    <x v="2"/>
    <x v="0"/>
    <x v="2"/>
    <x v="2"/>
    <n v="34848"/>
    <n v="31839"/>
    <n v="132"/>
    <n v="3009"/>
    <n v="9.450673702063507E-2"/>
    <n v="264"/>
  </r>
  <r>
    <x v="138"/>
    <s v="S004"/>
    <s v="C03"/>
    <x v="3"/>
    <x v="0"/>
    <x v="3"/>
    <x v="4"/>
    <n v="79400"/>
    <n v="75325"/>
    <n v="200"/>
    <n v="4075"/>
    <n v="5.4098904746100233E-2"/>
    <n v="397"/>
  </r>
  <r>
    <x v="138"/>
    <s v="S005"/>
    <s v="C01"/>
    <x v="4"/>
    <x v="0"/>
    <x v="4"/>
    <x v="0"/>
    <n v="13359"/>
    <n v="13234"/>
    <n v="61"/>
    <n v="125"/>
    <n v="9.4453679915369494E-3"/>
    <n v="219"/>
  </r>
  <r>
    <x v="138"/>
    <s v="S006"/>
    <s v="C03"/>
    <x v="5"/>
    <x v="1"/>
    <x v="5"/>
    <x v="4"/>
    <n v="12684"/>
    <n v="12310"/>
    <n v="42"/>
    <n v="374"/>
    <n v="3.0381803411860277E-2"/>
    <n v="302"/>
  </r>
  <r>
    <x v="138"/>
    <s v="S007"/>
    <s v="C05"/>
    <x v="6"/>
    <x v="1"/>
    <x v="6"/>
    <x v="3"/>
    <n v="13206"/>
    <n v="12585"/>
    <n v="62"/>
    <n v="621"/>
    <n v="4.9344457687723484E-2"/>
    <n v="213"/>
  </r>
  <r>
    <x v="138"/>
    <s v="S008"/>
    <s v="C01"/>
    <x v="7"/>
    <x v="1"/>
    <x v="7"/>
    <x v="0"/>
    <n v="31464"/>
    <n v="32657"/>
    <n v="114"/>
    <n v="-1193"/>
    <n v="-3.6531218421777874E-2"/>
    <n v="276"/>
  </r>
  <r>
    <x v="138"/>
    <s v="S009"/>
    <s v="C01"/>
    <x v="8"/>
    <x v="1"/>
    <x v="8"/>
    <x v="0"/>
    <n v="30432"/>
    <n v="28035"/>
    <n v="96"/>
    <n v="2397"/>
    <n v="8.5500267522739426E-2"/>
    <n v="317"/>
  </r>
  <r>
    <x v="138"/>
    <s v="S010"/>
    <s v="C05"/>
    <x v="9"/>
    <x v="1"/>
    <x v="9"/>
    <x v="3"/>
    <n v="36158"/>
    <n v="37638"/>
    <n v="179"/>
    <n v="-1480"/>
    <n v="-3.9321961847069452E-2"/>
    <n v="202"/>
  </r>
  <r>
    <x v="138"/>
    <s v="S011"/>
    <s v="C04"/>
    <x v="10"/>
    <x v="2"/>
    <x v="10"/>
    <x v="2"/>
    <n v="9384"/>
    <n v="9183"/>
    <n v="46"/>
    <n v="201"/>
    <n v="2.1888271806599149E-2"/>
    <n v="204"/>
  </r>
  <r>
    <x v="138"/>
    <s v="S012"/>
    <s v="C03"/>
    <x v="11"/>
    <x v="2"/>
    <x v="11"/>
    <x v="4"/>
    <n v="13394"/>
    <n v="14571"/>
    <n v="37"/>
    <n v="-1177"/>
    <n v="-8.0776885594674358E-2"/>
    <n v="362"/>
  </r>
  <r>
    <x v="138"/>
    <s v="S013"/>
    <s v="C04"/>
    <x v="12"/>
    <x v="2"/>
    <x v="12"/>
    <x v="2"/>
    <n v="45477"/>
    <n v="44504"/>
    <n v="163"/>
    <n v="973"/>
    <n v="2.1863203307567858E-2"/>
    <n v="279"/>
  </r>
  <r>
    <x v="138"/>
    <s v="S014"/>
    <s v="C04"/>
    <x v="13"/>
    <x v="2"/>
    <x v="13"/>
    <x v="2"/>
    <n v="79640"/>
    <n v="91065"/>
    <n v="220"/>
    <n v="-11425"/>
    <n v="-0.12545983638060726"/>
    <n v="362"/>
  </r>
  <r>
    <x v="138"/>
    <s v="S015"/>
    <s v="C01"/>
    <x v="14"/>
    <x v="2"/>
    <x v="14"/>
    <x v="0"/>
    <n v="46172"/>
    <n v="51903"/>
    <n v="119"/>
    <n v="-5731"/>
    <n v="-0.11041750958518776"/>
    <n v="388"/>
  </r>
  <r>
    <x v="138"/>
    <s v="S016"/>
    <s v="C05"/>
    <x v="15"/>
    <x v="3"/>
    <x v="15"/>
    <x v="3"/>
    <n v="26220"/>
    <n v="28891"/>
    <n v="60"/>
    <n v="-2671"/>
    <n v="-9.2450936277733556E-2"/>
    <n v="437"/>
  </r>
  <r>
    <x v="138"/>
    <s v="S017"/>
    <s v="C02"/>
    <x v="16"/>
    <x v="3"/>
    <x v="16"/>
    <x v="1"/>
    <n v="19680"/>
    <n v="21628"/>
    <n v="41"/>
    <n v="-1948"/>
    <n v="-9.0068429813205106E-2"/>
    <n v="480"/>
  </r>
  <r>
    <x v="138"/>
    <s v="S018"/>
    <s v="C04"/>
    <x v="17"/>
    <x v="4"/>
    <x v="17"/>
    <x v="2"/>
    <n v="36815"/>
    <n v="35803"/>
    <n v="185"/>
    <n v="1012"/>
    <n v="2.8265787783146663E-2"/>
    <n v="199"/>
  </r>
  <r>
    <x v="138"/>
    <s v="S019"/>
    <s v="C02"/>
    <x v="18"/>
    <x v="5"/>
    <x v="18"/>
    <x v="1"/>
    <n v="87153"/>
    <n v="80153"/>
    <n v="209"/>
    <n v="7000"/>
    <n v="8.7332975684004346E-2"/>
    <n v="417"/>
  </r>
  <r>
    <x v="138"/>
    <s v="S020"/>
    <s v="C01"/>
    <x v="19"/>
    <x v="6"/>
    <x v="19"/>
    <x v="0"/>
    <n v="64964"/>
    <n v="72831"/>
    <n v="218"/>
    <n v="-7867"/>
    <n v="-0.10801719048207493"/>
    <n v="298"/>
  </r>
  <r>
    <x v="139"/>
    <s v="S001"/>
    <s v="C02"/>
    <x v="0"/>
    <x v="0"/>
    <x v="0"/>
    <x v="1"/>
    <n v="57116"/>
    <n v="65589"/>
    <n v="218"/>
    <n v="-8473"/>
    <n v="-0.12918324719083993"/>
    <n v="262"/>
  </r>
  <r>
    <x v="139"/>
    <s v="S002"/>
    <s v="C05"/>
    <x v="1"/>
    <x v="0"/>
    <x v="1"/>
    <x v="3"/>
    <n v="81997"/>
    <n v="87150"/>
    <n v="167"/>
    <n v="-5153"/>
    <n v="-5.9127940332759608E-2"/>
    <n v="491"/>
  </r>
  <r>
    <x v="139"/>
    <s v="S003"/>
    <s v="C03"/>
    <x v="2"/>
    <x v="0"/>
    <x v="2"/>
    <x v="4"/>
    <n v="36803"/>
    <n v="36241"/>
    <n v="149"/>
    <n v="562"/>
    <n v="1.5507298363731685E-2"/>
    <n v="247"/>
  </r>
  <r>
    <x v="139"/>
    <s v="S004"/>
    <s v="C03"/>
    <x v="3"/>
    <x v="0"/>
    <x v="3"/>
    <x v="4"/>
    <n v="77600"/>
    <n v="70616"/>
    <n v="194"/>
    <n v="6984"/>
    <n v="9.8901098901098897E-2"/>
    <n v="400"/>
  </r>
  <r>
    <x v="139"/>
    <s v="S005"/>
    <s v="C04"/>
    <x v="4"/>
    <x v="0"/>
    <x v="4"/>
    <x v="2"/>
    <n v="27456"/>
    <n v="31553"/>
    <n v="96"/>
    <n v="-4097"/>
    <n v="-0.12984502266028586"/>
    <n v="286"/>
  </r>
  <r>
    <x v="139"/>
    <s v="S006"/>
    <s v="C05"/>
    <x v="5"/>
    <x v="1"/>
    <x v="5"/>
    <x v="3"/>
    <n v="13932"/>
    <n v="14513"/>
    <n v="54"/>
    <n v="-581"/>
    <n v="-4.003307379590712E-2"/>
    <n v="258"/>
  </r>
  <r>
    <x v="139"/>
    <s v="S007"/>
    <s v="C04"/>
    <x v="6"/>
    <x v="1"/>
    <x v="6"/>
    <x v="2"/>
    <n v="11033"/>
    <n v="10323"/>
    <n v="59"/>
    <n v="710"/>
    <n v="6.8778455875230071E-2"/>
    <n v="187"/>
  </r>
  <r>
    <x v="139"/>
    <s v="S008"/>
    <s v="C03"/>
    <x v="7"/>
    <x v="1"/>
    <x v="7"/>
    <x v="4"/>
    <n v="39200"/>
    <n v="40169"/>
    <n v="175"/>
    <n v="-969"/>
    <n v="-2.4123079987054694E-2"/>
    <n v="224"/>
  </r>
  <r>
    <x v="139"/>
    <s v="S009"/>
    <s v="C04"/>
    <x v="8"/>
    <x v="1"/>
    <x v="8"/>
    <x v="2"/>
    <n v="30590"/>
    <n v="34674"/>
    <n v="115"/>
    <n v="-4084"/>
    <n v="-0.11778277672030917"/>
    <n v="266"/>
  </r>
  <r>
    <x v="139"/>
    <s v="S010"/>
    <s v="C02"/>
    <x v="9"/>
    <x v="1"/>
    <x v="9"/>
    <x v="1"/>
    <n v="16796"/>
    <n v="17537"/>
    <n v="52"/>
    <n v="-741"/>
    <n v="-4.2253521126760563E-2"/>
    <n v="323"/>
  </r>
  <r>
    <x v="139"/>
    <s v="S011"/>
    <s v="C03"/>
    <x v="10"/>
    <x v="2"/>
    <x v="10"/>
    <x v="4"/>
    <n v="12312"/>
    <n v="11632"/>
    <n v="57"/>
    <n v="680"/>
    <n v="5.8459422283356259E-2"/>
    <n v="216"/>
  </r>
  <r>
    <x v="139"/>
    <s v="S012"/>
    <s v="C04"/>
    <x v="11"/>
    <x v="2"/>
    <x v="11"/>
    <x v="2"/>
    <n v="42622"/>
    <n v="48786"/>
    <n v="101"/>
    <n v="-6164"/>
    <n v="-0.12634772270733408"/>
    <n v="422"/>
  </r>
  <r>
    <x v="139"/>
    <s v="S013"/>
    <s v="C04"/>
    <x v="12"/>
    <x v="2"/>
    <x v="12"/>
    <x v="2"/>
    <n v="50451"/>
    <n v="57259"/>
    <n v="201"/>
    <n v="-6808"/>
    <n v="-0.11889833912572696"/>
    <n v="251"/>
  </r>
  <r>
    <x v="139"/>
    <s v="S014"/>
    <s v="C05"/>
    <x v="13"/>
    <x v="2"/>
    <x v="13"/>
    <x v="3"/>
    <n v="31800"/>
    <n v="31509"/>
    <n v="159"/>
    <n v="291"/>
    <n v="9.235456536227744E-3"/>
    <n v="200"/>
  </r>
  <r>
    <x v="139"/>
    <s v="S015"/>
    <s v="C03"/>
    <x v="14"/>
    <x v="2"/>
    <x v="14"/>
    <x v="4"/>
    <n v="53293"/>
    <n v="59381"/>
    <n v="137"/>
    <n v="-6088"/>
    <n v="-0.10252437648406056"/>
    <n v="389"/>
  </r>
  <r>
    <x v="139"/>
    <s v="S016"/>
    <s v="C02"/>
    <x v="15"/>
    <x v="3"/>
    <x v="15"/>
    <x v="1"/>
    <n v="53949"/>
    <n v="55466"/>
    <n v="147"/>
    <n v="-1517"/>
    <n v="-2.7350088342407961E-2"/>
    <n v="367"/>
  </r>
  <r>
    <x v="139"/>
    <s v="S017"/>
    <s v="C05"/>
    <x v="16"/>
    <x v="3"/>
    <x v="16"/>
    <x v="3"/>
    <n v="42665"/>
    <n v="39289"/>
    <n v="115"/>
    <n v="3376"/>
    <n v="8.5927358802718318E-2"/>
    <n v="371"/>
  </r>
  <r>
    <x v="139"/>
    <s v="S018"/>
    <s v="C04"/>
    <x v="17"/>
    <x v="4"/>
    <x v="17"/>
    <x v="2"/>
    <n v="67240"/>
    <n v="64934"/>
    <n v="164"/>
    <n v="2306"/>
    <n v="3.5512982412911571E-2"/>
    <n v="410"/>
  </r>
  <r>
    <x v="139"/>
    <s v="S019"/>
    <s v="C01"/>
    <x v="18"/>
    <x v="5"/>
    <x v="18"/>
    <x v="0"/>
    <n v="98237"/>
    <n v="89814"/>
    <n v="193"/>
    <n v="8423"/>
    <n v="9.3782706482285608E-2"/>
    <n v="509"/>
  </r>
  <r>
    <x v="139"/>
    <s v="S020"/>
    <s v="C02"/>
    <x v="19"/>
    <x v="6"/>
    <x v="19"/>
    <x v="1"/>
    <n v="99938"/>
    <n v="90142"/>
    <n v="214"/>
    <n v="9796"/>
    <n v="0.10867298262741008"/>
    <n v="467"/>
  </r>
  <r>
    <x v="140"/>
    <s v="S001"/>
    <s v="C01"/>
    <x v="0"/>
    <x v="0"/>
    <x v="0"/>
    <x v="0"/>
    <n v="40548"/>
    <n v="38096"/>
    <n v="109"/>
    <n v="2452"/>
    <n v="6.4363712725745481E-2"/>
    <n v="372"/>
  </r>
  <r>
    <x v="140"/>
    <s v="S002"/>
    <s v="C04"/>
    <x v="1"/>
    <x v="0"/>
    <x v="1"/>
    <x v="2"/>
    <n v="15582"/>
    <n v="15536"/>
    <n v="53"/>
    <n v="46"/>
    <n v="2.96086508753862E-3"/>
    <n v="294"/>
  </r>
  <r>
    <x v="140"/>
    <s v="S003"/>
    <s v="C04"/>
    <x v="2"/>
    <x v="0"/>
    <x v="2"/>
    <x v="2"/>
    <n v="46762"/>
    <n v="46165"/>
    <n v="206"/>
    <n v="597"/>
    <n v="1.2931874796924077E-2"/>
    <n v="227"/>
  </r>
  <r>
    <x v="140"/>
    <s v="S004"/>
    <s v="C04"/>
    <x v="3"/>
    <x v="0"/>
    <x v="3"/>
    <x v="2"/>
    <n v="90147"/>
    <n v="101418"/>
    <n v="199"/>
    <n v="-11271"/>
    <n v="-0.11113411820386913"/>
    <n v="453"/>
  </r>
  <r>
    <x v="140"/>
    <s v="S005"/>
    <s v="C04"/>
    <x v="4"/>
    <x v="0"/>
    <x v="4"/>
    <x v="2"/>
    <n v="13826"/>
    <n v="13066"/>
    <n v="62"/>
    <n v="760"/>
    <n v="5.8166232971069952E-2"/>
    <n v="223"/>
  </r>
  <r>
    <x v="140"/>
    <s v="S006"/>
    <s v="C01"/>
    <x v="5"/>
    <x v="1"/>
    <x v="5"/>
    <x v="0"/>
    <n v="54536"/>
    <n v="51801"/>
    <n v="136"/>
    <n v="2735"/>
    <n v="5.2798208528792884E-2"/>
    <n v="401"/>
  </r>
  <r>
    <x v="140"/>
    <s v="S007"/>
    <s v="C03"/>
    <x v="6"/>
    <x v="1"/>
    <x v="6"/>
    <x v="4"/>
    <n v="17442"/>
    <n v="17190"/>
    <n v="51"/>
    <n v="252"/>
    <n v="1.4659685863874346E-2"/>
    <n v="342"/>
  </r>
  <r>
    <x v="140"/>
    <s v="S008"/>
    <s v="C05"/>
    <x v="7"/>
    <x v="1"/>
    <x v="7"/>
    <x v="3"/>
    <n v="45792"/>
    <n v="49252"/>
    <n v="159"/>
    <n v="-3460"/>
    <n v="-7.0250954275968489E-2"/>
    <n v="288"/>
  </r>
  <r>
    <x v="140"/>
    <s v="S009"/>
    <s v="C04"/>
    <x v="8"/>
    <x v="1"/>
    <x v="8"/>
    <x v="2"/>
    <n v="20608"/>
    <n v="20889"/>
    <n v="64"/>
    <n v="-281"/>
    <n v="-1.3452056106084543E-2"/>
    <n v="322"/>
  </r>
  <r>
    <x v="140"/>
    <s v="S010"/>
    <s v="C05"/>
    <x v="9"/>
    <x v="1"/>
    <x v="9"/>
    <x v="3"/>
    <n v="31080"/>
    <n v="29102"/>
    <n v="74"/>
    <n v="1978"/>
    <n v="6.7967837262043848E-2"/>
    <n v="420"/>
  </r>
  <r>
    <x v="140"/>
    <s v="S011"/>
    <s v="C02"/>
    <x v="10"/>
    <x v="2"/>
    <x v="10"/>
    <x v="1"/>
    <n v="54520"/>
    <n v="49494"/>
    <n v="116"/>
    <n v="5026"/>
    <n v="0.10154766234291025"/>
    <n v="470"/>
  </r>
  <r>
    <x v="140"/>
    <s v="S012"/>
    <s v="C05"/>
    <x v="11"/>
    <x v="2"/>
    <x v="11"/>
    <x v="3"/>
    <n v="27852"/>
    <n v="31587"/>
    <n v="132"/>
    <n v="-3735"/>
    <n v="-0.11824484756387121"/>
    <n v="211"/>
  </r>
  <r>
    <x v="140"/>
    <s v="S013"/>
    <s v="C03"/>
    <x v="12"/>
    <x v="2"/>
    <x v="12"/>
    <x v="4"/>
    <n v="61190"/>
    <n v="58335"/>
    <n v="145"/>
    <n v="2855"/>
    <n v="4.8941458815462413E-2"/>
    <n v="422"/>
  </r>
  <r>
    <x v="140"/>
    <s v="S014"/>
    <s v="C02"/>
    <x v="13"/>
    <x v="2"/>
    <x v="13"/>
    <x v="1"/>
    <n v="15840"/>
    <n v="15324"/>
    <n v="40"/>
    <n v="516"/>
    <n v="3.3672670321064996E-2"/>
    <n v="396"/>
  </r>
  <r>
    <x v="140"/>
    <s v="S015"/>
    <s v="C02"/>
    <x v="14"/>
    <x v="2"/>
    <x v="14"/>
    <x v="1"/>
    <n v="14112"/>
    <n v="12945"/>
    <n v="56"/>
    <n v="1167"/>
    <n v="9.0150637311703363E-2"/>
    <n v="252"/>
  </r>
  <r>
    <x v="140"/>
    <s v="S016"/>
    <s v="C04"/>
    <x v="15"/>
    <x v="3"/>
    <x v="15"/>
    <x v="2"/>
    <n v="18260"/>
    <n v="20422"/>
    <n v="55"/>
    <n v="-2162"/>
    <n v="-0.10586622270100872"/>
    <n v="332"/>
  </r>
  <r>
    <x v="140"/>
    <s v="S017"/>
    <s v="C04"/>
    <x v="16"/>
    <x v="3"/>
    <x v="16"/>
    <x v="2"/>
    <n v="63616"/>
    <n v="60659"/>
    <n v="142"/>
    <n v="2957"/>
    <n v="4.8747918693021648E-2"/>
    <n v="448"/>
  </r>
  <r>
    <x v="140"/>
    <s v="S018"/>
    <s v="C03"/>
    <x v="17"/>
    <x v="4"/>
    <x v="17"/>
    <x v="4"/>
    <n v="16974"/>
    <n v="15668"/>
    <n v="82"/>
    <n v="1306"/>
    <n v="8.3354608118458004E-2"/>
    <n v="207"/>
  </r>
  <r>
    <x v="140"/>
    <s v="S019"/>
    <s v="C04"/>
    <x v="18"/>
    <x v="5"/>
    <x v="18"/>
    <x v="2"/>
    <n v="40504"/>
    <n v="38119"/>
    <n v="122"/>
    <n v="2385"/>
    <n v="6.2567223694220728E-2"/>
    <n v="332"/>
  </r>
  <r>
    <x v="140"/>
    <s v="S020"/>
    <s v="C03"/>
    <x v="19"/>
    <x v="6"/>
    <x v="19"/>
    <x v="4"/>
    <n v="60492"/>
    <n v="61633"/>
    <n v="142"/>
    <n v="-1141"/>
    <n v="-1.851280969610436E-2"/>
    <n v="426"/>
  </r>
  <r>
    <x v="141"/>
    <s v="S001"/>
    <s v="C02"/>
    <x v="0"/>
    <x v="0"/>
    <x v="0"/>
    <x v="1"/>
    <n v="85839"/>
    <n v="84866"/>
    <n v="213"/>
    <n v="973"/>
    <n v="1.1465133268918059E-2"/>
    <n v="403"/>
  </r>
  <r>
    <x v="141"/>
    <s v="S002"/>
    <s v="C05"/>
    <x v="1"/>
    <x v="0"/>
    <x v="1"/>
    <x v="3"/>
    <n v="24790"/>
    <n v="25787"/>
    <n v="134"/>
    <n v="-997"/>
    <n v="-3.8662892154961805E-2"/>
    <n v="185"/>
  </r>
  <r>
    <x v="141"/>
    <s v="S003"/>
    <s v="C05"/>
    <x v="2"/>
    <x v="0"/>
    <x v="2"/>
    <x v="3"/>
    <n v="18615"/>
    <n v="20116"/>
    <n v="85"/>
    <n v="-1501"/>
    <n v="-7.461722012328495E-2"/>
    <n v="219"/>
  </r>
  <r>
    <x v="141"/>
    <s v="S004"/>
    <s v="C05"/>
    <x v="3"/>
    <x v="0"/>
    <x v="3"/>
    <x v="3"/>
    <n v="48768"/>
    <n v="47838"/>
    <n v="192"/>
    <n v="930"/>
    <n v="1.9440612065721809E-2"/>
    <n v="254"/>
  </r>
  <r>
    <x v="141"/>
    <s v="S005"/>
    <s v="C03"/>
    <x v="4"/>
    <x v="0"/>
    <x v="4"/>
    <x v="4"/>
    <n v="9766"/>
    <n v="10978"/>
    <n v="38"/>
    <n v="-1212"/>
    <n v="-0.11040262342867553"/>
    <n v="257"/>
  </r>
  <r>
    <x v="141"/>
    <s v="S006"/>
    <s v="C02"/>
    <x v="5"/>
    <x v="1"/>
    <x v="5"/>
    <x v="1"/>
    <n v="55404"/>
    <n v="51437"/>
    <n v="162"/>
    <n v="3967"/>
    <n v="7.7123471431071025E-2"/>
    <n v="342"/>
  </r>
  <r>
    <x v="141"/>
    <s v="S007"/>
    <s v="C04"/>
    <x v="6"/>
    <x v="1"/>
    <x v="6"/>
    <x v="2"/>
    <n v="45492"/>
    <n v="49157"/>
    <n v="102"/>
    <n v="-3665"/>
    <n v="-7.4557031551966149E-2"/>
    <n v="446"/>
  </r>
  <r>
    <x v="141"/>
    <s v="S008"/>
    <s v="C04"/>
    <x v="7"/>
    <x v="1"/>
    <x v="7"/>
    <x v="2"/>
    <n v="33768"/>
    <n v="34184"/>
    <n v="67"/>
    <n v="-416"/>
    <n v="-1.2169435993447227E-2"/>
    <n v="504"/>
  </r>
  <r>
    <x v="141"/>
    <s v="S009"/>
    <s v="C05"/>
    <x v="8"/>
    <x v="1"/>
    <x v="8"/>
    <x v="3"/>
    <n v="11682"/>
    <n v="11152"/>
    <n v="59"/>
    <n v="530"/>
    <n v="4.7525107604017215E-2"/>
    <n v="198"/>
  </r>
  <r>
    <x v="141"/>
    <s v="S010"/>
    <s v="C02"/>
    <x v="9"/>
    <x v="1"/>
    <x v="9"/>
    <x v="1"/>
    <n v="65178"/>
    <n v="71278"/>
    <n v="142"/>
    <n v="-6100"/>
    <n v="-8.5580403490558093E-2"/>
    <n v="459"/>
  </r>
  <r>
    <x v="141"/>
    <s v="S011"/>
    <s v="C05"/>
    <x v="10"/>
    <x v="2"/>
    <x v="10"/>
    <x v="3"/>
    <n v="37990"/>
    <n v="37496"/>
    <n v="131"/>
    <n v="494"/>
    <n v="1.3174738638788137E-2"/>
    <n v="290"/>
  </r>
  <r>
    <x v="141"/>
    <s v="S012"/>
    <s v="C02"/>
    <x v="11"/>
    <x v="2"/>
    <x v="11"/>
    <x v="1"/>
    <n v="98800"/>
    <n v="112511"/>
    <n v="208"/>
    <n v="-13711"/>
    <n v="-0.12186363999964447"/>
    <n v="475"/>
  </r>
  <r>
    <x v="141"/>
    <s v="S013"/>
    <s v="C03"/>
    <x v="12"/>
    <x v="2"/>
    <x v="12"/>
    <x v="4"/>
    <n v="24064"/>
    <n v="23474"/>
    <n v="128"/>
    <n v="590"/>
    <n v="2.5134191019851752E-2"/>
    <n v="188"/>
  </r>
  <r>
    <x v="141"/>
    <s v="S014"/>
    <s v="C03"/>
    <x v="13"/>
    <x v="2"/>
    <x v="13"/>
    <x v="4"/>
    <n v="39609"/>
    <n v="42572"/>
    <n v="163"/>
    <n v="-2963"/>
    <n v="-6.9599736916283003E-2"/>
    <n v="243"/>
  </r>
  <r>
    <x v="141"/>
    <s v="S015"/>
    <s v="C04"/>
    <x v="14"/>
    <x v="2"/>
    <x v="14"/>
    <x v="2"/>
    <n v="54600"/>
    <n v="53941"/>
    <n v="140"/>
    <n v="659"/>
    <n v="1.2217051964183089E-2"/>
    <n v="390"/>
  </r>
  <r>
    <x v="141"/>
    <s v="S016"/>
    <s v="C05"/>
    <x v="15"/>
    <x v="3"/>
    <x v="15"/>
    <x v="3"/>
    <n v="64368"/>
    <n v="73605"/>
    <n v="144"/>
    <n v="-9237"/>
    <n v="-0.12549419197065417"/>
    <n v="447"/>
  </r>
  <r>
    <x v="141"/>
    <s v="S017"/>
    <s v="C03"/>
    <x v="16"/>
    <x v="3"/>
    <x v="16"/>
    <x v="4"/>
    <n v="17280"/>
    <n v="17534"/>
    <n v="64"/>
    <n v="-254"/>
    <n v="-1.4486141211360784E-2"/>
    <n v="270"/>
  </r>
  <r>
    <x v="141"/>
    <s v="S018"/>
    <s v="C03"/>
    <x v="17"/>
    <x v="4"/>
    <x v="17"/>
    <x v="4"/>
    <n v="37040"/>
    <n v="38844"/>
    <n v="80"/>
    <n v="-1804"/>
    <n v="-4.6442178972299457E-2"/>
    <n v="463"/>
  </r>
  <r>
    <x v="141"/>
    <s v="S019"/>
    <s v="C05"/>
    <x v="18"/>
    <x v="5"/>
    <x v="18"/>
    <x v="3"/>
    <n v="54750"/>
    <n v="53176"/>
    <n v="146"/>
    <n v="1574"/>
    <n v="2.9599819467428914E-2"/>
    <n v="375"/>
  </r>
  <r>
    <x v="141"/>
    <s v="S020"/>
    <s v="C04"/>
    <x v="19"/>
    <x v="6"/>
    <x v="19"/>
    <x v="2"/>
    <n v="64025"/>
    <n v="68860"/>
    <n v="197"/>
    <n v="-4835"/>
    <n v="-7.0214928841126928E-2"/>
    <n v="325"/>
  </r>
  <r>
    <x v="142"/>
    <s v="S001"/>
    <s v="C01"/>
    <x v="0"/>
    <x v="0"/>
    <x v="0"/>
    <x v="0"/>
    <n v="13281"/>
    <n v="12250"/>
    <n v="57"/>
    <n v="1031"/>
    <n v="8.4163265306122448E-2"/>
    <n v="233"/>
  </r>
  <r>
    <x v="142"/>
    <s v="S002"/>
    <s v="C01"/>
    <x v="1"/>
    <x v="0"/>
    <x v="1"/>
    <x v="0"/>
    <n v="74880"/>
    <n v="69332"/>
    <n v="192"/>
    <n v="5548"/>
    <n v="8.0020769630185201E-2"/>
    <n v="390"/>
  </r>
  <r>
    <x v="142"/>
    <s v="S003"/>
    <s v="C05"/>
    <x v="2"/>
    <x v="0"/>
    <x v="2"/>
    <x v="3"/>
    <n v="40194"/>
    <n v="42540"/>
    <n v="174"/>
    <n v="-2346"/>
    <n v="-5.514809590973202E-2"/>
    <n v="231"/>
  </r>
  <r>
    <x v="142"/>
    <s v="S004"/>
    <s v="C05"/>
    <x v="3"/>
    <x v="0"/>
    <x v="3"/>
    <x v="3"/>
    <n v="35868"/>
    <n v="38268"/>
    <n v="183"/>
    <n v="-2400"/>
    <n v="-6.2715584822828477E-2"/>
    <n v="196"/>
  </r>
  <r>
    <x v="142"/>
    <s v="S005"/>
    <s v="C04"/>
    <x v="4"/>
    <x v="0"/>
    <x v="4"/>
    <x v="2"/>
    <n v="26166"/>
    <n v="28631"/>
    <n v="89"/>
    <n v="-2465"/>
    <n v="-8.6095490901470437E-2"/>
    <n v="294"/>
  </r>
  <r>
    <x v="142"/>
    <s v="S006"/>
    <s v="C05"/>
    <x v="5"/>
    <x v="1"/>
    <x v="5"/>
    <x v="3"/>
    <n v="31416"/>
    <n v="29810"/>
    <n v="132"/>
    <n v="1606"/>
    <n v="5.3874538745387453E-2"/>
    <n v="238"/>
  </r>
  <r>
    <x v="142"/>
    <s v="S007"/>
    <s v="C04"/>
    <x v="6"/>
    <x v="1"/>
    <x v="6"/>
    <x v="2"/>
    <n v="23694"/>
    <n v="27056"/>
    <n v="66"/>
    <n v="-3362"/>
    <n v="-0.12426079243051449"/>
    <n v="359"/>
  </r>
  <r>
    <x v="142"/>
    <s v="S008"/>
    <s v="C04"/>
    <x v="7"/>
    <x v="1"/>
    <x v="7"/>
    <x v="2"/>
    <n v="71400"/>
    <n v="76823"/>
    <n v="140"/>
    <n v="-5423"/>
    <n v="-7.0590838681124146E-2"/>
    <n v="510"/>
  </r>
  <r>
    <x v="142"/>
    <s v="S009"/>
    <s v="C04"/>
    <x v="8"/>
    <x v="1"/>
    <x v="8"/>
    <x v="2"/>
    <n v="13356"/>
    <n v="14632"/>
    <n v="36"/>
    <n v="-1276"/>
    <n v="-8.7206123564789503E-2"/>
    <n v="371"/>
  </r>
  <r>
    <x v="142"/>
    <s v="S010"/>
    <s v="C05"/>
    <x v="9"/>
    <x v="1"/>
    <x v="9"/>
    <x v="3"/>
    <n v="33919"/>
    <n v="37985"/>
    <n v="107"/>
    <n v="-4066"/>
    <n v="-0.10704225352112676"/>
    <n v="317"/>
  </r>
  <r>
    <x v="142"/>
    <s v="S011"/>
    <s v="C03"/>
    <x v="10"/>
    <x v="2"/>
    <x v="10"/>
    <x v="4"/>
    <n v="44296"/>
    <n v="47322"/>
    <n v="113"/>
    <n v="-3026"/>
    <n v="-6.3944888212670636E-2"/>
    <n v="392"/>
  </r>
  <r>
    <x v="142"/>
    <s v="S012"/>
    <s v="C01"/>
    <x v="11"/>
    <x v="2"/>
    <x v="11"/>
    <x v="0"/>
    <n v="27636"/>
    <n v="24979"/>
    <n v="141"/>
    <n v="2657"/>
    <n v="0.10636935025421354"/>
    <n v="196"/>
  </r>
  <r>
    <x v="142"/>
    <s v="S013"/>
    <s v="C02"/>
    <x v="12"/>
    <x v="2"/>
    <x v="12"/>
    <x v="1"/>
    <n v="57850"/>
    <n v="63924"/>
    <n v="130"/>
    <n v="-6074"/>
    <n v="-9.501908516363182E-2"/>
    <n v="445"/>
  </r>
  <r>
    <x v="142"/>
    <s v="S014"/>
    <s v="C05"/>
    <x v="13"/>
    <x v="2"/>
    <x v="13"/>
    <x v="3"/>
    <n v="40716"/>
    <n v="38379"/>
    <n v="116"/>
    <n v="2337"/>
    <n v="6.0892675682013599E-2"/>
    <n v="351"/>
  </r>
  <r>
    <x v="142"/>
    <s v="S015"/>
    <s v="C05"/>
    <x v="14"/>
    <x v="2"/>
    <x v="14"/>
    <x v="3"/>
    <n v="43935"/>
    <n v="45645"/>
    <n v="145"/>
    <n v="-1710"/>
    <n v="-3.746302990469931E-2"/>
    <n v="303"/>
  </r>
  <r>
    <x v="142"/>
    <s v="S016"/>
    <s v="C04"/>
    <x v="15"/>
    <x v="3"/>
    <x v="15"/>
    <x v="2"/>
    <n v="41580"/>
    <n v="44120"/>
    <n v="84"/>
    <n v="-2540"/>
    <n v="-5.7570262919310972E-2"/>
    <n v="495"/>
  </r>
  <r>
    <x v="142"/>
    <s v="S017"/>
    <s v="C01"/>
    <x v="16"/>
    <x v="3"/>
    <x v="16"/>
    <x v="0"/>
    <n v="72618"/>
    <n v="67695"/>
    <n v="182"/>
    <n v="4923"/>
    <n v="7.2723243961887882E-2"/>
    <n v="399"/>
  </r>
  <r>
    <x v="142"/>
    <s v="S018"/>
    <s v="C04"/>
    <x v="17"/>
    <x v="4"/>
    <x v="17"/>
    <x v="2"/>
    <n v="30494"/>
    <n v="34337"/>
    <n v="79"/>
    <n v="-3843"/>
    <n v="-0.11192008620438594"/>
    <n v="386"/>
  </r>
  <r>
    <x v="142"/>
    <s v="S019"/>
    <s v="C05"/>
    <x v="18"/>
    <x v="5"/>
    <x v="18"/>
    <x v="3"/>
    <n v="30225"/>
    <n v="28947"/>
    <n v="75"/>
    <n v="1278"/>
    <n v="4.4149652813763082E-2"/>
    <n v="403"/>
  </r>
  <r>
    <x v="142"/>
    <s v="S020"/>
    <s v="C02"/>
    <x v="19"/>
    <x v="6"/>
    <x v="19"/>
    <x v="1"/>
    <n v="39360"/>
    <n v="41637"/>
    <n v="164"/>
    <n v="-2277"/>
    <n v="-5.4686937099214641E-2"/>
    <n v="240"/>
  </r>
  <r>
    <x v="143"/>
    <s v="S001"/>
    <s v="C04"/>
    <x v="0"/>
    <x v="0"/>
    <x v="0"/>
    <x v="2"/>
    <n v="61035"/>
    <n v="67708"/>
    <n v="195"/>
    <n v="-6673"/>
    <n v="-9.8555562119690437E-2"/>
    <n v="313"/>
  </r>
  <r>
    <x v="143"/>
    <s v="S002"/>
    <s v="C02"/>
    <x v="1"/>
    <x v="0"/>
    <x v="1"/>
    <x v="1"/>
    <n v="33228"/>
    <n v="30679"/>
    <n v="117"/>
    <n v="2549"/>
    <n v="8.308615013527168E-2"/>
    <n v="284"/>
  </r>
  <r>
    <x v="143"/>
    <s v="S003"/>
    <s v="C01"/>
    <x v="2"/>
    <x v="0"/>
    <x v="2"/>
    <x v="0"/>
    <n v="27010"/>
    <n v="28555"/>
    <n v="146"/>
    <n v="-1545"/>
    <n v="-5.4106111013832954E-2"/>
    <n v="185"/>
  </r>
  <r>
    <x v="143"/>
    <s v="S004"/>
    <s v="C05"/>
    <x v="3"/>
    <x v="0"/>
    <x v="3"/>
    <x v="3"/>
    <n v="14356"/>
    <n v="15138"/>
    <n v="74"/>
    <n v="-782"/>
    <n v="-5.1658079006473775E-2"/>
    <n v="194"/>
  </r>
  <r>
    <x v="143"/>
    <s v="S005"/>
    <s v="C05"/>
    <x v="4"/>
    <x v="0"/>
    <x v="4"/>
    <x v="3"/>
    <n v="25960"/>
    <n v="25845"/>
    <n v="55"/>
    <n v="115"/>
    <n v="4.4496034049139096E-3"/>
    <n v="472"/>
  </r>
  <r>
    <x v="143"/>
    <s v="S006"/>
    <s v="C02"/>
    <x v="5"/>
    <x v="1"/>
    <x v="5"/>
    <x v="1"/>
    <n v="76104"/>
    <n v="80508"/>
    <n v="151"/>
    <n v="-4404"/>
    <n v="-5.4702638247130717E-2"/>
    <n v="504"/>
  </r>
  <r>
    <x v="143"/>
    <s v="S007"/>
    <s v="C03"/>
    <x v="6"/>
    <x v="1"/>
    <x v="6"/>
    <x v="4"/>
    <n v="24764"/>
    <n v="26327"/>
    <n v="82"/>
    <n v="-1563"/>
    <n v="-5.9368708929995823E-2"/>
    <n v="302"/>
  </r>
  <r>
    <x v="143"/>
    <s v="S008"/>
    <s v="C02"/>
    <x v="7"/>
    <x v="1"/>
    <x v="7"/>
    <x v="1"/>
    <n v="30969"/>
    <n v="32017"/>
    <n v="111"/>
    <n v="-1048"/>
    <n v="-3.2732610800512228E-2"/>
    <n v="279"/>
  </r>
  <r>
    <x v="143"/>
    <s v="S009"/>
    <s v="C02"/>
    <x v="8"/>
    <x v="1"/>
    <x v="8"/>
    <x v="1"/>
    <n v="82060"/>
    <n v="89658"/>
    <n v="220"/>
    <n v="-7598"/>
    <n v="-8.4744250373642069E-2"/>
    <n v="373"/>
  </r>
  <r>
    <x v="143"/>
    <s v="S010"/>
    <s v="C01"/>
    <x v="9"/>
    <x v="1"/>
    <x v="9"/>
    <x v="0"/>
    <n v="23310"/>
    <n v="26427"/>
    <n v="105"/>
    <n v="-3117"/>
    <n v="-0.11794755363832445"/>
    <n v="222"/>
  </r>
  <r>
    <x v="143"/>
    <s v="S011"/>
    <s v="C01"/>
    <x v="10"/>
    <x v="2"/>
    <x v="10"/>
    <x v="0"/>
    <n v="94248"/>
    <n v="105250"/>
    <n v="198"/>
    <n v="-11002"/>
    <n v="-0.10453206650831354"/>
    <n v="476"/>
  </r>
  <r>
    <x v="143"/>
    <s v="S012"/>
    <s v="C01"/>
    <x v="11"/>
    <x v="2"/>
    <x v="11"/>
    <x v="0"/>
    <n v="73720"/>
    <n v="68609"/>
    <n v="152"/>
    <n v="5111"/>
    <n v="7.4494599833841046E-2"/>
    <n v="485"/>
  </r>
  <r>
    <x v="143"/>
    <s v="S013"/>
    <s v="C02"/>
    <x v="12"/>
    <x v="2"/>
    <x v="12"/>
    <x v="1"/>
    <n v="33598"/>
    <n v="37752"/>
    <n v="107"/>
    <n v="-4154"/>
    <n v="-0.11003390548845095"/>
    <n v="314"/>
  </r>
  <r>
    <x v="143"/>
    <s v="S014"/>
    <s v="C01"/>
    <x v="13"/>
    <x v="2"/>
    <x v="13"/>
    <x v="0"/>
    <n v="23382"/>
    <n v="25981"/>
    <n v="54"/>
    <n v="-2599"/>
    <n v="-0.10003464069897233"/>
    <n v="433"/>
  </r>
  <r>
    <x v="143"/>
    <s v="S015"/>
    <s v="C02"/>
    <x v="14"/>
    <x v="2"/>
    <x v="14"/>
    <x v="1"/>
    <n v="31185"/>
    <n v="31894"/>
    <n v="135"/>
    <n v="-709"/>
    <n v="-2.2229886499028031E-2"/>
    <n v="231"/>
  </r>
  <r>
    <x v="143"/>
    <s v="S016"/>
    <s v="C01"/>
    <x v="15"/>
    <x v="3"/>
    <x v="15"/>
    <x v="0"/>
    <n v="30380"/>
    <n v="31037"/>
    <n v="140"/>
    <n v="-657"/>
    <n v="-2.1168283017044175E-2"/>
    <n v="217"/>
  </r>
  <r>
    <x v="143"/>
    <s v="S017"/>
    <s v="C01"/>
    <x v="16"/>
    <x v="3"/>
    <x v="16"/>
    <x v="0"/>
    <n v="34672"/>
    <n v="34457"/>
    <n v="88"/>
    <n v="215"/>
    <n v="6.2396610267870098E-3"/>
    <n v="394"/>
  </r>
  <r>
    <x v="143"/>
    <s v="S018"/>
    <s v="C03"/>
    <x v="17"/>
    <x v="4"/>
    <x v="17"/>
    <x v="4"/>
    <n v="80770"/>
    <n v="89019"/>
    <n v="197"/>
    <n v="-8249"/>
    <n v="-9.2665610712319837E-2"/>
    <n v="410"/>
  </r>
  <r>
    <x v="143"/>
    <s v="S019"/>
    <s v="C02"/>
    <x v="18"/>
    <x v="5"/>
    <x v="18"/>
    <x v="1"/>
    <n v="20535"/>
    <n v="23120"/>
    <n v="111"/>
    <n v="-2585"/>
    <n v="-0.11180795847750866"/>
    <n v="185"/>
  </r>
  <r>
    <x v="143"/>
    <s v="S020"/>
    <s v="C05"/>
    <x v="19"/>
    <x v="6"/>
    <x v="19"/>
    <x v="3"/>
    <n v="96040"/>
    <n v="106959"/>
    <n v="196"/>
    <n v="-10919"/>
    <n v="-0.10208584597836554"/>
    <n v="490"/>
  </r>
  <r>
    <x v="144"/>
    <s v="S001"/>
    <s v="C01"/>
    <x v="0"/>
    <x v="0"/>
    <x v="0"/>
    <x v="0"/>
    <n v="43554"/>
    <n v="44467"/>
    <n v="122"/>
    <n v="-913"/>
    <n v="-2.0532079969415522E-2"/>
    <n v="357"/>
  </r>
  <r>
    <x v="144"/>
    <s v="S002"/>
    <s v="C05"/>
    <x v="1"/>
    <x v="0"/>
    <x v="1"/>
    <x v="3"/>
    <n v="86292"/>
    <n v="77770"/>
    <n v="188"/>
    <n v="8522"/>
    <n v="0.10957952938150958"/>
    <n v="459"/>
  </r>
  <r>
    <x v="144"/>
    <s v="S003"/>
    <s v="C05"/>
    <x v="2"/>
    <x v="0"/>
    <x v="2"/>
    <x v="3"/>
    <n v="24200"/>
    <n v="22946"/>
    <n v="100"/>
    <n v="1254"/>
    <n v="5.4650047938638542E-2"/>
    <n v="242"/>
  </r>
  <r>
    <x v="144"/>
    <s v="S004"/>
    <s v="C01"/>
    <x v="3"/>
    <x v="0"/>
    <x v="3"/>
    <x v="0"/>
    <n v="32852"/>
    <n v="33821"/>
    <n v="172"/>
    <n v="-969"/>
    <n v="-2.8650838236598562E-2"/>
    <n v="191"/>
  </r>
  <r>
    <x v="144"/>
    <s v="S005"/>
    <s v="C02"/>
    <x v="4"/>
    <x v="0"/>
    <x v="4"/>
    <x v="1"/>
    <n v="32940"/>
    <n v="30591"/>
    <n v="90"/>
    <n v="2349"/>
    <n v="7.6787290379523393E-2"/>
    <n v="366"/>
  </r>
  <r>
    <x v="144"/>
    <s v="S006"/>
    <s v="C02"/>
    <x v="5"/>
    <x v="1"/>
    <x v="5"/>
    <x v="1"/>
    <n v="14574"/>
    <n v="13621"/>
    <n v="42"/>
    <n v="953"/>
    <n v="6.9965494457088315E-2"/>
    <n v="347"/>
  </r>
  <r>
    <x v="144"/>
    <s v="S007"/>
    <s v="C01"/>
    <x v="6"/>
    <x v="1"/>
    <x v="6"/>
    <x v="0"/>
    <n v="51728"/>
    <n v="50015"/>
    <n v="212"/>
    <n v="1713"/>
    <n v="3.4249725082475257E-2"/>
    <n v="244"/>
  </r>
  <r>
    <x v="144"/>
    <s v="S008"/>
    <s v="C04"/>
    <x v="7"/>
    <x v="1"/>
    <x v="7"/>
    <x v="2"/>
    <n v="19522"/>
    <n v="19270"/>
    <n v="86"/>
    <n v="252"/>
    <n v="1.3077322262584328E-2"/>
    <n v="227"/>
  </r>
  <r>
    <x v="144"/>
    <s v="S009"/>
    <s v="C05"/>
    <x v="8"/>
    <x v="1"/>
    <x v="8"/>
    <x v="3"/>
    <n v="66330"/>
    <n v="67441"/>
    <n v="201"/>
    <n v="-1111"/>
    <n v="-1.6473658457021693E-2"/>
    <n v="330"/>
  </r>
  <r>
    <x v="144"/>
    <s v="S010"/>
    <s v="C04"/>
    <x v="9"/>
    <x v="1"/>
    <x v="9"/>
    <x v="2"/>
    <n v="64532"/>
    <n v="73346"/>
    <n v="146"/>
    <n v="-8814"/>
    <n v="-0.12017015242821695"/>
    <n v="442"/>
  </r>
  <r>
    <x v="144"/>
    <s v="S011"/>
    <s v="C02"/>
    <x v="10"/>
    <x v="2"/>
    <x v="10"/>
    <x v="1"/>
    <n v="26532"/>
    <n v="25191"/>
    <n v="99"/>
    <n v="1341"/>
    <n v="5.3233297606287963E-2"/>
    <n v="268"/>
  </r>
  <r>
    <x v="144"/>
    <s v="S012"/>
    <s v="C03"/>
    <x v="11"/>
    <x v="2"/>
    <x v="11"/>
    <x v="4"/>
    <n v="31320"/>
    <n v="32757"/>
    <n v="135"/>
    <n v="-1437"/>
    <n v="-4.386848612510303E-2"/>
    <n v="232"/>
  </r>
  <r>
    <x v="144"/>
    <s v="S013"/>
    <s v="C05"/>
    <x v="12"/>
    <x v="2"/>
    <x v="12"/>
    <x v="3"/>
    <n v="30096"/>
    <n v="33061"/>
    <n v="114"/>
    <n v="-2965"/>
    <n v="-8.9682707722089472E-2"/>
    <n v="264"/>
  </r>
  <r>
    <x v="144"/>
    <s v="S014"/>
    <s v="C04"/>
    <x v="13"/>
    <x v="2"/>
    <x v="13"/>
    <x v="2"/>
    <n v="59160"/>
    <n v="59511"/>
    <n v="145"/>
    <n v="-351"/>
    <n v="-5.8980692645057217E-3"/>
    <n v="408"/>
  </r>
  <r>
    <x v="144"/>
    <s v="S015"/>
    <s v="C03"/>
    <x v="14"/>
    <x v="2"/>
    <x v="14"/>
    <x v="4"/>
    <n v="57768"/>
    <n v="53544"/>
    <n v="116"/>
    <n v="4224"/>
    <n v="7.8888390856118332E-2"/>
    <n v="498"/>
  </r>
  <r>
    <x v="144"/>
    <s v="S016"/>
    <s v="C04"/>
    <x v="15"/>
    <x v="3"/>
    <x v="15"/>
    <x v="2"/>
    <n v="40608"/>
    <n v="42304"/>
    <n v="144"/>
    <n v="-1696"/>
    <n v="-4.0090771558245086E-2"/>
    <n v="282"/>
  </r>
  <r>
    <x v="144"/>
    <s v="S017"/>
    <s v="C03"/>
    <x v="16"/>
    <x v="3"/>
    <x v="16"/>
    <x v="4"/>
    <n v="41552"/>
    <n v="42065"/>
    <n v="196"/>
    <n v="-513"/>
    <n v="-1.2195411862593606E-2"/>
    <n v="212"/>
  </r>
  <r>
    <x v="144"/>
    <s v="S018"/>
    <s v="C01"/>
    <x v="17"/>
    <x v="4"/>
    <x v="17"/>
    <x v="0"/>
    <n v="50985"/>
    <n v="53366"/>
    <n v="165"/>
    <n v="-2381"/>
    <n v="-4.461642244125473E-2"/>
    <n v="309"/>
  </r>
  <r>
    <x v="144"/>
    <s v="S019"/>
    <s v="C03"/>
    <x v="18"/>
    <x v="5"/>
    <x v="18"/>
    <x v="4"/>
    <n v="96390"/>
    <n v="109652"/>
    <n v="189"/>
    <n v="-13262"/>
    <n v="-0.12094626636997045"/>
    <n v="510"/>
  </r>
  <r>
    <x v="144"/>
    <s v="S020"/>
    <s v="C05"/>
    <x v="19"/>
    <x v="6"/>
    <x v="19"/>
    <x v="3"/>
    <n v="47875"/>
    <n v="43445"/>
    <n v="125"/>
    <n v="4430"/>
    <n v="0.10196800552422604"/>
    <n v="383"/>
  </r>
  <r>
    <x v="145"/>
    <s v="S001"/>
    <s v="C02"/>
    <x v="0"/>
    <x v="0"/>
    <x v="0"/>
    <x v="1"/>
    <n v="46683"/>
    <n v="51245"/>
    <n v="117"/>
    <n v="-4562"/>
    <n v="-8.9023319348229102E-2"/>
    <n v="399"/>
  </r>
  <r>
    <x v="145"/>
    <s v="S002"/>
    <s v="C03"/>
    <x v="1"/>
    <x v="0"/>
    <x v="1"/>
    <x v="4"/>
    <n v="21049"/>
    <n v="20076"/>
    <n v="97"/>
    <n v="973"/>
    <n v="4.8465829846582986E-2"/>
    <n v="217"/>
  </r>
  <r>
    <x v="145"/>
    <s v="S003"/>
    <s v="C03"/>
    <x v="2"/>
    <x v="0"/>
    <x v="2"/>
    <x v="4"/>
    <n v="33020"/>
    <n v="36152"/>
    <n v="130"/>
    <n v="-3132"/>
    <n v="-8.6634211108652354E-2"/>
    <n v="254"/>
  </r>
  <r>
    <x v="145"/>
    <s v="S004"/>
    <s v="C01"/>
    <x v="3"/>
    <x v="0"/>
    <x v="3"/>
    <x v="0"/>
    <n v="12691"/>
    <n v="13605"/>
    <n v="37"/>
    <n v="-914"/>
    <n v="-6.7181183388460131E-2"/>
    <n v="343"/>
  </r>
  <r>
    <x v="145"/>
    <s v="S005"/>
    <s v="C03"/>
    <x v="4"/>
    <x v="0"/>
    <x v="4"/>
    <x v="4"/>
    <n v="37202"/>
    <n v="38759"/>
    <n v="89"/>
    <n v="-1557"/>
    <n v="-4.017131504940788E-2"/>
    <n v="418"/>
  </r>
  <r>
    <x v="145"/>
    <s v="S006"/>
    <s v="C03"/>
    <x v="5"/>
    <x v="1"/>
    <x v="5"/>
    <x v="4"/>
    <n v="43898"/>
    <n v="40235"/>
    <n v="94"/>
    <n v="3663"/>
    <n v="9.104013918230397E-2"/>
    <n v="467"/>
  </r>
  <r>
    <x v="145"/>
    <s v="S007"/>
    <s v="C03"/>
    <x v="6"/>
    <x v="1"/>
    <x v="6"/>
    <x v="4"/>
    <n v="54432"/>
    <n v="56163"/>
    <n v="189"/>
    <n v="-1731"/>
    <n v="-3.082100315154105E-2"/>
    <n v="288"/>
  </r>
  <r>
    <x v="145"/>
    <s v="S008"/>
    <s v="C01"/>
    <x v="7"/>
    <x v="1"/>
    <x v="7"/>
    <x v="0"/>
    <n v="57316"/>
    <n v="61847"/>
    <n v="178"/>
    <n v="-4531"/>
    <n v="-7.3261435477872811E-2"/>
    <n v="322"/>
  </r>
  <r>
    <x v="145"/>
    <s v="S009"/>
    <s v="C01"/>
    <x v="8"/>
    <x v="1"/>
    <x v="8"/>
    <x v="0"/>
    <n v="92310"/>
    <n v="92811"/>
    <n v="181"/>
    <n v="-501"/>
    <n v="-5.3980670394673047E-3"/>
    <n v="510"/>
  </r>
  <r>
    <x v="145"/>
    <s v="S010"/>
    <s v="C04"/>
    <x v="9"/>
    <x v="1"/>
    <x v="9"/>
    <x v="2"/>
    <n v="39788"/>
    <n v="37780"/>
    <n v="116"/>
    <n v="2008"/>
    <n v="5.3149814716781367E-2"/>
    <n v="343"/>
  </r>
  <r>
    <x v="145"/>
    <s v="S011"/>
    <s v="C01"/>
    <x v="10"/>
    <x v="2"/>
    <x v="10"/>
    <x v="0"/>
    <n v="70035"/>
    <n v="63850"/>
    <n v="161"/>
    <n v="6185"/>
    <n v="9.6867658574784646E-2"/>
    <n v="435"/>
  </r>
  <r>
    <x v="145"/>
    <s v="S012"/>
    <s v="C03"/>
    <x v="11"/>
    <x v="2"/>
    <x v="11"/>
    <x v="4"/>
    <n v="34222"/>
    <n v="31861"/>
    <n v="142"/>
    <n v="2361"/>
    <n v="7.4103135494805558E-2"/>
    <n v="241"/>
  </r>
  <r>
    <x v="145"/>
    <s v="S013"/>
    <s v="C02"/>
    <x v="12"/>
    <x v="2"/>
    <x v="12"/>
    <x v="1"/>
    <n v="65236"/>
    <n v="68353"/>
    <n v="188"/>
    <n v="-3117"/>
    <n v="-4.5601509809371936E-2"/>
    <n v="347"/>
  </r>
  <r>
    <x v="145"/>
    <s v="S014"/>
    <s v="C02"/>
    <x v="13"/>
    <x v="2"/>
    <x v="13"/>
    <x v="1"/>
    <n v="34580"/>
    <n v="33586"/>
    <n v="182"/>
    <n v="994"/>
    <n v="2.9595664860358483E-2"/>
    <n v="190"/>
  </r>
  <r>
    <x v="145"/>
    <s v="S015"/>
    <s v="C05"/>
    <x v="14"/>
    <x v="2"/>
    <x v="14"/>
    <x v="3"/>
    <n v="14976"/>
    <n v="14543"/>
    <n v="36"/>
    <n v="433"/>
    <n v="2.9773774324417246E-2"/>
    <n v="416"/>
  </r>
  <r>
    <x v="145"/>
    <s v="S016"/>
    <s v="C04"/>
    <x v="15"/>
    <x v="3"/>
    <x v="15"/>
    <x v="2"/>
    <n v="19932"/>
    <n v="22513"/>
    <n v="44"/>
    <n v="-2581"/>
    <n v="-0.11464487185181894"/>
    <n v="453"/>
  </r>
  <r>
    <x v="145"/>
    <s v="S017"/>
    <s v="C01"/>
    <x v="16"/>
    <x v="3"/>
    <x v="16"/>
    <x v="0"/>
    <n v="61710"/>
    <n v="55790"/>
    <n v="121"/>
    <n v="5920"/>
    <n v="0.10611220648861804"/>
    <n v="510"/>
  </r>
  <r>
    <x v="145"/>
    <s v="S018"/>
    <s v="C04"/>
    <x v="17"/>
    <x v="4"/>
    <x v="17"/>
    <x v="2"/>
    <n v="23128"/>
    <n v="24997"/>
    <n v="59"/>
    <n v="-1869"/>
    <n v="-7.4768972276673201E-2"/>
    <n v="392"/>
  </r>
  <r>
    <x v="145"/>
    <s v="S019"/>
    <s v="C03"/>
    <x v="18"/>
    <x v="5"/>
    <x v="18"/>
    <x v="4"/>
    <n v="41412"/>
    <n v="41415"/>
    <n v="116"/>
    <n v="-3"/>
    <n v="-7.2437522636725819E-5"/>
    <n v="357"/>
  </r>
  <r>
    <x v="145"/>
    <s v="S020"/>
    <s v="C05"/>
    <x v="19"/>
    <x v="6"/>
    <x v="19"/>
    <x v="3"/>
    <n v="49680"/>
    <n v="52317"/>
    <n v="115"/>
    <n v="-2637"/>
    <n v="-5.0404266299673144E-2"/>
    <n v="432"/>
  </r>
  <r>
    <x v="146"/>
    <s v="S001"/>
    <s v="C04"/>
    <x v="0"/>
    <x v="0"/>
    <x v="0"/>
    <x v="2"/>
    <n v="45732"/>
    <n v="46799"/>
    <n v="111"/>
    <n v="-1067"/>
    <n v="-2.2799632470779291E-2"/>
    <n v="412"/>
  </r>
  <r>
    <x v="146"/>
    <s v="S002"/>
    <s v="C01"/>
    <x v="1"/>
    <x v="0"/>
    <x v="1"/>
    <x v="0"/>
    <n v="64480"/>
    <n v="59688"/>
    <n v="130"/>
    <n v="4792"/>
    <n v="8.0284144216592954E-2"/>
    <n v="496"/>
  </r>
  <r>
    <x v="146"/>
    <s v="S003"/>
    <s v="C02"/>
    <x v="2"/>
    <x v="0"/>
    <x v="2"/>
    <x v="1"/>
    <n v="8695"/>
    <n v="8127"/>
    <n v="47"/>
    <n v="568"/>
    <n v="6.9890488495139652E-2"/>
    <n v="185"/>
  </r>
  <r>
    <x v="146"/>
    <s v="S004"/>
    <s v="C03"/>
    <x v="3"/>
    <x v="0"/>
    <x v="3"/>
    <x v="4"/>
    <n v="85033"/>
    <n v="81341"/>
    <n v="211"/>
    <n v="3692"/>
    <n v="4.538916413616749E-2"/>
    <n v="403"/>
  </r>
  <r>
    <x v="146"/>
    <s v="S005"/>
    <s v="C01"/>
    <x v="4"/>
    <x v="0"/>
    <x v="4"/>
    <x v="0"/>
    <n v="30544"/>
    <n v="33721"/>
    <n v="83"/>
    <n v="-3177"/>
    <n v="-9.4214287832507931E-2"/>
    <n v="368"/>
  </r>
  <r>
    <x v="146"/>
    <s v="S006"/>
    <s v="C05"/>
    <x v="5"/>
    <x v="1"/>
    <x v="5"/>
    <x v="3"/>
    <n v="7416"/>
    <n v="7155"/>
    <n v="36"/>
    <n v="261"/>
    <n v="3.6477987421383647E-2"/>
    <n v="206"/>
  </r>
  <r>
    <x v="146"/>
    <s v="S007"/>
    <s v="C01"/>
    <x v="6"/>
    <x v="1"/>
    <x v="6"/>
    <x v="0"/>
    <n v="12852"/>
    <n v="14609"/>
    <n v="63"/>
    <n v="-1757"/>
    <n v="-0.12026832774317202"/>
    <n v="204"/>
  </r>
  <r>
    <x v="146"/>
    <s v="S008"/>
    <s v="C01"/>
    <x v="7"/>
    <x v="1"/>
    <x v="7"/>
    <x v="0"/>
    <n v="35496"/>
    <n v="38051"/>
    <n v="102"/>
    <n v="-2555"/>
    <n v="-6.7146724133399907E-2"/>
    <n v="348"/>
  </r>
  <r>
    <x v="146"/>
    <s v="S009"/>
    <s v="C04"/>
    <x v="8"/>
    <x v="1"/>
    <x v="8"/>
    <x v="2"/>
    <n v="27768"/>
    <n v="31411"/>
    <n v="104"/>
    <n v="-3643"/>
    <n v="-0.11597847887682659"/>
    <n v="267"/>
  </r>
  <r>
    <x v="146"/>
    <s v="S010"/>
    <s v="C05"/>
    <x v="9"/>
    <x v="1"/>
    <x v="9"/>
    <x v="3"/>
    <n v="36632"/>
    <n v="34125"/>
    <n v="152"/>
    <n v="2507"/>
    <n v="7.3465201465201468E-2"/>
    <n v="241"/>
  </r>
  <r>
    <x v="146"/>
    <s v="S011"/>
    <s v="C02"/>
    <x v="10"/>
    <x v="2"/>
    <x v="10"/>
    <x v="1"/>
    <n v="71944"/>
    <n v="76204"/>
    <n v="184"/>
    <n v="-4260"/>
    <n v="-5.5902577292530578E-2"/>
    <n v="391"/>
  </r>
  <r>
    <x v="146"/>
    <s v="S012"/>
    <s v="C01"/>
    <x v="11"/>
    <x v="2"/>
    <x v="11"/>
    <x v="0"/>
    <n v="75600"/>
    <n v="72585"/>
    <n v="168"/>
    <n v="3015"/>
    <n v="4.1537507749535026E-2"/>
    <n v="450"/>
  </r>
  <r>
    <x v="146"/>
    <s v="S013"/>
    <s v="C04"/>
    <x v="12"/>
    <x v="2"/>
    <x v="12"/>
    <x v="2"/>
    <n v="87720"/>
    <n v="100359"/>
    <n v="204"/>
    <n v="-12639"/>
    <n v="-0.12593788300002989"/>
    <n v="430"/>
  </r>
  <r>
    <x v="146"/>
    <s v="S014"/>
    <s v="C03"/>
    <x v="13"/>
    <x v="2"/>
    <x v="13"/>
    <x v="4"/>
    <n v="46610"/>
    <n v="43018"/>
    <n v="158"/>
    <n v="3592"/>
    <n v="8.3499930261750899E-2"/>
    <n v="295"/>
  </r>
  <r>
    <x v="146"/>
    <s v="S015"/>
    <s v="C03"/>
    <x v="14"/>
    <x v="2"/>
    <x v="14"/>
    <x v="4"/>
    <n v="48174"/>
    <n v="47608"/>
    <n v="217"/>
    <n v="566"/>
    <n v="1.1888758191900521E-2"/>
    <n v="222"/>
  </r>
  <r>
    <x v="146"/>
    <s v="S016"/>
    <s v="C02"/>
    <x v="15"/>
    <x v="3"/>
    <x v="15"/>
    <x v="1"/>
    <n v="103733"/>
    <n v="112427"/>
    <n v="203"/>
    <n v="-8694"/>
    <n v="-7.7330178693730156E-2"/>
    <n v="511"/>
  </r>
  <r>
    <x v="146"/>
    <s v="S017"/>
    <s v="C02"/>
    <x v="16"/>
    <x v="3"/>
    <x v="16"/>
    <x v="1"/>
    <n v="46428"/>
    <n v="42657"/>
    <n v="212"/>
    <n v="3771"/>
    <n v="8.8402841268724941E-2"/>
    <n v="219"/>
  </r>
  <r>
    <x v="146"/>
    <s v="S018"/>
    <s v="C04"/>
    <x v="17"/>
    <x v="4"/>
    <x v="17"/>
    <x v="2"/>
    <n v="14400"/>
    <n v="13007"/>
    <n v="50"/>
    <n v="1393"/>
    <n v="0.10709617898054893"/>
    <n v="288"/>
  </r>
  <r>
    <x v="146"/>
    <s v="S019"/>
    <s v="C02"/>
    <x v="18"/>
    <x v="5"/>
    <x v="18"/>
    <x v="1"/>
    <n v="58058"/>
    <n v="54979"/>
    <n v="154"/>
    <n v="3079"/>
    <n v="5.6003201222284874E-2"/>
    <n v="377"/>
  </r>
  <r>
    <x v="146"/>
    <s v="S020"/>
    <s v="C01"/>
    <x v="19"/>
    <x v="6"/>
    <x v="19"/>
    <x v="0"/>
    <n v="34892"/>
    <n v="38503"/>
    <n v="122"/>
    <n v="-3611"/>
    <n v="-9.3784899877931593E-2"/>
    <n v="286"/>
  </r>
  <r>
    <x v="147"/>
    <s v="S001"/>
    <s v="C05"/>
    <x v="0"/>
    <x v="0"/>
    <x v="0"/>
    <x v="3"/>
    <n v="56440"/>
    <n v="61526"/>
    <n v="166"/>
    <n v="-5086"/>
    <n v="-8.2664239508500464E-2"/>
    <n v="340"/>
  </r>
  <r>
    <x v="147"/>
    <s v="S002"/>
    <s v="C03"/>
    <x v="1"/>
    <x v="0"/>
    <x v="1"/>
    <x v="4"/>
    <n v="88992"/>
    <n v="94671"/>
    <n v="216"/>
    <n v="-5679"/>
    <n v="-5.9986690750071299E-2"/>
    <n v="412"/>
  </r>
  <r>
    <x v="147"/>
    <s v="S003"/>
    <s v="C05"/>
    <x v="2"/>
    <x v="0"/>
    <x v="2"/>
    <x v="3"/>
    <n v="15252"/>
    <n v="14561"/>
    <n v="62"/>
    <n v="691"/>
    <n v="4.7455531900281574E-2"/>
    <n v="246"/>
  </r>
  <r>
    <x v="147"/>
    <s v="S004"/>
    <s v="C03"/>
    <x v="3"/>
    <x v="0"/>
    <x v="3"/>
    <x v="4"/>
    <n v="54663"/>
    <n v="61056"/>
    <n v="133"/>
    <n v="-6393"/>
    <n v="-0.10470715408805031"/>
    <n v="411"/>
  </r>
  <r>
    <x v="147"/>
    <s v="S005"/>
    <s v="C05"/>
    <x v="4"/>
    <x v="0"/>
    <x v="4"/>
    <x v="3"/>
    <n v="33024"/>
    <n v="31273"/>
    <n v="86"/>
    <n v="1751"/>
    <n v="5.5990790777987402E-2"/>
    <n v="384"/>
  </r>
  <r>
    <x v="147"/>
    <s v="S006"/>
    <s v="C03"/>
    <x v="5"/>
    <x v="1"/>
    <x v="5"/>
    <x v="4"/>
    <n v="37752"/>
    <n v="40453"/>
    <n v="143"/>
    <n v="-2701"/>
    <n v="-6.6768842854670857E-2"/>
    <n v="264"/>
  </r>
  <r>
    <x v="147"/>
    <s v="S007"/>
    <s v="C05"/>
    <x v="6"/>
    <x v="1"/>
    <x v="6"/>
    <x v="3"/>
    <n v="46400"/>
    <n v="43468"/>
    <n v="200"/>
    <n v="2932"/>
    <n v="6.7451918652802062E-2"/>
    <n v="232"/>
  </r>
  <r>
    <x v="147"/>
    <s v="S008"/>
    <s v="C01"/>
    <x v="7"/>
    <x v="1"/>
    <x v="7"/>
    <x v="0"/>
    <n v="19089"/>
    <n v="17259"/>
    <n v="63"/>
    <n v="1830"/>
    <n v="0.10603163566834695"/>
    <n v="303"/>
  </r>
  <r>
    <x v="147"/>
    <s v="S009"/>
    <s v="C04"/>
    <x v="8"/>
    <x v="1"/>
    <x v="8"/>
    <x v="2"/>
    <n v="25912"/>
    <n v="23505"/>
    <n v="82"/>
    <n v="2407"/>
    <n v="0.10240374388427995"/>
    <n v="316"/>
  </r>
  <r>
    <x v="147"/>
    <s v="S010"/>
    <s v="C05"/>
    <x v="9"/>
    <x v="1"/>
    <x v="9"/>
    <x v="3"/>
    <n v="54000"/>
    <n v="52185"/>
    <n v="150"/>
    <n v="1815"/>
    <n v="3.4780109226789306E-2"/>
    <n v="360"/>
  </r>
  <r>
    <x v="147"/>
    <s v="S011"/>
    <s v="C05"/>
    <x v="10"/>
    <x v="2"/>
    <x v="10"/>
    <x v="3"/>
    <n v="20216"/>
    <n v="20375"/>
    <n v="56"/>
    <n v="-159"/>
    <n v="-7.803680981595092E-3"/>
    <n v="361"/>
  </r>
  <r>
    <x v="147"/>
    <s v="S012"/>
    <s v="C02"/>
    <x v="11"/>
    <x v="2"/>
    <x v="11"/>
    <x v="1"/>
    <n v="59432"/>
    <n v="59890"/>
    <n v="136"/>
    <n v="-458"/>
    <n v="-7.6473534813825345E-3"/>
    <n v="437"/>
  </r>
  <r>
    <x v="147"/>
    <s v="S013"/>
    <s v="C03"/>
    <x v="12"/>
    <x v="2"/>
    <x v="12"/>
    <x v="4"/>
    <n v="19440"/>
    <n v="18820"/>
    <n v="48"/>
    <n v="620"/>
    <n v="3.2943676939426139E-2"/>
    <n v="405"/>
  </r>
  <r>
    <x v="147"/>
    <s v="S014"/>
    <s v="C01"/>
    <x v="13"/>
    <x v="2"/>
    <x v="13"/>
    <x v="0"/>
    <n v="24064"/>
    <n v="23958"/>
    <n v="47"/>
    <n v="106"/>
    <n v="4.4244093830870688E-3"/>
    <n v="512"/>
  </r>
  <r>
    <x v="147"/>
    <s v="S015"/>
    <s v="C04"/>
    <x v="14"/>
    <x v="2"/>
    <x v="14"/>
    <x v="2"/>
    <n v="27720"/>
    <n v="26260"/>
    <n v="84"/>
    <n v="1460"/>
    <n v="5.5597867479055596E-2"/>
    <n v="330"/>
  </r>
  <r>
    <x v="147"/>
    <s v="S016"/>
    <s v="C02"/>
    <x v="15"/>
    <x v="3"/>
    <x v="15"/>
    <x v="1"/>
    <n v="60027"/>
    <n v="61971"/>
    <n v="187"/>
    <n v="-1944"/>
    <n v="-3.1369511545722997E-2"/>
    <n v="321"/>
  </r>
  <r>
    <x v="147"/>
    <s v="S017"/>
    <s v="C04"/>
    <x v="16"/>
    <x v="3"/>
    <x v="16"/>
    <x v="2"/>
    <n v="66967"/>
    <n v="62098"/>
    <n v="167"/>
    <n v="4869"/>
    <n v="7.8408322329221555E-2"/>
    <n v="401"/>
  </r>
  <r>
    <x v="147"/>
    <s v="S018"/>
    <s v="C01"/>
    <x v="17"/>
    <x v="4"/>
    <x v="17"/>
    <x v="0"/>
    <n v="61400"/>
    <n v="69980"/>
    <n v="200"/>
    <n v="-8580"/>
    <n v="-0.12260645898828236"/>
    <n v="307"/>
  </r>
  <r>
    <x v="147"/>
    <s v="S019"/>
    <s v="C02"/>
    <x v="18"/>
    <x v="5"/>
    <x v="18"/>
    <x v="1"/>
    <n v="13248"/>
    <n v="14887"/>
    <n v="64"/>
    <n v="-1639"/>
    <n v="-0.11009605696245046"/>
    <n v="207"/>
  </r>
  <r>
    <x v="147"/>
    <s v="S020"/>
    <s v="C05"/>
    <x v="19"/>
    <x v="6"/>
    <x v="19"/>
    <x v="3"/>
    <n v="31106"/>
    <n v="28507"/>
    <n v="103"/>
    <n v="2599"/>
    <n v="9.1170589679727784E-2"/>
    <n v="302"/>
  </r>
  <r>
    <x v="148"/>
    <s v="S001"/>
    <s v="C01"/>
    <x v="0"/>
    <x v="0"/>
    <x v="0"/>
    <x v="0"/>
    <n v="30975"/>
    <n v="34712"/>
    <n v="105"/>
    <n v="-3737"/>
    <n v="-0.10765729430744411"/>
    <n v="295"/>
  </r>
  <r>
    <x v="148"/>
    <s v="S002"/>
    <s v="C04"/>
    <x v="1"/>
    <x v="0"/>
    <x v="1"/>
    <x v="2"/>
    <n v="51435"/>
    <n v="47594"/>
    <n v="135"/>
    <n v="3841"/>
    <n v="8.0703450014707731E-2"/>
    <n v="381"/>
  </r>
  <r>
    <x v="148"/>
    <s v="S003"/>
    <s v="C03"/>
    <x v="2"/>
    <x v="0"/>
    <x v="2"/>
    <x v="4"/>
    <n v="45885"/>
    <n v="43258"/>
    <n v="161"/>
    <n v="2627"/>
    <n v="6.0728651347727591E-2"/>
    <n v="285"/>
  </r>
  <r>
    <x v="148"/>
    <s v="S004"/>
    <s v="C02"/>
    <x v="3"/>
    <x v="0"/>
    <x v="3"/>
    <x v="1"/>
    <n v="62238"/>
    <n v="60495"/>
    <n v="123"/>
    <n v="1743"/>
    <n v="2.8812298537069181E-2"/>
    <n v="506"/>
  </r>
  <r>
    <x v="148"/>
    <s v="S005"/>
    <s v="C05"/>
    <x v="4"/>
    <x v="0"/>
    <x v="4"/>
    <x v="3"/>
    <n v="19548"/>
    <n v="18053"/>
    <n v="108"/>
    <n v="1495"/>
    <n v="8.2811721043593869E-2"/>
    <n v="181"/>
  </r>
  <r>
    <x v="148"/>
    <s v="S006"/>
    <s v="C05"/>
    <x v="5"/>
    <x v="1"/>
    <x v="5"/>
    <x v="3"/>
    <n v="106572"/>
    <n v="108617"/>
    <n v="214"/>
    <n v="-2045"/>
    <n v="-1.8827623668486518E-2"/>
    <n v="498"/>
  </r>
  <r>
    <x v="148"/>
    <s v="S007"/>
    <s v="C03"/>
    <x v="6"/>
    <x v="1"/>
    <x v="6"/>
    <x v="4"/>
    <n v="63722"/>
    <n v="60061"/>
    <n v="211"/>
    <n v="3661"/>
    <n v="6.0954696059006677E-2"/>
    <n v="302"/>
  </r>
  <r>
    <x v="148"/>
    <s v="S008"/>
    <s v="C01"/>
    <x v="7"/>
    <x v="1"/>
    <x v="7"/>
    <x v="0"/>
    <n v="21175"/>
    <n v="20815"/>
    <n v="77"/>
    <n v="360"/>
    <n v="1.7295219793418207E-2"/>
    <n v="275"/>
  </r>
  <r>
    <x v="148"/>
    <s v="S009"/>
    <s v="C04"/>
    <x v="8"/>
    <x v="1"/>
    <x v="8"/>
    <x v="2"/>
    <n v="13206"/>
    <n v="14084"/>
    <n v="71"/>
    <n v="-878"/>
    <n v="-6.2340244248792955E-2"/>
    <n v="186"/>
  </r>
  <r>
    <x v="148"/>
    <s v="S010"/>
    <s v="C04"/>
    <x v="9"/>
    <x v="1"/>
    <x v="9"/>
    <x v="2"/>
    <n v="22800"/>
    <n v="21531"/>
    <n v="120"/>
    <n v="1269"/>
    <n v="5.8938275045283546E-2"/>
    <n v="190"/>
  </r>
  <r>
    <x v="148"/>
    <s v="S011"/>
    <s v="C03"/>
    <x v="10"/>
    <x v="2"/>
    <x v="10"/>
    <x v="4"/>
    <n v="14418"/>
    <n v="15424"/>
    <n v="54"/>
    <n v="-1006"/>
    <n v="-6.5223029045643158E-2"/>
    <n v="267"/>
  </r>
  <r>
    <x v="148"/>
    <s v="S012"/>
    <s v="C01"/>
    <x v="11"/>
    <x v="2"/>
    <x v="11"/>
    <x v="0"/>
    <n v="67320"/>
    <n v="76905"/>
    <n v="187"/>
    <n v="-9585"/>
    <n v="-0.12463428905792862"/>
    <n v="360"/>
  </r>
  <r>
    <x v="148"/>
    <s v="S013"/>
    <s v="C05"/>
    <x v="12"/>
    <x v="2"/>
    <x v="12"/>
    <x v="3"/>
    <n v="15050"/>
    <n v="16830"/>
    <n v="35"/>
    <n v="-1780"/>
    <n v="-0.10576351752822341"/>
    <n v="430"/>
  </r>
  <r>
    <x v="148"/>
    <s v="S014"/>
    <s v="C04"/>
    <x v="13"/>
    <x v="2"/>
    <x v="13"/>
    <x v="2"/>
    <n v="12789"/>
    <n v="14128"/>
    <n v="63"/>
    <n v="-1339"/>
    <n v="-9.4776330690826721E-2"/>
    <n v="203"/>
  </r>
  <r>
    <x v="148"/>
    <s v="S015"/>
    <s v="C05"/>
    <x v="14"/>
    <x v="2"/>
    <x v="14"/>
    <x v="3"/>
    <n v="68552"/>
    <n v="76013"/>
    <n v="209"/>
    <n v="-7461"/>
    <n v="-9.8154263086577292E-2"/>
    <n v="328"/>
  </r>
  <r>
    <x v="148"/>
    <s v="S016"/>
    <s v="C05"/>
    <x v="15"/>
    <x v="3"/>
    <x v="15"/>
    <x v="3"/>
    <n v="43195"/>
    <n v="47028"/>
    <n v="163"/>
    <n v="-3833"/>
    <n v="-8.1504635536276265E-2"/>
    <n v="265"/>
  </r>
  <r>
    <x v="148"/>
    <s v="S017"/>
    <s v="C01"/>
    <x v="16"/>
    <x v="3"/>
    <x v="16"/>
    <x v="0"/>
    <n v="20100"/>
    <n v="22129"/>
    <n v="60"/>
    <n v="-2029"/>
    <n v="-9.1689638031542314E-2"/>
    <n v="335"/>
  </r>
  <r>
    <x v="148"/>
    <s v="S018"/>
    <s v="C03"/>
    <x v="17"/>
    <x v="4"/>
    <x v="17"/>
    <x v="4"/>
    <n v="64650"/>
    <n v="70061"/>
    <n v="150"/>
    <n v="-5411"/>
    <n v="-7.723269722099313E-2"/>
    <n v="431"/>
  </r>
  <r>
    <x v="148"/>
    <s v="S019"/>
    <s v="C05"/>
    <x v="18"/>
    <x v="5"/>
    <x v="18"/>
    <x v="3"/>
    <n v="51900"/>
    <n v="53022"/>
    <n v="100"/>
    <n v="-1122"/>
    <n v="-2.116102749801969E-2"/>
    <n v="519"/>
  </r>
  <r>
    <x v="148"/>
    <s v="S020"/>
    <s v="C03"/>
    <x v="19"/>
    <x v="6"/>
    <x v="19"/>
    <x v="4"/>
    <n v="28272"/>
    <n v="31295"/>
    <n v="152"/>
    <n v="-3023"/>
    <n v="-9.6596900463332802E-2"/>
    <n v="186"/>
  </r>
  <r>
    <x v="149"/>
    <s v="S001"/>
    <s v="C03"/>
    <x v="0"/>
    <x v="0"/>
    <x v="0"/>
    <x v="4"/>
    <n v="75600"/>
    <n v="84886"/>
    <n v="216"/>
    <n v="-9286"/>
    <n v="-0.10939377518083077"/>
    <n v="350"/>
  </r>
  <r>
    <x v="149"/>
    <s v="S002"/>
    <s v="C05"/>
    <x v="1"/>
    <x v="0"/>
    <x v="1"/>
    <x v="3"/>
    <n v="37446"/>
    <n v="36228"/>
    <n v="158"/>
    <n v="1218"/>
    <n v="3.3620404107320305E-2"/>
    <n v="237"/>
  </r>
  <r>
    <x v="149"/>
    <s v="S003"/>
    <s v="C05"/>
    <x v="2"/>
    <x v="0"/>
    <x v="2"/>
    <x v="3"/>
    <n v="37620"/>
    <n v="35249"/>
    <n v="198"/>
    <n v="2371"/>
    <n v="6.7264319555164681E-2"/>
    <n v="190"/>
  </r>
  <r>
    <x v="149"/>
    <s v="S004"/>
    <s v="C04"/>
    <x v="3"/>
    <x v="0"/>
    <x v="3"/>
    <x v="2"/>
    <n v="47047"/>
    <n v="54034"/>
    <n v="91"/>
    <n v="-6987"/>
    <n v="-0.12930747307250989"/>
    <n v="517"/>
  </r>
  <r>
    <x v="149"/>
    <s v="S005"/>
    <s v="C03"/>
    <x v="4"/>
    <x v="0"/>
    <x v="4"/>
    <x v="4"/>
    <n v="31590"/>
    <n v="30360"/>
    <n v="162"/>
    <n v="1230"/>
    <n v="4.0513833992094864E-2"/>
    <n v="195"/>
  </r>
  <r>
    <x v="149"/>
    <s v="S006"/>
    <s v="C04"/>
    <x v="5"/>
    <x v="1"/>
    <x v="5"/>
    <x v="2"/>
    <n v="36195"/>
    <n v="39311"/>
    <n v="127"/>
    <n v="-3116"/>
    <n v="-7.9265345577573712E-2"/>
    <n v="285"/>
  </r>
  <r>
    <x v="149"/>
    <s v="S007"/>
    <s v="C02"/>
    <x v="6"/>
    <x v="1"/>
    <x v="6"/>
    <x v="1"/>
    <n v="66417"/>
    <n v="61567"/>
    <n v="131"/>
    <n v="4850"/>
    <n v="7.8775967645004635E-2"/>
    <n v="507"/>
  </r>
  <r>
    <x v="149"/>
    <s v="S008"/>
    <s v="C03"/>
    <x v="7"/>
    <x v="1"/>
    <x v="7"/>
    <x v="4"/>
    <n v="89310"/>
    <n v="100456"/>
    <n v="195"/>
    <n v="-11146"/>
    <n v="-0.1109540495341244"/>
    <n v="458"/>
  </r>
  <r>
    <x v="149"/>
    <s v="S009"/>
    <s v="C04"/>
    <x v="8"/>
    <x v="1"/>
    <x v="8"/>
    <x v="2"/>
    <n v="45461"/>
    <n v="43930"/>
    <n v="169"/>
    <n v="1531"/>
    <n v="3.485089915775097E-2"/>
    <n v="269"/>
  </r>
  <r>
    <x v="149"/>
    <s v="S010"/>
    <s v="C03"/>
    <x v="9"/>
    <x v="1"/>
    <x v="9"/>
    <x v="4"/>
    <n v="45220"/>
    <n v="47358"/>
    <n v="119"/>
    <n v="-2138"/>
    <n v="-4.5145487562819372E-2"/>
    <n v="380"/>
  </r>
  <r>
    <x v="149"/>
    <s v="S011"/>
    <s v="C03"/>
    <x v="10"/>
    <x v="2"/>
    <x v="10"/>
    <x v="4"/>
    <n v="31578"/>
    <n v="28744"/>
    <n v="114"/>
    <n v="2834"/>
    <n v="9.8594489284720296E-2"/>
    <n v="277"/>
  </r>
  <r>
    <x v="149"/>
    <s v="S012"/>
    <s v="C05"/>
    <x v="11"/>
    <x v="2"/>
    <x v="11"/>
    <x v="3"/>
    <n v="75970"/>
    <n v="84216"/>
    <n v="214"/>
    <n v="-8246"/>
    <n v="-9.7914885532440391E-2"/>
    <n v="355"/>
  </r>
  <r>
    <x v="149"/>
    <s v="S013"/>
    <s v="C01"/>
    <x v="12"/>
    <x v="2"/>
    <x v="12"/>
    <x v="0"/>
    <n v="59740"/>
    <n v="62229"/>
    <n v="145"/>
    <n v="-2489"/>
    <n v="-3.9997428851500101E-2"/>
    <n v="412"/>
  </r>
  <r>
    <x v="149"/>
    <s v="S014"/>
    <s v="C03"/>
    <x v="13"/>
    <x v="2"/>
    <x v="13"/>
    <x v="4"/>
    <n v="25488"/>
    <n v="29116"/>
    <n v="108"/>
    <n v="-3628"/>
    <n v="-0.12460502816320923"/>
    <n v="236"/>
  </r>
  <r>
    <x v="149"/>
    <s v="S015"/>
    <s v="C04"/>
    <x v="14"/>
    <x v="2"/>
    <x v="14"/>
    <x v="2"/>
    <n v="53550"/>
    <n v="54437"/>
    <n v="210"/>
    <n v="-887"/>
    <n v="-1.6294064698642467E-2"/>
    <n v="255"/>
  </r>
  <r>
    <x v="149"/>
    <s v="S016"/>
    <s v="C02"/>
    <x v="15"/>
    <x v="3"/>
    <x v="15"/>
    <x v="1"/>
    <n v="55104"/>
    <n v="58187"/>
    <n v="168"/>
    <n v="-3083"/>
    <n v="-5.298434358189974E-2"/>
    <n v="328"/>
  </r>
  <r>
    <x v="149"/>
    <s v="S017"/>
    <s v="C02"/>
    <x v="16"/>
    <x v="3"/>
    <x v="16"/>
    <x v="1"/>
    <n v="48048"/>
    <n v="46705"/>
    <n v="112"/>
    <n v="1343"/>
    <n v="2.8754951290011776E-2"/>
    <n v="429"/>
  </r>
  <r>
    <x v="149"/>
    <s v="S018"/>
    <s v="C03"/>
    <x v="17"/>
    <x v="4"/>
    <x v="17"/>
    <x v="4"/>
    <n v="15656"/>
    <n v="14250"/>
    <n v="38"/>
    <n v="1406"/>
    <n v="9.8666666666666666E-2"/>
    <n v="412"/>
  </r>
  <r>
    <x v="149"/>
    <s v="S019"/>
    <s v="C03"/>
    <x v="18"/>
    <x v="5"/>
    <x v="18"/>
    <x v="4"/>
    <n v="45198"/>
    <n v="41279"/>
    <n v="186"/>
    <n v="3919"/>
    <n v="9.4939315390392215E-2"/>
    <n v="243"/>
  </r>
  <r>
    <x v="149"/>
    <s v="S020"/>
    <s v="C03"/>
    <x v="19"/>
    <x v="6"/>
    <x v="19"/>
    <x v="4"/>
    <n v="14400"/>
    <n v="14228"/>
    <n v="36"/>
    <n v="172"/>
    <n v="1.208883890919314E-2"/>
    <n v="400"/>
  </r>
  <r>
    <x v="150"/>
    <s v="S001"/>
    <s v="C01"/>
    <x v="0"/>
    <x v="0"/>
    <x v="0"/>
    <x v="0"/>
    <n v="14476"/>
    <n v="13526"/>
    <n v="47"/>
    <n v="950"/>
    <n v="7.0235102765045104E-2"/>
    <n v="308"/>
  </r>
  <r>
    <x v="150"/>
    <s v="S002"/>
    <s v="C03"/>
    <x v="1"/>
    <x v="0"/>
    <x v="1"/>
    <x v="4"/>
    <n v="84760"/>
    <n v="96595"/>
    <n v="163"/>
    <n v="-11835"/>
    <n v="-0.12252186966199079"/>
    <n v="520"/>
  </r>
  <r>
    <x v="150"/>
    <s v="S003"/>
    <s v="C05"/>
    <x v="2"/>
    <x v="0"/>
    <x v="2"/>
    <x v="3"/>
    <n v="16576"/>
    <n v="17873"/>
    <n v="74"/>
    <n v="-1297"/>
    <n v="-7.2567560006714035E-2"/>
    <n v="224"/>
  </r>
  <r>
    <x v="150"/>
    <s v="S004"/>
    <s v="C02"/>
    <x v="3"/>
    <x v="0"/>
    <x v="3"/>
    <x v="1"/>
    <n v="34085"/>
    <n v="35663"/>
    <n v="85"/>
    <n v="-1578"/>
    <n v="-4.4247539466674146E-2"/>
    <n v="401"/>
  </r>
  <r>
    <x v="150"/>
    <s v="S005"/>
    <s v="C01"/>
    <x v="4"/>
    <x v="0"/>
    <x v="4"/>
    <x v="0"/>
    <n v="31828"/>
    <n v="28900"/>
    <n v="109"/>
    <n v="2928"/>
    <n v="0.10131487889273356"/>
    <n v="292"/>
  </r>
  <r>
    <x v="150"/>
    <s v="S006"/>
    <s v="C03"/>
    <x v="5"/>
    <x v="1"/>
    <x v="5"/>
    <x v="4"/>
    <n v="49588"/>
    <n v="49417"/>
    <n v="98"/>
    <n v="171"/>
    <n v="3.4603476536414594E-3"/>
    <n v="506"/>
  </r>
  <r>
    <x v="150"/>
    <s v="S007"/>
    <s v="C04"/>
    <x v="6"/>
    <x v="1"/>
    <x v="6"/>
    <x v="2"/>
    <n v="18780"/>
    <n v="21222"/>
    <n v="60"/>
    <n v="-2442"/>
    <n v="-0.11506926774102347"/>
    <n v="313"/>
  </r>
  <r>
    <x v="150"/>
    <s v="S008"/>
    <s v="C05"/>
    <x v="7"/>
    <x v="1"/>
    <x v="7"/>
    <x v="3"/>
    <n v="30552"/>
    <n v="31803"/>
    <n v="114"/>
    <n v="-1251"/>
    <n v="-3.9335911706442787E-2"/>
    <n v="268"/>
  </r>
  <r>
    <x v="150"/>
    <s v="S009"/>
    <s v="C03"/>
    <x v="8"/>
    <x v="1"/>
    <x v="8"/>
    <x v="4"/>
    <n v="45933"/>
    <n v="49186"/>
    <n v="183"/>
    <n v="-3253"/>
    <n v="-6.6136705566624654E-2"/>
    <n v="251"/>
  </r>
  <r>
    <x v="150"/>
    <s v="S010"/>
    <s v="C02"/>
    <x v="9"/>
    <x v="1"/>
    <x v="9"/>
    <x v="1"/>
    <n v="24651"/>
    <n v="24751"/>
    <n v="99"/>
    <n v="-100"/>
    <n v="-4.0402407983515815E-3"/>
    <n v="249"/>
  </r>
  <r>
    <x v="150"/>
    <s v="S011"/>
    <s v="C02"/>
    <x v="10"/>
    <x v="2"/>
    <x v="10"/>
    <x v="1"/>
    <n v="37632"/>
    <n v="34674"/>
    <n v="112"/>
    <n v="2958"/>
    <n v="8.5308876968333627E-2"/>
    <n v="336"/>
  </r>
  <r>
    <x v="150"/>
    <s v="S012"/>
    <s v="C05"/>
    <x v="11"/>
    <x v="2"/>
    <x v="11"/>
    <x v="3"/>
    <n v="81120"/>
    <n v="84077"/>
    <n v="195"/>
    <n v="-2957"/>
    <n v="-3.5170141655863081E-2"/>
    <n v="416"/>
  </r>
  <r>
    <x v="150"/>
    <s v="S013"/>
    <s v="C04"/>
    <x v="12"/>
    <x v="2"/>
    <x v="12"/>
    <x v="2"/>
    <n v="33434"/>
    <n v="31249"/>
    <n v="146"/>
    <n v="2185"/>
    <n v="6.9922237511600371E-2"/>
    <n v="229"/>
  </r>
  <r>
    <x v="150"/>
    <s v="S014"/>
    <s v="C04"/>
    <x v="13"/>
    <x v="2"/>
    <x v="13"/>
    <x v="2"/>
    <n v="72080"/>
    <n v="73950"/>
    <n v="212"/>
    <n v="-1870"/>
    <n v="-2.528735632183908E-2"/>
    <n v="340"/>
  </r>
  <r>
    <x v="150"/>
    <s v="S015"/>
    <s v="C03"/>
    <x v="14"/>
    <x v="2"/>
    <x v="14"/>
    <x v="4"/>
    <n v="55594"/>
    <n v="55978"/>
    <n v="154"/>
    <n v="-384"/>
    <n v="-6.8598377934188434E-3"/>
    <n v="361"/>
  </r>
  <r>
    <x v="150"/>
    <s v="S016"/>
    <s v="C04"/>
    <x v="15"/>
    <x v="3"/>
    <x v="15"/>
    <x v="2"/>
    <n v="58240"/>
    <n v="52818"/>
    <n v="140"/>
    <n v="5422"/>
    <n v="0.1026543981218524"/>
    <n v="416"/>
  </r>
  <r>
    <x v="150"/>
    <s v="S017"/>
    <s v="C05"/>
    <x v="16"/>
    <x v="3"/>
    <x v="16"/>
    <x v="3"/>
    <n v="16195"/>
    <n v="14933"/>
    <n v="41"/>
    <n v="1262"/>
    <n v="8.4510814973548523E-2"/>
    <n v="395"/>
  </r>
  <r>
    <x v="150"/>
    <s v="S018"/>
    <s v="C02"/>
    <x v="17"/>
    <x v="4"/>
    <x v="17"/>
    <x v="1"/>
    <n v="64128"/>
    <n v="70326"/>
    <n v="192"/>
    <n v="-6198"/>
    <n v="-8.8132411910246566E-2"/>
    <n v="334"/>
  </r>
  <r>
    <x v="150"/>
    <s v="S019"/>
    <s v="C05"/>
    <x v="18"/>
    <x v="5"/>
    <x v="18"/>
    <x v="3"/>
    <n v="61586"/>
    <n v="57386"/>
    <n v="166"/>
    <n v="4200"/>
    <n v="7.3188582581117351E-2"/>
    <n v="371"/>
  </r>
  <r>
    <x v="150"/>
    <s v="S020"/>
    <s v="C05"/>
    <x v="19"/>
    <x v="6"/>
    <x v="19"/>
    <x v="3"/>
    <n v="59070"/>
    <n v="53953"/>
    <n v="179"/>
    <n v="5117"/>
    <n v="9.4841806757733585E-2"/>
    <n v="330"/>
  </r>
  <r>
    <x v="151"/>
    <s v="S001"/>
    <s v="C04"/>
    <x v="0"/>
    <x v="0"/>
    <x v="0"/>
    <x v="2"/>
    <n v="25862"/>
    <n v="27608"/>
    <n v="67"/>
    <n v="-1746"/>
    <n v="-6.3242538394668216E-2"/>
    <n v="386"/>
  </r>
  <r>
    <x v="151"/>
    <s v="S002"/>
    <s v="C04"/>
    <x v="1"/>
    <x v="0"/>
    <x v="1"/>
    <x v="2"/>
    <n v="69305"/>
    <n v="76914"/>
    <n v="167"/>
    <n v="-7609"/>
    <n v="-9.8928673583482854E-2"/>
    <n v="415"/>
  </r>
  <r>
    <x v="151"/>
    <s v="S003"/>
    <s v="C01"/>
    <x v="2"/>
    <x v="0"/>
    <x v="2"/>
    <x v="0"/>
    <n v="15582"/>
    <n v="17256"/>
    <n v="49"/>
    <n v="-1674"/>
    <n v="-9.7009735744089012E-2"/>
    <n v="318"/>
  </r>
  <r>
    <x v="151"/>
    <s v="S004"/>
    <s v="C01"/>
    <x v="3"/>
    <x v="0"/>
    <x v="3"/>
    <x v="0"/>
    <n v="58080"/>
    <n v="53686"/>
    <n v="120"/>
    <n v="4394"/>
    <n v="8.1846291398129864E-2"/>
    <n v="484"/>
  </r>
  <r>
    <x v="151"/>
    <s v="S005"/>
    <s v="C03"/>
    <x v="4"/>
    <x v="0"/>
    <x v="4"/>
    <x v="4"/>
    <n v="76254"/>
    <n v="81793"/>
    <n v="179"/>
    <n v="-5539"/>
    <n v="-6.7719731517367016E-2"/>
    <n v="426"/>
  </r>
  <r>
    <x v="151"/>
    <s v="S006"/>
    <s v="C01"/>
    <x v="5"/>
    <x v="1"/>
    <x v="5"/>
    <x v="0"/>
    <n v="31614"/>
    <n v="33782"/>
    <n v="66"/>
    <n v="-2168"/>
    <n v="-6.4176188502752946E-2"/>
    <n v="479"/>
  </r>
  <r>
    <x v="151"/>
    <s v="S007"/>
    <s v="C01"/>
    <x v="6"/>
    <x v="1"/>
    <x v="6"/>
    <x v="0"/>
    <n v="60776"/>
    <n v="62542"/>
    <n v="214"/>
    <n v="-1766"/>
    <n v="-2.8237024719388572E-2"/>
    <n v="284"/>
  </r>
  <r>
    <x v="151"/>
    <s v="S008"/>
    <s v="C05"/>
    <x v="7"/>
    <x v="1"/>
    <x v="7"/>
    <x v="3"/>
    <n v="40089"/>
    <n v="38320"/>
    <n v="161"/>
    <n v="1769"/>
    <n v="4.6163883089770354E-2"/>
    <n v="249"/>
  </r>
  <r>
    <x v="151"/>
    <s v="S009"/>
    <s v="C02"/>
    <x v="8"/>
    <x v="1"/>
    <x v="8"/>
    <x v="1"/>
    <n v="56112"/>
    <n v="54861"/>
    <n v="112"/>
    <n v="1251"/>
    <n v="2.280308415814513E-2"/>
    <n v="501"/>
  </r>
  <r>
    <x v="151"/>
    <s v="S010"/>
    <s v="C01"/>
    <x v="9"/>
    <x v="1"/>
    <x v="9"/>
    <x v="0"/>
    <n v="79341"/>
    <n v="85049"/>
    <n v="159"/>
    <n v="-5708"/>
    <n v="-6.7114251784265541E-2"/>
    <n v="499"/>
  </r>
  <r>
    <x v="151"/>
    <s v="S011"/>
    <s v="C01"/>
    <x v="10"/>
    <x v="2"/>
    <x v="10"/>
    <x v="0"/>
    <n v="9360"/>
    <n v="8782"/>
    <n v="52"/>
    <n v="578"/>
    <n v="6.581644272375313E-2"/>
    <n v="180"/>
  </r>
  <r>
    <x v="151"/>
    <s v="S012"/>
    <s v="C01"/>
    <x v="11"/>
    <x v="2"/>
    <x v="11"/>
    <x v="0"/>
    <n v="38472"/>
    <n v="37002"/>
    <n v="168"/>
    <n v="1470"/>
    <n v="3.9727582292849034E-2"/>
    <n v="229"/>
  </r>
  <r>
    <x v="151"/>
    <s v="S013"/>
    <s v="C01"/>
    <x v="12"/>
    <x v="2"/>
    <x v="12"/>
    <x v="0"/>
    <n v="29952"/>
    <n v="33192"/>
    <n v="156"/>
    <n v="-3240"/>
    <n v="-9.7613882863340565E-2"/>
    <n v="192"/>
  </r>
  <r>
    <x v="151"/>
    <s v="S014"/>
    <s v="C04"/>
    <x v="13"/>
    <x v="2"/>
    <x v="13"/>
    <x v="2"/>
    <n v="28080"/>
    <n v="31772"/>
    <n v="135"/>
    <n v="-3692"/>
    <n v="-0.11620294599018004"/>
    <n v="208"/>
  </r>
  <r>
    <x v="151"/>
    <s v="S015"/>
    <s v="C03"/>
    <x v="14"/>
    <x v="2"/>
    <x v="14"/>
    <x v="4"/>
    <n v="58926"/>
    <n v="67509"/>
    <n v="138"/>
    <n v="-8583"/>
    <n v="-0.12713860374172334"/>
    <n v="427"/>
  </r>
  <r>
    <x v="151"/>
    <s v="S016"/>
    <s v="C02"/>
    <x v="15"/>
    <x v="3"/>
    <x v="15"/>
    <x v="1"/>
    <n v="54462"/>
    <n v="60203"/>
    <n v="174"/>
    <n v="-5741"/>
    <n v="-9.5360696310815077E-2"/>
    <n v="313"/>
  </r>
  <r>
    <x v="151"/>
    <s v="S017"/>
    <s v="C04"/>
    <x v="16"/>
    <x v="3"/>
    <x v="16"/>
    <x v="2"/>
    <n v="100485"/>
    <n v="93531"/>
    <n v="203"/>
    <n v="6954"/>
    <n v="7.4349680854476061E-2"/>
    <n v="495"/>
  </r>
  <r>
    <x v="151"/>
    <s v="S018"/>
    <s v="C02"/>
    <x v="17"/>
    <x v="4"/>
    <x v="17"/>
    <x v="1"/>
    <n v="37627"/>
    <n v="35602"/>
    <n v="197"/>
    <n v="2025"/>
    <n v="5.6878827032189203E-2"/>
    <n v="191"/>
  </r>
  <r>
    <x v="151"/>
    <s v="S019"/>
    <s v="C02"/>
    <x v="18"/>
    <x v="5"/>
    <x v="18"/>
    <x v="1"/>
    <n v="34398"/>
    <n v="37336"/>
    <n v="78"/>
    <n v="-2938"/>
    <n v="-7.8690807799442902E-2"/>
    <n v="441"/>
  </r>
  <r>
    <x v="151"/>
    <s v="S020"/>
    <s v="C05"/>
    <x v="19"/>
    <x v="6"/>
    <x v="19"/>
    <x v="3"/>
    <n v="36378"/>
    <n v="37109"/>
    <n v="86"/>
    <n v="-731"/>
    <n v="-1.9698725376593278E-2"/>
    <n v="423"/>
  </r>
  <r>
    <x v="152"/>
    <s v="S001"/>
    <s v="C03"/>
    <x v="0"/>
    <x v="0"/>
    <x v="0"/>
    <x v="4"/>
    <n v="47355"/>
    <n v="53973"/>
    <n v="205"/>
    <n v="-6618"/>
    <n v="-0.12261686398754933"/>
    <n v="231"/>
  </r>
  <r>
    <x v="152"/>
    <s v="S002"/>
    <s v="C04"/>
    <x v="1"/>
    <x v="0"/>
    <x v="1"/>
    <x v="2"/>
    <n v="41280"/>
    <n v="41189"/>
    <n v="129"/>
    <n v="91"/>
    <n v="2.2093277331326324E-3"/>
    <n v="320"/>
  </r>
  <r>
    <x v="152"/>
    <s v="S003"/>
    <s v="C01"/>
    <x v="2"/>
    <x v="0"/>
    <x v="2"/>
    <x v="0"/>
    <n v="60129"/>
    <n v="66344"/>
    <n v="153"/>
    <n v="-6215"/>
    <n v="-9.3678403472808397E-2"/>
    <n v="393"/>
  </r>
  <r>
    <x v="152"/>
    <s v="S004"/>
    <s v="C02"/>
    <x v="3"/>
    <x v="0"/>
    <x v="3"/>
    <x v="1"/>
    <n v="13650"/>
    <n v="13844"/>
    <n v="42"/>
    <n v="-194"/>
    <n v="-1.4013290956370991E-2"/>
    <n v="325"/>
  </r>
  <r>
    <x v="152"/>
    <s v="S005"/>
    <s v="C05"/>
    <x v="4"/>
    <x v="0"/>
    <x v="4"/>
    <x v="3"/>
    <n v="24790"/>
    <n v="25908"/>
    <n v="134"/>
    <n v="-1118"/>
    <n v="-4.3152694148525551E-2"/>
    <n v="185"/>
  </r>
  <r>
    <x v="152"/>
    <s v="S006"/>
    <s v="C01"/>
    <x v="5"/>
    <x v="1"/>
    <x v="5"/>
    <x v="0"/>
    <n v="102600"/>
    <n v="115251"/>
    <n v="200"/>
    <n v="-12651"/>
    <n v="-0.10976911263242835"/>
    <n v="513"/>
  </r>
  <r>
    <x v="152"/>
    <s v="S007"/>
    <s v="C05"/>
    <x v="6"/>
    <x v="1"/>
    <x v="6"/>
    <x v="3"/>
    <n v="29748"/>
    <n v="33526"/>
    <n v="148"/>
    <n v="-3778"/>
    <n v="-0.11268865954781364"/>
    <n v="201"/>
  </r>
  <r>
    <x v="152"/>
    <s v="S008"/>
    <s v="C03"/>
    <x v="7"/>
    <x v="1"/>
    <x v="7"/>
    <x v="4"/>
    <n v="29330"/>
    <n v="32867"/>
    <n v="70"/>
    <n v="-3537"/>
    <n v="-0.10761554142452916"/>
    <n v="419"/>
  </r>
  <r>
    <x v="152"/>
    <s v="S009"/>
    <s v="C04"/>
    <x v="8"/>
    <x v="1"/>
    <x v="8"/>
    <x v="2"/>
    <n v="19320"/>
    <n v="22129"/>
    <n v="105"/>
    <n v="-2809"/>
    <n v="-0.12693750282434815"/>
    <n v="184"/>
  </r>
  <r>
    <x v="152"/>
    <s v="S010"/>
    <s v="C03"/>
    <x v="9"/>
    <x v="1"/>
    <x v="9"/>
    <x v="4"/>
    <n v="71231"/>
    <n v="67861"/>
    <n v="163"/>
    <n v="3370"/>
    <n v="4.9660335096741871E-2"/>
    <n v="437"/>
  </r>
  <r>
    <x v="152"/>
    <s v="S011"/>
    <s v="C05"/>
    <x v="10"/>
    <x v="2"/>
    <x v="10"/>
    <x v="3"/>
    <n v="59228"/>
    <n v="54234"/>
    <n v="134"/>
    <n v="4994"/>
    <n v="9.2082457498985873E-2"/>
    <n v="442"/>
  </r>
  <r>
    <x v="152"/>
    <s v="S012"/>
    <s v="C02"/>
    <x v="11"/>
    <x v="2"/>
    <x v="11"/>
    <x v="1"/>
    <n v="64375"/>
    <n v="69512"/>
    <n v="125"/>
    <n v="-5137"/>
    <n v="-7.3900909195534589E-2"/>
    <n v="515"/>
  </r>
  <r>
    <x v="152"/>
    <s v="S013"/>
    <s v="C03"/>
    <x v="12"/>
    <x v="2"/>
    <x v="12"/>
    <x v="4"/>
    <n v="38152"/>
    <n v="36991"/>
    <n v="152"/>
    <n v="1161"/>
    <n v="3.1386012813927715E-2"/>
    <n v="251"/>
  </r>
  <r>
    <x v="152"/>
    <s v="S014"/>
    <s v="C03"/>
    <x v="13"/>
    <x v="2"/>
    <x v="13"/>
    <x v="4"/>
    <n v="28890"/>
    <n v="32617"/>
    <n v="135"/>
    <n v="-3727"/>
    <n v="-0.11426556703559493"/>
    <n v="214"/>
  </r>
  <r>
    <x v="152"/>
    <s v="S015"/>
    <s v="C04"/>
    <x v="14"/>
    <x v="2"/>
    <x v="14"/>
    <x v="2"/>
    <n v="55151"/>
    <n v="57989"/>
    <n v="131"/>
    <n v="-2838"/>
    <n v="-4.8940316266878198E-2"/>
    <n v="421"/>
  </r>
  <r>
    <x v="152"/>
    <s v="S016"/>
    <s v="C02"/>
    <x v="15"/>
    <x v="3"/>
    <x v="15"/>
    <x v="1"/>
    <n v="79898"/>
    <n v="87396"/>
    <n v="182"/>
    <n v="-7498"/>
    <n v="-8.5793400155613528E-2"/>
    <n v="439"/>
  </r>
  <r>
    <x v="152"/>
    <s v="S017"/>
    <s v="C05"/>
    <x v="16"/>
    <x v="3"/>
    <x v="16"/>
    <x v="3"/>
    <n v="24846"/>
    <n v="26695"/>
    <n v="101"/>
    <n v="-1849"/>
    <n v="-6.9263907098707625E-2"/>
    <n v="246"/>
  </r>
  <r>
    <x v="152"/>
    <s v="S018"/>
    <s v="C05"/>
    <x v="17"/>
    <x v="4"/>
    <x v="17"/>
    <x v="3"/>
    <n v="65514"/>
    <n v="68535"/>
    <n v="183"/>
    <n v="-3021"/>
    <n v="-4.4079667323265487E-2"/>
    <n v="358"/>
  </r>
  <r>
    <x v="152"/>
    <s v="S019"/>
    <s v="C04"/>
    <x v="18"/>
    <x v="5"/>
    <x v="18"/>
    <x v="2"/>
    <n v="10556"/>
    <n v="9578"/>
    <n v="52"/>
    <n v="978"/>
    <n v="0.10210899979118813"/>
    <n v="203"/>
  </r>
  <r>
    <x v="152"/>
    <s v="S020"/>
    <s v="C02"/>
    <x v="19"/>
    <x v="6"/>
    <x v="19"/>
    <x v="1"/>
    <n v="21526"/>
    <n v="22953"/>
    <n v="94"/>
    <n v="-1427"/>
    <n v="-6.2170522371803247E-2"/>
    <n v="229"/>
  </r>
  <r>
    <x v="153"/>
    <s v="S001"/>
    <s v="C04"/>
    <x v="0"/>
    <x v="0"/>
    <x v="0"/>
    <x v="2"/>
    <n v="87984"/>
    <n v="86304"/>
    <n v="208"/>
    <n v="1680"/>
    <n v="1.9466073414905451E-2"/>
    <n v="423"/>
  </r>
  <r>
    <x v="153"/>
    <s v="S002"/>
    <s v="C02"/>
    <x v="1"/>
    <x v="0"/>
    <x v="1"/>
    <x v="1"/>
    <n v="22135"/>
    <n v="24900"/>
    <n v="95"/>
    <n v="-2765"/>
    <n v="-0.11104417670682731"/>
    <n v="233"/>
  </r>
  <r>
    <x v="153"/>
    <s v="S003"/>
    <s v="C02"/>
    <x v="2"/>
    <x v="0"/>
    <x v="2"/>
    <x v="1"/>
    <n v="52535"/>
    <n v="59395"/>
    <n v="133"/>
    <n v="-6860"/>
    <n v="-0.1154979375368297"/>
    <n v="395"/>
  </r>
  <r>
    <x v="153"/>
    <s v="S004"/>
    <s v="C01"/>
    <x v="3"/>
    <x v="0"/>
    <x v="3"/>
    <x v="0"/>
    <n v="58828"/>
    <n v="54628"/>
    <n v="191"/>
    <n v="4200"/>
    <n v="7.6883649410558683E-2"/>
    <n v="308"/>
  </r>
  <r>
    <x v="153"/>
    <s v="S005"/>
    <s v="C01"/>
    <x v="4"/>
    <x v="0"/>
    <x v="4"/>
    <x v="0"/>
    <n v="54908"/>
    <n v="57743"/>
    <n v="148"/>
    <n v="-2835"/>
    <n v="-4.9096860225481875E-2"/>
    <n v="371"/>
  </r>
  <r>
    <x v="153"/>
    <s v="S006"/>
    <s v="C01"/>
    <x v="5"/>
    <x v="1"/>
    <x v="5"/>
    <x v="0"/>
    <n v="27176"/>
    <n v="25189"/>
    <n v="79"/>
    <n v="1987"/>
    <n v="7.8883639683989037E-2"/>
    <n v="344"/>
  </r>
  <r>
    <x v="153"/>
    <s v="S007"/>
    <s v="C04"/>
    <x v="6"/>
    <x v="1"/>
    <x v="6"/>
    <x v="2"/>
    <n v="32488"/>
    <n v="37270"/>
    <n v="131"/>
    <n v="-4782"/>
    <n v="-0.12830694928897238"/>
    <n v="248"/>
  </r>
  <r>
    <x v="153"/>
    <s v="S008"/>
    <s v="C05"/>
    <x v="7"/>
    <x v="1"/>
    <x v="7"/>
    <x v="3"/>
    <n v="49914"/>
    <n v="47364"/>
    <n v="177"/>
    <n v="2550"/>
    <n v="5.3838358246769698E-2"/>
    <n v="282"/>
  </r>
  <r>
    <x v="153"/>
    <s v="S009"/>
    <s v="C04"/>
    <x v="8"/>
    <x v="1"/>
    <x v="8"/>
    <x v="2"/>
    <n v="47922"/>
    <n v="45831"/>
    <n v="147"/>
    <n v="2091"/>
    <n v="4.5624140865353144E-2"/>
    <n v="326"/>
  </r>
  <r>
    <x v="153"/>
    <s v="S010"/>
    <s v="C02"/>
    <x v="9"/>
    <x v="1"/>
    <x v="9"/>
    <x v="1"/>
    <n v="65700"/>
    <n v="72412"/>
    <n v="146"/>
    <n v="-6712"/>
    <n v="-9.2691819035518971E-2"/>
    <n v="450"/>
  </r>
  <r>
    <x v="153"/>
    <s v="S011"/>
    <s v="C02"/>
    <x v="10"/>
    <x v="2"/>
    <x v="10"/>
    <x v="1"/>
    <n v="27246"/>
    <n v="24686"/>
    <n v="57"/>
    <n v="2560"/>
    <n v="0.10370250344324719"/>
    <n v="478"/>
  </r>
  <r>
    <x v="153"/>
    <s v="S012"/>
    <s v="C01"/>
    <x v="11"/>
    <x v="2"/>
    <x v="11"/>
    <x v="0"/>
    <n v="17139"/>
    <n v="18895"/>
    <n v="87"/>
    <n v="-1756"/>
    <n v="-9.2934638793331567E-2"/>
    <n v="197"/>
  </r>
  <r>
    <x v="153"/>
    <s v="S013"/>
    <s v="C01"/>
    <x v="12"/>
    <x v="2"/>
    <x v="12"/>
    <x v="0"/>
    <n v="49276"/>
    <n v="51349"/>
    <n v="127"/>
    <n v="-2073"/>
    <n v="-4.0370795925918711E-2"/>
    <n v="388"/>
  </r>
  <r>
    <x v="153"/>
    <s v="S014"/>
    <s v="C01"/>
    <x v="13"/>
    <x v="2"/>
    <x v="13"/>
    <x v="0"/>
    <n v="33428"/>
    <n v="35787"/>
    <n v="122"/>
    <n v="-2359"/>
    <n v="-6.5917791376756921E-2"/>
    <n v="274"/>
  </r>
  <r>
    <x v="153"/>
    <s v="S015"/>
    <s v="C05"/>
    <x v="14"/>
    <x v="2"/>
    <x v="14"/>
    <x v="3"/>
    <n v="44874"/>
    <n v="49724"/>
    <n v="162"/>
    <n v="-4850"/>
    <n v="-9.7538412034430047E-2"/>
    <n v="277"/>
  </r>
  <r>
    <x v="153"/>
    <s v="S016"/>
    <s v="C05"/>
    <x v="15"/>
    <x v="3"/>
    <x v="15"/>
    <x v="3"/>
    <n v="68016"/>
    <n v="67201"/>
    <n v="156"/>
    <n v="815"/>
    <n v="1.2127795717325635E-2"/>
    <n v="436"/>
  </r>
  <r>
    <x v="153"/>
    <s v="S017"/>
    <s v="C05"/>
    <x v="16"/>
    <x v="3"/>
    <x v="16"/>
    <x v="3"/>
    <n v="44500"/>
    <n v="48967"/>
    <n v="178"/>
    <n v="-4467"/>
    <n v="-9.1224702350562625E-2"/>
    <n v="250"/>
  </r>
  <r>
    <x v="153"/>
    <s v="S018"/>
    <s v="C04"/>
    <x v="17"/>
    <x v="4"/>
    <x v="17"/>
    <x v="2"/>
    <n v="72000"/>
    <n v="71570"/>
    <n v="144"/>
    <n v="430"/>
    <n v="6.0081039541707423E-3"/>
    <n v="500"/>
  </r>
  <r>
    <x v="153"/>
    <s v="S019"/>
    <s v="C01"/>
    <x v="18"/>
    <x v="5"/>
    <x v="18"/>
    <x v="0"/>
    <n v="39600"/>
    <n v="36899"/>
    <n v="180"/>
    <n v="2701"/>
    <n v="7.3199815713162961E-2"/>
    <n v="220"/>
  </r>
  <r>
    <x v="153"/>
    <s v="S020"/>
    <s v="C05"/>
    <x v="19"/>
    <x v="6"/>
    <x v="19"/>
    <x v="3"/>
    <n v="25641"/>
    <n v="23832"/>
    <n v="111"/>
    <n v="1809"/>
    <n v="7.5906344410876139E-2"/>
    <n v="231"/>
  </r>
  <r>
    <x v="154"/>
    <s v="S001"/>
    <s v="C02"/>
    <x v="0"/>
    <x v="0"/>
    <x v="0"/>
    <x v="1"/>
    <n v="23376"/>
    <n v="24197"/>
    <n v="48"/>
    <n v="-821"/>
    <n v="-3.3929826011489028E-2"/>
    <n v="487"/>
  </r>
  <r>
    <x v="154"/>
    <s v="S002"/>
    <s v="C01"/>
    <x v="1"/>
    <x v="0"/>
    <x v="1"/>
    <x v="0"/>
    <n v="30176"/>
    <n v="34116"/>
    <n v="92"/>
    <n v="-3940"/>
    <n v="-0.11548833391956853"/>
    <n v="328"/>
  </r>
  <r>
    <x v="154"/>
    <s v="S003"/>
    <s v="C03"/>
    <x v="2"/>
    <x v="0"/>
    <x v="2"/>
    <x v="4"/>
    <n v="48642"/>
    <n v="44604"/>
    <n v="134"/>
    <n v="4038"/>
    <n v="9.0529997309658328E-2"/>
    <n v="363"/>
  </r>
  <r>
    <x v="154"/>
    <s v="S004"/>
    <s v="C02"/>
    <x v="3"/>
    <x v="0"/>
    <x v="3"/>
    <x v="1"/>
    <n v="23544"/>
    <n v="24335"/>
    <n v="108"/>
    <n v="-791"/>
    <n v="-3.2504622971029379E-2"/>
    <n v="218"/>
  </r>
  <r>
    <x v="154"/>
    <s v="S005"/>
    <s v="C02"/>
    <x v="4"/>
    <x v="0"/>
    <x v="4"/>
    <x v="1"/>
    <n v="82164"/>
    <n v="84219"/>
    <n v="167"/>
    <n v="-2055"/>
    <n v="-2.4400669682613188E-2"/>
    <n v="492"/>
  </r>
  <r>
    <x v="154"/>
    <s v="S006"/>
    <s v="C04"/>
    <x v="5"/>
    <x v="1"/>
    <x v="5"/>
    <x v="2"/>
    <n v="40337"/>
    <n v="41808"/>
    <n v="193"/>
    <n v="-1471"/>
    <n v="-3.518465365480291E-2"/>
    <n v="209"/>
  </r>
  <r>
    <x v="154"/>
    <s v="S007"/>
    <s v="C01"/>
    <x v="6"/>
    <x v="1"/>
    <x v="6"/>
    <x v="0"/>
    <n v="77464"/>
    <n v="87862"/>
    <n v="184"/>
    <n v="-10398"/>
    <n v="-0.11834467687965218"/>
    <n v="421"/>
  </r>
  <r>
    <x v="154"/>
    <s v="S008"/>
    <s v="C03"/>
    <x v="7"/>
    <x v="1"/>
    <x v="7"/>
    <x v="4"/>
    <n v="39390"/>
    <n v="35768"/>
    <n v="202"/>
    <n v="3622"/>
    <n v="0.10126369939610826"/>
    <n v="195"/>
  </r>
  <r>
    <x v="154"/>
    <s v="S009"/>
    <s v="C04"/>
    <x v="8"/>
    <x v="1"/>
    <x v="8"/>
    <x v="2"/>
    <n v="28482"/>
    <n v="28015"/>
    <n v="101"/>
    <n v="467"/>
    <n v="1.666964126360878E-2"/>
    <n v="282"/>
  </r>
  <r>
    <x v="154"/>
    <s v="S010"/>
    <s v="C01"/>
    <x v="9"/>
    <x v="1"/>
    <x v="9"/>
    <x v="0"/>
    <n v="19880"/>
    <n v="20611"/>
    <n v="70"/>
    <n v="-731"/>
    <n v="-3.5466498471689874E-2"/>
    <n v="284"/>
  </r>
  <r>
    <x v="154"/>
    <s v="S011"/>
    <s v="C03"/>
    <x v="10"/>
    <x v="2"/>
    <x v="10"/>
    <x v="4"/>
    <n v="43044"/>
    <n v="41275"/>
    <n v="204"/>
    <n v="1769"/>
    <n v="4.285887341005451E-2"/>
    <n v="211"/>
  </r>
  <r>
    <x v="154"/>
    <s v="S012"/>
    <s v="C01"/>
    <x v="11"/>
    <x v="2"/>
    <x v="11"/>
    <x v="0"/>
    <n v="88068"/>
    <n v="94741"/>
    <n v="179"/>
    <n v="-6673"/>
    <n v="-7.0434130946475132E-2"/>
    <n v="492"/>
  </r>
  <r>
    <x v="154"/>
    <s v="S013"/>
    <s v="C01"/>
    <x v="12"/>
    <x v="2"/>
    <x v="12"/>
    <x v="0"/>
    <n v="26568"/>
    <n v="30220"/>
    <n v="123"/>
    <n v="-3652"/>
    <n v="-0.12084712111184646"/>
    <n v="216"/>
  </r>
  <r>
    <x v="154"/>
    <s v="S014"/>
    <s v="C05"/>
    <x v="13"/>
    <x v="2"/>
    <x v="13"/>
    <x v="3"/>
    <n v="42211"/>
    <n v="47355"/>
    <n v="191"/>
    <n v="-5144"/>
    <n v="-0.10862633301657693"/>
    <n v="221"/>
  </r>
  <r>
    <x v="154"/>
    <s v="S015"/>
    <s v="C04"/>
    <x v="14"/>
    <x v="2"/>
    <x v="14"/>
    <x v="2"/>
    <n v="21624"/>
    <n v="23371"/>
    <n v="68"/>
    <n v="-1747"/>
    <n v="-7.4750759488254673E-2"/>
    <n v="318"/>
  </r>
  <r>
    <x v="154"/>
    <s v="S016"/>
    <s v="C01"/>
    <x v="15"/>
    <x v="3"/>
    <x v="15"/>
    <x v="0"/>
    <n v="19096"/>
    <n v="19609"/>
    <n v="44"/>
    <n v="-513"/>
    <n v="-2.6161456474068031E-2"/>
    <n v="434"/>
  </r>
  <r>
    <x v="154"/>
    <s v="S017"/>
    <s v="C03"/>
    <x v="16"/>
    <x v="3"/>
    <x v="16"/>
    <x v="4"/>
    <n v="61480"/>
    <n v="59995"/>
    <n v="145"/>
    <n v="1485"/>
    <n v="2.4752062671889324E-2"/>
    <n v="424"/>
  </r>
  <r>
    <x v="154"/>
    <s v="S018"/>
    <s v="C02"/>
    <x v="17"/>
    <x v="4"/>
    <x v="17"/>
    <x v="1"/>
    <n v="8320"/>
    <n v="7542"/>
    <n v="40"/>
    <n v="778"/>
    <n v="0.10315566162821532"/>
    <n v="208"/>
  </r>
  <r>
    <x v="154"/>
    <s v="S019"/>
    <s v="C02"/>
    <x v="18"/>
    <x v="5"/>
    <x v="18"/>
    <x v="1"/>
    <n v="83961"/>
    <n v="93622"/>
    <n v="171"/>
    <n v="-9661"/>
    <n v="-0.10319155753989447"/>
    <n v="491"/>
  </r>
  <r>
    <x v="154"/>
    <s v="S020"/>
    <s v="C01"/>
    <x v="19"/>
    <x v="6"/>
    <x v="19"/>
    <x v="0"/>
    <n v="74976"/>
    <n v="68455"/>
    <n v="176"/>
    <n v="6521"/>
    <n v="9.5259659630414134E-2"/>
    <n v="426"/>
  </r>
  <r>
    <x v="155"/>
    <s v="S001"/>
    <s v="C04"/>
    <x v="0"/>
    <x v="0"/>
    <x v="0"/>
    <x v="2"/>
    <n v="51972"/>
    <n v="52358"/>
    <n v="213"/>
    <n v="-386"/>
    <n v="-7.3723213262538679E-3"/>
    <n v="244"/>
  </r>
  <r>
    <x v="155"/>
    <s v="S002"/>
    <s v="C04"/>
    <x v="1"/>
    <x v="0"/>
    <x v="1"/>
    <x v="2"/>
    <n v="43750"/>
    <n v="40639"/>
    <n v="175"/>
    <n v="3111"/>
    <n v="7.655208051379217E-2"/>
    <n v="250"/>
  </r>
  <r>
    <x v="155"/>
    <s v="S003"/>
    <s v="C01"/>
    <x v="2"/>
    <x v="0"/>
    <x v="2"/>
    <x v="0"/>
    <n v="70656"/>
    <n v="69804"/>
    <n v="192"/>
    <n v="852"/>
    <n v="1.2205604263365996E-2"/>
    <n v="368"/>
  </r>
  <r>
    <x v="155"/>
    <s v="S004"/>
    <s v="C03"/>
    <x v="3"/>
    <x v="0"/>
    <x v="3"/>
    <x v="4"/>
    <n v="30514"/>
    <n v="29279"/>
    <n v="146"/>
    <n v="1235"/>
    <n v="4.218040233614536E-2"/>
    <n v="209"/>
  </r>
  <r>
    <x v="155"/>
    <s v="S005"/>
    <s v="C01"/>
    <x v="4"/>
    <x v="0"/>
    <x v="4"/>
    <x v="0"/>
    <n v="34225"/>
    <n v="32745"/>
    <n v="185"/>
    <n v="1480"/>
    <n v="4.519774011299435E-2"/>
    <n v="185"/>
  </r>
  <r>
    <x v="155"/>
    <s v="S006"/>
    <s v="C05"/>
    <x v="5"/>
    <x v="1"/>
    <x v="5"/>
    <x v="3"/>
    <n v="36540"/>
    <n v="41938"/>
    <n v="180"/>
    <n v="-5398"/>
    <n v="-0.12871381563260051"/>
    <n v="203"/>
  </r>
  <r>
    <x v="155"/>
    <s v="S007"/>
    <s v="C01"/>
    <x v="6"/>
    <x v="1"/>
    <x v="6"/>
    <x v="0"/>
    <n v="67233"/>
    <n v="74168"/>
    <n v="219"/>
    <n v="-6935"/>
    <n v="-9.3503937007874016E-2"/>
    <n v="307"/>
  </r>
  <r>
    <x v="155"/>
    <s v="S008"/>
    <s v="C01"/>
    <x v="7"/>
    <x v="1"/>
    <x v="7"/>
    <x v="0"/>
    <n v="11956"/>
    <n v="12071"/>
    <n v="49"/>
    <n v="-115"/>
    <n v="-9.5269654543948309E-3"/>
    <n v="244"/>
  </r>
  <r>
    <x v="155"/>
    <s v="S009"/>
    <s v="C03"/>
    <x v="8"/>
    <x v="1"/>
    <x v="8"/>
    <x v="4"/>
    <n v="15640"/>
    <n v="15443"/>
    <n v="46"/>
    <n v="197"/>
    <n v="1.2756588745710031E-2"/>
    <n v="340"/>
  </r>
  <r>
    <x v="155"/>
    <s v="S010"/>
    <s v="C02"/>
    <x v="9"/>
    <x v="1"/>
    <x v="9"/>
    <x v="1"/>
    <n v="26814"/>
    <n v="28195"/>
    <n v="109"/>
    <n v="-1381"/>
    <n v="-4.898031565880475E-2"/>
    <n v="246"/>
  </r>
  <r>
    <x v="155"/>
    <s v="S011"/>
    <s v="C04"/>
    <x v="10"/>
    <x v="2"/>
    <x v="10"/>
    <x v="2"/>
    <n v="49126"/>
    <n v="52277"/>
    <n v="203"/>
    <n v="-3151"/>
    <n v="-6.0275073167932361E-2"/>
    <n v="242"/>
  </r>
  <r>
    <x v="155"/>
    <s v="S012"/>
    <s v="C01"/>
    <x v="11"/>
    <x v="2"/>
    <x v="11"/>
    <x v="0"/>
    <n v="45342"/>
    <n v="43141"/>
    <n v="99"/>
    <n v="2201"/>
    <n v="5.101875246285436E-2"/>
    <n v="458"/>
  </r>
  <r>
    <x v="155"/>
    <s v="S013"/>
    <s v="C03"/>
    <x v="12"/>
    <x v="2"/>
    <x v="12"/>
    <x v="4"/>
    <n v="37037"/>
    <n v="39936"/>
    <n v="91"/>
    <n v="-2899"/>
    <n v="-7.2591145833333329E-2"/>
    <n v="407"/>
  </r>
  <r>
    <x v="155"/>
    <s v="S014"/>
    <s v="C03"/>
    <x v="13"/>
    <x v="2"/>
    <x v="13"/>
    <x v="4"/>
    <n v="57904"/>
    <n v="64692"/>
    <n v="176"/>
    <n v="-6788"/>
    <n v="-0.10492796636369257"/>
    <n v="329"/>
  </r>
  <r>
    <x v="155"/>
    <s v="S015"/>
    <s v="C02"/>
    <x v="14"/>
    <x v="2"/>
    <x v="14"/>
    <x v="1"/>
    <n v="53404"/>
    <n v="52320"/>
    <n v="169"/>
    <n v="1084"/>
    <n v="2.0718654434250763E-2"/>
    <n v="316"/>
  </r>
  <r>
    <x v="155"/>
    <s v="S016"/>
    <s v="C05"/>
    <x v="15"/>
    <x v="3"/>
    <x v="15"/>
    <x v="3"/>
    <n v="37979"/>
    <n v="34693"/>
    <n v="163"/>
    <n v="3286"/>
    <n v="9.4716513417692327E-2"/>
    <n v="233"/>
  </r>
  <r>
    <x v="155"/>
    <s v="S017"/>
    <s v="C04"/>
    <x v="16"/>
    <x v="3"/>
    <x v="16"/>
    <x v="2"/>
    <n v="107070"/>
    <n v="109377"/>
    <n v="215"/>
    <n v="-2307"/>
    <n v="-2.1092185742889274E-2"/>
    <n v="498"/>
  </r>
  <r>
    <x v="155"/>
    <s v="S018"/>
    <s v="C01"/>
    <x v="17"/>
    <x v="4"/>
    <x v="17"/>
    <x v="0"/>
    <n v="21750"/>
    <n v="24150"/>
    <n v="87"/>
    <n v="-2400"/>
    <n v="-9.9378881987577633E-2"/>
    <n v="250"/>
  </r>
  <r>
    <x v="155"/>
    <s v="S019"/>
    <s v="C05"/>
    <x v="18"/>
    <x v="5"/>
    <x v="18"/>
    <x v="3"/>
    <n v="31584"/>
    <n v="34283"/>
    <n v="94"/>
    <n v="-2699"/>
    <n v="-7.8727065892716511E-2"/>
    <n v="336"/>
  </r>
  <r>
    <x v="155"/>
    <s v="S020"/>
    <s v="C02"/>
    <x v="19"/>
    <x v="6"/>
    <x v="19"/>
    <x v="1"/>
    <n v="24420"/>
    <n v="26403"/>
    <n v="66"/>
    <n v="-1983"/>
    <n v="-7.5105101692989437E-2"/>
    <n v="370"/>
  </r>
  <r>
    <x v="156"/>
    <s v="S001"/>
    <s v="C02"/>
    <x v="0"/>
    <x v="0"/>
    <x v="0"/>
    <x v="1"/>
    <n v="13200"/>
    <n v="14184"/>
    <n v="44"/>
    <n v="-984"/>
    <n v="-6.9373942470389166E-2"/>
    <n v="300"/>
  </r>
  <r>
    <x v="156"/>
    <s v="S002"/>
    <s v="C04"/>
    <x v="1"/>
    <x v="0"/>
    <x v="1"/>
    <x v="2"/>
    <n v="12160"/>
    <n v="12460"/>
    <n v="64"/>
    <n v="-300"/>
    <n v="-2.4077046548956663E-2"/>
    <n v="190"/>
  </r>
  <r>
    <x v="156"/>
    <s v="S003"/>
    <s v="C01"/>
    <x v="2"/>
    <x v="0"/>
    <x v="2"/>
    <x v="0"/>
    <n v="33488"/>
    <n v="35063"/>
    <n v="104"/>
    <n v="-1575"/>
    <n v="-4.4919145538031544E-2"/>
    <n v="322"/>
  </r>
  <r>
    <x v="156"/>
    <s v="S004"/>
    <s v="C03"/>
    <x v="3"/>
    <x v="0"/>
    <x v="3"/>
    <x v="4"/>
    <n v="11760"/>
    <n v="11404"/>
    <n v="56"/>
    <n v="356"/>
    <n v="3.1217116801122415E-2"/>
    <n v="210"/>
  </r>
  <r>
    <x v="156"/>
    <s v="S005"/>
    <s v="C05"/>
    <x v="4"/>
    <x v="0"/>
    <x v="4"/>
    <x v="3"/>
    <n v="57589"/>
    <n v="52101"/>
    <n v="133"/>
    <n v="5488"/>
    <n v="0.10533387075104125"/>
    <n v="433"/>
  </r>
  <r>
    <x v="156"/>
    <s v="S006"/>
    <s v="C04"/>
    <x v="5"/>
    <x v="1"/>
    <x v="5"/>
    <x v="2"/>
    <n v="54131"/>
    <n v="49318"/>
    <n v="133"/>
    <n v="4813"/>
    <n v="9.7591143193154622E-2"/>
    <n v="407"/>
  </r>
  <r>
    <x v="156"/>
    <s v="S007"/>
    <s v="C02"/>
    <x v="6"/>
    <x v="1"/>
    <x v="6"/>
    <x v="1"/>
    <n v="36168"/>
    <n v="38518"/>
    <n v="132"/>
    <n v="-2350"/>
    <n v="-6.1010436678955296E-2"/>
    <n v="274"/>
  </r>
  <r>
    <x v="156"/>
    <s v="S008"/>
    <s v="C05"/>
    <x v="7"/>
    <x v="1"/>
    <x v="7"/>
    <x v="3"/>
    <n v="24864"/>
    <n v="24274"/>
    <n v="48"/>
    <n v="590"/>
    <n v="2.4305841641262257E-2"/>
    <n v="518"/>
  </r>
  <r>
    <x v="156"/>
    <s v="S009"/>
    <s v="C05"/>
    <x v="8"/>
    <x v="1"/>
    <x v="8"/>
    <x v="3"/>
    <n v="23932"/>
    <n v="26983"/>
    <n v="124"/>
    <n v="-3051"/>
    <n v="-0.11307119297335359"/>
    <n v="193"/>
  </r>
  <r>
    <x v="156"/>
    <s v="S010"/>
    <s v="C03"/>
    <x v="9"/>
    <x v="1"/>
    <x v="9"/>
    <x v="4"/>
    <n v="49164"/>
    <n v="46909"/>
    <n v="102"/>
    <n v="2255"/>
    <n v="4.8071798588756952E-2"/>
    <n v="482"/>
  </r>
  <r>
    <x v="156"/>
    <s v="S011"/>
    <s v="C01"/>
    <x v="10"/>
    <x v="2"/>
    <x v="10"/>
    <x v="0"/>
    <n v="60756"/>
    <n v="61273"/>
    <n v="122"/>
    <n v="-517"/>
    <n v="-8.4376479036443464E-3"/>
    <n v="498"/>
  </r>
  <r>
    <x v="156"/>
    <s v="S012"/>
    <s v="C04"/>
    <x v="11"/>
    <x v="2"/>
    <x v="11"/>
    <x v="2"/>
    <n v="11515"/>
    <n v="11956"/>
    <n v="49"/>
    <n v="-441"/>
    <n v="-3.6885245901639344E-2"/>
    <n v="235"/>
  </r>
  <r>
    <x v="156"/>
    <s v="S013"/>
    <s v="C03"/>
    <x v="12"/>
    <x v="2"/>
    <x v="12"/>
    <x v="4"/>
    <n v="71307"/>
    <n v="71731"/>
    <n v="171"/>
    <n v="-424"/>
    <n v="-5.9109729405696278E-3"/>
    <n v="417"/>
  </r>
  <r>
    <x v="156"/>
    <s v="S014"/>
    <s v="C05"/>
    <x v="13"/>
    <x v="2"/>
    <x v="13"/>
    <x v="3"/>
    <n v="52271"/>
    <n v="49168"/>
    <n v="167"/>
    <n v="3103"/>
    <n v="6.3110152945004883E-2"/>
    <n v="313"/>
  </r>
  <r>
    <x v="156"/>
    <s v="S015"/>
    <s v="C04"/>
    <x v="14"/>
    <x v="2"/>
    <x v="14"/>
    <x v="2"/>
    <n v="46354"/>
    <n v="43246"/>
    <n v="154"/>
    <n v="3108"/>
    <n v="7.186791842020071E-2"/>
    <n v="301"/>
  </r>
  <r>
    <x v="156"/>
    <s v="S016"/>
    <s v="C01"/>
    <x v="15"/>
    <x v="3"/>
    <x v="15"/>
    <x v="0"/>
    <n v="33920"/>
    <n v="31253"/>
    <n v="106"/>
    <n v="2667"/>
    <n v="8.5335807762454807E-2"/>
    <n v="320"/>
  </r>
  <r>
    <x v="156"/>
    <s v="S017"/>
    <s v="C02"/>
    <x v="16"/>
    <x v="3"/>
    <x v="16"/>
    <x v="1"/>
    <n v="57263"/>
    <n v="56368"/>
    <n v="173"/>
    <n v="895"/>
    <n v="1.5877803008799318E-2"/>
    <n v="331"/>
  </r>
  <r>
    <x v="156"/>
    <s v="S018"/>
    <s v="C04"/>
    <x v="17"/>
    <x v="4"/>
    <x v="17"/>
    <x v="2"/>
    <n v="21780"/>
    <n v="21095"/>
    <n v="44"/>
    <n v="685"/>
    <n v="3.2472149798530456E-2"/>
    <n v="495"/>
  </r>
  <r>
    <x v="156"/>
    <s v="S019"/>
    <s v="C03"/>
    <x v="18"/>
    <x v="5"/>
    <x v="18"/>
    <x v="4"/>
    <n v="62524"/>
    <n v="68501"/>
    <n v="203"/>
    <n v="-5977"/>
    <n v="-8.7254200668603385E-2"/>
    <n v="308"/>
  </r>
  <r>
    <x v="156"/>
    <s v="S020"/>
    <s v="C05"/>
    <x v="19"/>
    <x v="6"/>
    <x v="19"/>
    <x v="3"/>
    <n v="9234"/>
    <n v="9019"/>
    <n v="38"/>
    <n v="215"/>
    <n v="2.3838563033595741E-2"/>
    <n v="243"/>
  </r>
  <r>
    <x v="157"/>
    <s v="S001"/>
    <s v="C03"/>
    <x v="0"/>
    <x v="0"/>
    <x v="0"/>
    <x v="4"/>
    <n v="27642"/>
    <n v="27944"/>
    <n v="102"/>
    <n v="-302"/>
    <n v="-1.0807328943601488E-2"/>
    <n v="271"/>
  </r>
  <r>
    <x v="157"/>
    <s v="S002"/>
    <s v="C01"/>
    <x v="1"/>
    <x v="0"/>
    <x v="1"/>
    <x v="0"/>
    <n v="27048"/>
    <n v="27497"/>
    <n v="147"/>
    <n v="-449"/>
    <n v="-1.632905407862676E-2"/>
    <n v="184"/>
  </r>
  <r>
    <x v="157"/>
    <s v="S003"/>
    <s v="C03"/>
    <x v="2"/>
    <x v="0"/>
    <x v="2"/>
    <x v="4"/>
    <n v="79442"/>
    <n v="88266"/>
    <n v="157"/>
    <n v="-8824"/>
    <n v="-9.9970543584166044E-2"/>
    <n v="506"/>
  </r>
  <r>
    <x v="157"/>
    <s v="S004"/>
    <s v="C02"/>
    <x v="3"/>
    <x v="0"/>
    <x v="3"/>
    <x v="1"/>
    <n v="29051"/>
    <n v="30355"/>
    <n v="139"/>
    <n v="-1304"/>
    <n v="-4.2958326470103773E-2"/>
    <n v="209"/>
  </r>
  <r>
    <x v="157"/>
    <s v="S005"/>
    <s v="C01"/>
    <x v="4"/>
    <x v="0"/>
    <x v="4"/>
    <x v="0"/>
    <n v="51660"/>
    <n v="53615"/>
    <n v="105"/>
    <n v="-1955"/>
    <n v="-3.6463676210015852E-2"/>
    <n v="492"/>
  </r>
  <r>
    <x v="157"/>
    <s v="S006"/>
    <s v="C01"/>
    <x v="5"/>
    <x v="1"/>
    <x v="5"/>
    <x v="0"/>
    <n v="39984"/>
    <n v="38564"/>
    <n v="147"/>
    <n v="1420"/>
    <n v="3.6821906441240539E-2"/>
    <n v="272"/>
  </r>
  <r>
    <x v="157"/>
    <s v="S007"/>
    <s v="C03"/>
    <x v="6"/>
    <x v="1"/>
    <x v="6"/>
    <x v="4"/>
    <n v="43733"/>
    <n v="40750"/>
    <n v="101"/>
    <n v="2983"/>
    <n v="7.3202453987730065E-2"/>
    <n v="433"/>
  </r>
  <r>
    <x v="157"/>
    <s v="S008"/>
    <s v="C02"/>
    <x v="7"/>
    <x v="1"/>
    <x v="7"/>
    <x v="1"/>
    <n v="35712"/>
    <n v="37997"/>
    <n v="72"/>
    <n v="-2285"/>
    <n v="-6.013632655209622E-2"/>
    <n v="496"/>
  </r>
  <r>
    <x v="157"/>
    <s v="S009"/>
    <s v="C02"/>
    <x v="8"/>
    <x v="1"/>
    <x v="8"/>
    <x v="1"/>
    <n v="32960"/>
    <n v="29981"/>
    <n v="64"/>
    <n v="2979"/>
    <n v="9.9362929855575197E-2"/>
    <n v="515"/>
  </r>
  <r>
    <x v="157"/>
    <s v="S010"/>
    <s v="C05"/>
    <x v="9"/>
    <x v="1"/>
    <x v="9"/>
    <x v="3"/>
    <n v="69972"/>
    <n v="68525"/>
    <n v="147"/>
    <n v="1447"/>
    <n v="2.1116380882889457E-2"/>
    <n v="476"/>
  </r>
  <r>
    <x v="157"/>
    <s v="S011"/>
    <s v="C05"/>
    <x v="10"/>
    <x v="2"/>
    <x v="10"/>
    <x v="3"/>
    <n v="64528"/>
    <n v="59056"/>
    <n v="218"/>
    <n v="5472"/>
    <n v="9.2657816309943103E-2"/>
    <n v="296"/>
  </r>
  <r>
    <x v="157"/>
    <s v="S012"/>
    <s v="C03"/>
    <x v="11"/>
    <x v="2"/>
    <x v="11"/>
    <x v="4"/>
    <n v="18800"/>
    <n v="20108"/>
    <n v="100"/>
    <n v="-1308"/>
    <n v="-6.5048736821165701E-2"/>
    <n v="188"/>
  </r>
  <r>
    <x v="157"/>
    <s v="S013"/>
    <s v="C03"/>
    <x v="12"/>
    <x v="2"/>
    <x v="12"/>
    <x v="4"/>
    <n v="34946"/>
    <n v="36698"/>
    <n v="173"/>
    <n v="-1752"/>
    <n v="-4.7741021309063165E-2"/>
    <n v="202"/>
  </r>
  <r>
    <x v="157"/>
    <s v="S014"/>
    <s v="C03"/>
    <x v="13"/>
    <x v="2"/>
    <x v="13"/>
    <x v="4"/>
    <n v="13578"/>
    <n v="13941"/>
    <n v="62"/>
    <n v="-363"/>
    <n v="-2.6038304282332687E-2"/>
    <n v="219"/>
  </r>
  <r>
    <x v="157"/>
    <s v="S015"/>
    <s v="C01"/>
    <x v="14"/>
    <x v="2"/>
    <x v="14"/>
    <x v="0"/>
    <n v="36135"/>
    <n v="34662"/>
    <n v="165"/>
    <n v="1473"/>
    <n v="4.249610524493682E-2"/>
    <n v="219"/>
  </r>
  <r>
    <x v="157"/>
    <s v="S016"/>
    <s v="C03"/>
    <x v="15"/>
    <x v="3"/>
    <x v="15"/>
    <x v="4"/>
    <n v="66970"/>
    <n v="74154"/>
    <n v="181"/>
    <n v="-7184"/>
    <n v="-9.6879467055047602E-2"/>
    <n v="370"/>
  </r>
  <r>
    <x v="157"/>
    <s v="S017"/>
    <s v="C04"/>
    <x v="16"/>
    <x v="3"/>
    <x v="16"/>
    <x v="2"/>
    <n v="26924"/>
    <n v="27102"/>
    <n v="53"/>
    <n v="-178"/>
    <n v="-6.5677809755737586E-3"/>
    <n v="508"/>
  </r>
  <r>
    <x v="157"/>
    <s v="S018"/>
    <s v="C03"/>
    <x v="17"/>
    <x v="4"/>
    <x v="17"/>
    <x v="4"/>
    <n v="13632"/>
    <n v="13381"/>
    <n v="71"/>
    <n v="251"/>
    <n v="1.8757940363201553E-2"/>
    <n v="192"/>
  </r>
  <r>
    <x v="157"/>
    <s v="S019"/>
    <s v="C03"/>
    <x v="18"/>
    <x v="5"/>
    <x v="18"/>
    <x v="4"/>
    <n v="46560"/>
    <n v="52349"/>
    <n v="120"/>
    <n v="-5789"/>
    <n v="-0.11058472941221417"/>
    <n v="388"/>
  </r>
  <r>
    <x v="157"/>
    <s v="S020"/>
    <s v="C03"/>
    <x v="19"/>
    <x v="6"/>
    <x v="19"/>
    <x v="4"/>
    <n v="51150"/>
    <n v="53987"/>
    <n v="155"/>
    <n v="-2837"/>
    <n v="-5.2549687887824846E-2"/>
    <n v="330"/>
  </r>
  <r>
    <x v="158"/>
    <s v="S001"/>
    <s v="C02"/>
    <x v="0"/>
    <x v="0"/>
    <x v="0"/>
    <x v="1"/>
    <n v="26058"/>
    <n v="25347"/>
    <n v="129"/>
    <n v="711"/>
    <n v="2.8050656882471298E-2"/>
    <n v="202"/>
  </r>
  <r>
    <x v="158"/>
    <s v="S002"/>
    <s v="C02"/>
    <x v="1"/>
    <x v="0"/>
    <x v="1"/>
    <x v="1"/>
    <n v="35898"/>
    <n v="33261"/>
    <n v="186"/>
    <n v="2637"/>
    <n v="7.9282042031207714E-2"/>
    <n v="193"/>
  </r>
  <r>
    <x v="158"/>
    <s v="S003"/>
    <s v="C02"/>
    <x v="2"/>
    <x v="0"/>
    <x v="2"/>
    <x v="1"/>
    <n v="50715"/>
    <n v="54718"/>
    <n v="115"/>
    <n v="-4003"/>
    <n v="-7.3156913629884135E-2"/>
    <n v="441"/>
  </r>
  <r>
    <x v="158"/>
    <s v="S004"/>
    <s v="C05"/>
    <x v="3"/>
    <x v="0"/>
    <x v="3"/>
    <x v="3"/>
    <n v="65148"/>
    <n v="73942"/>
    <n v="183"/>
    <n v="-8794"/>
    <n v="-0.11893105406940575"/>
    <n v="356"/>
  </r>
  <r>
    <x v="158"/>
    <s v="S005"/>
    <s v="C04"/>
    <x v="4"/>
    <x v="0"/>
    <x v="4"/>
    <x v="2"/>
    <n v="36064"/>
    <n v="38381"/>
    <n v="184"/>
    <n v="-2317"/>
    <n v="-6.0368411453583806E-2"/>
    <n v="196"/>
  </r>
  <r>
    <x v="158"/>
    <s v="S006"/>
    <s v="C02"/>
    <x v="5"/>
    <x v="1"/>
    <x v="5"/>
    <x v="1"/>
    <n v="67584"/>
    <n v="62151"/>
    <n v="132"/>
    <n v="5433"/>
    <n v="8.7416131679297196E-2"/>
    <n v="512"/>
  </r>
  <r>
    <x v="158"/>
    <s v="S007"/>
    <s v="C01"/>
    <x v="6"/>
    <x v="1"/>
    <x v="6"/>
    <x v="0"/>
    <n v="43148"/>
    <n v="44264"/>
    <n v="92"/>
    <n v="-1116"/>
    <n v="-2.5212362190493404E-2"/>
    <n v="469"/>
  </r>
  <r>
    <x v="158"/>
    <s v="S008"/>
    <s v="C05"/>
    <x v="7"/>
    <x v="1"/>
    <x v="7"/>
    <x v="3"/>
    <n v="90160"/>
    <n v="97687"/>
    <n v="196"/>
    <n v="-7527"/>
    <n v="-7.7052217797659875E-2"/>
    <n v="460"/>
  </r>
  <r>
    <x v="158"/>
    <s v="S009"/>
    <s v="C05"/>
    <x v="8"/>
    <x v="1"/>
    <x v="8"/>
    <x v="3"/>
    <n v="29700"/>
    <n v="32656"/>
    <n v="66"/>
    <n v="-2956"/>
    <n v="-9.0519353258206758E-2"/>
    <n v="450"/>
  </r>
  <r>
    <x v="158"/>
    <s v="S010"/>
    <s v="C05"/>
    <x v="9"/>
    <x v="1"/>
    <x v="9"/>
    <x v="3"/>
    <n v="80135"/>
    <n v="82628"/>
    <n v="155"/>
    <n v="-2493"/>
    <n v="-3.0171370479740525E-2"/>
    <n v="517"/>
  </r>
  <r>
    <x v="158"/>
    <s v="S011"/>
    <s v="C04"/>
    <x v="10"/>
    <x v="2"/>
    <x v="10"/>
    <x v="2"/>
    <n v="36772"/>
    <n v="34887"/>
    <n v="116"/>
    <n v="1885"/>
    <n v="5.4031587697423111E-2"/>
    <n v="317"/>
  </r>
  <r>
    <x v="158"/>
    <s v="S012"/>
    <s v="C05"/>
    <x v="11"/>
    <x v="2"/>
    <x v="11"/>
    <x v="3"/>
    <n v="33440"/>
    <n v="32843"/>
    <n v="110"/>
    <n v="597"/>
    <n v="1.8177389398045245E-2"/>
    <n v="304"/>
  </r>
  <r>
    <x v="158"/>
    <s v="S013"/>
    <s v="C03"/>
    <x v="12"/>
    <x v="2"/>
    <x v="12"/>
    <x v="4"/>
    <n v="38822"/>
    <n v="37995"/>
    <n v="94"/>
    <n v="827"/>
    <n v="2.1766021844979604E-2"/>
    <n v="413"/>
  </r>
  <r>
    <x v="158"/>
    <s v="S014"/>
    <s v="C01"/>
    <x v="13"/>
    <x v="2"/>
    <x v="13"/>
    <x v="0"/>
    <n v="64236"/>
    <n v="64958"/>
    <n v="212"/>
    <n v="-722"/>
    <n v="-1.1114874226423228E-2"/>
    <n v="303"/>
  </r>
  <r>
    <x v="158"/>
    <s v="S015"/>
    <s v="C04"/>
    <x v="14"/>
    <x v="2"/>
    <x v="14"/>
    <x v="2"/>
    <n v="27940"/>
    <n v="27604"/>
    <n v="127"/>
    <n v="336"/>
    <n v="1.2172148963918272E-2"/>
    <n v="220"/>
  </r>
  <r>
    <x v="158"/>
    <s v="S016"/>
    <s v="C05"/>
    <x v="15"/>
    <x v="3"/>
    <x v="15"/>
    <x v="3"/>
    <n v="19710"/>
    <n v="20958"/>
    <n v="54"/>
    <n v="-1248"/>
    <n v="-5.9547666762095622E-2"/>
    <n v="365"/>
  </r>
  <r>
    <x v="158"/>
    <s v="S017"/>
    <s v="C05"/>
    <x v="16"/>
    <x v="3"/>
    <x v="16"/>
    <x v="3"/>
    <n v="38037"/>
    <n v="41710"/>
    <n v="93"/>
    <n v="-3673"/>
    <n v="-8.8060417166147209E-2"/>
    <n v="409"/>
  </r>
  <r>
    <x v="158"/>
    <s v="S018"/>
    <s v="C02"/>
    <x v="17"/>
    <x v="4"/>
    <x v="17"/>
    <x v="1"/>
    <n v="43920"/>
    <n v="49692"/>
    <n v="180"/>
    <n v="-5772"/>
    <n v="-0.11615551799082348"/>
    <n v="244"/>
  </r>
  <r>
    <x v="158"/>
    <s v="S019"/>
    <s v="C02"/>
    <x v="18"/>
    <x v="5"/>
    <x v="18"/>
    <x v="1"/>
    <n v="66581"/>
    <n v="71007"/>
    <n v="139"/>
    <n v="-4426"/>
    <n v="-6.233188277212106E-2"/>
    <n v="479"/>
  </r>
  <r>
    <x v="158"/>
    <s v="S020"/>
    <s v="C05"/>
    <x v="19"/>
    <x v="6"/>
    <x v="19"/>
    <x v="3"/>
    <n v="32926"/>
    <n v="32445"/>
    <n v="101"/>
    <n v="481"/>
    <n v="1.4825088611496378E-2"/>
    <n v="326"/>
  </r>
  <r>
    <x v="159"/>
    <s v="S001"/>
    <s v="C01"/>
    <x v="0"/>
    <x v="0"/>
    <x v="0"/>
    <x v="0"/>
    <n v="21395"/>
    <n v="21507"/>
    <n v="55"/>
    <n v="-112"/>
    <n v="-5.2076068256846604E-3"/>
    <n v="389"/>
  </r>
  <r>
    <x v="159"/>
    <s v="S002"/>
    <s v="C02"/>
    <x v="1"/>
    <x v="0"/>
    <x v="1"/>
    <x v="1"/>
    <n v="78806"/>
    <n v="83389"/>
    <n v="182"/>
    <n v="-4583"/>
    <n v="-5.4959287196152971E-2"/>
    <n v="433"/>
  </r>
  <r>
    <x v="159"/>
    <s v="S003"/>
    <s v="C02"/>
    <x v="2"/>
    <x v="0"/>
    <x v="2"/>
    <x v="1"/>
    <n v="33372"/>
    <n v="30164"/>
    <n v="81"/>
    <n v="3208"/>
    <n v="0.10635194271316802"/>
    <n v="412"/>
  </r>
  <r>
    <x v="159"/>
    <s v="S004"/>
    <s v="C01"/>
    <x v="3"/>
    <x v="0"/>
    <x v="3"/>
    <x v="0"/>
    <n v="44588"/>
    <n v="48662"/>
    <n v="142"/>
    <n v="-4074"/>
    <n v="-8.3720356746537342E-2"/>
    <n v="314"/>
  </r>
  <r>
    <x v="159"/>
    <s v="S005"/>
    <s v="C04"/>
    <x v="4"/>
    <x v="0"/>
    <x v="4"/>
    <x v="2"/>
    <n v="14640"/>
    <n v="16358"/>
    <n v="60"/>
    <n v="-1718"/>
    <n v="-0.10502506418877613"/>
    <n v="244"/>
  </r>
  <r>
    <x v="159"/>
    <s v="S006"/>
    <s v="C04"/>
    <x v="5"/>
    <x v="1"/>
    <x v="5"/>
    <x v="2"/>
    <n v="10865"/>
    <n v="12467"/>
    <n v="41"/>
    <n v="-1602"/>
    <n v="-0.12849923798828908"/>
    <n v="265"/>
  </r>
  <r>
    <x v="159"/>
    <s v="S007"/>
    <s v="C02"/>
    <x v="6"/>
    <x v="1"/>
    <x v="6"/>
    <x v="1"/>
    <n v="74866"/>
    <n v="84572"/>
    <n v="166"/>
    <n v="-9706"/>
    <n v="-0.11476611644515916"/>
    <n v="451"/>
  </r>
  <r>
    <x v="159"/>
    <s v="S008"/>
    <s v="C04"/>
    <x v="7"/>
    <x v="1"/>
    <x v="7"/>
    <x v="2"/>
    <n v="30625"/>
    <n v="30642"/>
    <n v="125"/>
    <n v="-17"/>
    <n v="-5.5479407349389722E-4"/>
    <n v="245"/>
  </r>
  <r>
    <x v="159"/>
    <s v="S009"/>
    <s v="C05"/>
    <x v="8"/>
    <x v="1"/>
    <x v="8"/>
    <x v="3"/>
    <n v="31680"/>
    <n v="29454"/>
    <n v="96"/>
    <n v="2226"/>
    <n v="7.5575473619881844E-2"/>
    <n v="330"/>
  </r>
  <r>
    <x v="159"/>
    <s v="S010"/>
    <s v="C03"/>
    <x v="9"/>
    <x v="1"/>
    <x v="9"/>
    <x v="4"/>
    <n v="91326"/>
    <n v="96271"/>
    <n v="186"/>
    <n v="-4945"/>
    <n v="-5.1365416376686644E-2"/>
    <n v="491"/>
  </r>
  <r>
    <x v="159"/>
    <s v="S011"/>
    <s v="C01"/>
    <x v="10"/>
    <x v="2"/>
    <x v="10"/>
    <x v="0"/>
    <n v="19133"/>
    <n v="21763"/>
    <n v="53"/>
    <n v="-2630"/>
    <n v="-0.12084730965399991"/>
    <n v="361"/>
  </r>
  <r>
    <x v="159"/>
    <s v="S012"/>
    <s v="C04"/>
    <x v="11"/>
    <x v="2"/>
    <x v="11"/>
    <x v="2"/>
    <n v="80360"/>
    <n v="87204"/>
    <n v="196"/>
    <n v="-6844"/>
    <n v="-7.8482638411082065E-2"/>
    <n v="410"/>
  </r>
  <r>
    <x v="159"/>
    <s v="S013"/>
    <s v="C04"/>
    <x v="12"/>
    <x v="2"/>
    <x v="12"/>
    <x v="2"/>
    <n v="46216"/>
    <n v="49683"/>
    <n v="109"/>
    <n v="-3467"/>
    <n v="-6.978242054626331E-2"/>
    <n v="424"/>
  </r>
  <r>
    <x v="159"/>
    <s v="S014"/>
    <s v="C02"/>
    <x v="13"/>
    <x v="2"/>
    <x v="13"/>
    <x v="1"/>
    <n v="105820"/>
    <n v="119479"/>
    <n v="220"/>
    <n v="-13659"/>
    <n v="-0.11432134517362884"/>
    <n v="481"/>
  </r>
  <r>
    <x v="159"/>
    <s v="S015"/>
    <s v="C05"/>
    <x v="14"/>
    <x v="2"/>
    <x v="14"/>
    <x v="3"/>
    <n v="14392"/>
    <n v="16175"/>
    <n v="56"/>
    <n v="-1783"/>
    <n v="-0.11023183925811438"/>
    <n v="257"/>
  </r>
  <r>
    <x v="159"/>
    <s v="S016"/>
    <s v="C05"/>
    <x v="15"/>
    <x v="3"/>
    <x v="15"/>
    <x v="3"/>
    <n v="68634"/>
    <n v="73333"/>
    <n v="186"/>
    <n v="-4699"/>
    <n v="-6.4077563988927222E-2"/>
    <n v="369"/>
  </r>
  <r>
    <x v="159"/>
    <s v="S017"/>
    <s v="C04"/>
    <x v="16"/>
    <x v="3"/>
    <x v="16"/>
    <x v="2"/>
    <n v="45408"/>
    <n v="45846"/>
    <n v="132"/>
    <n v="-438"/>
    <n v="-9.5537233346420624E-3"/>
    <n v="344"/>
  </r>
  <r>
    <x v="159"/>
    <s v="S018"/>
    <s v="C05"/>
    <x v="17"/>
    <x v="4"/>
    <x v="17"/>
    <x v="3"/>
    <n v="105339"/>
    <n v="102160"/>
    <n v="219"/>
    <n v="3179"/>
    <n v="3.1117854346123727E-2"/>
    <n v="481"/>
  </r>
  <r>
    <x v="159"/>
    <s v="S019"/>
    <s v="C01"/>
    <x v="18"/>
    <x v="5"/>
    <x v="18"/>
    <x v="0"/>
    <n v="31208"/>
    <n v="31935"/>
    <n v="94"/>
    <n v="-727"/>
    <n v="-2.2764991388758416E-2"/>
    <n v="332"/>
  </r>
  <r>
    <x v="159"/>
    <s v="S020"/>
    <s v="C01"/>
    <x v="19"/>
    <x v="6"/>
    <x v="19"/>
    <x v="0"/>
    <n v="79655"/>
    <n v="89558"/>
    <n v="179"/>
    <n v="-9903"/>
    <n v="-0.11057638625248442"/>
    <n v="445"/>
  </r>
  <r>
    <x v="160"/>
    <s v="S001"/>
    <s v="C05"/>
    <x v="0"/>
    <x v="0"/>
    <x v="0"/>
    <x v="3"/>
    <n v="65670"/>
    <n v="63786"/>
    <n v="165"/>
    <n v="1884"/>
    <n v="2.9536261875646695E-2"/>
    <n v="398"/>
  </r>
  <r>
    <x v="160"/>
    <s v="S002"/>
    <s v="C04"/>
    <x v="1"/>
    <x v="0"/>
    <x v="1"/>
    <x v="2"/>
    <n v="31436"/>
    <n v="35786"/>
    <n v="116"/>
    <n v="-4350"/>
    <n v="-0.12155591572123177"/>
    <n v="271"/>
  </r>
  <r>
    <x v="160"/>
    <s v="S003"/>
    <s v="C01"/>
    <x v="2"/>
    <x v="0"/>
    <x v="2"/>
    <x v="0"/>
    <n v="35200"/>
    <n v="36248"/>
    <n v="88"/>
    <n v="-1048"/>
    <n v="-2.8911939969101744E-2"/>
    <n v="400"/>
  </r>
  <r>
    <x v="160"/>
    <s v="S004"/>
    <s v="C05"/>
    <x v="3"/>
    <x v="0"/>
    <x v="3"/>
    <x v="3"/>
    <n v="65280"/>
    <n v="60375"/>
    <n v="192"/>
    <n v="4905"/>
    <n v="8.1242236024844719E-2"/>
    <n v="340"/>
  </r>
  <r>
    <x v="160"/>
    <s v="S005"/>
    <s v="C03"/>
    <x v="4"/>
    <x v="0"/>
    <x v="4"/>
    <x v="4"/>
    <n v="18480"/>
    <n v="17961"/>
    <n v="77"/>
    <n v="519"/>
    <n v="2.8895941205946216E-2"/>
    <n v="240"/>
  </r>
  <r>
    <x v="160"/>
    <s v="S006"/>
    <s v="C04"/>
    <x v="5"/>
    <x v="1"/>
    <x v="5"/>
    <x v="2"/>
    <n v="43218"/>
    <n v="48461"/>
    <n v="147"/>
    <n v="-5243"/>
    <n v="-0.10819009100101112"/>
    <n v="294"/>
  </r>
  <r>
    <x v="160"/>
    <s v="S007"/>
    <s v="C03"/>
    <x v="6"/>
    <x v="1"/>
    <x v="6"/>
    <x v="4"/>
    <n v="49490"/>
    <n v="53863"/>
    <n v="101"/>
    <n v="-4373"/>
    <n v="-8.1187457067003324E-2"/>
    <n v="490"/>
  </r>
  <r>
    <x v="160"/>
    <s v="S008"/>
    <s v="C02"/>
    <x v="7"/>
    <x v="1"/>
    <x v="7"/>
    <x v="1"/>
    <n v="66010"/>
    <n v="61735"/>
    <n v="205"/>
    <n v="4275"/>
    <n v="6.9247590507815662E-2"/>
    <n v="322"/>
  </r>
  <r>
    <x v="160"/>
    <s v="S009"/>
    <s v="C02"/>
    <x v="8"/>
    <x v="1"/>
    <x v="8"/>
    <x v="1"/>
    <n v="77440"/>
    <n v="84310"/>
    <n v="176"/>
    <n v="-6870"/>
    <n v="-8.1484995848653777E-2"/>
    <n v="440"/>
  </r>
  <r>
    <x v="160"/>
    <s v="S010"/>
    <s v="C01"/>
    <x v="9"/>
    <x v="1"/>
    <x v="9"/>
    <x v="0"/>
    <n v="37600"/>
    <n v="42862"/>
    <n v="188"/>
    <n v="-5262"/>
    <n v="-0.12276608651019551"/>
    <n v="200"/>
  </r>
  <r>
    <x v="160"/>
    <s v="S011"/>
    <s v="C05"/>
    <x v="10"/>
    <x v="2"/>
    <x v="10"/>
    <x v="3"/>
    <n v="47988"/>
    <n v="43269"/>
    <n v="172"/>
    <n v="4719"/>
    <n v="0.10906191499687998"/>
    <n v="279"/>
  </r>
  <r>
    <x v="160"/>
    <s v="S012"/>
    <s v="C01"/>
    <x v="11"/>
    <x v="2"/>
    <x v="11"/>
    <x v="0"/>
    <n v="36636"/>
    <n v="35553"/>
    <n v="129"/>
    <n v="1083"/>
    <n v="3.0461564424943043E-2"/>
    <n v="284"/>
  </r>
  <r>
    <x v="160"/>
    <s v="S013"/>
    <s v="C05"/>
    <x v="12"/>
    <x v="2"/>
    <x v="12"/>
    <x v="3"/>
    <n v="58608"/>
    <n v="60379"/>
    <n v="144"/>
    <n v="-1771"/>
    <n v="-2.9331390052832938E-2"/>
    <n v="407"/>
  </r>
  <r>
    <x v="160"/>
    <s v="S014"/>
    <s v="C04"/>
    <x v="13"/>
    <x v="2"/>
    <x v="13"/>
    <x v="2"/>
    <n v="25960"/>
    <n v="28012"/>
    <n v="110"/>
    <n v="-2052"/>
    <n v="-7.3254319577324006E-2"/>
    <n v="236"/>
  </r>
  <r>
    <x v="160"/>
    <s v="S015"/>
    <s v="C01"/>
    <x v="14"/>
    <x v="2"/>
    <x v="14"/>
    <x v="0"/>
    <n v="59348"/>
    <n v="60731"/>
    <n v="148"/>
    <n v="-1383"/>
    <n v="-2.2772554379147388E-2"/>
    <n v="401"/>
  </r>
  <r>
    <x v="160"/>
    <s v="S016"/>
    <s v="C01"/>
    <x v="15"/>
    <x v="3"/>
    <x v="15"/>
    <x v="0"/>
    <n v="22540"/>
    <n v="24408"/>
    <n v="70"/>
    <n v="-1868"/>
    <n v="-7.653228449688626E-2"/>
    <n v="322"/>
  </r>
  <r>
    <x v="160"/>
    <s v="S017"/>
    <s v="C01"/>
    <x v="16"/>
    <x v="3"/>
    <x v="16"/>
    <x v="0"/>
    <n v="27500"/>
    <n v="29866"/>
    <n v="125"/>
    <n v="-2366"/>
    <n v="-7.9220518315140959E-2"/>
    <n v="220"/>
  </r>
  <r>
    <x v="160"/>
    <s v="S018"/>
    <s v="C02"/>
    <x v="17"/>
    <x v="4"/>
    <x v="17"/>
    <x v="1"/>
    <n v="18738"/>
    <n v="17598"/>
    <n v="54"/>
    <n v="1140"/>
    <n v="6.4780088646437098E-2"/>
    <n v="347"/>
  </r>
  <r>
    <x v="160"/>
    <s v="S019"/>
    <s v="C03"/>
    <x v="18"/>
    <x v="5"/>
    <x v="18"/>
    <x v="4"/>
    <n v="43260"/>
    <n v="45754"/>
    <n v="105"/>
    <n v="-2494"/>
    <n v="-5.4508895397123752E-2"/>
    <n v="412"/>
  </r>
  <r>
    <x v="160"/>
    <s v="S020"/>
    <s v="C05"/>
    <x v="19"/>
    <x v="6"/>
    <x v="19"/>
    <x v="3"/>
    <n v="44919"/>
    <n v="48364"/>
    <n v="207"/>
    <n v="-3445"/>
    <n v="-7.1230667438590689E-2"/>
    <n v="217"/>
  </r>
  <r>
    <x v="161"/>
    <s v="S001"/>
    <s v="C03"/>
    <x v="0"/>
    <x v="0"/>
    <x v="0"/>
    <x v="4"/>
    <n v="17644"/>
    <n v="16322"/>
    <n v="44"/>
    <n v="1322"/>
    <n v="8.0994976105869379E-2"/>
    <n v="401"/>
  </r>
  <r>
    <x v="161"/>
    <s v="S002"/>
    <s v="C05"/>
    <x v="1"/>
    <x v="0"/>
    <x v="1"/>
    <x v="3"/>
    <n v="32132"/>
    <n v="35678"/>
    <n v="116"/>
    <n v="-3546"/>
    <n v="-9.9388979202870112E-2"/>
    <n v="277"/>
  </r>
  <r>
    <x v="161"/>
    <s v="S003"/>
    <s v="C01"/>
    <x v="2"/>
    <x v="0"/>
    <x v="2"/>
    <x v="0"/>
    <n v="98697"/>
    <n v="89023"/>
    <n v="197"/>
    <n v="9674"/>
    <n v="0.10866854633072352"/>
    <n v="501"/>
  </r>
  <r>
    <x v="161"/>
    <s v="S004"/>
    <s v="C02"/>
    <x v="3"/>
    <x v="0"/>
    <x v="3"/>
    <x v="1"/>
    <n v="68820"/>
    <n v="76942"/>
    <n v="185"/>
    <n v="-8122"/>
    <n v="-0.10556003223207092"/>
    <n v="372"/>
  </r>
  <r>
    <x v="161"/>
    <s v="S005"/>
    <s v="C02"/>
    <x v="4"/>
    <x v="0"/>
    <x v="4"/>
    <x v="1"/>
    <n v="57960"/>
    <n v="56007"/>
    <n v="207"/>
    <n v="1953"/>
    <n v="3.4870641169853771E-2"/>
    <n v="280"/>
  </r>
  <r>
    <x v="161"/>
    <s v="S006"/>
    <s v="C02"/>
    <x v="5"/>
    <x v="1"/>
    <x v="5"/>
    <x v="1"/>
    <n v="43725"/>
    <n v="47371"/>
    <n v="159"/>
    <n v="-3646"/>
    <n v="-7.6966920689873555E-2"/>
    <n v="275"/>
  </r>
  <r>
    <x v="161"/>
    <s v="S007"/>
    <s v="C03"/>
    <x v="6"/>
    <x v="1"/>
    <x v="6"/>
    <x v="4"/>
    <n v="19108"/>
    <n v="20229"/>
    <n v="68"/>
    <n v="-1121"/>
    <n v="-5.5415492609619851E-2"/>
    <n v="281"/>
  </r>
  <r>
    <x v="161"/>
    <s v="S008"/>
    <s v="C01"/>
    <x v="7"/>
    <x v="1"/>
    <x v="7"/>
    <x v="0"/>
    <n v="48263"/>
    <n v="43475"/>
    <n v="167"/>
    <n v="4788"/>
    <n v="0.11013225991949396"/>
    <n v="289"/>
  </r>
  <r>
    <x v="161"/>
    <s v="S009"/>
    <s v="C01"/>
    <x v="8"/>
    <x v="1"/>
    <x v="8"/>
    <x v="0"/>
    <n v="74400"/>
    <n v="78328"/>
    <n v="160"/>
    <n v="-3928"/>
    <n v="-5.0148095189459709E-2"/>
    <n v="465"/>
  </r>
  <r>
    <x v="161"/>
    <s v="S010"/>
    <s v="C02"/>
    <x v="9"/>
    <x v="1"/>
    <x v="9"/>
    <x v="1"/>
    <n v="17336"/>
    <n v="18584"/>
    <n v="44"/>
    <n v="-1248"/>
    <n v="-6.7154541541110627E-2"/>
    <n v="394"/>
  </r>
  <r>
    <x v="161"/>
    <s v="S011"/>
    <s v="C05"/>
    <x v="10"/>
    <x v="2"/>
    <x v="10"/>
    <x v="3"/>
    <n v="66396"/>
    <n v="69448"/>
    <n v="132"/>
    <n v="-3052"/>
    <n v="-4.3946549936643244E-2"/>
    <n v="503"/>
  </r>
  <r>
    <x v="161"/>
    <s v="S012"/>
    <s v="C03"/>
    <x v="11"/>
    <x v="2"/>
    <x v="11"/>
    <x v="4"/>
    <n v="71258"/>
    <n v="75835"/>
    <n v="158"/>
    <n v="-4577"/>
    <n v="-6.0354717478736733E-2"/>
    <n v="451"/>
  </r>
  <r>
    <x v="161"/>
    <s v="S013"/>
    <s v="C02"/>
    <x v="12"/>
    <x v="2"/>
    <x v="12"/>
    <x v="1"/>
    <n v="33078"/>
    <n v="37006"/>
    <n v="111"/>
    <n v="-3928"/>
    <n v="-0.10614494946765389"/>
    <n v="298"/>
  </r>
  <r>
    <x v="161"/>
    <s v="S014"/>
    <s v="C04"/>
    <x v="13"/>
    <x v="2"/>
    <x v="13"/>
    <x v="2"/>
    <n v="80320"/>
    <n v="80163"/>
    <n v="160"/>
    <n v="157"/>
    <n v="1.958509536818732E-3"/>
    <n v="502"/>
  </r>
  <r>
    <x v="161"/>
    <s v="S015"/>
    <s v="C03"/>
    <x v="14"/>
    <x v="2"/>
    <x v="14"/>
    <x v="4"/>
    <n v="74124"/>
    <n v="72185"/>
    <n v="174"/>
    <n v="1939"/>
    <n v="2.6861536330262521E-2"/>
    <n v="426"/>
  </r>
  <r>
    <x v="161"/>
    <s v="S016"/>
    <s v="C02"/>
    <x v="15"/>
    <x v="3"/>
    <x v="15"/>
    <x v="1"/>
    <n v="20601"/>
    <n v="20701"/>
    <n v="63"/>
    <n v="-100"/>
    <n v="-4.8306845079947825E-3"/>
    <n v="327"/>
  </r>
  <r>
    <x v="161"/>
    <s v="S017"/>
    <s v="C04"/>
    <x v="16"/>
    <x v="3"/>
    <x v="16"/>
    <x v="2"/>
    <n v="36108"/>
    <n v="38476"/>
    <n v="118"/>
    <n v="-2368"/>
    <n v="-6.1544859132966007E-2"/>
    <n v="306"/>
  </r>
  <r>
    <x v="161"/>
    <s v="S018"/>
    <s v="C01"/>
    <x v="17"/>
    <x v="4"/>
    <x v="17"/>
    <x v="0"/>
    <n v="33360"/>
    <n v="37999"/>
    <n v="80"/>
    <n v="-4639"/>
    <n v="-0.12208216005684359"/>
    <n v="417"/>
  </r>
  <r>
    <x v="161"/>
    <s v="S019"/>
    <s v="C01"/>
    <x v="18"/>
    <x v="5"/>
    <x v="18"/>
    <x v="0"/>
    <n v="47109"/>
    <n v="50698"/>
    <n v="123"/>
    <n v="-3589"/>
    <n v="-7.0791747208962877E-2"/>
    <n v="383"/>
  </r>
  <r>
    <x v="161"/>
    <s v="S020"/>
    <s v="C04"/>
    <x v="19"/>
    <x v="6"/>
    <x v="19"/>
    <x v="2"/>
    <n v="77920"/>
    <n v="78153"/>
    <n v="160"/>
    <n v="-233"/>
    <n v="-2.9813314907936993E-3"/>
    <n v="487"/>
  </r>
  <r>
    <x v="162"/>
    <s v="S001"/>
    <s v="C02"/>
    <x v="0"/>
    <x v="0"/>
    <x v="0"/>
    <x v="1"/>
    <n v="13776"/>
    <n v="13321"/>
    <n v="42"/>
    <n v="455"/>
    <n v="3.415659485023647E-2"/>
    <n v="328"/>
  </r>
  <r>
    <x v="162"/>
    <s v="S002"/>
    <s v="C02"/>
    <x v="1"/>
    <x v="0"/>
    <x v="1"/>
    <x v="1"/>
    <n v="29329"/>
    <n v="30518"/>
    <n v="139"/>
    <n v="-1189"/>
    <n v="-3.8960613408480241E-2"/>
    <n v="211"/>
  </r>
  <r>
    <x v="162"/>
    <s v="S003"/>
    <s v="C03"/>
    <x v="2"/>
    <x v="0"/>
    <x v="2"/>
    <x v="4"/>
    <n v="34542"/>
    <n v="34638"/>
    <n v="101"/>
    <n v="-96"/>
    <n v="-2.771522605231249E-3"/>
    <n v="342"/>
  </r>
  <r>
    <x v="162"/>
    <s v="S004"/>
    <s v="C04"/>
    <x v="3"/>
    <x v="0"/>
    <x v="3"/>
    <x v="2"/>
    <n v="54912"/>
    <n v="52999"/>
    <n v="143"/>
    <n v="1913"/>
    <n v="3.6095020660767183E-2"/>
    <n v="384"/>
  </r>
  <r>
    <x v="162"/>
    <s v="S005"/>
    <s v="C01"/>
    <x v="4"/>
    <x v="0"/>
    <x v="4"/>
    <x v="0"/>
    <n v="44084"/>
    <n v="47700"/>
    <n v="103"/>
    <n v="-3616"/>
    <n v="-7.5807127882599579E-2"/>
    <n v="428"/>
  </r>
  <r>
    <x v="162"/>
    <s v="S006"/>
    <s v="C03"/>
    <x v="5"/>
    <x v="1"/>
    <x v="5"/>
    <x v="4"/>
    <n v="39991"/>
    <n v="39076"/>
    <n v="197"/>
    <n v="915"/>
    <n v="2.3415907462381001E-2"/>
    <n v="203"/>
  </r>
  <r>
    <x v="162"/>
    <s v="S007"/>
    <s v="C04"/>
    <x v="6"/>
    <x v="1"/>
    <x v="6"/>
    <x v="2"/>
    <n v="43043"/>
    <n v="48161"/>
    <n v="91"/>
    <n v="-5118"/>
    <n v="-0.10626855754656257"/>
    <n v="473"/>
  </r>
  <r>
    <x v="162"/>
    <s v="S008"/>
    <s v="C05"/>
    <x v="7"/>
    <x v="1"/>
    <x v="7"/>
    <x v="3"/>
    <n v="43500"/>
    <n v="40349"/>
    <n v="87"/>
    <n v="3151"/>
    <n v="7.8093633051624575E-2"/>
    <n v="500"/>
  </r>
  <r>
    <x v="162"/>
    <s v="S009"/>
    <s v="C05"/>
    <x v="8"/>
    <x v="1"/>
    <x v="8"/>
    <x v="3"/>
    <n v="66468"/>
    <n v="61968"/>
    <n v="191"/>
    <n v="4500"/>
    <n v="7.2618125484120832E-2"/>
    <n v="348"/>
  </r>
  <r>
    <x v="162"/>
    <s v="S010"/>
    <s v="C05"/>
    <x v="9"/>
    <x v="1"/>
    <x v="9"/>
    <x v="3"/>
    <n v="7600"/>
    <n v="8364"/>
    <n v="40"/>
    <n v="-764"/>
    <n v="-9.1343854615016734E-2"/>
    <n v="190"/>
  </r>
  <r>
    <x v="162"/>
    <s v="S011"/>
    <s v="C01"/>
    <x v="10"/>
    <x v="2"/>
    <x v="10"/>
    <x v="0"/>
    <n v="75250"/>
    <n v="84886"/>
    <n v="215"/>
    <n v="-9636"/>
    <n v="-0.11351695214758617"/>
    <n v="350"/>
  </r>
  <r>
    <x v="162"/>
    <s v="S012"/>
    <s v="C05"/>
    <x v="11"/>
    <x v="2"/>
    <x v="11"/>
    <x v="3"/>
    <n v="26265"/>
    <n v="23961"/>
    <n v="51"/>
    <n v="2304"/>
    <n v="9.6156253912607986E-2"/>
    <n v="515"/>
  </r>
  <r>
    <x v="162"/>
    <s v="S013"/>
    <s v="C02"/>
    <x v="12"/>
    <x v="2"/>
    <x v="12"/>
    <x v="1"/>
    <n v="57658"/>
    <n v="54752"/>
    <n v="127"/>
    <n v="2906"/>
    <n v="5.3075686732904734E-2"/>
    <n v="454"/>
  </r>
  <r>
    <x v="162"/>
    <s v="S014"/>
    <s v="C02"/>
    <x v="13"/>
    <x v="2"/>
    <x v="13"/>
    <x v="1"/>
    <n v="65704"/>
    <n v="73255"/>
    <n v="172"/>
    <n v="-7551"/>
    <n v="-0.10307828817145587"/>
    <n v="382"/>
  </r>
  <r>
    <x v="162"/>
    <s v="S015"/>
    <s v="C02"/>
    <x v="14"/>
    <x v="2"/>
    <x v="14"/>
    <x v="1"/>
    <n v="28558"/>
    <n v="32203"/>
    <n v="109"/>
    <n v="-3645"/>
    <n v="-0.11318821227835917"/>
    <n v="262"/>
  </r>
  <r>
    <x v="162"/>
    <s v="S016"/>
    <s v="C03"/>
    <x v="15"/>
    <x v="3"/>
    <x v="15"/>
    <x v="4"/>
    <n v="40600"/>
    <n v="42152"/>
    <n v="140"/>
    <n v="-1552"/>
    <n v="-3.6819130764851014E-2"/>
    <n v="290"/>
  </r>
  <r>
    <x v="162"/>
    <s v="S017"/>
    <s v="C02"/>
    <x v="16"/>
    <x v="3"/>
    <x v="16"/>
    <x v="1"/>
    <n v="7524"/>
    <n v="8361"/>
    <n v="38"/>
    <n v="-837"/>
    <n v="-0.10010764262648009"/>
    <n v="198"/>
  </r>
  <r>
    <x v="162"/>
    <s v="S018"/>
    <s v="C05"/>
    <x v="17"/>
    <x v="4"/>
    <x v="17"/>
    <x v="3"/>
    <n v="26596"/>
    <n v="26582"/>
    <n v="61"/>
    <n v="14"/>
    <n v="5.2667218418478673E-4"/>
    <n v="436"/>
  </r>
  <r>
    <x v="162"/>
    <s v="S019"/>
    <s v="C04"/>
    <x v="18"/>
    <x v="5"/>
    <x v="18"/>
    <x v="2"/>
    <n v="11700"/>
    <n v="11358"/>
    <n v="45"/>
    <n v="342"/>
    <n v="3.0110935023771792E-2"/>
    <n v="260"/>
  </r>
  <r>
    <x v="162"/>
    <s v="S020"/>
    <s v="C01"/>
    <x v="19"/>
    <x v="6"/>
    <x v="19"/>
    <x v="0"/>
    <n v="46779"/>
    <n v="51134"/>
    <n v="93"/>
    <n v="-4355"/>
    <n v="-8.5168381116282707E-2"/>
    <n v="503"/>
  </r>
  <r>
    <x v="163"/>
    <s v="S001"/>
    <s v="C02"/>
    <x v="0"/>
    <x v="0"/>
    <x v="0"/>
    <x v="1"/>
    <n v="13717"/>
    <n v="14916"/>
    <n v="43"/>
    <n v="-1199"/>
    <n v="-8.0383480825958697E-2"/>
    <n v="319"/>
  </r>
  <r>
    <x v="163"/>
    <s v="S002"/>
    <s v="C04"/>
    <x v="1"/>
    <x v="0"/>
    <x v="1"/>
    <x v="2"/>
    <n v="77770"/>
    <n v="72543"/>
    <n v="202"/>
    <n v="5227"/>
    <n v="7.2053816357195044E-2"/>
    <n v="385"/>
  </r>
  <r>
    <x v="163"/>
    <s v="S003"/>
    <s v="C03"/>
    <x v="2"/>
    <x v="0"/>
    <x v="2"/>
    <x v="4"/>
    <n v="12264"/>
    <n v="11264"/>
    <n v="56"/>
    <n v="1000"/>
    <n v="8.8778409090909088E-2"/>
    <n v="219"/>
  </r>
  <r>
    <x v="163"/>
    <s v="S004"/>
    <s v="C04"/>
    <x v="3"/>
    <x v="0"/>
    <x v="3"/>
    <x v="2"/>
    <n v="7480"/>
    <n v="8120"/>
    <n v="40"/>
    <n v="-640"/>
    <n v="-7.8817733990147784E-2"/>
    <n v="187"/>
  </r>
  <r>
    <x v="163"/>
    <s v="S005"/>
    <s v="C05"/>
    <x v="4"/>
    <x v="0"/>
    <x v="4"/>
    <x v="3"/>
    <n v="48573"/>
    <n v="44876"/>
    <n v="189"/>
    <n v="3697"/>
    <n v="8.2382565291024154E-2"/>
    <n v="257"/>
  </r>
  <r>
    <x v="163"/>
    <s v="S006"/>
    <s v="C05"/>
    <x v="5"/>
    <x v="1"/>
    <x v="5"/>
    <x v="3"/>
    <n v="37665"/>
    <n v="41727"/>
    <n v="135"/>
    <n v="-4062"/>
    <n v="-9.7347041483931265E-2"/>
    <n v="279"/>
  </r>
  <r>
    <x v="163"/>
    <s v="S007"/>
    <s v="C03"/>
    <x v="6"/>
    <x v="1"/>
    <x v="6"/>
    <x v="4"/>
    <n v="46449"/>
    <n v="47753"/>
    <n v="117"/>
    <n v="-1304"/>
    <n v="-2.7307184888907505E-2"/>
    <n v="397"/>
  </r>
  <r>
    <x v="163"/>
    <s v="S008"/>
    <s v="C01"/>
    <x v="7"/>
    <x v="1"/>
    <x v="7"/>
    <x v="0"/>
    <n v="35840"/>
    <n v="36367"/>
    <n v="112"/>
    <n v="-527"/>
    <n v="-1.4491159567739983E-2"/>
    <n v="320"/>
  </r>
  <r>
    <x v="163"/>
    <s v="S009"/>
    <s v="C01"/>
    <x v="8"/>
    <x v="1"/>
    <x v="8"/>
    <x v="0"/>
    <n v="52530"/>
    <n v="54843"/>
    <n v="102"/>
    <n v="-2313"/>
    <n v="-4.2174935725616758E-2"/>
    <n v="515"/>
  </r>
  <r>
    <x v="163"/>
    <s v="S010"/>
    <s v="C04"/>
    <x v="9"/>
    <x v="1"/>
    <x v="9"/>
    <x v="2"/>
    <n v="43491"/>
    <n v="40153"/>
    <n v="109"/>
    <n v="3338"/>
    <n v="8.3132020023410455E-2"/>
    <n v="399"/>
  </r>
  <r>
    <x v="163"/>
    <s v="S011"/>
    <s v="C04"/>
    <x v="10"/>
    <x v="2"/>
    <x v="10"/>
    <x v="2"/>
    <n v="57316"/>
    <n v="58510"/>
    <n v="178"/>
    <n v="-1194"/>
    <n v="-2.0406768073833532E-2"/>
    <n v="322"/>
  </r>
  <r>
    <x v="163"/>
    <s v="S012"/>
    <s v="C05"/>
    <x v="11"/>
    <x v="2"/>
    <x v="11"/>
    <x v="3"/>
    <n v="50020"/>
    <n v="49800"/>
    <n v="164"/>
    <n v="220"/>
    <n v="4.4176706827309233E-3"/>
    <n v="305"/>
  </r>
  <r>
    <x v="163"/>
    <s v="S013"/>
    <s v="C04"/>
    <x v="12"/>
    <x v="2"/>
    <x v="12"/>
    <x v="2"/>
    <n v="49950"/>
    <n v="54479"/>
    <n v="135"/>
    <n v="-4529"/>
    <n v="-8.3132950311129064E-2"/>
    <n v="370"/>
  </r>
  <r>
    <x v="163"/>
    <s v="S014"/>
    <s v="C01"/>
    <x v="13"/>
    <x v="2"/>
    <x v="13"/>
    <x v="0"/>
    <n v="44100"/>
    <n v="46061"/>
    <n v="150"/>
    <n v="-1961"/>
    <n v="-4.2573977985714599E-2"/>
    <n v="294"/>
  </r>
  <r>
    <x v="163"/>
    <s v="S015"/>
    <s v="C01"/>
    <x v="14"/>
    <x v="2"/>
    <x v="14"/>
    <x v="0"/>
    <n v="40528"/>
    <n v="41005"/>
    <n v="136"/>
    <n v="-477"/>
    <n v="-1.1632727716132179E-2"/>
    <n v="298"/>
  </r>
  <r>
    <x v="163"/>
    <s v="S016"/>
    <s v="C04"/>
    <x v="15"/>
    <x v="3"/>
    <x v="15"/>
    <x v="2"/>
    <n v="42065"/>
    <n v="44618"/>
    <n v="179"/>
    <n v="-2553"/>
    <n v="-5.7219059572369897E-2"/>
    <n v="235"/>
  </r>
  <r>
    <x v="163"/>
    <s v="S017"/>
    <s v="C03"/>
    <x v="16"/>
    <x v="3"/>
    <x v="16"/>
    <x v="4"/>
    <n v="35642"/>
    <n v="40772"/>
    <n v="71"/>
    <n v="-5130"/>
    <n v="-0.12582164230354165"/>
    <n v="502"/>
  </r>
  <r>
    <x v="163"/>
    <s v="S018"/>
    <s v="C01"/>
    <x v="17"/>
    <x v="4"/>
    <x v="17"/>
    <x v="0"/>
    <n v="47348"/>
    <n v="45071"/>
    <n v="178"/>
    <n v="2277"/>
    <n v="5.0520290208781703E-2"/>
    <n v="266"/>
  </r>
  <r>
    <x v="163"/>
    <s v="S019"/>
    <s v="C04"/>
    <x v="18"/>
    <x v="5"/>
    <x v="18"/>
    <x v="2"/>
    <n v="57102"/>
    <n v="52589"/>
    <n v="186"/>
    <n v="4513"/>
    <n v="8.5816425488219966E-2"/>
    <n v="307"/>
  </r>
  <r>
    <x v="163"/>
    <s v="S020"/>
    <s v="C04"/>
    <x v="19"/>
    <x v="6"/>
    <x v="19"/>
    <x v="2"/>
    <n v="81024"/>
    <n v="83523"/>
    <n v="192"/>
    <n v="-2499"/>
    <n v="-2.991990230235983E-2"/>
    <n v="422"/>
  </r>
  <r>
    <x v="164"/>
    <s v="S001"/>
    <s v="C05"/>
    <x v="0"/>
    <x v="0"/>
    <x v="0"/>
    <x v="3"/>
    <n v="19740"/>
    <n v="21553"/>
    <n v="94"/>
    <n v="-1813"/>
    <n v="-8.4118220201364086E-2"/>
    <n v="210"/>
  </r>
  <r>
    <x v="164"/>
    <s v="S002"/>
    <s v="C03"/>
    <x v="1"/>
    <x v="0"/>
    <x v="1"/>
    <x v="4"/>
    <n v="47460"/>
    <n v="51500"/>
    <n v="140"/>
    <n v="-4040"/>
    <n v="-7.8446601941747574E-2"/>
    <n v="339"/>
  </r>
  <r>
    <x v="164"/>
    <s v="S003"/>
    <s v="C02"/>
    <x v="2"/>
    <x v="0"/>
    <x v="2"/>
    <x v="1"/>
    <n v="15136"/>
    <n v="16229"/>
    <n v="44"/>
    <n v="-1093"/>
    <n v="-6.7348573541191697E-2"/>
    <n v="344"/>
  </r>
  <r>
    <x v="164"/>
    <s v="S004"/>
    <s v="C05"/>
    <x v="3"/>
    <x v="0"/>
    <x v="3"/>
    <x v="3"/>
    <n v="25298"/>
    <n v="24464"/>
    <n v="139"/>
    <n v="834"/>
    <n v="3.4090909090909088E-2"/>
    <n v="182"/>
  </r>
  <r>
    <x v="164"/>
    <s v="S005"/>
    <s v="C02"/>
    <x v="4"/>
    <x v="0"/>
    <x v="4"/>
    <x v="1"/>
    <n v="76540"/>
    <n v="79325"/>
    <n v="178"/>
    <n v="-2785"/>
    <n v="-3.5108729908603843E-2"/>
    <n v="430"/>
  </r>
  <r>
    <x v="164"/>
    <s v="S006"/>
    <s v="C03"/>
    <x v="5"/>
    <x v="1"/>
    <x v="5"/>
    <x v="4"/>
    <n v="60300"/>
    <n v="59121"/>
    <n v="201"/>
    <n v="1179"/>
    <n v="1.9942152534632364E-2"/>
    <n v="300"/>
  </r>
  <r>
    <x v="164"/>
    <s v="S007"/>
    <s v="C04"/>
    <x v="6"/>
    <x v="1"/>
    <x v="6"/>
    <x v="2"/>
    <n v="77024"/>
    <n v="85855"/>
    <n v="166"/>
    <n v="-8831"/>
    <n v="-0.10285947236619883"/>
    <n v="464"/>
  </r>
  <r>
    <x v="164"/>
    <s v="S008"/>
    <s v="C01"/>
    <x v="7"/>
    <x v="1"/>
    <x v="7"/>
    <x v="0"/>
    <n v="24217"/>
    <n v="26028"/>
    <n v="61"/>
    <n v="-1811"/>
    <n v="-6.957891501459966E-2"/>
    <n v="397"/>
  </r>
  <r>
    <x v="164"/>
    <s v="S009"/>
    <s v="C04"/>
    <x v="8"/>
    <x v="1"/>
    <x v="8"/>
    <x v="2"/>
    <n v="12462"/>
    <n v="11720"/>
    <n v="67"/>
    <n v="742"/>
    <n v="6.3310580204778158E-2"/>
    <n v="186"/>
  </r>
  <r>
    <x v="164"/>
    <s v="S010"/>
    <s v="C01"/>
    <x v="9"/>
    <x v="1"/>
    <x v="9"/>
    <x v="0"/>
    <n v="21637"/>
    <n v="21840"/>
    <n v="77"/>
    <n v="-203"/>
    <n v="-9.2948717948717948E-3"/>
    <n v="281"/>
  </r>
  <r>
    <x v="164"/>
    <s v="S011"/>
    <s v="C01"/>
    <x v="10"/>
    <x v="2"/>
    <x v="10"/>
    <x v="0"/>
    <n v="17468"/>
    <n v="17883"/>
    <n v="44"/>
    <n v="-415"/>
    <n v="-2.3206397136945701E-2"/>
    <n v="397"/>
  </r>
  <r>
    <x v="164"/>
    <s v="S012"/>
    <s v="C05"/>
    <x v="11"/>
    <x v="2"/>
    <x v="11"/>
    <x v="3"/>
    <n v="39909"/>
    <n v="43390"/>
    <n v="159"/>
    <n v="-3481"/>
    <n v="-8.0225858492740262E-2"/>
    <n v="251"/>
  </r>
  <r>
    <x v="164"/>
    <s v="S013"/>
    <s v="C05"/>
    <x v="12"/>
    <x v="2"/>
    <x v="12"/>
    <x v="3"/>
    <n v="54528"/>
    <n v="49201"/>
    <n v="142"/>
    <n v="5327"/>
    <n v="0.10827015711062783"/>
    <n v="384"/>
  </r>
  <r>
    <x v="164"/>
    <s v="S014"/>
    <s v="C01"/>
    <x v="13"/>
    <x v="2"/>
    <x v="13"/>
    <x v="0"/>
    <n v="48180"/>
    <n v="52033"/>
    <n v="146"/>
    <n v="-3853"/>
    <n v="-7.4049161109296019E-2"/>
    <n v="330"/>
  </r>
  <r>
    <x v="164"/>
    <s v="S015"/>
    <s v="C03"/>
    <x v="14"/>
    <x v="2"/>
    <x v="14"/>
    <x v="4"/>
    <n v="57960"/>
    <n v="61076"/>
    <n v="168"/>
    <n v="-3116"/>
    <n v="-5.1018403300805551E-2"/>
    <n v="345"/>
  </r>
  <r>
    <x v="164"/>
    <s v="S016"/>
    <s v="C03"/>
    <x v="15"/>
    <x v="3"/>
    <x v="15"/>
    <x v="4"/>
    <n v="91648"/>
    <n v="86285"/>
    <n v="179"/>
    <n v="5363"/>
    <n v="6.215448803384134E-2"/>
    <n v="512"/>
  </r>
  <r>
    <x v="164"/>
    <s v="S017"/>
    <s v="C03"/>
    <x v="16"/>
    <x v="3"/>
    <x v="16"/>
    <x v="4"/>
    <n v="47712"/>
    <n v="52516"/>
    <n v="168"/>
    <n v="-4804"/>
    <n v="-9.1476883235585352E-2"/>
    <n v="284"/>
  </r>
  <r>
    <x v="164"/>
    <s v="S018"/>
    <s v="C03"/>
    <x v="17"/>
    <x v="4"/>
    <x v="17"/>
    <x v="4"/>
    <n v="81663"/>
    <n v="78625"/>
    <n v="167"/>
    <n v="3038"/>
    <n v="3.863910969793323E-2"/>
    <n v="489"/>
  </r>
  <r>
    <x v="164"/>
    <s v="S019"/>
    <s v="C04"/>
    <x v="18"/>
    <x v="5"/>
    <x v="18"/>
    <x v="2"/>
    <n v="30712"/>
    <n v="34758"/>
    <n v="88"/>
    <n v="-4046"/>
    <n v="-0.11640485643592842"/>
    <n v="349"/>
  </r>
  <r>
    <x v="164"/>
    <s v="S020"/>
    <s v="C02"/>
    <x v="19"/>
    <x v="6"/>
    <x v="19"/>
    <x v="1"/>
    <n v="34496"/>
    <n v="37213"/>
    <n v="77"/>
    <n v="-2717"/>
    <n v="-7.3012119420632571E-2"/>
    <n v="448"/>
  </r>
  <r>
    <x v="165"/>
    <s v="S001"/>
    <s v="C04"/>
    <x v="0"/>
    <x v="0"/>
    <x v="0"/>
    <x v="2"/>
    <n v="12654"/>
    <n v="12705"/>
    <n v="37"/>
    <n v="-51"/>
    <n v="-4.0141676505312867E-3"/>
    <n v="342"/>
  </r>
  <r>
    <x v="165"/>
    <s v="S002"/>
    <s v="C02"/>
    <x v="1"/>
    <x v="0"/>
    <x v="1"/>
    <x v="1"/>
    <n v="33170"/>
    <n v="38090"/>
    <n v="155"/>
    <n v="-4920"/>
    <n v="-0.12916776056707796"/>
    <n v="214"/>
  </r>
  <r>
    <x v="165"/>
    <s v="S003"/>
    <s v="C01"/>
    <x v="2"/>
    <x v="0"/>
    <x v="2"/>
    <x v="0"/>
    <n v="31464"/>
    <n v="29885"/>
    <n v="114"/>
    <n v="1579"/>
    <n v="5.2835870838213152E-2"/>
    <n v="276"/>
  </r>
  <r>
    <x v="165"/>
    <s v="S004"/>
    <s v="C01"/>
    <x v="3"/>
    <x v="0"/>
    <x v="3"/>
    <x v="0"/>
    <n v="71208"/>
    <n v="69980"/>
    <n v="172"/>
    <n v="1228"/>
    <n v="1.7547870820234353E-2"/>
    <n v="414"/>
  </r>
  <r>
    <x v="165"/>
    <s v="S005"/>
    <s v="C01"/>
    <x v="4"/>
    <x v="0"/>
    <x v="4"/>
    <x v="0"/>
    <n v="81286"/>
    <n v="85237"/>
    <n v="194"/>
    <n v="-3951"/>
    <n v="-4.6353109565094967E-2"/>
    <n v="419"/>
  </r>
  <r>
    <x v="165"/>
    <s v="S006"/>
    <s v="C01"/>
    <x v="5"/>
    <x v="1"/>
    <x v="5"/>
    <x v="0"/>
    <n v="62620"/>
    <n v="65111"/>
    <n v="124"/>
    <n v="-2491"/>
    <n v="-3.8257744467140732E-2"/>
    <n v="505"/>
  </r>
  <r>
    <x v="165"/>
    <s v="S007"/>
    <s v="C02"/>
    <x v="6"/>
    <x v="1"/>
    <x v="6"/>
    <x v="1"/>
    <n v="61623"/>
    <n v="55678"/>
    <n v="123"/>
    <n v="5945"/>
    <n v="0.10677466863033873"/>
    <n v="501"/>
  </r>
  <r>
    <x v="165"/>
    <s v="S008"/>
    <s v="C02"/>
    <x v="7"/>
    <x v="1"/>
    <x v="7"/>
    <x v="1"/>
    <n v="34125"/>
    <n v="37714"/>
    <n v="105"/>
    <n v="-3589"/>
    <n v="-9.5163599724240336E-2"/>
    <n v="325"/>
  </r>
  <r>
    <x v="165"/>
    <s v="S009"/>
    <s v="C04"/>
    <x v="8"/>
    <x v="1"/>
    <x v="8"/>
    <x v="2"/>
    <n v="61824"/>
    <n v="61318"/>
    <n v="184"/>
    <n v="506"/>
    <n v="8.2520630157539385E-3"/>
    <n v="336"/>
  </r>
  <r>
    <x v="165"/>
    <s v="S010"/>
    <s v="C04"/>
    <x v="9"/>
    <x v="1"/>
    <x v="9"/>
    <x v="2"/>
    <n v="46700"/>
    <n v="48346"/>
    <n v="100"/>
    <n v="-1646"/>
    <n v="-3.4046249948289413E-2"/>
    <n v="467"/>
  </r>
  <r>
    <x v="165"/>
    <s v="S011"/>
    <s v="C02"/>
    <x v="10"/>
    <x v="2"/>
    <x v="10"/>
    <x v="1"/>
    <n v="26082"/>
    <n v="24467"/>
    <n v="54"/>
    <n v="1615"/>
    <n v="6.6007275105243804E-2"/>
    <n v="483"/>
  </r>
  <r>
    <x v="165"/>
    <s v="S012"/>
    <s v="C02"/>
    <x v="11"/>
    <x v="2"/>
    <x v="11"/>
    <x v="1"/>
    <n v="28726"/>
    <n v="27741"/>
    <n v="106"/>
    <n v="985"/>
    <n v="3.5507011282938608E-2"/>
    <n v="271"/>
  </r>
  <r>
    <x v="165"/>
    <s v="S013"/>
    <s v="C01"/>
    <x v="12"/>
    <x v="2"/>
    <x v="12"/>
    <x v="0"/>
    <n v="29949"/>
    <n v="31351"/>
    <n v="67"/>
    <n v="-1402"/>
    <n v="-4.4719466683678349E-2"/>
    <n v="447"/>
  </r>
  <r>
    <x v="165"/>
    <s v="S014"/>
    <s v="C04"/>
    <x v="13"/>
    <x v="2"/>
    <x v="13"/>
    <x v="2"/>
    <n v="56406"/>
    <n v="61651"/>
    <n v="119"/>
    <n v="-5245"/>
    <n v="-8.5075667872378385E-2"/>
    <n v="474"/>
  </r>
  <r>
    <x v="165"/>
    <s v="S015"/>
    <s v="C05"/>
    <x v="14"/>
    <x v="2"/>
    <x v="14"/>
    <x v="3"/>
    <n v="60669"/>
    <n v="69263"/>
    <n v="189"/>
    <n v="-8594"/>
    <n v="-0.12407779045089008"/>
    <n v="321"/>
  </r>
  <r>
    <x v="165"/>
    <s v="S016"/>
    <s v="C05"/>
    <x v="15"/>
    <x v="3"/>
    <x v="15"/>
    <x v="3"/>
    <n v="86932"/>
    <n v="82787"/>
    <n v="206"/>
    <n v="4145"/>
    <n v="5.0068247430152077E-2"/>
    <n v="422"/>
  </r>
  <r>
    <x v="165"/>
    <s v="S017"/>
    <s v="C01"/>
    <x v="16"/>
    <x v="3"/>
    <x v="16"/>
    <x v="0"/>
    <n v="27260"/>
    <n v="25156"/>
    <n v="94"/>
    <n v="2104"/>
    <n v="8.3638098266815078E-2"/>
    <n v="290"/>
  </r>
  <r>
    <x v="165"/>
    <s v="S018"/>
    <s v="C05"/>
    <x v="17"/>
    <x v="4"/>
    <x v="17"/>
    <x v="3"/>
    <n v="18216"/>
    <n v="17144"/>
    <n v="72"/>
    <n v="1072"/>
    <n v="6.2529164722351843E-2"/>
    <n v="253"/>
  </r>
  <r>
    <x v="165"/>
    <s v="S019"/>
    <s v="C01"/>
    <x v="18"/>
    <x v="5"/>
    <x v="18"/>
    <x v="0"/>
    <n v="25623"/>
    <n v="28799"/>
    <n v="117"/>
    <n v="-3176"/>
    <n v="-0.11028160700024306"/>
    <n v="219"/>
  </r>
  <r>
    <x v="165"/>
    <s v="S020"/>
    <s v="C01"/>
    <x v="19"/>
    <x v="6"/>
    <x v="19"/>
    <x v="0"/>
    <n v="30870"/>
    <n v="34012"/>
    <n v="70"/>
    <n v="-3142"/>
    <n v="-9.2379160296365989E-2"/>
    <n v="441"/>
  </r>
  <r>
    <x v="166"/>
    <s v="S001"/>
    <s v="C04"/>
    <x v="0"/>
    <x v="0"/>
    <x v="0"/>
    <x v="2"/>
    <n v="86305"/>
    <n v="84731"/>
    <n v="205"/>
    <n v="1574"/>
    <n v="1.8576436015153838E-2"/>
    <n v="421"/>
  </r>
  <r>
    <x v="166"/>
    <s v="S002"/>
    <s v="C05"/>
    <x v="1"/>
    <x v="0"/>
    <x v="1"/>
    <x v="3"/>
    <n v="19695"/>
    <n v="20483"/>
    <n v="65"/>
    <n v="-788"/>
    <n v="-3.847092711028658E-2"/>
    <n v="303"/>
  </r>
  <r>
    <x v="166"/>
    <s v="S003"/>
    <s v="C04"/>
    <x v="2"/>
    <x v="0"/>
    <x v="2"/>
    <x v="2"/>
    <n v="56126"/>
    <n v="55494"/>
    <n v="133"/>
    <n v="632"/>
    <n v="1.1388618589397052E-2"/>
    <n v="422"/>
  </r>
  <r>
    <x v="166"/>
    <s v="S004"/>
    <s v="C05"/>
    <x v="3"/>
    <x v="0"/>
    <x v="3"/>
    <x v="3"/>
    <n v="52316"/>
    <n v="48107"/>
    <n v="116"/>
    <n v="4209"/>
    <n v="8.7492464714074875E-2"/>
    <n v="451"/>
  </r>
  <r>
    <x v="166"/>
    <s v="S005"/>
    <s v="C05"/>
    <x v="4"/>
    <x v="0"/>
    <x v="4"/>
    <x v="3"/>
    <n v="23585"/>
    <n v="26801"/>
    <n v="89"/>
    <n v="-3216"/>
    <n v="-0.11999552255512853"/>
    <n v="265"/>
  </r>
  <r>
    <x v="166"/>
    <s v="S006"/>
    <s v="C03"/>
    <x v="5"/>
    <x v="1"/>
    <x v="5"/>
    <x v="4"/>
    <n v="54901"/>
    <n v="60938"/>
    <n v="217"/>
    <n v="-6037"/>
    <n v="-9.9067905083855726E-2"/>
    <n v="253"/>
  </r>
  <r>
    <x v="166"/>
    <s v="S007"/>
    <s v="C05"/>
    <x v="6"/>
    <x v="1"/>
    <x v="6"/>
    <x v="3"/>
    <n v="63640"/>
    <n v="68335"/>
    <n v="148"/>
    <n v="-4695"/>
    <n v="-6.8705641325821326E-2"/>
    <n v="430"/>
  </r>
  <r>
    <x v="166"/>
    <s v="S008"/>
    <s v="C03"/>
    <x v="7"/>
    <x v="1"/>
    <x v="7"/>
    <x v="4"/>
    <n v="50610"/>
    <n v="52607"/>
    <n v="210"/>
    <n v="-1997"/>
    <n v="-3.7960727659817131E-2"/>
    <n v="241"/>
  </r>
  <r>
    <x v="166"/>
    <s v="S009"/>
    <s v="C04"/>
    <x v="8"/>
    <x v="1"/>
    <x v="8"/>
    <x v="2"/>
    <n v="71958"/>
    <n v="67964"/>
    <n v="201"/>
    <n v="3994"/>
    <n v="5.8766405744217529E-2"/>
    <n v="358"/>
  </r>
  <r>
    <x v="166"/>
    <s v="S010"/>
    <s v="C03"/>
    <x v="9"/>
    <x v="1"/>
    <x v="9"/>
    <x v="4"/>
    <n v="54978"/>
    <n v="59492"/>
    <n v="154"/>
    <n v="-4514"/>
    <n v="-7.5875747999731055E-2"/>
    <n v="357"/>
  </r>
  <r>
    <x v="166"/>
    <s v="S011"/>
    <s v="C02"/>
    <x v="10"/>
    <x v="2"/>
    <x v="10"/>
    <x v="1"/>
    <n v="89472"/>
    <n v="100125"/>
    <n v="192"/>
    <n v="-10653"/>
    <n v="-0.10639700374531835"/>
    <n v="466"/>
  </r>
  <r>
    <x v="166"/>
    <s v="S012"/>
    <s v="C02"/>
    <x v="11"/>
    <x v="2"/>
    <x v="11"/>
    <x v="1"/>
    <n v="48972"/>
    <n v="46266"/>
    <n v="132"/>
    <n v="2706"/>
    <n v="5.8487874465049931E-2"/>
    <n v="371"/>
  </r>
  <r>
    <x v="166"/>
    <s v="S013"/>
    <s v="C01"/>
    <x v="12"/>
    <x v="2"/>
    <x v="12"/>
    <x v="0"/>
    <n v="34510"/>
    <n v="34173"/>
    <n v="85"/>
    <n v="337"/>
    <n v="9.8615866327217399E-3"/>
    <n v="406"/>
  </r>
  <r>
    <x v="166"/>
    <s v="S014"/>
    <s v="C02"/>
    <x v="13"/>
    <x v="2"/>
    <x v="13"/>
    <x v="1"/>
    <n v="17280"/>
    <n v="16892"/>
    <n v="36"/>
    <n v="388"/>
    <n v="2.2969452995500829E-2"/>
    <n v="480"/>
  </r>
  <r>
    <x v="166"/>
    <s v="S015"/>
    <s v="C01"/>
    <x v="14"/>
    <x v="2"/>
    <x v="14"/>
    <x v="0"/>
    <n v="39861"/>
    <n v="40885"/>
    <n v="129"/>
    <n v="-1024"/>
    <n v="-2.5045860339977986E-2"/>
    <n v="309"/>
  </r>
  <r>
    <x v="166"/>
    <s v="S016"/>
    <s v="C01"/>
    <x v="15"/>
    <x v="3"/>
    <x v="15"/>
    <x v="0"/>
    <n v="60610"/>
    <n v="55057"/>
    <n v="190"/>
    <n v="5553"/>
    <n v="0.1008591096499991"/>
    <n v="319"/>
  </r>
  <r>
    <x v="166"/>
    <s v="S017"/>
    <s v="C03"/>
    <x v="16"/>
    <x v="3"/>
    <x v="16"/>
    <x v="4"/>
    <n v="84575"/>
    <n v="84538"/>
    <n v="199"/>
    <n v="37"/>
    <n v="4.37672999124654E-4"/>
    <n v="425"/>
  </r>
  <r>
    <x v="166"/>
    <s v="S018"/>
    <s v="C03"/>
    <x v="17"/>
    <x v="4"/>
    <x v="17"/>
    <x v="4"/>
    <n v="52500"/>
    <n v="48001"/>
    <n v="105"/>
    <n v="4499"/>
    <n v="9.3727214016374655E-2"/>
    <n v="500"/>
  </r>
  <r>
    <x v="166"/>
    <s v="S019"/>
    <s v="C05"/>
    <x v="18"/>
    <x v="5"/>
    <x v="18"/>
    <x v="3"/>
    <n v="17682"/>
    <n v="20322"/>
    <n v="42"/>
    <n v="-2640"/>
    <n v="-0.1299084735754355"/>
    <n v="421"/>
  </r>
  <r>
    <x v="166"/>
    <s v="S020"/>
    <s v="C04"/>
    <x v="19"/>
    <x v="6"/>
    <x v="19"/>
    <x v="2"/>
    <n v="42880"/>
    <n v="43667"/>
    <n v="160"/>
    <n v="-787"/>
    <n v="-1.8022763185013856E-2"/>
    <n v="268"/>
  </r>
  <r>
    <x v="167"/>
    <s v="S001"/>
    <s v="C05"/>
    <x v="0"/>
    <x v="0"/>
    <x v="0"/>
    <x v="3"/>
    <n v="12139"/>
    <n v="12046"/>
    <n v="61"/>
    <n v="93"/>
    <n v="7.720405113730699E-3"/>
    <n v="199"/>
  </r>
  <r>
    <x v="167"/>
    <s v="S002"/>
    <s v="C05"/>
    <x v="1"/>
    <x v="0"/>
    <x v="1"/>
    <x v="3"/>
    <n v="55986"/>
    <n v="60263"/>
    <n v="217"/>
    <n v="-4277"/>
    <n v="-7.097223835520966E-2"/>
    <n v="258"/>
  </r>
  <r>
    <x v="167"/>
    <s v="S003"/>
    <s v="C02"/>
    <x v="2"/>
    <x v="0"/>
    <x v="2"/>
    <x v="1"/>
    <n v="15096"/>
    <n v="15169"/>
    <n v="68"/>
    <n v="-73"/>
    <n v="-4.8124464368119188E-3"/>
    <n v="222"/>
  </r>
  <r>
    <x v="167"/>
    <s v="S004"/>
    <s v="C01"/>
    <x v="3"/>
    <x v="0"/>
    <x v="3"/>
    <x v="0"/>
    <n v="19943"/>
    <n v="21127"/>
    <n v="49"/>
    <n v="-1184"/>
    <n v="-5.6042031523642732E-2"/>
    <n v="407"/>
  </r>
  <r>
    <x v="167"/>
    <s v="S005"/>
    <s v="C01"/>
    <x v="4"/>
    <x v="0"/>
    <x v="4"/>
    <x v="0"/>
    <n v="26335"/>
    <n v="29349"/>
    <n v="115"/>
    <n v="-3014"/>
    <n v="-0.10269515145320113"/>
    <n v="229"/>
  </r>
  <r>
    <x v="167"/>
    <s v="S006"/>
    <s v="C03"/>
    <x v="5"/>
    <x v="1"/>
    <x v="5"/>
    <x v="4"/>
    <n v="43260"/>
    <n v="45574"/>
    <n v="84"/>
    <n v="-2314"/>
    <n v="-5.0774564444639486E-2"/>
    <n v="515"/>
  </r>
  <r>
    <x v="167"/>
    <s v="S007"/>
    <s v="C01"/>
    <x v="6"/>
    <x v="1"/>
    <x v="6"/>
    <x v="0"/>
    <n v="41040"/>
    <n v="46146"/>
    <n v="120"/>
    <n v="-5106"/>
    <n v="-0.11064881029775062"/>
    <n v="342"/>
  </r>
  <r>
    <x v="167"/>
    <s v="S008"/>
    <s v="C02"/>
    <x v="7"/>
    <x v="1"/>
    <x v="7"/>
    <x v="1"/>
    <n v="67895"/>
    <n v="69869"/>
    <n v="185"/>
    <n v="-1974"/>
    <n v="-2.8252873234195421E-2"/>
    <n v="367"/>
  </r>
  <r>
    <x v="167"/>
    <s v="S009"/>
    <s v="C04"/>
    <x v="8"/>
    <x v="1"/>
    <x v="8"/>
    <x v="2"/>
    <n v="29751"/>
    <n v="27259"/>
    <n v="141"/>
    <n v="2492"/>
    <n v="9.1419347738361648E-2"/>
    <n v="211"/>
  </r>
  <r>
    <x v="167"/>
    <s v="S010"/>
    <s v="C05"/>
    <x v="9"/>
    <x v="1"/>
    <x v="9"/>
    <x v="3"/>
    <n v="22752"/>
    <n v="20954"/>
    <n v="72"/>
    <n v="1798"/>
    <n v="8.5807005822277363E-2"/>
    <n v="316"/>
  </r>
  <r>
    <x v="167"/>
    <s v="S011"/>
    <s v="C04"/>
    <x v="10"/>
    <x v="2"/>
    <x v="10"/>
    <x v="2"/>
    <n v="14766"/>
    <n v="15535"/>
    <n v="46"/>
    <n v="-769"/>
    <n v="-4.9501126488574188E-2"/>
    <n v="321"/>
  </r>
  <r>
    <x v="167"/>
    <s v="S012"/>
    <s v="C05"/>
    <x v="11"/>
    <x v="2"/>
    <x v="11"/>
    <x v="3"/>
    <n v="37252"/>
    <n v="39443"/>
    <n v="139"/>
    <n v="-2191"/>
    <n v="-5.5548513044139644E-2"/>
    <n v="268"/>
  </r>
  <r>
    <x v="167"/>
    <s v="S013"/>
    <s v="C01"/>
    <x v="12"/>
    <x v="2"/>
    <x v="12"/>
    <x v="0"/>
    <n v="36480"/>
    <n v="37944"/>
    <n v="114"/>
    <n v="-1464"/>
    <n v="-3.8583175205566096E-2"/>
    <n v="320"/>
  </r>
  <r>
    <x v="167"/>
    <s v="S014"/>
    <s v="C01"/>
    <x v="13"/>
    <x v="2"/>
    <x v="13"/>
    <x v="0"/>
    <n v="50996"/>
    <n v="53140"/>
    <n v="122"/>
    <n v="-2144"/>
    <n v="-4.0346255175009407E-2"/>
    <n v="418"/>
  </r>
  <r>
    <x v="167"/>
    <s v="S015"/>
    <s v="C01"/>
    <x v="14"/>
    <x v="2"/>
    <x v="14"/>
    <x v="0"/>
    <n v="74643"/>
    <n v="68823"/>
    <n v="179"/>
    <n v="5820"/>
    <n v="8.4564753062203041E-2"/>
    <n v="417"/>
  </r>
  <r>
    <x v="167"/>
    <s v="S016"/>
    <s v="C01"/>
    <x v="15"/>
    <x v="3"/>
    <x v="15"/>
    <x v="0"/>
    <n v="18144"/>
    <n v="17171"/>
    <n v="81"/>
    <n v="973"/>
    <n v="5.6665307786384018E-2"/>
    <n v="224"/>
  </r>
  <r>
    <x v="167"/>
    <s v="S017"/>
    <s v="C05"/>
    <x v="16"/>
    <x v="3"/>
    <x v="16"/>
    <x v="3"/>
    <n v="37050"/>
    <n v="40446"/>
    <n v="195"/>
    <n v="-3396"/>
    <n v="-8.3963803589971811E-2"/>
    <n v="190"/>
  </r>
  <r>
    <x v="167"/>
    <s v="S018"/>
    <s v="C01"/>
    <x v="17"/>
    <x v="4"/>
    <x v="17"/>
    <x v="0"/>
    <n v="45540"/>
    <n v="45250"/>
    <n v="90"/>
    <n v="290"/>
    <n v="6.4088397790055245E-3"/>
    <n v="506"/>
  </r>
  <r>
    <x v="167"/>
    <s v="S019"/>
    <s v="C01"/>
    <x v="18"/>
    <x v="5"/>
    <x v="18"/>
    <x v="0"/>
    <n v="67320"/>
    <n v="65767"/>
    <n v="220"/>
    <n v="1553"/>
    <n v="2.361366642845196E-2"/>
    <n v="306"/>
  </r>
  <r>
    <x v="167"/>
    <s v="S020"/>
    <s v="C02"/>
    <x v="19"/>
    <x v="6"/>
    <x v="19"/>
    <x v="1"/>
    <n v="22984"/>
    <n v="20992"/>
    <n v="68"/>
    <n v="1992"/>
    <n v="9.489329268292683E-2"/>
    <n v="338"/>
  </r>
  <r>
    <x v="168"/>
    <s v="S001"/>
    <s v="C03"/>
    <x v="0"/>
    <x v="0"/>
    <x v="0"/>
    <x v="4"/>
    <n v="25760"/>
    <n v="24088"/>
    <n v="80"/>
    <n v="1672"/>
    <n v="6.9412155430089675E-2"/>
    <n v="322"/>
  </r>
  <r>
    <x v="168"/>
    <s v="S002"/>
    <s v="C03"/>
    <x v="1"/>
    <x v="0"/>
    <x v="1"/>
    <x v="4"/>
    <n v="41300"/>
    <n v="45794"/>
    <n v="140"/>
    <n v="-4494"/>
    <n v="-9.8135126872516049E-2"/>
    <n v="295"/>
  </r>
  <r>
    <x v="168"/>
    <s v="S003"/>
    <s v="C03"/>
    <x v="2"/>
    <x v="0"/>
    <x v="2"/>
    <x v="4"/>
    <n v="23220"/>
    <n v="26582"/>
    <n v="86"/>
    <n v="-3362"/>
    <n v="-0.12647656308780378"/>
    <n v="270"/>
  </r>
  <r>
    <x v="168"/>
    <s v="S004"/>
    <s v="C03"/>
    <x v="3"/>
    <x v="0"/>
    <x v="3"/>
    <x v="4"/>
    <n v="86265"/>
    <n v="83343"/>
    <n v="213"/>
    <n v="2922"/>
    <n v="3.5059933047766459E-2"/>
    <n v="405"/>
  </r>
  <r>
    <x v="168"/>
    <s v="S005"/>
    <s v="C04"/>
    <x v="4"/>
    <x v="0"/>
    <x v="4"/>
    <x v="2"/>
    <n v="59500"/>
    <n v="58958"/>
    <n v="125"/>
    <n v="542"/>
    <n v="9.1929848366633874E-3"/>
    <n v="476"/>
  </r>
  <r>
    <x v="168"/>
    <s v="S006"/>
    <s v="C05"/>
    <x v="5"/>
    <x v="1"/>
    <x v="5"/>
    <x v="3"/>
    <n v="75450"/>
    <n v="80864"/>
    <n v="150"/>
    <n v="-5414"/>
    <n v="-6.6951919271863863E-2"/>
    <n v="503"/>
  </r>
  <r>
    <x v="168"/>
    <s v="S007"/>
    <s v="C02"/>
    <x v="6"/>
    <x v="1"/>
    <x v="6"/>
    <x v="1"/>
    <n v="21076"/>
    <n v="21000"/>
    <n v="44"/>
    <n v="76"/>
    <n v="3.619047619047619E-3"/>
    <n v="479"/>
  </r>
  <r>
    <x v="168"/>
    <s v="S008"/>
    <s v="C05"/>
    <x v="7"/>
    <x v="1"/>
    <x v="7"/>
    <x v="3"/>
    <n v="51660"/>
    <n v="59328"/>
    <n v="180"/>
    <n v="-7668"/>
    <n v="-0.12924757281553398"/>
    <n v="287"/>
  </r>
  <r>
    <x v="168"/>
    <s v="S009"/>
    <s v="C04"/>
    <x v="8"/>
    <x v="1"/>
    <x v="8"/>
    <x v="2"/>
    <n v="62730"/>
    <n v="69174"/>
    <n v="123"/>
    <n v="-6444"/>
    <n v="-9.3156388238355453E-2"/>
    <n v="510"/>
  </r>
  <r>
    <x v="168"/>
    <s v="S010"/>
    <s v="C03"/>
    <x v="9"/>
    <x v="1"/>
    <x v="9"/>
    <x v="4"/>
    <n v="31240"/>
    <n v="33580"/>
    <n v="88"/>
    <n v="-2340"/>
    <n v="-6.968433591423466E-2"/>
    <n v="355"/>
  </r>
  <r>
    <x v="168"/>
    <s v="S011"/>
    <s v="C05"/>
    <x v="10"/>
    <x v="2"/>
    <x v="10"/>
    <x v="3"/>
    <n v="55792"/>
    <n v="51478"/>
    <n v="176"/>
    <n v="4314"/>
    <n v="8.3802789541163214E-2"/>
    <n v="317"/>
  </r>
  <r>
    <x v="168"/>
    <s v="S012"/>
    <s v="C02"/>
    <x v="11"/>
    <x v="2"/>
    <x v="11"/>
    <x v="1"/>
    <n v="29391"/>
    <n v="29888"/>
    <n v="101"/>
    <n v="-497"/>
    <n v="-1.6628747323340472E-2"/>
    <n v="291"/>
  </r>
  <r>
    <x v="168"/>
    <s v="S013"/>
    <s v="C01"/>
    <x v="12"/>
    <x v="2"/>
    <x v="12"/>
    <x v="0"/>
    <n v="28416"/>
    <n v="30251"/>
    <n v="64"/>
    <n v="-1835"/>
    <n v="-6.0659151763578063E-2"/>
    <n v="444"/>
  </r>
  <r>
    <x v="168"/>
    <s v="S014"/>
    <s v="C02"/>
    <x v="13"/>
    <x v="2"/>
    <x v="13"/>
    <x v="1"/>
    <n v="39156"/>
    <n v="39814"/>
    <n v="156"/>
    <n v="-658"/>
    <n v="-1.652684985181092E-2"/>
    <n v="251"/>
  </r>
  <r>
    <x v="168"/>
    <s v="S015"/>
    <s v="C03"/>
    <x v="14"/>
    <x v="2"/>
    <x v="14"/>
    <x v="4"/>
    <n v="60840"/>
    <n v="60504"/>
    <n v="130"/>
    <n v="336"/>
    <n v="5.5533518445061479E-3"/>
    <n v="468"/>
  </r>
  <r>
    <x v="168"/>
    <s v="S016"/>
    <s v="C05"/>
    <x v="15"/>
    <x v="3"/>
    <x v="15"/>
    <x v="3"/>
    <n v="14835"/>
    <n v="15952"/>
    <n v="43"/>
    <n v="-1117"/>
    <n v="-7.0022567703109329E-2"/>
    <n v="345"/>
  </r>
  <r>
    <x v="168"/>
    <s v="S017"/>
    <s v="C03"/>
    <x v="16"/>
    <x v="3"/>
    <x v="16"/>
    <x v="4"/>
    <n v="9657"/>
    <n v="9708"/>
    <n v="37"/>
    <n v="-51"/>
    <n v="-5.2533992583436344E-3"/>
    <n v="261"/>
  </r>
  <r>
    <x v="168"/>
    <s v="S018"/>
    <s v="C03"/>
    <x v="17"/>
    <x v="4"/>
    <x v="17"/>
    <x v="4"/>
    <n v="61831"/>
    <n v="69605"/>
    <n v="121"/>
    <n v="-7774"/>
    <n v="-0.11168737878026004"/>
    <n v="511"/>
  </r>
  <r>
    <x v="168"/>
    <s v="S019"/>
    <s v="C02"/>
    <x v="18"/>
    <x v="5"/>
    <x v="18"/>
    <x v="1"/>
    <n v="42336"/>
    <n v="39824"/>
    <n v="126"/>
    <n v="2512"/>
    <n v="6.3077541181197266E-2"/>
    <n v="336"/>
  </r>
  <r>
    <x v="168"/>
    <s v="S020"/>
    <s v="C05"/>
    <x v="19"/>
    <x v="6"/>
    <x v="19"/>
    <x v="3"/>
    <n v="15662"/>
    <n v="15814"/>
    <n v="82"/>
    <n v="-152"/>
    <n v="-9.6117364360693049E-3"/>
    <n v="191"/>
  </r>
  <r>
    <x v="169"/>
    <s v="S001"/>
    <s v="C05"/>
    <x v="0"/>
    <x v="0"/>
    <x v="0"/>
    <x v="3"/>
    <n v="72933"/>
    <n v="76141"/>
    <n v="151"/>
    <n v="-3208"/>
    <n v="-4.2132359701080889E-2"/>
    <n v="483"/>
  </r>
  <r>
    <x v="169"/>
    <s v="S002"/>
    <s v="C04"/>
    <x v="1"/>
    <x v="0"/>
    <x v="1"/>
    <x v="2"/>
    <n v="57814"/>
    <n v="64088"/>
    <n v="137"/>
    <n v="-6274"/>
    <n v="-9.7896642117088997E-2"/>
    <n v="422"/>
  </r>
  <r>
    <x v="169"/>
    <s v="S003"/>
    <s v="C03"/>
    <x v="2"/>
    <x v="0"/>
    <x v="2"/>
    <x v="4"/>
    <n v="81620"/>
    <n v="85720"/>
    <n v="220"/>
    <n v="-4100"/>
    <n v="-4.7830144657022865E-2"/>
    <n v="371"/>
  </r>
  <r>
    <x v="169"/>
    <s v="S004"/>
    <s v="C04"/>
    <x v="3"/>
    <x v="0"/>
    <x v="3"/>
    <x v="2"/>
    <n v="80080"/>
    <n v="78081"/>
    <n v="208"/>
    <n v="1999"/>
    <n v="2.5601618831726028E-2"/>
    <n v="385"/>
  </r>
  <r>
    <x v="169"/>
    <s v="S005"/>
    <s v="C02"/>
    <x v="4"/>
    <x v="0"/>
    <x v="4"/>
    <x v="1"/>
    <n v="38540"/>
    <n v="38742"/>
    <n v="164"/>
    <n v="-202"/>
    <n v="-5.2139796603169683E-3"/>
    <n v="235"/>
  </r>
  <r>
    <x v="169"/>
    <s v="S006"/>
    <s v="C03"/>
    <x v="5"/>
    <x v="1"/>
    <x v="5"/>
    <x v="4"/>
    <n v="70070"/>
    <n v="73452"/>
    <n v="182"/>
    <n v="-3382"/>
    <n v="-4.6043674780809236E-2"/>
    <n v="385"/>
  </r>
  <r>
    <x v="169"/>
    <s v="S007"/>
    <s v="C02"/>
    <x v="6"/>
    <x v="1"/>
    <x v="6"/>
    <x v="1"/>
    <n v="43990"/>
    <n v="49734"/>
    <n v="166"/>
    <n v="-5744"/>
    <n v="-0.1154944303695661"/>
    <n v="265"/>
  </r>
  <r>
    <x v="169"/>
    <s v="S008"/>
    <s v="C05"/>
    <x v="7"/>
    <x v="1"/>
    <x v="7"/>
    <x v="3"/>
    <n v="95424"/>
    <n v="90616"/>
    <n v="213"/>
    <n v="4808"/>
    <n v="5.3059062417233162E-2"/>
    <n v="448"/>
  </r>
  <r>
    <x v="169"/>
    <s v="S009"/>
    <s v="C05"/>
    <x v="8"/>
    <x v="1"/>
    <x v="8"/>
    <x v="3"/>
    <n v="17220"/>
    <n v="18353"/>
    <n v="70"/>
    <n v="-1133"/>
    <n v="-6.1733776494306107E-2"/>
    <n v="246"/>
  </r>
  <r>
    <x v="169"/>
    <s v="S010"/>
    <s v="C01"/>
    <x v="9"/>
    <x v="1"/>
    <x v="9"/>
    <x v="0"/>
    <n v="19604"/>
    <n v="21529"/>
    <n v="58"/>
    <n v="-1925"/>
    <n v="-8.9414278415160947E-2"/>
    <n v="338"/>
  </r>
  <r>
    <x v="169"/>
    <s v="S011"/>
    <s v="C02"/>
    <x v="10"/>
    <x v="2"/>
    <x v="10"/>
    <x v="1"/>
    <n v="50922"/>
    <n v="50870"/>
    <n v="123"/>
    <n v="52"/>
    <n v="1.0222134853548261E-3"/>
    <n v="414"/>
  </r>
  <r>
    <x v="169"/>
    <s v="S012"/>
    <s v="C04"/>
    <x v="11"/>
    <x v="2"/>
    <x v="11"/>
    <x v="2"/>
    <n v="18095"/>
    <n v="16952"/>
    <n v="35"/>
    <n v="1143"/>
    <n v="6.7425672487022179E-2"/>
    <n v="517"/>
  </r>
  <r>
    <x v="169"/>
    <s v="S013"/>
    <s v="C02"/>
    <x v="12"/>
    <x v="2"/>
    <x v="12"/>
    <x v="1"/>
    <n v="37744"/>
    <n v="34728"/>
    <n v="112"/>
    <n v="3016"/>
    <n v="8.6846348767565071E-2"/>
    <n v="337"/>
  </r>
  <r>
    <x v="169"/>
    <s v="S014"/>
    <s v="C02"/>
    <x v="13"/>
    <x v="2"/>
    <x v="13"/>
    <x v="1"/>
    <n v="35061"/>
    <n v="32345"/>
    <n v="87"/>
    <n v="2716"/>
    <n v="8.3969701654042356E-2"/>
    <n v="403"/>
  </r>
  <r>
    <x v="169"/>
    <s v="S015"/>
    <s v="C02"/>
    <x v="14"/>
    <x v="2"/>
    <x v="14"/>
    <x v="1"/>
    <n v="34336"/>
    <n v="38161"/>
    <n v="74"/>
    <n v="-3825"/>
    <n v="-0.10023322239983229"/>
    <n v="464"/>
  </r>
  <r>
    <x v="169"/>
    <s v="S016"/>
    <s v="C03"/>
    <x v="15"/>
    <x v="3"/>
    <x v="15"/>
    <x v="4"/>
    <n v="15264"/>
    <n v="14345"/>
    <n v="36"/>
    <n v="919"/>
    <n v="6.4064133844545137E-2"/>
    <n v="424"/>
  </r>
  <r>
    <x v="169"/>
    <s v="S017"/>
    <s v="C01"/>
    <x v="16"/>
    <x v="3"/>
    <x v="16"/>
    <x v="0"/>
    <n v="71455"/>
    <n v="76578"/>
    <n v="155"/>
    <n v="-5123"/>
    <n v="-6.6899109404789894E-2"/>
    <n v="461"/>
  </r>
  <r>
    <x v="169"/>
    <s v="S018"/>
    <s v="C02"/>
    <x v="17"/>
    <x v="4"/>
    <x v="17"/>
    <x v="1"/>
    <n v="57660"/>
    <n v="63877"/>
    <n v="155"/>
    <n v="-6217"/>
    <n v="-9.7327676628520432E-2"/>
    <n v="372"/>
  </r>
  <r>
    <x v="169"/>
    <s v="S019"/>
    <s v="C02"/>
    <x v="18"/>
    <x v="5"/>
    <x v="18"/>
    <x v="1"/>
    <n v="22302"/>
    <n v="20788"/>
    <n v="59"/>
    <n v="1514"/>
    <n v="7.2830479122570707E-2"/>
    <n v="378"/>
  </r>
  <r>
    <x v="169"/>
    <s v="S020"/>
    <s v="C02"/>
    <x v="19"/>
    <x v="6"/>
    <x v="19"/>
    <x v="1"/>
    <n v="47539"/>
    <n v="53457"/>
    <n v="137"/>
    <n v="-5918"/>
    <n v="-0.11070580092410723"/>
    <n v="347"/>
  </r>
  <r>
    <x v="170"/>
    <s v="S001"/>
    <s v="C04"/>
    <x v="0"/>
    <x v="0"/>
    <x v="0"/>
    <x v="2"/>
    <n v="71247"/>
    <n v="73635"/>
    <n v="187"/>
    <n v="-2388"/>
    <n v="-3.2430230189447955E-2"/>
    <n v="381"/>
  </r>
  <r>
    <x v="170"/>
    <s v="S002"/>
    <s v="C03"/>
    <x v="1"/>
    <x v="0"/>
    <x v="1"/>
    <x v="4"/>
    <n v="76800"/>
    <n v="69636"/>
    <n v="160"/>
    <n v="7164"/>
    <n v="0.10287782181630191"/>
    <n v="480"/>
  </r>
  <r>
    <x v="170"/>
    <s v="S003"/>
    <s v="C05"/>
    <x v="2"/>
    <x v="0"/>
    <x v="2"/>
    <x v="3"/>
    <n v="24000"/>
    <n v="23814"/>
    <n v="80"/>
    <n v="186"/>
    <n v="7.8105316200554296E-3"/>
    <n v="300"/>
  </r>
  <r>
    <x v="170"/>
    <s v="S004"/>
    <s v="C03"/>
    <x v="3"/>
    <x v="0"/>
    <x v="3"/>
    <x v="4"/>
    <n v="29340"/>
    <n v="30884"/>
    <n v="163"/>
    <n v="-1544"/>
    <n v="-4.9993524154902214E-2"/>
    <n v="180"/>
  </r>
  <r>
    <x v="170"/>
    <s v="S005"/>
    <s v="C04"/>
    <x v="4"/>
    <x v="0"/>
    <x v="4"/>
    <x v="2"/>
    <n v="27540"/>
    <n v="26370"/>
    <n v="54"/>
    <n v="1170"/>
    <n v="4.4368600682593858E-2"/>
    <n v="510"/>
  </r>
  <r>
    <x v="170"/>
    <s v="S006"/>
    <s v="C04"/>
    <x v="5"/>
    <x v="1"/>
    <x v="5"/>
    <x v="2"/>
    <n v="16766"/>
    <n v="15974"/>
    <n v="83"/>
    <n v="792"/>
    <n v="4.9580568423688492E-2"/>
    <n v="202"/>
  </r>
  <r>
    <x v="170"/>
    <s v="S007"/>
    <s v="C04"/>
    <x v="6"/>
    <x v="1"/>
    <x v="6"/>
    <x v="2"/>
    <n v="20474"/>
    <n v="20392"/>
    <n v="58"/>
    <n v="82"/>
    <n v="4.0211847783444485E-3"/>
    <n v="353"/>
  </r>
  <r>
    <x v="170"/>
    <s v="S008"/>
    <s v="C02"/>
    <x v="7"/>
    <x v="1"/>
    <x v="7"/>
    <x v="1"/>
    <n v="36751"/>
    <n v="35694"/>
    <n v="143"/>
    <n v="1057"/>
    <n v="2.9612820081806466E-2"/>
    <n v="257"/>
  </r>
  <r>
    <x v="170"/>
    <s v="S009"/>
    <s v="C04"/>
    <x v="8"/>
    <x v="1"/>
    <x v="8"/>
    <x v="2"/>
    <n v="88182"/>
    <n v="80131"/>
    <n v="207"/>
    <n v="8051"/>
    <n v="0.10047297550261447"/>
    <n v="426"/>
  </r>
  <r>
    <x v="170"/>
    <s v="S010"/>
    <s v="C04"/>
    <x v="9"/>
    <x v="1"/>
    <x v="9"/>
    <x v="2"/>
    <n v="21040"/>
    <n v="21030"/>
    <n v="80"/>
    <n v="10"/>
    <n v="4.7551117451260106E-4"/>
    <n v="263"/>
  </r>
  <r>
    <x v="170"/>
    <s v="S011"/>
    <s v="C05"/>
    <x v="10"/>
    <x v="2"/>
    <x v="10"/>
    <x v="3"/>
    <n v="25916"/>
    <n v="28547"/>
    <n v="62"/>
    <n v="-2631"/>
    <n v="-9.2163800049041927E-2"/>
    <n v="418"/>
  </r>
  <r>
    <x v="170"/>
    <s v="S012"/>
    <s v="C03"/>
    <x v="11"/>
    <x v="2"/>
    <x v="11"/>
    <x v="4"/>
    <n v="48510"/>
    <n v="51613"/>
    <n v="210"/>
    <n v="-3103"/>
    <n v="-6.0120512274039486E-2"/>
    <n v="231"/>
  </r>
  <r>
    <x v="170"/>
    <s v="S013"/>
    <s v="C04"/>
    <x v="12"/>
    <x v="2"/>
    <x v="12"/>
    <x v="2"/>
    <n v="9956"/>
    <n v="9754"/>
    <n v="38"/>
    <n v="202"/>
    <n v="2.0709452532294444E-2"/>
    <n v="262"/>
  </r>
  <r>
    <x v="170"/>
    <s v="S014"/>
    <s v="C05"/>
    <x v="13"/>
    <x v="2"/>
    <x v="13"/>
    <x v="3"/>
    <n v="61664"/>
    <n v="66077"/>
    <n v="164"/>
    <n v="-4413"/>
    <n v="-6.6785719690663922E-2"/>
    <n v="376"/>
  </r>
  <r>
    <x v="170"/>
    <s v="S015"/>
    <s v="C01"/>
    <x v="14"/>
    <x v="2"/>
    <x v="14"/>
    <x v="0"/>
    <n v="81726"/>
    <n v="93166"/>
    <n v="159"/>
    <n v="-11440"/>
    <n v="-0.12279157632612756"/>
    <n v="514"/>
  </r>
  <r>
    <x v="170"/>
    <s v="S016"/>
    <s v="C04"/>
    <x v="15"/>
    <x v="3"/>
    <x v="15"/>
    <x v="2"/>
    <n v="29601"/>
    <n v="28882"/>
    <n v="143"/>
    <n v="719"/>
    <n v="2.4894397894882625E-2"/>
    <n v="207"/>
  </r>
  <r>
    <x v="170"/>
    <s v="S017"/>
    <s v="C03"/>
    <x v="16"/>
    <x v="3"/>
    <x v="16"/>
    <x v="4"/>
    <n v="47083"/>
    <n v="49479"/>
    <n v="197"/>
    <n v="-2396"/>
    <n v="-4.8424584167020349E-2"/>
    <n v="239"/>
  </r>
  <r>
    <x v="170"/>
    <s v="S018"/>
    <s v="C04"/>
    <x v="17"/>
    <x v="4"/>
    <x v="17"/>
    <x v="2"/>
    <n v="60310"/>
    <n v="66054"/>
    <n v="163"/>
    <n v="-5744"/>
    <n v="-8.6959154631059438E-2"/>
    <n v="370"/>
  </r>
  <r>
    <x v="170"/>
    <s v="S019"/>
    <s v="C03"/>
    <x v="18"/>
    <x v="5"/>
    <x v="18"/>
    <x v="4"/>
    <n v="62586"/>
    <n v="58074"/>
    <n v="171"/>
    <n v="4512"/>
    <n v="7.7693976650480417E-2"/>
    <n v="366"/>
  </r>
  <r>
    <x v="170"/>
    <s v="S020"/>
    <s v="C02"/>
    <x v="19"/>
    <x v="6"/>
    <x v="19"/>
    <x v="1"/>
    <n v="64636"/>
    <n v="70446"/>
    <n v="143"/>
    <n v="-5810"/>
    <n v="-8.2474519490105896E-2"/>
    <n v="452"/>
  </r>
  <r>
    <x v="171"/>
    <s v="S001"/>
    <s v="C01"/>
    <x v="0"/>
    <x v="0"/>
    <x v="0"/>
    <x v="0"/>
    <n v="13359"/>
    <n v="13148"/>
    <n v="73"/>
    <n v="211"/>
    <n v="1.6048068147246731E-2"/>
    <n v="183"/>
  </r>
  <r>
    <x v="171"/>
    <s v="S002"/>
    <s v="C05"/>
    <x v="1"/>
    <x v="0"/>
    <x v="1"/>
    <x v="3"/>
    <n v="28381"/>
    <n v="29196"/>
    <n v="101"/>
    <n v="-815"/>
    <n v="-2.7914782846965337E-2"/>
    <n v="281"/>
  </r>
  <r>
    <x v="171"/>
    <s v="S003"/>
    <s v="C05"/>
    <x v="2"/>
    <x v="0"/>
    <x v="2"/>
    <x v="3"/>
    <n v="60702"/>
    <n v="55368"/>
    <n v="151"/>
    <n v="5334"/>
    <n v="9.6337234503684435E-2"/>
    <n v="402"/>
  </r>
  <r>
    <x v="171"/>
    <s v="S004"/>
    <s v="C03"/>
    <x v="3"/>
    <x v="0"/>
    <x v="3"/>
    <x v="4"/>
    <n v="10890"/>
    <n v="12163"/>
    <n v="45"/>
    <n v="-1273"/>
    <n v="-0.10466167886212283"/>
    <n v="242"/>
  </r>
  <r>
    <x v="171"/>
    <s v="S005"/>
    <s v="C04"/>
    <x v="4"/>
    <x v="0"/>
    <x v="4"/>
    <x v="2"/>
    <n v="26240"/>
    <n v="29448"/>
    <n v="128"/>
    <n v="-3208"/>
    <n v="-0.1089377886443901"/>
    <n v="205"/>
  </r>
  <r>
    <x v="171"/>
    <s v="S006"/>
    <s v="C03"/>
    <x v="5"/>
    <x v="1"/>
    <x v="5"/>
    <x v="4"/>
    <n v="39303"/>
    <n v="38688"/>
    <n v="99"/>
    <n v="615"/>
    <n v="1.5896401985111663E-2"/>
    <n v="397"/>
  </r>
  <r>
    <x v="171"/>
    <s v="S007"/>
    <s v="C03"/>
    <x v="6"/>
    <x v="1"/>
    <x v="6"/>
    <x v="4"/>
    <n v="18737"/>
    <n v="18115"/>
    <n v="41"/>
    <n v="622"/>
    <n v="3.4336185481645048E-2"/>
    <n v="457"/>
  </r>
  <r>
    <x v="171"/>
    <s v="S008"/>
    <s v="C03"/>
    <x v="7"/>
    <x v="1"/>
    <x v="7"/>
    <x v="4"/>
    <n v="49518"/>
    <n v="44783"/>
    <n v="126"/>
    <n v="4735"/>
    <n v="0.10573208583614319"/>
    <n v="393"/>
  </r>
  <r>
    <x v="171"/>
    <s v="S009"/>
    <s v="C03"/>
    <x v="8"/>
    <x v="1"/>
    <x v="8"/>
    <x v="4"/>
    <n v="56055"/>
    <n v="50948"/>
    <n v="111"/>
    <n v="5107"/>
    <n v="0.10023945984140692"/>
    <n v="505"/>
  </r>
  <r>
    <x v="171"/>
    <s v="S010"/>
    <s v="C01"/>
    <x v="9"/>
    <x v="1"/>
    <x v="9"/>
    <x v="0"/>
    <n v="24948"/>
    <n v="25766"/>
    <n v="126"/>
    <n v="-818"/>
    <n v="-3.1747263836063029E-2"/>
    <n v="198"/>
  </r>
  <r>
    <x v="171"/>
    <s v="S011"/>
    <s v="C04"/>
    <x v="10"/>
    <x v="2"/>
    <x v="10"/>
    <x v="2"/>
    <n v="26362"/>
    <n v="24279"/>
    <n v="98"/>
    <n v="2083"/>
    <n v="8.5794307838049338E-2"/>
    <n v="269"/>
  </r>
  <r>
    <x v="171"/>
    <s v="S012"/>
    <s v="C01"/>
    <x v="11"/>
    <x v="2"/>
    <x v="11"/>
    <x v="0"/>
    <n v="17018"/>
    <n v="18008"/>
    <n v="67"/>
    <n v="-990"/>
    <n v="-5.4975566414926701E-2"/>
    <n v="254"/>
  </r>
  <r>
    <x v="171"/>
    <s v="S013"/>
    <s v="C04"/>
    <x v="12"/>
    <x v="2"/>
    <x v="12"/>
    <x v="2"/>
    <n v="37380"/>
    <n v="42723"/>
    <n v="105"/>
    <n v="-5343"/>
    <n v="-0.12506144231444422"/>
    <n v="356"/>
  </r>
  <r>
    <x v="171"/>
    <s v="S014"/>
    <s v="C05"/>
    <x v="13"/>
    <x v="2"/>
    <x v="13"/>
    <x v="3"/>
    <n v="43456"/>
    <n v="45292"/>
    <n v="97"/>
    <n v="-1836"/>
    <n v="-4.0536960169566372E-2"/>
    <n v="448"/>
  </r>
  <r>
    <x v="171"/>
    <s v="S015"/>
    <s v="C01"/>
    <x v="14"/>
    <x v="2"/>
    <x v="14"/>
    <x v="0"/>
    <n v="18738"/>
    <n v="18610"/>
    <n v="54"/>
    <n v="128"/>
    <n v="6.8780225685115531E-3"/>
    <n v="347"/>
  </r>
  <r>
    <x v="171"/>
    <s v="S016"/>
    <s v="C02"/>
    <x v="15"/>
    <x v="3"/>
    <x v="15"/>
    <x v="1"/>
    <n v="96140"/>
    <n v="106053"/>
    <n v="190"/>
    <n v="-9913"/>
    <n v="-9.3472131858598997E-2"/>
    <n v="506"/>
  </r>
  <r>
    <x v="171"/>
    <s v="S017"/>
    <s v="C01"/>
    <x v="16"/>
    <x v="3"/>
    <x v="16"/>
    <x v="0"/>
    <n v="58344"/>
    <n v="66807"/>
    <n v="132"/>
    <n v="-8463"/>
    <n v="-0.12667834208990075"/>
    <n v="442"/>
  </r>
  <r>
    <x v="171"/>
    <s v="S018"/>
    <s v="C01"/>
    <x v="17"/>
    <x v="4"/>
    <x v="17"/>
    <x v="0"/>
    <n v="61226"/>
    <n v="66572"/>
    <n v="121"/>
    <n v="-5346"/>
    <n v="-8.0304031725049574E-2"/>
    <n v="506"/>
  </r>
  <r>
    <x v="171"/>
    <s v="S019"/>
    <s v="C04"/>
    <x v="18"/>
    <x v="5"/>
    <x v="18"/>
    <x v="2"/>
    <n v="26167"/>
    <n v="24753"/>
    <n v="137"/>
    <n v="1414"/>
    <n v="5.7124388962953986E-2"/>
    <n v="191"/>
  </r>
  <r>
    <x v="171"/>
    <s v="S020"/>
    <s v="C03"/>
    <x v="19"/>
    <x v="6"/>
    <x v="19"/>
    <x v="4"/>
    <n v="112566"/>
    <n v="122209"/>
    <n v="219"/>
    <n v="-9643"/>
    <n v="-7.8905808901144764E-2"/>
    <n v="514"/>
  </r>
  <r>
    <x v="172"/>
    <s v="S001"/>
    <s v="C01"/>
    <x v="0"/>
    <x v="0"/>
    <x v="0"/>
    <x v="0"/>
    <n v="34655"/>
    <n v="38065"/>
    <n v="145"/>
    <n v="-3410"/>
    <n v="-8.9583606988046766E-2"/>
    <n v="239"/>
  </r>
  <r>
    <x v="172"/>
    <s v="S002"/>
    <s v="C05"/>
    <x v="1"/>
    <x v="0"/>
    <x v="1"/>
    <x v="3"/>
    <n v="33835"/>
    <n v="35658"/>
    <n v="101"/>
    <n v="-1823"/>
    <n v="-5.1124572325985752E-2"/>
    <n v="335"/>
  </r>
  <r>
    <x v="172"/>
    <s v="S003"/>
    <s v="C05"/>
    <x v="2"/>
    <x v="0"/>
    <x v="2"/>
    <x v="3"/>
    <n v="19885"/>
    <n v="19756"/>
    <n v="97"/>
    <n v="129"/>
    <n v="6.5296618748734558E-3"/>
    <n v="205"/>
  </r>
  <r>
    <x v="172"/>
    <s v="S004"/>
    <s v="C04"/>
    <x v="3"/>
    <x v="0"/>
    <x v="3"/>
    <x v="2"/>
    <n v="36270"/>
    <n v="35134"/>
    <n v="90"/>
    <n v="1136"/>
    <n v="3.2333352308305342E-2"/>
    <n v="403"/>
  </r>
  <r>
    <x v="172"/>
    <s v="S005"/>
    <s v="C02"/>
    <x v="4"/>
    <x v="0"/>
    <x v="4"/>
    <x v="1"/>
    <n v="45780"/>
    <n v="48886"/>
    <n v="105"/>
    <n v="-3106"/>
    <n v="-6.3535572556560158E-2"/>
    <n v="436"/>
  </r>
  <r>
    <x v="172"/>
    <s v="S006"/>
    <s v="C05"/>
    <x v="5"/>
    <x v="1"/>
    <x v="5"/>
    <x v="3"/>
    <n v="37264"/>
    <n v="39855"/>
    <n v="137"/>
    <n v="-2591"/>
    <n v="-6.5010663655752102E-2"/>
    <n v="272"/>
  </r>
  <r>
    <x v="172"/>
    <s v="S007"/>
    <s v="C03"/>
    <x v="6"/>
    <x v="1"/>
    <x v="6"/>
    <x v="4"/>
    <n v="13968"/>
    <n v="13294"/>
    <n v="36"/>
    <n v="674"/>
    <n v="5.0699563712953213E-2"/>
    <n v="388"/>
  </r>
  <r>
    <x v="172"/>
    <s v="S008"/>
    <s v="C04"/>
    <x v="7"/>
    <x v="1"/>
    <x v="7"/>
    <x v="2"/>
    <n v="49938"/>
    <n v="48374"/>
    <n v="203"/>
    <n v="1564"/>
    <n v="3.2331417703725142E-2"/>
    <n v="246"/>
  </r>
  <r>
    <x v="172"/>
    <s v="S009"/>
    <s v="C04"/>
    <x v="8"/>
    <x v="1"/>
    <x v="8"/>
    <x v="2"/>
    <n v="94940"/>
    <n v="92997"/>
    <n v="188"/>
    <n v="1943"/>
    <n v="2.0893147090766367E-2"/>
    <n v="505"/>
  </r>
  <r>
    <x v="172"/>
    <s v="S010"/>
    <s v="C02"/>
    <x v="9"/>
    <x v="1"/>
    <x v="9"/>
    <x v="1"/>
    <n v="17388"/>
    <n v="18731"/>
    <n v="92"/>
    <n v="-1343"/>
    <n v="-7.1699321979606004E-2"/>
    <n v="189"/>
  </r>
  <r>
    <x v="172"/>
    <s v="S011"/>
    <s v="C02"/>
    <x v="10"/>
    <x v="2"/>
    <x v="10"/>
    <x v="1"/>
    <n v="25143"/>
    <n v="24437"/>
    <n v="51"/>
    <n v="706"/>
    <n v="2.889061668780947E-2"/>
    <n v="493"/>
  </r>
  <r>
    <x v="172"/>
    <s v="S012"/>
    <s v="C05"/>
    <x v="11"/>
    <x v="2"/>
    <x v="11"/>
    <x v="3"/>
    <n v="73112"/>
    <n v="73491"/>
    <n v="152"/>
    <n v="-379"/>
    <n v="-5.1570940659400469E-3"/>
    <n v="481"/>
  </r>
  <r>
    <x v="172"/>
    <s v="S013"/>
    <s v="C05"/>
    <x v="12"/>
    <x v="2"/>
    <x v="12"/>
    <x v="3"/>
    <n v="54383"/>
    <n v="54233"/>
    <n v="119"/>
    <n v="150"/>
    <n v="2.7658436745155164E-3"/>
    <n v="457"/>
  </r>
  <r>
    <x v="172"/>
    <s v="S014"/>
    <s v="C05"/>
    <x v="13"/>
    <x v="2"/>
    <x v="13"/>
    <x v="3"/>
    <n v="13490"/>
    <n v="13289"/>
    <n v="38"/>
    <n v="201"/>
    <n v="1.5125291594551884E-2"/>
    <n v="355"/>
  </r>
  <r>
    <x v="172"/>
    <s v="S015"/>
    <s v="C03"/>
    <x v="14"/>
    <x v="2"/>
    <x v="14"/>
    <x v="4"/>
    <n v="38036"/>
    <n v="38625"/>
    <n v="148"/>
    <n v="-589"/>
    <n v="-1.5249190938511327E-2"/>
    <n v="257"/>
  </r>
  <r>
    <x v="172"/>
    <s v="S016"/>
    <s v="C04"/>
    <x v="15"/>
    <x v="3"/>
    <x v="15"/>
    <x v="2"/>
    <n v="39776"/>
    <n v="42736"/>
    <n v="88"/>
    <n v="-2960"/>
    <n v="-6.9262448521153125E-2"/>
    <n v="452"/>
  </r>
  <r>
    <x v="172"/>
    <s v="S017"/>
    <s v="C04"/>
    <x v="16"/>
    <x v="3"/>
    <x v="16"/>
    <x v="2"/>
    <n v="38600"/>
    <n v="35051"/>
    <n v="100"/>
    <n v="3549"/>
    <n v="0.10125246070012268"/>
    <n v="386"/>
  </r>
  <r>
    <x v="172"/>
    <s v="S018"/>
    <s v="C05"/>
    <x v="17"/>
    <x v="4"/>
    <x v="17"/>
    <x v="3"/>
    <n v="27665"/>
    <n v="28263"/>
    <n v="55"/>
    <n v="-598"/>
    <n v="-2.1158404981778296E-2"/>
    <n v="503"/>
  </r>
  <r>
    <x v="172"/>
    <s v="S019"/>
    <s v="C03"/>
    <x v="18"/>
    <x v="5"/>
    <x v="18"/>
    <x v="4"/>
    <n v="16016"/>
    <n v="17409"/>
    <n v="56"/>
    <n v="-1393"/>
    <n v="-8.0016083634901494E-2"/>
    <n v="286"/>
  </r>
  <r>
    <x v="172"/>
    <s v="S020"/>
    <s v="C05"/>
    <x v="19"/>
    <x v="6"/>
    <x v="19"/>
    <x v="3"/>
    <n v="43215"/>
    <n v="42046"/>
    <n v="129"/>
    <n v="1169"/>
    <n v="2.7802882557199256E-2"/>
    <n v="335"/>
  </r>
  <r>
    <x v="173"/>
    <s v="S001"/>
    <s v="C03"/>
    <x v="0"/>
    <x v="0"/>
    <x v="0"/>
    <x v="4"/>
    <n v="62850"/>
    <n v="57029"/>
    <n v="150"/>
    <n v="5821"/>
    <n v="0.10207087622087008"/>
    <n v="419"/>
  </r>
  <r>
    <x v="173"/>
    <s v="S002"/>
    <s v="C05"/>
    <x v="1"/>
    <x v="0"/>
    <x v="1"/>
    <x v="3"/>
    <n v="48760"/>
    <n v="51493"/>
    <n v="184"/>
    <n v="-2733"/>
    <n v="-5.3075175266541083E-2"/>
    <n v="265"/>
  </r>
  <r>
    <x v="173"/>
    <s v="S003"/>
    <s v="C05"/>
    <x v="2"/>
    <x v="0"/>
    <x v="2"/>
    <x v="3"/>
    <n v="56840"/>
    <n v="65306"/>
    <n v="145"/>
    <n v="-8466"/>
    <n v="-0.12963586806725264"/>
    <n v="392"/>
  </r>
  <r>
    <x v="173"/>
    <s v="S004"/>
    <s v="C01"/>
    <x v="3"/>
    <x v="0"/>
    <x v="3"/>
    <x v="0"/>
    <n v="49648"/>
    <n v="53918"/>
    <n v="107"/>
    <n v="-4270"/>
    <n v="-7.9194332133981235E-2"/>
    <n v="464"/>
  </r>
  <r>
    <x v="173"/>
    <s v="S005"/>
    <s v="C02"/>
    <x v="4"/>
    <x v="0"/>
    <x v="4"/>
    <x v="1"/>
    <n v="59605"/>
    <n v="55606"/>
    <n v="131"/>
    <n v="3999"/>
    <n v="7.191669963672985E-2"/>
    <n v="455"/>
  </r>
  <r>
    <x v="173"/>
    <s v="S006"/>
    <s v="C05"/>
    <x v="5"/>
    <x v="1"/>
    <x v="5"/>
    <x v="3"/>
    <n v="15114"/>
    <n v="15097"/>
    <n v="66"/>
    <n v="17"/>
    <n v="1.1260515334172352E-3"/>
    <n v="229"/>
  </r>
  <r>
    <x v="173"/>
    <s v="S007"/>
    <s v="C02"/>
    <x v="6"/>
    <x v="1"/>
    <x v="6"/>
    <x v="1"/>
    <n v="29736"/>
    <n v="28913"/>
    <n v="63"/>
    <n v="823"/>
    <n v="2.8464704458202192E-2"/>
    <n v="472"/>
  </r>
  <r>
    <x v="173"/>
    <s v="S008"/>
    <s v="C02"/>
    <x v="7"/>
    <x v="1"/>
    <x v="7"/>
    <x v="1"/>
    <n v="63157"/>
    <n v="63291"/>
    <n v="137"/>
    <n v="-134"/>
    <n v="-2.1172046578502471E-3"/>
    <n v="461"/>
  </r>
  <r>
    <x v="173"/>
    <s v="S009"/>
    <s v="C02"/>
    <x v="8"/>
    <x v="1"/>
    <x v="8"/>
    <x v="1"/>
    <n v="69012"/>
    <n v="66922"/>
    <n v="142"/>
    <n v="2090"/>
    <n v="3.123038761543289E-2"/>
    <n v="486"/>
  </r>
  <r>
    <x v="173"/>
    <s v="S010"/>
    <s v="C03"/>
    <x v="9"/>
    <x v="1"/>
    <x v="9"/>
    <x v="4"/>
    <n v="45864"/>
    <n v="48893"/>
    <n v="196"/>
    <n v="-3029"/>
    <n v="-6.1951608614730126E-2"/>
    <n v="234"/>
  </r>
  <r>
    <x v="173"/>
    <s v="S011"/>
    <s v="C03"/>
    <x v="10"/>
    <x v="2"/>
    <x v="10"/>
    <x v="4"/>
    <n v="74002"/>
    <n v="76453"/>
    <n v="163"/>
    <n v="-2451"/>
    <n v="-3.2058912011301059E-2"/>
    <n v="454"/>
  </r>
  <r>
    <x v="173"/>
    <s v="S012"/>
    <s v="C02"/>
    <x v="11"/>
    <x v="2"/>
    <x v="11"/>
    <x v="1"/>
    <n v="59754"/>
    <n v="65084"/>
    <n v="138"/>
    <n v="-5330"/>
    <n v="-8.189416753733636E-2"/>
    <n v="433"/>
  </r>
  <r>
    <x v="173"/>
    <s v="S013"/>
    <s v="C03"/>
    <x v="12"/>
    <x v="2"/>
    <x v="12"/>
    <x v="4"/>
    <n v="39000"/>
    <n v="44108"/>
    <n v="150"/>
    <n v="-5108"/>
    <n v="-0.1158066563888637"/>
    <n v="260"/>
  </r>
  <r>
    <x v="173"/>
    <s v="S014"/>
    <s v="C02"/>
    <x v="13"/>
    <x v="2"/>
    <x v="13"/>
    <x v="1"/>
    <n v="44799"/>
    <n v="40356"/>
    <n v="137"/>
    <n v="4443"/>
    <n v="0.11009515313707999"/>
    <n v="327"/>
  </r>
  <r>
    <x v="173"/>
    <s v="S015"/>
    <s v="C03"/>
    <x v="14"/>
    <x v="2"/>
    <x v="14"/>
    <x v="4"/>
    <n v="78795"/>
    <n v="74309"/>
    <n v="153"/>
    <n v="4486"/>
    <n v="6.0369538010200646E-2"/>
    <n v="515"/>
  </r>
  <r>
    <x v="173"/>
    <s v="S016"/>
    <s v="C01"/>
    <x v="15"/>
    <x v="3"/>
    <x v="15"/>
    <x v="0"/>
    <n v="63441"/>
    <n v="67455"/>
    <n v="133"/>
    <n v="-4014"/>
    <n v="-5.9506337558372251E-2"/>
    <n v="477"/>
  </r>
  <r>
    <x v="173"/>
    <s v="S017"/>
    <s v="C04"/>
    <x v="16"/>
    <x v="3"/>
    <x v="16"/>
    <x v="2"/>
    <n v="38640"/>
    <n v="40923"/>
    <n v="140"/>
    <n v="-2283"/>
    <n v="-5.5787698849057987E-2"/>
    <n v="276"/>
  </r>
  <r>
    <x v="173"/>
    <s v="S018"/>
    <s v="C05"/>
    <x v="17"/>
    <x v="4"/>
    <x v="17"/>
    <x v="3"/>
    <n v="23000"/>
    <n v="24205"/>
    <n v="92"/>
    <n v="-1205"/>
    <n v="-4.978310266473869E-2"/>
    <n v="250"/>
  </r>
  <r>
    <x v="173"/>
    <s v="S019"/>
    <s v="C05"/>
    <x v="18"/>
    <x v="5"/>
    <x v="18"/>
    <x v="3"/>
    <n v="26730"/>
    <n v="27869"/>
    <n v="55"/>
    <n v="-1139"/>
    <n v="-4.0869783630557252E-2"/>
    <n v="486"/>
  </r>
  <r>
    <x v="173"/>
    <s v="S020"/>
    <s v="C04"/>
    <x v="19"/>
    <x v="6"/>
    <x v="19"/>
    <x v="2"/>
    <n v="13840"/>
    <n v="14565"/>
    <n v="40"/>
    <n v="-725"/>
    <n v="-4.9776862341228974E-2"/>
    <n v="346"/>
  </r>
  <r>
    <x v="174"/>
    <s v="S001"/>
    <s v="C02"/>
    <x v="0"/>
    <x v="0"/>
    <x v="0"/>
    <x v="1"/>
    <n v="90000"/>
    <n v="91618"/>
    <n v="180"/>
    <n v="-1618"/>
    <n v="-1.7660285096815036E-2"/>
    <n v="500"/>
  </r>
  <r>
    <x v="174"/>
    <s v="S002"/>
    <s v="C01"/>
    <x v="1"/>
    <x v="0"/>
    <x v="1"/>
    <x v="0"/>
    <n v="24639"/>
    <n v="26751"/>
    <n v="129"/>
    <n v="-2112"/>
    <n v="-7.8950319614220027E-2"/>
    <n v="191"/>
  </r>
  <r>
    <x v="174"/>
    <s v="S003"/>
    <s v="C04"/>
    <x v="2"/>
    <x v="0"/>
    <x v="2"/>
    <x v="2"/>
    <n v="77616"/>
    <n v="86608"/>
    <n v="176"/>
    <n v="-8992"/>
    <n v="-0.1038241271014225"/>
    <n v="441"/>
  </r>
  <r>
    <x v="174"/>
    <s v="S004"/>
    <s v="C02"/>
    <x v="3"/>
    <x v="0"/>
    <x v="3"/>
    <x v="1"/>
    <n v="55936"/>
    <n v="60453"/>
    <n v="152"/>
    <n v="-4517"/>
    <n v="-7.4719203348055513E-2"/>
    <n v="368"/>
  </r>
  <r>
    <x v="174"/>
    <s v="S005"/>
    <s v="C02"/>
    <x v="4"/>
    <x v="0"/>
    <x v="4"/>
    <x v="1"/>
    <n v="33259"/>
    <n v="37725"/>
    <n v="79"/>
    <n v="-4466"/>
    <n v="-0.11838303512259775"/>
    <n v="421"/>
  </r>
  <r>
    <x v="174"/>
    <s v="S006"/>
    <s v="C02"/>
    <x v="5"/>
    <x v="1"/>
    <x v="5"/>
    <x v="1"/>
    <n v="28899"/>
    <n v="28125"/>
    <n v="117"/>
    <n v="774"/>
    <n v="2.7519999999999999E-2"/>
    <n v="247"/>
  </r>
  <r>
    <x v="174"/>
    <s v="S007"/>
    <s v="C01"/>
    <x v="6"/>
    <x v="1"/>
    <x v="6"/>
    <x v="0"/>
    <n v="41325"/>
    <n v="41957"/>
    <n v="87"/>
    <n v="-632"/>
    <n v="-1.5063040732178182E-2"/>
    <n v="475"/>
  </r>
  <r>
    <x v="174"/>
    <s v="S008"/>
    <s v="C02"/>
    <x v="7"/>
    <x v="1"/>
    <x v="7"/>
    <x v="1"/>
    <n v="102480"/>
    <n v="103598"/>
    <n v="210"/>
    <n v="-1118"/>
    <n v="-1.0791714125755324E-2"/>
    <n v="488"/>
  </r>
  <r>
    <x v="174"/>
    <s v="S009"/>
    <s v="C02"/>
    <x v="8"/>
    <x v="1"/>
    <x v="8"/>
    <x v="1"/>
    <n v="33280"/>
    <n v="34113"/>
    <n v="80"/>
    <n v="-833"/>
    <n v="-2.4418843256236625E-2"/>
    <n v="416"/>
  </r>
  <r>
    <x v="174"/>
    <s v="S010"/>
    <s v="C01"/>
    <x v="9"/>
    <x v="1"/>
    <x v="9"/>
    <x v="0"/>
    <n v="65961"/>
    <n v="73745"/>
    <n v="189"/>
    <n v="-7784"/>
    <n v="-0.10555291884195539"/>
    <n v="349"/>
  </r>
  <r>
    <x v="174"/>
    <s v="S011"/>
    <s v="C02"/>
    <x v="10"/>
    <x v="2"/>
    <x v="10"/>
    <x v="1"/>
    <n v="40352"/>
    <n v="43600"/>
    <n v="97"/>
    <n v="-3248"/>
    <n v="-7.4495412844036699E-2"/>
    <n v="416"/>
  </r>
  <r>
    <x v="174"/>
    <s v="S012"/>
    <s v="C01"/>
    <x v="11"/>
    <x v="2"/>
    <x v="11"/>
    <x v="0"/>
    <n v="7056"/>
    <n v="7553"/>
    <n v="36"/>
    <n v="-497"/>
    <n v="-6.5801668211306771E-2"/>
    <n v="196"/>
  </r>
  <r>
    <x v="174"/>
    <s v="S013"/>
    <s v="C04"/>
    <x v="12"/>
    <x v="2"/>
    <x v="12"/>
    <x v="2"/>
    <n v="70560"/>
    <n v="78712"/>
    <n v="168"/>
    <n v="-8152"/>
    <n v="-0.10356743571501169"/>
    <n v="420"/>
  </r>
  <r>
    <x v="174"/>
    <s v="S014"/>
    <s v="C01"/>
    <x v="13"/>
    <x v="2"/>
    <x v="13"/>
    <x v="0"/>
    <n v="44133"/>
    <n v="49465"/>
    <n v="141"/>
    <n v="-5332"/>
    <n v="-0.10779338926513697"/>
    <n v="313"/>
  </r>
  <r>
    <x v="174"/>
    <s v="S015"/>
    <s v="C05"/>
    <x v="14"/>
    <x v="2"/>
    <x v="14"/>
    <x v="3"/>
    <n v="31850"/>
    <n v="33817"/>
    <n v="65"/>
    <n v="-1967"/>
    <n v="-5.8166011177809979E-2"/>
    <n v="490"/>
  </r>
  <r>
    <x v="174"/>
    <s v="S016"/>
    <s v="C05"/>
    <x v="15"/>
    <x v="3"/>
    <x v="15"/>
    <x v="3"/>
    <n v="41664"/>
    <n v="42065"/>
    <n v="217"/>
    <n v="-401"/>
    <n v="-9.5328658029240464E-3"/>
    <n v="192"/>
  </r>
  <r>
    <x v="174"/>
    <s v="S017"/>
    <s v="C01"/>
    <x v="16"/>
    <x v="3"/>
    <x v="16"/>
    <x v="0"/>
    <n v="41747"/>
    <n v="46217"/>
    <n v="109"/>
    <n v="-4470"/>
    <n v="-9.6717658004630336E-2"/>
    <n v="383"/>
  </r>
  <r>
    <x v="174"/>
    <s v="S018"/>
    <s v="C01"/>
    <x v="17"/>
    <x v="4"/>
    <x v="17"/>
    <x v="0"/>
    <n v="49152"/>
    <n v="53042"/>
    <n v="128"/>
    <n v="-3890"/>
    <n v="-7.333810942272162E-2"/>
    <n v="384"/>
  </r>
  <r>
    <x v="174"/>
    <s v="S019"/>
    <s v="C05"/>
    <x v="18"/>
    <x v="5"/>
    <x v="18"/>
    <x v="3"/>
    <n v="100352"/>
    <n v="101356"/>
    <n v="196"/>
    <n v="-1004"/>
    <n v="-9.9056789928568603E-3"/>
    <n v="512"/>
  </r>
  <r>
    <x v="174"/>
    <s v="S020"/>
    <s v="C01"/>
    <x v="19"/>
    <x v="6"/>
    <x v="19"/>
    <x v="0"/>
    <n v="15494"/>
    <n v="17225"/>
    <n v="61"/>
    <n v="-1731"/>
    <n v="-0.10049346879535559"/>
    <n v="254"/>
  </r>
  <r>
    <x v="175"/>
    <s v="S001"/>
    <s v="C05"/>
    <x v="0"/>
    <x v="0"/>
    <x v="0"/>
    <x v="3"/>
    <n v="16758"/>
    <n v="16617"/>
    <n v="63"/>
    <n v="141"/>
    <n v="8.4852861527351508E-3"/>
    <n v="266"/>
  </r>
  <r>
    <x v="175"/>
    <s v="S002"/>
    <s v="C03"/>
    <x v="1"/>
    <x v="0"/>
    <x v="1"/>
    <x v="4"/>
    <n v="21584"/>
    <n v="23718"/>
    <n v="71"/>
    <n v="-2134"/>
    <n v="-8.9973859515979429E-2"/>
    <n v="304"/>
  </r>
  <r>
    <x v="175"/>
    <s v="S003"/>
    <s v="C02"/>
    <x v="2"/>
    <x v="0"/>
    <x v="2"/>
    <x v="1"/>
    <n v="23358"/>
    <n v="22949"/>
    <n v="102"/>
    <n v="409"/>
    <n v="1.7822127325809404E-2"/>
    <n v="229"/>
  </r>
  <r>
    <x v="175"/>
    <s v="S004"/>
    <s v="C01"/>
    <x v="3"/>
    <x v="0"/>
    <x v="3"/>
    <x v="0"/>
    <n v="65512"/>
    <n v="71285"/>
    <n v="152"/>
    <n v="-5773"/>
    <n v="-8.0984779406607282E-2"/>
    <n v="431"/>
  </r>
  <r>
    <x v="175"/>
    <s v="S005"/>
    <s v="C03"/>
    <x v="4"/>
    <x v="0"/>
    <x v="4"/>
    <x v="4"/>
    <n v="40382"/>
    <n v="43301"/>
    <n v="122"/>
    <n v="-2919"/>
    <n v="-6.7411838063786061E-2"/>
    <n v="331"/>
  </r>
  <r>
    <x v="175"/>
    <s v="S006"/>
    <s v="C03"/>
    <x v="5"/>
    <x v="1"/>
    <x v="5"/>
    <x v="4"/>
    <n v="46800"/>
    <n v="48768"/>
    <n v="150"/>
    <n v="-1968"/>
    <n v="-4.0354330708661415E-2"/>
    <n v="312"/>
  </r>
  <r>
    <x v="175"/>
    <s v="S007"/>
    <s v="C05"/>
    <x v="6"/>
    <x v="1"/>
    <x v="6"/>
    <x v="3"/>
    <n v="11044"/>
    <n v="10348"/>
    <n v="44"/>
    <n v="696"/>
    <n v="6.7259373792037114E-2"/>
    <n v="251"/>
  </r>
  <r>
    <x v="175"/>
    <s v="S008"/>
    <s v="C03"/>
    <x v="7"/>
    <x v="1"/>
    <x v="7"/>
    <x v="4"/>
    <n v="12013"/>
    <n v="13455"/>
    <n v="41"/>
    <n v="-1442"/>
    <n v="-0.10717205499814196"/>
    <n v="293"/>
  </r>
  <r>
    <x v="175"/>
    <s v="S009"/>
    <s v="C05"/>
    <x v="8"/>
    <x v="1"/>
    <x v="8"/>
    <x v="3"/>
    <n v="41783"/>
    <n v="40808"/>
    <n v="127"/>
    <n v="975"/>
    <n v="2.389237404430504E-2"/>
    <n v="329"/>
  </r>
  <r>
    <x v="175"/>
    <s v="S010"/>
    <s v="C02"/>
    <x v="9"/>
    <x v="1"/>
    <x v="9"/>
    <x v="1"/>
    <n v="90720"/>
    <n v="88559"/>
    <n v="180"/>
    <n v="2161"/>
    <n v="2.4401811221897267E-2"/>
    <n v="504"/>
  </r>
  <r>
    <x v="175"/>
    <s v="S011"/>
    <s v="C04"/>
    <x v="10"/>
    <x v="2"/>
    <x v="10"/>
    <x v="2"/>
    <n v="68310"/>
    <n v="64116"/>
    <n v="207"/>
    <n v="4194"/>
    <n v="6.5412689500280743E-2"/>
    <n v="330"/>
  </r>
  <r>
    <x v="175"/>
    <s v="S012"/>
    <s v="C02"/>
    <x v="11"/>
    <x v="2"/>
    <x v="11"/>
    <x v="1"/>
    <n v="35352"/>
    <n v="34400"/>
    <n v="72"/>
    <n v="952"/>
    <n v="2.7674418604651162E-2"/>
    <n v="491"/>
  </r>
  <r>
    <x v="175"/>
    <s v="S013"/>
    <s v="C04"/>
    <x v="12"/>
    <x v="2"/>
    <x v="12"/>
    <x v="2"/>
    <n v="50600"/>
    <n v="48423"/>
    <n v="100"/>
    <n v="2177"/>
    <n v="4.4957974516242283E-2"/>
    <n v="506"/>
  </r>
  <r>
    <x v="175"/>
    <s v="S014"/>
    <s v="C02"/>
    <x v="13"/>
    <x v="2"/>
    <x v="13"/>
    <x v="1"/>
    <n v="61640"/>
    <n v="57762"/>
    <n v="184"/>
    <n v="3878"/>
    <n v="6.7137564488764234E-2"/>
    <n v="335"/>
  </r>
  <r>
    <x v="175"/>
    <s v="S015"/>
    <s v="C01"/>
    <x v="14"/>
    <x v="2"/>
    <x v="14"/>
    <x v="0"/>
    <n v="36966"/>
    <n v="39933"/>
    <n v="101"/>
    <n v="-2967"/>
    <n v="-7.4299451581398848E-2"/>
    <n v="366"/>
  </r>
  <r>
    <x v="175"/>
    <s v="S016"/>
    <s v="C05"/>
    <x v="15"/>
    <x v="3"/>
    <x v="15"/>
    <x v="3"/>
    <n v="58512"/>
    <n v="61707"/>
    <n v="138"/>
    <n v="-3195"/>
    <n v="-5.1776945889445279E-2"/>
    <n v="424"/>
  </r>
  <r>
    <x v="175"/>
    <s v="S017"/>
    <s v="C02"/>
    <x v="16"/>
    <x v="3"/>
    <x v="16"/>
    <x v="1"/>
    <n v="62607"/>
    <n v="58786"/>
    <n v="123"/>
    <n v="3821"/>
    <n v="6.4998469023236818E-2"/>
    <n v="509"/>
  </r>
  <r>
    <x v="175"/>
    <s v="S018"/>
    <s v="C05"/>
    <x v="17"/>
    <x v="4"/>
    <x v="17"/>
    <x v="3"/>
    <n v="51405"/>
    <n v="51075"/>
    <n v="115"/>
    <n v="330"/>
    <n v="6.4610866372980915E-3"/>
    <n v="447"/>
  </r>
  <r>
    <x v="175"/>
    <s v="S019"/>
    <s v="C04"/>
    <x v="18"/>
    <x v="5"/>
    <x v="18"/>
    <x v="2"/>
    <n v="53200"/>
    <n v="59461"/>
    <n v="200"/>
    <n v="-6261"/>
    <n v="-0.10529590824237736"/>
    <n v="266"/>
  </r>
  <r>
    <x v="175"/>
    <s v="S020"/>
    <s v="C04"/>
    <x v="19"/>
    <x v="6"/>
    <x v="19"/>
    <x v="2"/>
    <n v="33733"/>
    <n v="37925"/>
    <n v="79"/>
    <n v="-4192"/>
    <n v="-0.11053394858272907"/>
    <n v="427"/>
  </r>
  <r>
    <x v="176"/>
    <s v="S001"/>
    <s v="C01"/>
    <x v="0"/>
    <x v="0"/>
    <x v="0"/>
    <x v="0"/>
    <n v="43878"/>
    <n v="43245"/>
    <n v="206"/>
    <n v="633"/>
    <n v="1.4637530350329518E-2"/>
    <n v="213"/>
  </r>
  <r>
    <x v="176"/>
    <s v="S002"/>
    <s v="C03"/>
    <x v="1"/>
    <x v="0"/>
    <x v="1"/>
    <x v="4"/>
    <n v="25578"/>
    <n v="23979"/>
    <n v="87"/>
    <n v="1599"/>
    <n v="6.6683347929438253E-2"/>
    <n v="294"/>
  </r>
  <r>
    <x v="176"/>
    <s v="S003"/>
    <s v="C05"/>
    <x v="2"/>
    <x v="0"/>
    <x v="2"/>
    <x v="3"/>
    <n v="33280"/>
    <n v="31590"/>
    <n v="65"/>
    <n v="1690"/>
    <n v="5.3497942386831275E-2"/>
    <n v="512"/>
  </r>
  <r>
    <x v="176"/>
    <s v="S004"/>
    <s v="C04"/>
    <x v="3"/>
    <x v="0"/>
    <x v="3"/>
    <x v="2"/>
    <n v="71592"/>
    <n v="80768"/>
    <n v="152"/>
    <n v="-9176"/>
    <n v="-0.11360935023771791"/>
    <n v="471"/>
  </r>
  <r>
    <x v="176"/>
    <s v="S005"/>
    <s v="C01"/>
    <x v="4"/>
    <x v="0"/>
    <x v="4"/>
    <x v="0"/>
    <n v="50024"/>
    <n v="54293"/>
    <n v="169"/>
    <n v="-4269"/>
    <n v="-7.8628920855358886E-2"/>
    <n v="296"/>
  </r>
  <r>
    <x v="176"/>
    <s v="S006"/>
    <s v="C03"/>
    <x v="5"/>
    <x v="1"/>
    <x v="5"/>
    <x v="4"/>
    <n v="40180"/>
    <n v="40164"/>
    <n v="205"/>
    <n v="16"/>
    <n v="3.983666965441689E-4"/>
    <n v="196"/>
  </r>
  <r>
    <x v="176"/>
    <s v="S007"/>
    <s v="C01"/>
    <x v="6"/>
    <x v="1"/>
    <x v="6"/>
    <x v="0"/>
    <n v="52241"/>
    <n v="47894"/>
    <n v="119"/>
    <n v="4347"/>
    <n v="9.076293481438176E-2"/>
    <n v="439"/>
  </r>
  <r>
    <x v="176"/>
    <s v="S008"/>
    <s v="C05"/>
    <x v="7"/>
    <x v="1"/>
    <x v="7"/>
    <x v="3"/>
    <n v="77805"/>
    <n v="86997"/>
    <n v="171"/>
    <n v="-9192"/>
    <n v="-0.10565881582123522"/>
    <n v="455"/>
  </r>
  <r>
    <x v="176"/>
    <s v="S009"/>
    <s v="C01"/>
    <x v="8"/>
    <x v="1"/>
    <x v="8"/>
    <x v="0"/>
    <n v="70030"/>
    <n v="72182"/>
    <n v="149"/>
    <n v="-2152"/>
    <n v="-2.9813526918068215E-2"/>
    <n v="470"/>
  </r>
  <r>
    <x v="176"/>
    <s v="S010"/>
    <s v="C02"/>
    <x v="9"/>
    <x v="1"/>
    <x v="9"/>
    <x v="1"/>
    <n v="27300"/>
    <n v="29277"/>
    <n v="100"/>
    <n v="-1977"/>
    <n v="-6.7527410595347878E-2"/>
    <n v="273"/>
  </r>
  <r>
    <x v="176"/>
    <s v="S011"/>
    <s v="C02"/>
    <x v="10"/>
    <x v="2"/>
    <x v="10"/>
    <x v="1"/>
    <n v="38409"/>
    <n v="36271"/>
    <n v="93"/>
    <n v="2138"/>
    <n v="5.8945162802238701E-2"/>
    <n v="413"/>
  </r>
  <r>
    <x v="176"/>
    <s v="S012"/>
    <s v="C05"/>
    <x v="11"/>
    <x v="2"/>
    <x v="11"/>
    <x v="3"/>
    <n v="47586"/>
    <n v="46128"/>
    <n v="103"/>
    <n v="1458"/>
    <n v="3.1607700312174816E-2"/>
    <n v="462"/>
  </r>
  <r>
    <x v="176"/>
    <s v="S013"/>
    <s v="C02"/>
    <x v="12"/>
    <x v="2"/>
    <x v="12"/>
    <x v="1"/>
    <n v="12597"/>
    <n v="12982"/>
    <n v="51"/>
    <n v="-385"/>
    <n v="-2.9656447388692036E-2"/>
    <n v="247"/>
  </r>
  <r>
    <x v="176"/>
    <s v="S014"/>
    <s v="C01"/>
    <x v="13"/>
    <x v="2"/>
    <x v="13"/>
    <x v="0"/>
    <n v="26048"/>
    <n v="25031"/>
    <n v="88"/>
    <n v="1017"/>
    <n v="4.0629619272102596E-2"/>
    <n v="296"/>
  </r>
  <r>
    <x v="176"/>
    <s v="S015"/>
    <s v="C05"/>
    <x v="14"/>
    <x v="2"/>
    <x v="14"/>
    <x v="3"/>
    <n v="65469"/>
    <n v="60530"/>
    <n v="157"/>
    <n v="4939"/>
    <n v="8.1595902858086905E-2"/>
    <n v="417"/>
  </r>
  <r>
    <x v="176"/>
    <s v="S016"/>
    <s v="C01"/>
    <x v="15"/>
    <x v="3"/>
    <x v="15"/>
    <x v="0"/>
    <n v="58464"/>
    <n v="53685"/>
    <n v="116"/>
    <n v="4779"/>
    <n v="8.9019279128248113E-2"/>
    <n v="504"/>
  </r>
  <r>
    <x v="176"/>
    <s v="S017"/>
    <s v="C04"/>
    <x v="16"/>
    <x v="3"/>
    <x v="16"/>
    <x v="2"/>
    <n v="25984"/>
    <n v="23927"/>
    <n v="64"/>
    <n v="2057"/>
    <n v="8.5969824884022231E-2"/>
    <n v="406"/>
  </r>
  <r>
    <x v="176"/>
    <s v="S018"/>
    <s v="C02"/>
    <x v="17"/>
    <x v="4"/>
    <x v="17"/>
    <x v="1"/>
    <n v="27420"/>
    <n v="28718"/>
    <n v="60"/>
    <n v="-1298"/>
    <n v="-4.5198133574761476E-2"/>
    <n v="457"/>
  </r>
  <r>
    <x v="176"/>
    <s v="S019"/>
    <s v="C05"/>
    <x v="18"/>
    <x v="5"/>
    <x v="18"/>
    <x v="3"/>
    <n v="52947"/>
    <n v="55188"/>
    <n v="159"/>
    <n v="-2241"/>
    <n v="-4.0606653620352248E-2"/>
    <n v="333"/>
  </r>
  <r>
    <x v="176"/>
    <s v="S020"/>
    <s v="C05"/>
    <x v="19"/>
    <x v="6"/>
    <x v="19"/>
    <x v="3"/>
    <n v="34365"/>
    <n v="37114"/>
    <n v="145"/>
    <n v="-2749"/>
    <n v="-7.4069084442528424E-2"/>
    <n v="237"/>
  </r>
  <r>
    <x v="177"/>
    <s v="S001"/>
    <s v="C04"/>
    <x v="0"/>
    <x v="0"/>
    <x v="0"/>
    <x v="2"/>
    <n v="55521"/>
    <n v="58143"/>
    <n v="199"/>
    <n v="-2622"/>
    <n v="-4.5095712295547187E-2"/>
    <n v="279"/>
  </r>
  <r>
    <x v="177"/>
    <s v="S002"/>
    <s v="C05"/>
    <x v="1"/>
    <x v="0"/>
    <x v="1"/>
    <x v="3"/>
    <n v="27180"/>
    <n v="26172"/>
    <n v="151"/>
    <n v="1008"/>
    <n v="3.8514442916093537E-2"/>
    <n v="180"/>
  </r>
  <r>
    <x v="177"/>
    <s v="S003"/>
    <s v="C04"/>
    <x v="2"/>
    <x v="0"/>
    <x v="2"/>
    <x v="2"/>
    <n v="59784"/>
    <n v="61168"/>
    <n v="188"/>
    <n v="-1384"/>
    <n v="-2.2626209782893016E-2"/>
    <n v="318"/>
  </r>
  <r>
    <x v="177"/>
    <s v="S004"/>
    <s v="C02"/>
    <x v="3"/>
    <x v="0"/>
    <x v="3"/>
    <x v="1"/>
    <n v="52241"/>
    <n v="53328"/>
    <n v="119"/>
    <n v="-1087"/>
    <n v="-2.0383288328832884E-2"/>
    <n v="439"/>
  </r>
  <r>
    <x v="177"/>
    <s v="S005"/>
    <s v="C03"/>
    <x v="4"/>
    <x v="0"/>
    <x v="4"/>
    <x v="4"/>
    <n v="66600"/>
    <n v="64338"/>
    <n v="200"/>
    <n v="2262"/>
    <n v="3.5158071435232675E-2"/>
    <n v="333"/>
  </r>
  <r>
    <x v="177"/>
    <s v="S006"/>
    <s v="C05"/>
    <x v="5"/>
    <x v="1"/>
    <x v="5"/>
    <x v="3"/>
    <n v="34692"/>
    <n v="33610"/>
    <n v="98"/>
    <n v="1082"/>
    <n v="3.2192799761975602E-2"/>
    <n v="354"/>
  </r>
  <r>
    <x v="177"/>
    <s v="S007"/>
    <s v="C05"/>
    <x v="6"/>
    <x v="1"/>
    <x v="6"/>
    <x v="3"/>
    <n v="55094"/>
    <n v="58205"/>
    <n v="163"/>
    <n v="-3111"/>
    <n v="-5.3449016407525127E-2"/>
    <n v="338"/>
  </r>
  <r>
    <x v="177"/>
    <s v="S008"/>
    <s v="C01"/>
    <x v="7"/>
    <x v="1"/>
    <x v="7"/>
    <x v="0"/>
    <n v="34749"/>
    <n v="31330"/>
    <n v="81"/>
    <n v="3419"/>
    <n v="0.10912863070539419"/>
    <n v="429"/>
  </r>
  <r>
    <x v="177"/>
    <s v="S009"/>
    <s v="C05"/>
    <x v="8"/>
    <x v="1"/>
    <x v="8"/>
    <x v="3"/>
    <n v="67115"/>
    <n v="63140"/>
    <n v="155"/>
    <n v="3975"/>
    <n v="6.2955337345581244E-2"/>
    <n v="433"/>
  </r>
  <r>
    <x v="177"/>
    <s v="S010"/>
    <s v="C01"/>
    <x v="9"/>
    <x v="1"/>
    <x v="9"/>
    <x v="0"/>
    <n v="48575"/>
    <n v="44865"/>
    <n v="145"/>
    <n v="3710"/>
    <n v="8.2692522010475875E-2"/>
    <n v="335"/>
  </r>
  <r>
    <x v="177"/>
    <s v="S011"/>
    <s v="C04"/>
    <x v="10"/>
    <x v="2"/>
    <x v="10"/>
    <x v="2"/>
    <n v="61732"/>
    <n v="66160"/>
    <n v="122"/>
    <n v="-4428"/>
    <n v="-6.6928657799274482E-2"/>
    <n v="506"/>
  </r>
  <r>
    <x v="177"/>
    <s v="S012"/>
    <s v="C02"/>
    <x v="11"/>
    <x v="2"/>
    <x v="11"/>
    <x v="1"/>
    <n v="19740"/>
    <n v="21530"/>
    <n v="84"/>
    <n v="-1790"/>
    <n v="-8.3139804923362745E-2"/>
    <n v="235"/>
  </r>
  <r>
    <x v="177"/>
    <s v="S013"/>
    <s v="C02"/>
    <x v="12"/>
    <x v="2"/>
    <x v="12"/>
    <x v="1"/>
    <n v="49268"/>
    <n v="48102"/>
    <n v="113"/>
    <n v="1166"/>
    <n v="2.4240156334455948E-2"/>
    <n v="436"/>
  </r>
  <r>
    <x v="177"/>
    <s v="S014"/>
    <s v="C05"/>
    <x v="13"/>
    <x v="2"/>
    <x v="13"/>
    <x v="3"/>
    <n v="35960"/>
    <n v="38519"/>
    <n v="155"/>
    <n v="-2559"/>
    <n v="-6.6434746488745811E-2"/>
    <n v="232"/>
  </r>
  <r>
    <x v="177"/>
    <s v="S015"/>
    <s v="C05"/>
    <x v="14"/>
    <x v="2"/>
    <x v="14"/>
    <x v="3"/>
    <n v="41536"/>
    <n v="44359"/>
    <n v="88"/>
    <n v="-2823"/>
    <n v="-6.3639847607024499E-2"/>
    <n v="472"/>
  </r>
  <r>
    <x v="177"/>
    <s v="S016"/>
    <s v="C03"/>
    <x v="15"/>
    <x v="3"/>
    <x v="15"/>
    <x v="4"/>
    <n v="20850"/>
    <n v="22759"/>
    <n v="75"/>
    <n v="-1909"/>
    <n v="-8.3878905048552221E-2"/>
    <n v="278"/>
  </r>
  <r>
    <x v="177"/>
    <s v="S017"/>
    <s v="C02"/>
    <x v="16"/>
    <x v="3"/>
    <x v="16"/>
    <x v="1"/>
    <n v="36900"/>
    <n v="39322"/>
    <n v="75"/>
    <n v="-2422"/>
    <n v="-6.1594018615533291E-2"/>
    <n v="492"/>
  </r>
  <r>
    <x v="177"/>
    <s v="S018"/>
    <s v="C03"/>
    <x v="17"/>
    <x v="4"/>
    <x v="17"/>
    <x v="4"/>
    <n v="70474"/>
    <n v="74940"/>
    <n v="167"/>
    <n v="-4466"/>
    <n v="-5.9594342140378967E-2"/>
    <n v="422"/>
  </r>
  <r>
    <x v="177"/>
    <s v="S019"/>
    <s v="C04"/>
    <x v="18"/>
    <x v="5"/>
    <x v="18"/>
    <x v="2"/>
    <n v="69740"/>
    <n v="66753"/>
    <n v="220"/>
    <n v="2987"/>
    <n v="4.4747052566925828E-2"/>
    <n v="317"/>
  </r>
  <r>
    <x v="177"/>
    <s v="S020"/>
    <s v="C03"/>
    <x v="19"/>
    <x v="6"/>
    <x v="19"/>
    <x v="4"/>
    <n v="51925"/>
    <n v="51545"/>
    <n v="155"/>
    <n v="380"/>
    <n v="7.372199049374333E-3"/>
    <n v="335"/>
  </r>
  <r>
    <x v="178"/>
    <s v="S001"/>
    <s v="C03"/>
    <x v="0"/>
    <x v="0"/>
    <x v="0"/>
    <x v="4"/>
    <n v="43320"/>
    <n v="47968"/>
    <n v="120"/>
    <n v="-4648"/>
    <n v="-9.6897931954636418E-2"/>
    <n v="361"/>
  </r>
  <r>
    <x v="178"/>
    <s v="S002"/>
    <s v="C03"/>
    <x v="1"/>
    <x v="0"/>
    <x v="1"/>
    <x v="4"/>
    <n v="50550"/>
    <n v="50869"/>
    <n v="150"/>
    <n v="-319"/>
    <n v="-6.27100984882738E-3"/>
    <n v="337"/>
  </r>
  <r>
    <x v="178"/>
    <s v="S003"/>
    <s v="C04"/>
    <x v="2"/>
    <x v="0"/>
    <x v="2"/>
    <x v="2"/>
    <n v="25662"/>
    <n v="27985"/>
    <n v="141"/>
    <n v="-2323"/>
    <n v="-8.300875469001251E-2"/>
    <n v="182"/>
  </r>
  <r>
    <x v="178"/>
    <s v="S004"/>
    <s v="C04"/>
    <x v="3"/>
    <x v="0"/>
    <x v="3"/>
    <x v="2"/>
    <n v="19061"/>
    <n v="18839"/>
    <n v="49"/>
    <n v="222"/>
    <n v="1.1784064971601465E-2"/>
    <n v="389"/>
  </r>
  <r>
    <x v="178"/>
    <s v="S005"/>
    <s v="C02"/>
    <x v="4"/>
    <x v="0"/>
    <x v="4"/>
    <x v="1"/>
    <n v="48320"/>
    <n v="43723"/>
    <n v="151"/>
    <n v="4597"/>
    <n v="0.10513917160304645"/>
    <n v="320"/>
  </r>
  <r>
    <x v="178"/>
    <s v="S006"/>
    <s v="C02"/>
    <x v="5"/>
    <x v="1"/>
    <x v="5"/>
    <x v="1"/>
    <n v="45584"/>
    <n v="49192"/>
    <n v="88"/>
    <n v="-3608"/>
    <n v="-7.3345259391771014E-2"/>
    <n v="518"/>
  </r>
  <r>
    <x v="178"/>
    <s v="S007"/>
    <s v="C03"/>
    <x v="6"/>
    <x v="1"/>
    <x v="6"/>
    <x v="4"/>
    <n v="24960"/>
    <n v="24472"/>
    <n v="130"/>
    <n v="488"/>
    <n v="1.9941157240928407E-2"/>
    <n v="192"/>
  </r>
  <r>
    <x v="178"/>
    <s v="S008"/>
    <s v="C04"/>
    <x v="7"/>
    <x v="1"/>
    <x v="7"/>
    <x v="2"/>
    <n v="54870"/>
    <n v="57064"/>
    <n v="118"/>
    <n v="-2194"/>
    <n v="-3.8448058320482266E-2"/>
    <n v="465"/>
  </r>
  <r>
    <x v="178"/>
    <s v="S009"/>
    <s v="C02"/>
    <x v="8"/>
    <x v="1"/>
    <x v="8"/>
    <x v="1"/>
    <n v="44640"/>
    <n v="45788"/>
    <n v="90"/>
    <n v="-1148"/>
    <n v="-2.5072071285052851E-2"/>
    <n v="496"/>
  </r>
  <r>
    <x v="178"/>
    <s v="S010"/>
    <s v="C03"/>
    <x v="9"/>
    <x v="1"/>
    <x v="9"/>
    <x v="4"/>
    <n v="13516"/>
    <n v="12985"/>
    <n v="62"/>
    <n v="531"/>
    <n v="4.0893338467462459E-2"/>
    <n v="218"/>
  </r>
  <r>
    <x v="178"/>
    <s v="S011"/>
    <s v="C03"/>
    <x v="10"/>
    <x v="2"/>
    <x v="10"/>
    <x v="4"/>
    <n v="93500"/>
    <n v="106157"/>
    <n v="220"/>
    <n v="-12657"/>
    <n v="-0.11922906638281036"/>
    <n v="425"/>
  </r>
  <r>
    <x v="178"/>
    <s v="S012"/>
    <s v="C05"/>
    <x v="11"/>
    <x v="2"/>
    <x v="11"/>
    <x v="3"/>
    <n v="31465"/>
    <n v="34463"/>
    <n v="155"/>
    <n v="-2998"/>
    <n v="-8.6991846327945918E-2"/>
    <n v="203"/>
  </r>
  <r>
    <x v="178"/>
    <s v="S013"/>
    <s v="C04"/>
    <x v="12"/>
    <x v="2"/>
    <x v="12"/>
    <x v="2"/>
    <n v="90519"/>
    <n v="87121"/>
    <n v="211"/>
    <n v="3398"/>
    <n v="3.9003225399157494E-2"/>
    <n v="429"/>
  </r>
  <r>
    <x v="178"/>
    <s v="S014"/>
    <s v="C05"/>
    <x v="13"/>
    <x v="2"/>
    <x v="13"/>
    <x v="3"/>
    <n v="68820"/>
    <n v="62958"/>
    <n v="185"/>
    <n v="5862"/>
    <n v="9.3109692175736211E-2"/>
    <n v="372"/>
  </r>
  <r>
    <x v="178"/>
    <s v="S015"/>
    <s v="C01"/>
    <x v="14"/>
    <x v="2"/>
    <x v="14"/>
    <x v="0"/>
    <n v="70290"/>
    <n v="68111"/>
    <n v="198"/>
    <n v="2179"/>
    <n v="3.199189558221139E-2"/>
    <n v="355"/>
  </r>
  <r>
    <x v="178"/>
    <s v="S016"/>
    <s v="C03"/>
    <x v="15"/>
    <x v="3"/>
    <x v="15"/>
    <x v="4"/>
    <n v="47775"/>
    <n v="44323"/>
    <n v="147"/>
    <n v="3452"/>
    <n v="7.7882814791417551E-2"/>
    <n v="325"/>
  </r>
  <r>
    <x v="178"/>
    <s v="S017"/>
    <s v="C02"/>
    <x v="16"/>
    <x v="3"/>
    <x v="16"/>
    <x v="1"/>
    <n v="18338"/>
    <n v="20984"/>
    <n v="53"/>
    <n v="-2646"/>
    <n v="-0.12609607319862753"/>
    <n v="346"/>
  </r>
  <r>
    <x v="178"/>
    <s v="S018"/>
    <s v="C04"/>
    <x v="17"/>
    <x v="4"/>
    <x v="17"/>
    <x v="2"/>
    <n v="18761"/>
    <n v="19651"/>
    <n v="73"/>
    <n v="-890"/>
    <n v="-4.5290316014452194E-2"/>
    <n v="257"/>
  </r>
  <r>
    <x v="178"/>
    <s v="S019"/>
    <s v="C05"/>
    <x v="18"/>
    <x v="5"/>
    <x v="18"/>
    <x v="3"/>
    <n v="40162"/>
    <n v="37029"/>
    <n v="86"/>
    <n v="3133"/>
    <n v="8.4609360231170161E-2"/>
    <n v="467"/>
  </r>
  <r>
    <x v="178"/>
    <s v="S020"/>
    <s v="C02"/>
    <x v="19"/>
    <x v="6"/>
    <x v="19"/>
    <x v="1"/>
    <n v="55814"/>
    <n v="57859"/>
    <n v="118"/>
    <n v="-2045"/>
    <n v="-3.5344544496102595E-2"/>
    <n v="473"/>
  </r>
  <r>
    <x v="179"/>
    <s v="S001"/>
    <s v="C03"/>
    <x v="0"/>
    <x v="0"/>
    <x v="0"/>
    <x v="4"/>
    <n v="79827"/>
    <n v="88155"/>
    <n v="177"/>
    <n v="-8328"/>
    <n v="-9.4469967670580232E-2"/>
    <n v="451"/>
  </r>
  <r>
    <x v="179"/>
    <s v="S002"/>
    <s v="C01"/>
    <x v="1"/>
    <x v="0"/>
    <x v="1"/>
    <x v="0"/>
    <n v="14980"/>
    <n v="16742"/>
    <n v="70"/>
    <n v="-1762"/>
    <n v="-0.10524429578306056"/>
    <n v="214"/>
  </r>
  <r>
    <x v="179"/>
    <s v="S003"/>
    <s v="C03"/>
    <x v="2"/>
    <x v="0"/>
    <x v="2"/>
    <x v="4"/>
    <n v="51816"/>
    <n v="56314"/>
    <n v="127"/>
    <n v="-4498"/>
    <n v="-7.9873566075931379E-2"/>
    <n v="408"/>
  </r>
  <r>
    <x v="179"/>
    <s v="S004"/>
    <s v="C02"/>
    <x v="3"/>
    <x v="0"/>
    <x v="3"/>
    <x v="1"/>
    <n v="28208"/>
    <n v="28689"/>
    <n v="82"/>
    <n v="-481"/>
    <n v="-1.6766007877583741E-2"/>
    <n v="344"/>
  </r>
  <r>
    <x v="179"/>
    <s v="S005"/>
    <s v="C04"/>
    <x v="4"/>
    <x v="0"/>
    <x v="4"/>
    <x v="2"/>
    <n v="44450"/>
    <n v="42216"/>
    <n v="127"/>
    <n v="2234"/>
    <n v="5.291832480576085E-2"/>
    <n v="350"/>
  </r>
  <r>
    <x v="179"/>
    <s v="S006"/>
    <s v="C03"/>
    <x v="5"/>
    <x v="1"/>
    <x v="5"/>
    <x v="4"/>
    <n v="48900"/>
    <n v="53150"/>
    <n v="100"/>
    <n v="-4250"/>
    <n v="-7.9962370649106301E-2"/>
    <n v="489"/>
  </r>
  <r>
    <x v="179"/>
    <s v="S007"/>
    <s v="C01"/>
    <x v="6"/>
    <x v="1"/>
    <x v="6"/>
    <x v="0"/>
    <n v="16870"/>
    <n v="17891"/>
    <n v="70"/>
    <n v="-1021"/>
    <n v="-5.7067799452238555E-2"/>
    <n v="241"/>
  </r>
  <r>
    <x v="179"/>
    <s v="S008"/>
    <s v="C04"/>
    <x v="7"/>
    <x v="1"/>
    <x v="7"/>
    <x v="2"/>
    <n v="58344"/>
    <n v="64150"/>
    <n v="136"/>
    <n v="-5806"/>
    <n v="-9.0506625097427906E-2"/>
    <n v="429"/>
  </r>
  <r>
    <x v="179"/>
    <s v="S009"/>
    <s v="C05"/>
    <x v="8"/>
    <x v="1"/>
    <x v="8"/>
    <x v="3"/>
    <n v="22100"/>
    <n v="21953"/>
    <n v="50"/>
    <n v="147"/>
    <n v="6.6961235366464721E-3"/>
    <n v="442"/>
  </r>
  <r>
    <x v="179"/>
    <s v="S010"/>
    <s v="C05"/>
    <x v="9"/>
    <x v="1"/>
    <x v="9"/>
    <x v="3"/>
    <n v="28616"/>
    <n v="32620"/>
    <n v="146"/>
    <n v="-4004"/>
    <n v="-0.12274678111587983"/>
    <n v="196"/>
  </r>
  <r>
    <x v="179"/>
    <s v="S011"/>
    <s v="C03"/>
    <x v="10"/>
    <x v="2"/>
    <x v="10"/>
    <x v="4"/>
    <n v="74132"/>
    <n v="71957"/>
    <n v="172"/>
    <n v="2175"/>
    <n v="3.0226385202273581E-2"/>
    <n v="431"/>
  </r>
  <r>
    <x v="179"/>
    <s v="S012"/>
    <s v="C03"/>
    <x v="11"/>
    <x v="2"/>
    <x v="11"/>
    <x v="4"/>
    <n v="42158"/>
    <n v="45682"/>
    <n v="197"/>
    <n v="-3524"/>
    <n v="-7.7141981524451647E-2"/>
    <n v="214"/>
  </r>
  <r>
    <x v="179"/>
    <s v="S013"/>
    <s v="C05"/>
    <x v="12"/>
    <x v="2"/>
    <x v="12"/>
    <x v="3"/>
    <n v="26970"/>
    <n v="29536"/>
    <n v="58"/>
    <n v="-2566"/>
    <n v="-8.6877031419284934E-2"/>
    <n v="465"/>
  </r>
  <r>
    <x v="179"/>
    <s v="S014"/>
    <s v="C05"/>
    <x v="13"/>
    <x v="2"/>
    <x v="13"/>
    <x v="3"/>
    <n v="33150"/>
    <n v="36848"/>
    <n v="75"/>
    <n v="-3698"/>
    <n v="-0.10035822839774207"/>
    <n v="442"/>
  </r>
  <r>
    <x v="179"/>
    <s v="S015"/>
    <s v="C01"/>
    <x v="14"/>
    <x v="2"/>
    <x v="14"/>
    <x v="0"/>
    <n v="75839"/>
    <n v="79821"/>
    <n v="181"/>
    <n v="-3982"/>
    <n v="-4.9886621315192746E-2"/>
    <n v="419"/>
  </r>
  <r>
    <x v="179"/>
    <s v="S016"/>
    <s v="C02"/>
    <x v="15"/>
    <x v="3"/>
    <x v="15"/>
    <x v="1"/>
    <n v="21200"/>
    <n v="23414"/>
    <n v="53"/>
    <n v="-2214"/>
    <n v="-9.4558810967797044E-2"/>
    <n v="400"/>
  </r>
  <r>
    <x v="179"/>
    <s v="S017"/>
    <s v="C04"/>
    <x v="16"/>
    <x v="3"/>
    <x v="16"/>
    <x v="2"/>
    <n v="38550"/>
    <n v="40963"/>
    <n v="150"/>
    <n v="-2413"/>
    <n v="-5.8906818348265506E-2"/>
    <n v="257"/>
  </r>
  <r>
    <x v="179"/>
    <s v="S018"/>
    <s v="C01"/>
    <x v="17"/>
    <x v="4"/>
    <x v="17"/>
    <x v="0"/>
    <n v="41391"/>
    <n v="43204"/>
    <n v="81"/>
    <n v="-1813"/>
    <n v="-4.1963707064160728E-2"/>
    <n v="511"/>
  </r>
  <r>
    <x v="179"/>
    <s v="S019"/>
    <s v="C04"/>
    <x v="18"/>
    <x v="5"/>
    <x v="18"/>
    <x v="2"/>
    <n v="68170"/>
    <n v="76510"/>
    <n v="170"/>
    <n v="-8340"/>
    <n v="-0.10900535877663051"/>
    <n v="401"/>
  </r>
  <r>
    <x v="179"/>
    <s v="S020"/>
    <s v="C04"/>
    <x v="19"/>
    <x v="6"/>
    <x v="19"/>
    <x v="2"/>
    <n v="60060"/>
    <n v="54149"/>
    <n v="182"/>
    <n v="5911"/>
    <n v="0.10916175737317402"/>
    <n v="3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91D6D5-4280-48AC-A084-5DF3980E261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A3:B10" firstHeaderRow="1" firstDataRow="1" firstDataCol="1"/>
  <pivotFields count="14">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pivotField showAll="0"/>
    <pivotField showAll="0"/>
    <pivotField showAll="0">
      <items count="8">
        <item x="3"/>
        <item x="4"/>
        <item x="1"/>
        <item x="0"/>
        <item x="5"/>
        <item x="6"/>
        <item x="2"/>
        <item t="default"/>
      </items>
    </pivotField>
    <pivotField showAll="0">
      <items count="21">
        <item x="14"/>
        <item x="10"/>
        <item x="13"/>
        <item x="16"/>
        <item x="4"/>
        <item x="15"/>
        <item x="6"/>
        <item x="12"/>
        <item x="5"/>
        <item x="18"/>
        <item x="2"/>
        <item x="9"/>
        <item x="8"/>
        <item x="11"/>
        <item x="1"/>
        <item x="19"/>
        <item x="3"/>
        <item x="17"/>
        <item x="0"/>
        <item x="7"/>
        <item t="default"/>
      </items>
    </pivotField>
    <pivotField showAll="0">
      <items count="6">
        <item x="3"/>
        <item x="2"/>
        <item x="4"/>
        <item x="1"/>
        <item x="0"/>
        <item t="default"/>
      </items>
    </pivotField>
    <pivotField dataField="1" showAll="0"/>
    <pivotField showAll="0"/>
    <pivotField showAll="0"/>
    <pivotField showAll="0"/>
    <pivotField numFmtId="9" showAll="0"/>
    <pivotField numFmtId="165" showAll="0"/>
    <pivotField axis="axisRow" showAll="0">
      <items count="15">
        <item x="0"/>
        <item x="1"/>
        <item x="2"/>
        <item x="3"/>
        <item x="4"/>
        <item x="5"/>
        <item x="6"/>
        <item x="7"/>
        <item x="8"/>
        <item x="9"/>
        <item x="10"/>
        <item x="11"/>
        <item x="12"/>
        <item x="13"/>
        <item t="default"/>
      </items>
    </pivotField>
  </pivotFields>
  <rowFields count="1">
    <field x="13"/>
  </rowFields>
  <rowItems count="7">
    <i>
      <x v="1"/>
    </i>
    <i>
      <x v="2"/>
    </i>
    <i>
      <x v="3"/>
    </i>
    <i>
      <x v="4"/>
    </i>
    <i>
      <x v="5"/>
    </i>
    <i>
      <x v="6"/>
    </i>
    <i t="grand">
      <x/>
    </i>
  </rowItems>
  <colItems count="1">
    <i/>
  </colItems>
  <dataFields count="1">
    <dataField name="Sum of Sales" fld="7"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AC221A-D371-46A7-9EFC-7A2E7D9116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A3:C9" firstHeaderRow="0" firstDataRow="1" firstDataCol="1"/>
  <pivotFields count="14">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pivotField showAll="0"/>
    <pivotField showAll="0"/>
    <pivotField showAll="0">
      <items count="8">
        <item x="3"/>
        <item x="4"/>
        <item x="1"/>
        <item x="0"/>
        <item x="5"/>
        <item x="6"/>
        <item x="2"/>
        <item t="default"/>
      </items>
    </pivotField>
    <pivotField showAll="0">
      <items count="21">
        <item x="14"/>
        <item x="10"/>
        <item x="13"/>
        <item x="16"/>
        <item x="4"/>
        <item x="15"/>
        <item x="6"/>
        <item x="12"/>
        <item x="5"/>
        <item x="18"/>
        <item x="2"/>
        <item x="9"/>
        <item x="8"/>
        <item x="11"/>
        <item x="1"/>
        <item x="19"/>
        <item x="3"/>
        <item x="17"/>
        <item x="0"/>
        <item x="7"/>
        <item t="default"/>
      </items>
    </pivotField>
    <pivotField axis="axisRow" showAll="0" sortType="descending">
      <items count="6">
        <item x="3"/>
        <item x="2"/>
        <item x="4"/>
        <item x="1"/>
        <item x="0"/>
        <item t="default"/>
      </items>
      <autoSortScope>
        <pivotArea dataOnly="0" outline="0" fieldPosition="0">
          <references count="1">
            <reference field="4294967294" count="1" selected="0">
              <x v="0"/>
            </reference>
          </references>
        </pivotArea>
      </autoSortScope>
    </pivotField>
    <pivotField dataField="1" showAll="0"/>
    <pivotField dataField="1" showAll="0"/>
    <pivotField showAll="0"/>
    <pivotField showAll="0"/>
    <pivotField numFmtId="9" showAll="0"/>
    <pivotField numFmtId="165" showAll="0"/>
    <pivotField showAll="0">
      <items count="15">
        <item x="0"/>
        <item x="1"/>
        <item x="2"/>
        <item x="3"/>
        <item x="4"/>
        <item x="5"/>
        <item x="6"/>
        <item x="7"/>
        <item x="8"/>
        <item x="9"/>
        <item x="10"/>
        <item x="11"/>
        <item x="12"/>
        <item x="13"/>
        <item t="default"/>
      </items>
    </pivotField>
  </pivotFields>
  <rowFields count="1">
    <field x="6"/>
  </rowFields>
  <rowItems count="6">
    <i>
      <x v="1"/>
    </i>
    <i>
      <x v="3"/>
    </i>
    <i>
      <x/>
    </i>
    <i>
      <x v="2"/>
    </i>
    <i>
      <x v="4"/>
    </i>
    <i t="grand">
      <x/>
    </i>
  </rowItems>
  <colFields count="1">
    <field x="-2"/>
  </colFields>
  <colItems count="2">
    <i>
      <x/>
    </i>
    <i i="1">
      <x v="1"/>
    </i>
  </colItems>
  <dataFields count="2">
    <dataField name="Sum of Sales" fld="7" baseField="0" baseItem="0" numFmtId="165"/>
    <dataField name="Sum of Budget" fld="8" baseField="0" baseItem="0"/>
  </dataFields>
  <formats count="1">
    <format dxfId="139">
      <pivotArea outline="0" collapsedLevelsAreSubtotals="1" fieldPosition="0">
        <references count="1">
          <reference field="4294967294" count="1" selected="0">
            <x v="0"/>
          </reference>
        </references>
      </pivotArea>
    </format>
  </formats>
  <chartFormats count="4">
    <chartFormat chart="1"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86320F-37B2-4FA2-AA69-6341552B6D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Stores">
  <location ref="A3:D14" firstHeaderRow="0" firstDataRow="1" firstDataCol="1"/>
  <pivotFields count="14">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pivotField showAll="0"/>
    <pivotField axis="axisRow" showAll="0" measureFilter="1" sortType="descending">
      <items count="21">
        <item x="2"/>
        <item x="17"/>
        <item x="11"/>
        <item x="10"/>
        <item x="8"/>
        <item x="0"/>
        <item x="16"/>
        <item x="9"/>
        <item x="1"/>
        <item x="13"/>
        <item x="15"/>
        <item x="19"/>
        <item x="14"/>
        <item x="3"/>
        <item x="18"/>
        <item x="7"/>
        <item x="4"/>
        <item x="6"/>
        <item x="5"/>
        <item x="12"/>
        <item t="default"/>
      </items>
      <autoSortScope>
        <pivotArea dataOnly="0" outline="0" fieldPosition="0">
          <references count="1">
            <reference field="4294967294" count="1" selected="0">
              <x v="0"/>
            </reference>
          </references>
        </pivotArea>
      </autoSortScope>
    </pivotField>
    <pivotField showAll="0">
      <items count="8">
        <item x="3"/>
        <item x="4"/>
        <item x="1"/>
        <item x="0"/>
        <item x="5"/>
        <item x="6"/>
        <item x="2"/>
        <item t="default"/>
      </items>
    </pivotField>
    <pivotField showAll="0">
      <items count="21">
        <item x="14"/>
        <item x="10"/>
        <item x="13"/>
        <item x="16"/>
        <item x="4"/>
        <item x="15"/>
        <item x="6"/>
        <item x="12"/>
        <item x="5"/>
        <item x="18"/>
        <item x="2"/>
        <item x="9"/>
        <item x="8"/>
        <item x="11"/>
        <item x="1"/>
        <item x="19"/>
        <item x="3"/>
        <item x="17"/>
        <item x="0"/>
        <item x="7"/>
        <item t="default"/>
      </items>
    </pivotField>
    <pivotField showAll="0">
      <items count="6">
        <item x="3"/>
        <item x="2"/>
        <item x="4"/>
        <item x="1"/>
        <item x="0"/>
        <item t="default"/>
      </items>
    </pivotField>
    <pivotField dataField="1" showAll="0"/>
    <pivotField dataField="1" showAll="0"/>
    <pivotField showAll="0"/>
    <pivotField dataField="1" showAll="0"/>
    <pivotField numFmtId="9" showAll="0"/>
    <pivotField numFmtId="165" showAll="0"/>
    <pivotField showAll="0">
      <items count="15">
        <item x="0"/>
        <item x="1"/>
        <item x="2"/>
        <item x="3"/>
        <item x="4"/>
        <item x="5"/>
        <item x="6"/>
        <item x="7"/>
        <item x="8"/>
        <item x="9"/>
        <item x="10"/>
        <item x="11"/>
        <item x="12"/>
        <item x="13"/>
        <item t="default"/>
      </items>
    </pivotField>
  </pivotFields>
  <rowFields count="1">
    <field x="3"/>
  </rowFields>
  <rowItems count="11">
    <i>
      <x v="13"/>
    </i>
    <i>
      <x v="10"/>
    </i>
    <i>
      <x v="12"/>
    </i>
    <i>
      <x v="3"/>
    </i>
    <i>
      <x v="6"/>
    </i>
    <i>
      <x v="18"/>
    </i>
    <i>
      <x v="19"/>
    </i>
    <i>
      <x/>
    </i>
    <i>
      <x v="11"/>
    </i>
    <i>
      <x v="9"/>
    </i>
    <i t="grand">
      <x/>
    </i>
  </rowItems>
  <colFields count="1">
    <field x="-2"/>
  </colFields>
  <colItems count="3">
    <i>
      <x/>
    </i>
    <i i="1">
      <x v="1"/>
    </i>
    <i i="2">
      <x v="2"/>
    </i>
  </colItems>
  <dataFields count="3">
    <dataField name="Sum of Sales" fld="7" baseField="0" baseItem="0"/>
    <dataField name="Sum of Budget" fld="8" baseField="0" baseItem="0"/>
    <dataField name="Sum of Variance" fld="10" baseField="0" baseItem="0"/>
  </dataFields>
  <chartFormats count="7">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2"/>
          </reference>
        </references>
      </pivotArea>
    </chartFormat>
    <chartFormat chart="16" format="3">
      <pivotArea type="data" outline="0" fieldPosition="0">
        <references count="2">
          <reference field="4294967294" count="1" selected="0">
            <x v="2"/>
          </reference>
          <reference field="3" count="1" selected="0">
            <x v="19"/>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439A12-C16D-4DB4-8585-57573210EB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rea Manager">
  <location ref="A3:D24" firstHeaderRow="0" firstDataRow="1" firstDataCol="1"/>
  <pivotFields count="14">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pivotField showAll="0"/>
    <pivotField showAll="0"/>
    <pivotField showAll="0">
      <items count="8">
        <item x="3"/>
        <item x="4"/>
        <item x="1"/>
        <item x="0"/>
        <item x="5"/>
        <item x="6"/>
        <item x="2"/>
        <item t="default"/>
      </items>
    </pivotField>
    <pivotField axis="axisRow" showAll="0" sortType="descending">
      <items count="21">
        <item x="14"/>
        <item x="10"/>
        <item x="13"/>
        <item x="16"/>
        <item x="4"/>
        <item x="15"/>
        <item x="6"/>
        <item x="12"/>
        <item x="5"/>
        <item x="18"/>
        <item x="2"/>
        <item x="9"/>
        <item x="8"/>
        <item x="11"/>
        <item x="1"/>
        <item x="19"/>
        <item x="3"/>
        <item x="17"/>
        <item x="0"/>
        <item x="7"/>
        <item t="default"/>
      </items>
      <autoSortScope>
        <pivotArea dataOnly="0" outline="0" fieldPosition="0">
          <references count="1">
            <reference field="4294967294" count="1" selected="0">
              <x v="0"/>
            </reference>
          </references>
        </pivotArea>
      </autoSortScope>
    </pivotField>
    <pivotField showAll="0">
      <items count="6">
        <item x="3"/>
        <item x="2"/>
        <item x="4"/>
        <item x="1"/>
        <item x="0"/>
        <item t="default"/>
      </items>
    </pivotField>
    <pivotField dataField="1" showAll="0"/>
    <pivotField dataField="1" showAll="0"/>
    <pivotField showAll="0"/>
    <pivotField dataField="1" showAll="0"/>
    <pivotField numFmtId="9" showAll="0"/>
    <pivotField numFmtId="165" showAll="0"/>
    <pivotField showAll="0">
      <items count="15">
        <item x="0"/>
        <item x="1"/>
        <item x="2"/>
        <item x="3"/>
        <item x="4"/>
        <item x="5"/>
        <item x="6"/>
        <item x="7"/>
        <item x="8"/>
        <item x="9"/>
        <item x="10"/>
        <item x="11"/>
        <item x="12"/>
        <item x="13"/>
        <item t="default"/>
      </items>
    </pivotField>
  </pivotFields>
  <rowFields count="1">
    <field x="5"/>
  </rowFields>
  <rowItems count="21">
    <i>
      <x v="16"/>
    </i>
    <i>
      <x v="5"/>
    </i>
    <i>
      <x/>
    </i>
    <i>
      <x v="1"/>
    </i>
    <i>
      <x v="3"/>
    </i>
    <i>
      <x v="8"/>
    </i>
    <i>
      <x v="7"/>
    </i>
    <i>
      <x v="10"/>
    </i>
    <i>
      <x v="15"/>
    </i>
    <i>
      <x v="2"/>
    </i>
    <i>
      <x v="12"/>
    </i>
    <i>
      <x v="19"/>
    </i>
    <i>
      <x v="4"/>
    </i>
    <i>
      <x v="13"/>
    </i>
    <i>
      <x v="6"/>
    </i>
    <i>
      <x v="17"/>
    </i>
    <i>
      <x v="18"/>
    </i>
    <i>
      <x v="14"/>
    </i>
    <i>
      <x v="9"/>
    </i>
    <i>
      <x v="11"/>
    </i>
    <i t="grand">
      <x/>
    </i>
  </rowItems>
  <colFields count="1">
    <field x="-2"/>
  </colFields>
  <colItems count="3">
    <i>
      <x/>
    </i>
    <i i="1">
      <x v="1"/>
    </i>
    <i i="2">
      <x v="2"/>
    </i>
  </colItems>
  <dataFields count="3">
    <dataField name="Sum of Sales" fld="7" baseField="0" baseItem="0" numFmtId="165"/>
    <dataField name="Sum of Budget" fld="8" baseField="0" baseItem="0" numFmtId="165"/>
    <dataField name="Sum of Variance" fld="10" baseField="0" baseItem="0"/>
  </dataFields>
  <formats count="1">
    <format dxfId="138">
      <pivotArea outline="0" collapsedLevelsAreSubtotals="1" fieldPosition="0">
        <references count="1">
          <reference field="4294967294" count="2" selected="0">
            <x v="0"/>
            <x v="1"/>
          </reference>
        </references>
      </pivotArea>
    </format>
  </format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12B1F9-69DA-44B7-8D14-B853778693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Region">
  <location ref="A3:D11" firstHeaderRow="0" firstDataRow="1" firstDataCol="1"/>
  <pivotFields count="14">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pivotField showAll="0"/>
    <pivotField showAll="0"/>
    <pivotField axis="axisRow" showAll="0" sortType="descending">
      <items count="8">
        <item x="3"/>
        <item x="4"/>
        <item x="1"/>
        <item x="0"/>
        <item x="5"/>
        <item x="6"/>
        <item x="2"/>
        <item t="default"/>
      </items>
      <autoSortScope>
        <pivotArea dataOnly="0" outline="0" fieldPosition="0">
          <references count="1">
            <reference field="4294967294" count="1" selected="0">
              <x v="0"/>
            </reference>
          </references>
        </pivotArea>
      </autoSortScope>
    </pivotField>
    <pivotField showAll="0">
      <items count="21">
        <item x="14"/>
        <item x="10"/>
        <item x="13"/>
        <item x="16"/>
        <item x="4"/>
        <item x="15"/>
        <item x="6"/>
        <item x="12"/>
        <item x="5"/>
        <item x="18"/>
        <item x="2"/>
        <item x="9"/>
        <item x="8"/>
        <item x="11"/>
        <item x="1"/>
        <item x="19"/>
        <item x="3"/>
        <item x="17"/>
        <item x="0"/>
        <item x="7"/>
        <item t="default"/>
      </items>
    </pivotField>
    <pivotField showAll="0">
      <items count="6">
        <item x="3"/>
        <item x="2"/>
        <item x="4"/>
        <item x="1"/>
        <item x="0"/>
        <item t="default"/>
      </items>
    </pivotField>
    <pivotField dataField="1" showAll="0"/>
    <pivotField dataField="1" showAll="0"/>
    <pivotField showAll="0"/>
    <pivotField dataField="1" showAll="0"/>
    <pivotField numFmtId="9" showAll="0"/>
    <pivotField numFmtId="165" showAll="0"/>
    <pivotField showAll="0">
      <items count="15">
        <item x="0"/>
        <item x="1"/>
        <item x="2"/>
        <item x="3"/>
        <item x="4"/>
        <item x="5"/>
        <item x="6"/>
        <item x="7"/>
        <item x="8"/>
        <item x="9"/>
        <item x="10"/>
        <item x="11"/>
        <item x="12"/>
        <item x="13"/>
        <item t="default"/>
      </items>
    </pivotField>
  </pivotFields>
  <rowFields count="1">
    <field x="4"/>
  </rowFields>
  <rowItems count="8">
    <i>
      <x v="6"/>
    </i>
    <i>
      <x v="3"/>
    </i>
    <i>
      <x v="2"/>
    </i>
    <i>
      <x/>
    </i>
    <i>
      <x v="5"/>
    </i>
    <i>
      <x v="1"/>
    </i>
    <i>
      <x v="4"/>
    </i>
    <i t="grand">
      <x/>
    </i>
  </rowItems>
  <colFields count="1">
    <field x="-2"/>
  </colFields>
  <colItems count="3">
    <i>
      <x/>
    </i>
    <i i="1">
      <x v="1"/>
    </i>
    <i i="2">
      <x v="2"/>
    </i>
  </colItems>
  <dataFields count="3">
    <dataField name="Sum of Sales" fld="7" baseField="0" baseItem="0"/>
    <dataField name="Sum of Budget" fld="8" baseField="0" baseItem="0" numFmtId="165"/>
    <dataField name="Sum of Variance" fld="10" baseField="0" baseItem="0" numFmtId="165"/>
  </dataFields>
  <formats count="5">
    <format dxfId="137">
      <pivotArea collapsedLevelsAreSubtotals="1" fieldPosition="0">
        <references count="2">
          <reference field="4294967294" count="1" selected="0">
            <x v="0"/>
          </reference>
          <reference field="4" count="1">
            <x v="0"/>
          </reference>
        </references>
      </pivotArea>
    </format>
    <format dxfId="136">
      <pivotArea collapsedLevelsAreSubtotals="1" fieldPosition="0">
        <references count="2">
          <reference field="4294967294" count="1" selected="0">
            <x v="0"/>
          </reference>
          <reference field="4" count="6">
            <x v="1"/>
            <x v="2"/>
            <x v="3"/>
            <x v="4"/>
            <x v="5"/>
            <x v="6"/>
          </reference>
        </references>
      </pivotArea>
    </format>
    <format dxfId="135">
      <pivotArea field="4" grandRow="1" outline="0" collapsedLevelsAreSubtotals="1" axis="axisRow" fieldPosition="0">
        <references count="1">
          <reference field="4294967294" count="1" selected="0">
            <x v="0"/>
          </reference>
        </references>
      </pivotArea>
    </format>
    <format dxfId="134">
      <pivotArea outline="0" collapsedLevelsAreSubtotals="1" fieldPosition="0">
        <references count="1">
          <reference field="4294967294" count="1" selected="0">
            <x v="1"/>
          </reference>
        </references>
      </pivotArea>
    </format>
    <format dxfId="133">
      <pivotArea outline="0" collapsedLevelsAreSubtotals="1" fieldPosition="0">
        <references count="1">
          <reference field="4294967294" count="1" selected="0">
            <x v="2"/>
          </reference>
        </references>
      </pivotArea>
    </format>
  </format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91D42370-D6A2-4DDA-A3A7-30FB07B7C980}" sourceName="Province">
  <pivotTables>
    <pivotTable tabId="10" name="PivotTable5"/>
    <pivotTable tabId="8" name="PivotTable3"/>
    <pivotTable tabId="9" name="PivotTable4"/>
    <pivotTable tabId="4" name="PivotTable1"/>
    <pivotTable tabId="7" name="PivotTable2"/>
  </pivotTables>
  <data>
    <tabular pivotCacheId="523251094">
      <items count="7">
        <i x="3" s="1"/>
        <i x="4" s="1"/>
        <i x="1" s="1"/>
        <i x="0" s="1"/>
        <i x="5"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A08B17C8-9C7E-4E06-AE77-4414A1D80302}" sourceName="Manager">
  <pivotTables>
    <pivotTable tabId="10" name="PivotTable5"/>
    <pivotTable tabId="8" name="PivotTable3"/>
    <pivotTable tabId="9" name="PivotTable4"/>
    <pivotTable tabId="4" name="PivotTable1"/>
    <pivotTable tabId="7" name="PivotTable2"/>
  </pivotTables>
  <data>
    <tabular pivotCacheId="523251094">
      <items count="20">
        <i x="14" s="1"/>
        <i x="10" s="1"/>
        <i x="13" s="1"/>
        <i x="16" s="1"/>
        <i x="4" s="1"/>
        <i x="15" s="1"/>
        <i x="6" s="1"/>
        <i x="12" s="1"/>
        <i x="5" s="1"/>
        <i x="18" s="1"/>
        <i x="2" s="1"/>
        <i x="9" s="1"/>
        <i x="8" s="1"/>
        <i x="11" s="1"/>
        <i x="1" s="1"/>
        <i x="19" s="1"/>
        <i x="3" s="1"/>
        <i x="17" s="1"/>
        <i x="0"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058BB1E-EBDA-4C3E-90E0-06E4BE743FF2}" sourceName="Category">
  <pivotTables>
    <pivotTable tabId="10" name="PivotTable5"/>
    <pivotTable tabId="8" name="PivotTable3"/>
    <pivotTable tabId="9" name="PivotTable4"/>
    <pivotTable tabId="4" name="PivotTable1"/>
    <pivotTable tabId="7" name="PivotTable2"/>
  </pivotTables>
  <data>
    <tabular pivotCacheId="523251094">
      <items count="5">
        <i x="3" s="1"/>
        <i x="2" s="1"/>
        <i x="4"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02043849-199C-449E-82AE-A19FD75A8520}" sourceName="Months (Date)">
  <pivotTables>
    <pivotTable tabId="10" name="PivotTable5"/>
    <pivotTable tabId="8" name="PivotTable3"/>
    <pivotTable tabId="9" name="PivotTable4"/>
    <pivotTable tabId="4" name="PivotTable1"/>
    <pivotTable tabId="7" name="PivotTable2"/>
  </pivotTables>
  <data>
    <tabular pivotCacheId="523251094">
      <items count="14">
        <i x="1" s="1"/>
        <i x="2" s="1"/>
        <i x="3" s="1"/>
        <i x="4" s="1"/>
        <i x="5" s="1"/>
        <i x="6" s="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xr10:uid="{41531956-C0D5-4E7E-9AE2-C7F50CAC7C0E}" cache="Slicer_Province" caption="Province" rowHeight="241300"/>
  <slicer name="Manager" xr10:uid="{F4E3677B-D31E-4ED5-940E-4C9253968CCE}" cache="Slicer_Manager" caption="Manager" rowHeight="241300"/>
  <slicer name="Category" xr10:uid="{179534F9-9A88-4CB1-980B-6EF920647D4F}" cache="Slicer_Category" caption="Category" rowHeight="241300"/>
  <slicer name="Months (Date)" xr10:uid="{FFC5A721-483D-4F5C-97A3-61692B00AD2F}" cache="Slicer_Months__Date" caption="Month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ales" displayName="tblSales" ref="A1:M3601">
  <autoFilter ref="A1:M3601" xr:uid="{00000000-0009-0000-0100-000001000000}"/>
  <tableColumns count="13">
    <tableColumn id="1" xr3:uid="{00000000-0010-0000-0000-000001000000}" name="Date"/>
    <tableColumn id="2" xr3:uid="{00000000-0010-0000-0000-000002000000}" name="Store ID"/>
    <tableColumn id="3" xr3:uid="{00000000-0010-0000-0000-000003000000}" name="Category ID"/>
    <tableColumn id="7" xr3:uid="{1B0C7A14-5907-4064-A131-93BD08F98B7F}" name="Store Name" dataDxfId="146">
      <calculatedColumnFormula>_xlfn.XLOOKUP(tblSales[[#This Row],[Store ID]],tblStores[Store ID],tblStores[Store Name])</calculatedColumnFormula>
    </tableColumn>
    <tableColumn id="8" xr3:uid="{48D6C4A8-0E2F-46E2-A3B2-57FC405133F8}" name="Province" dataDxfId="145">
      <calculatedColumnFormula>_xlfn.XLOOKUP(tblSales[[#This Row],[Store ID]],tblStores[Store ID],tblStores[Province])</calculatedColumnFormula>
    </tableColumn>
    <tableColumn id="9" xr3:uid="{89ADC58F-0907-4CE8-92C0-0D6CC2E4012A}" name="Manager" dataDxfId="144">
      <calculatedColumnFormula>_xlfn.XLOOKUP(tblSales[[#This Row],[Store ID]],tblStores[Store ID],tblStores[Manager])</calculatedColumnFormula>
    </tableColumn>
    <tableColumn id="10" xr3:uid="{E70D604B-257C-47A6-8790-59656777C302}" name="Category" dataDxfId="143">
      <calculatedColumnFormula>_xlfn.XLOOKUP(tblSales[[#This Row],[Category ID]],tblCategories[Category ID],tblCategories[Category])</calculatedColumnFormula>
    </tableColumn>
    <tableColumn id="4" xr3:uid="{00000000-0010-0000-0000-000004000000}" name="Sales"/>
    <tableColumn id="5" xr3:uid="{00000000-0010-0000-0000-000005000000}" name="Budget"/>
    <tableColumn id="6" xr3:uid="{00000000-0010-0000-0000-000006000000}" name="Transactions"/>
    <tableColumn id="11" xr3:uid="{C5892EF6-1187-4DB1-AE2A-A45DBF3EA82D}" name="Variance" dataDxfId="142">
      <calculatedColumnFormula>tblSales[[#This Row],[Sales]]-tblSales[[#This Row],[Budget]]</calculatedColumnFormula>
    </tableColumn>
    <tableColumn id="12" xr3:uid="{E361EF64-4541-4611-8950-EBC6472B405A}" name="Variance%" dataDxfId="141">
      <calculatedColumnFormula>(tblSales[[#This Row],[Sales]]-tblSales[[#This Row],[Budget]])/tblSales[[#This Row],[Budget]]</calculatedColumnFormula>
    </tableColumn>
    <tableColumn id="13" xr3:uid="{88BC7132-00DF-4CE6-A9B7-E475B7CB09C2}" name="Avgerage Basket" dataDxfId="140">
      <calculatedColumnFormula>tblSales[[#This Row],[Sales]]/tblSales[[#This Row],[Transactions]]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Stores" displayName="tblStores" ref="A1:D21">
  <autoFilter ref="A1:D21" xr:uid="{00000000-0009-0000-0100-000002000000}"/>
  <tableColumns count="4">
    <tableColumn id="1" xr3:uid="{00000000-0010-0000-0100-000001000000}" name="Store ID"/>
    <tableColumn id="2" xr3:uid="{00000000-0010-0000-0100-000002000000}" name="Store Name"/>
    <tableColumn id="3" xr3:uid="{00000000-0010-0000-0100-000003000000}" name="Province"/>
    <tableColumn id="4" xr3:uid="{00000000-0010-0000-0100-000004000000}" name="Manag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Categories" displayName="tblCategories" ref="A1:B6">
  <autoFilter ref="A1:B6" xr:uid="{00000000-0009-0000-0100-000003000000}"/>
  <tableColumns count="2">
    <tableColumn id="1" xr3:uid="{00000000-0010-0000-0200-000001000000}" name="Category ID"/>
    <tableColumn id="2" xr3:uid="{00000000-0010-0000-0200-000002000000}" name="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32"/>
  <sheetViews>
    <sheetView showGridLines="0" tabSelected="1" zoomScale="75" zoomScaleNormal="75" workbookViewId="0">
      <selection activeCell="BB3" sqref="BB3"/>
    </sheetView>
  </sheetViews>
  <sheetFormatPr defaultRowHeight="15" x14ac:dyDescent="0.25"/>
  <cols>
    <col min="42" max="42" width="10.7109375" bestFit="1" customWidth="1"/>
    <col min="46" max="46" width="11.140625" bestFit="1" customWidth="1"/>
    <col min="52" max="52" width="17.28515625" customWidth="1"/>
    <col min="53" max="53" width="12" customWidth="1"/>
  </cols>
  <sheetData>
    <row r="1" spans="1:54" ht="14.45" customHeight="1" x14ac:dyDescent="0.25">
      <c r="A1" s="6" t="s">
        <v>104</v>
      </c>
      <c r="B1" s="6"/>
      <c r="C1" s="6"/>
      <c r="D1" s="6"/>
      <c r="E1" s="6"/>
      <c r="F1" s="6"/>
      <c r="G1" s="6"/>
      <c r="H1" s="6"/>
      <c r="I1" s="6"/>
      <c r="J1" s="6"/>
      <c r="K1" s="6"/>
      <c r="L1" s="6"/>
      <c r="M1" s="6"/>
      <c r="N1" s="6"/>
      <c r="O1" s="6"/>
      <c r="P1" s="6"/>
      <c r="Q1" s="6"/>
      <c r="R1" s="6"/>
    </row>
    <row r="2" spans="1:54" ht="14.45" customHeight="1" x14ac:dyDescent="0.25">
      <c r="A2" s="6"/>
      <c r="B2" s="6"/>
      <c r="C2" s="6"/>
      <c r="D2" s="6"/>
      <c r="E2" s="6"/>
      <c r="F2" s="6"/>
      <c r="G2" s="6"/>
      <c r="H2" s="6"/>
      <c r="I2" s="6"/>
      <c r="J2" s="6"/>
      <c r="K2" s="6"/>
      <c r="L2" s="6"/>
      <c r="M2" s="6"/>
      <c r="N2" s="6"/>
      <c r="O2" s="6"/>
      <c r="P2" s="6"/>
      <c r="Q2" s="6"/>
      <c r="R2" s="6"/>
    </row>
    <row r="3" spans="1:54" ht="21" x14ac:dyDescent="0.25">
      <c r="A3" s="7" t="s">
        <v>105</v>
      </c>
      <c r="B3" s="7"/>
      <c r="C3" s="7"/>
      <c r="D3" s="7"/>
      <c r="E3" s="7"/>
      <c r="F3" s="7"/>
      <c r="G3" s="7"/>
      <c r="H3" s="7"/>
      <c r="I3" s="7"/>
      <c r="J3" s="7"/>
      <c r="K3" s="7"/>
      <c r="L3" s="7"/>
      <c r="M3" s="7"/>
      <c r="N3" s="7"/>
      <c r="O3" s="7"/>
      <c r="P3" s="7"/>
      <c r="Q3" s="7"/>
      <c r="R3" s="7"/>
      <c r="AZ3" t="s">
        <v>107</v>
      </c>
      <c r="BA3">
        <f>GETPIVOTDATA("Sales",'Monthly Sales Trend'!$A$3)</f>
        <v>159389688</v>
      </c>
      <c r="BB3" t="str">
        <f>"R"&amp;ROUND(BA3/1000000,1)&amp;"M"</f>
        <v>R159.4M</v>
      </c>
    </row>
    <row r="4" spans="1:54" x14ac:dyDescent="0.25">
      <c r="AZ4" t="s">
        <v>4</v>
      </c>
      <c r="BA4">
        <f>GETPIVOTDATA("Sum of Budget",'Category Performance'!$A$3)</f>
        <v>163392546</v>
      </c>
      <c r="BB4" t="str">
        <f>"R"&amp;TEXT(ROUND(BA4/1000000,1),"0.0")&amp;"M"</f>
        <v>R163.4M</v>
      </c>
    </row>
    <row r="5" spans="1:54" x14ac:dyDescent="0.25">
      <c r="AZ5" t="s">
        <v>87</v>
      </c>
      <c r="BA5">
        <f>GETPIVOTDATA("Sum of Variance",'Stores Performance'!$A$3)</f>
        <v>-1811307</v>
      </c>
      <c r="BB5" t="str">
        <f>IF(BA5&lt;0,"-R","R")&amp;TEXT(ROUND(ABS(BA5)/1000000,1),"0.0")&amp;"M"</f>
        <v>-R1.8M</v>
      </c>
    </row>
    <row r="12" spans="1:54" x14ac:dyDescent="0.25">
      <c r="AT12" s="9"/>
    </row>
    <row r="32" spans="28:28" x14ac:dyDescent="0.25">
      <c r="AB32" t="s">
        <v>106</v>
      </c>
    </row>
  </sheetData>
  <mergeCells count="2">
    <mergeCell ref="A1:R2"/>
    <mergeCell ref="A3:R3"/>
  </mergeCells>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01"/>
  <sheetViews>
    <sheetView topLeftCell="A2" workbookViewId="0">
      <selection activeCell="C17" sqref="C17"/>
    </sheetView>
  </sheetViews>
  <sheetFormatPr defaultRowHeight="15" x14ac:dyDescent="0.25"/>
  <cols>
    <col min="1" max="1" width="11.7109375" customWidth="1"/>
    <col min="2" max="2" width="10.7109375" customWidth="1"/>
    <col min="3" max="7" width="15.5703125" customWidth="1"/>
    <col min="9" max="9" width="10.85546875" customWidth="1"/>
    <col min="10" max="10" width="12" customWidth="1"/>
    <col min="11" max="11" width="11.7109375" customWidth="1"/>
    <col min="12" max="12" width="11.5703125" customWidth="1"/>
    <col min="13" max="13" width="16.7109375" customWidth="1"/>
  </cols>
  <sheetData>
    <row r="1" spans="1:13" x14ac:dyDescent="0.25">
      <c r="A1" t="s">
        <v>0</v>
      </c>
      <c r="B1" t="s">
        <v>1</v>
      </c>
      <c r="C1" t="s">
        <v>2</v>
      </c>
      <c r="D1" t="s">
        <v>31</v>
      </c>
      <c r="E1" t="s">
        <v>32</v>
      </c>
      <c r="F1" t="s">
        <v>33</v>
      </c>
      <c r="G1" t="s">
        <v>81</v>
      </c>
      <c r="H1" t="s">
        <v>3</v>
      </c>
      <c r="I1" t="s">
        <v>4</v>
      </c>
      <c r="J1" t="s">
        <v>5</v>
      </c>
      <c r="K1" t="s">
        <v>87</v>
      </c>
      <c r="L1" s="3" t="s">
        <v>88</v>
      </c>
      <c r="M1" s="2" t="s">
        <v>89</v>
      </c>
    </row>
    <row r="2" spans="1:13" x14ac:dyDescent="0.25">
      <c r="A2" s="1">
        <v>46023</v>
      </c>
      <c r="B2" t="s">
        <v>6</v>
      </c>
      <c r="C2" t="s">
        <v>7</v>
      </c>
      <c r="D2" t="str">
        <f>_xlfn.XLOOKUP(tblSales[[#This Row],[Store ID]],tblStores[Store ID],tblStores[Store Name])</f>
        <v>Durban CBD</v>
      </c>
      <c r="E2" t="str">
        <f>_xlfn.XLOOKUP(tblSales[[#This Row],[Store ID]],tblStores[Store ID],tblStores[Province])</f>
        <v>KZN</v>
      </c>
      <c r="F2" t="str">
        <f>_xlfn.XLOOKUP(tblSales[[#This Row],[Store ID]],tblStores[Store ID],tblStores[Manager])</f>
        <v>Sarah Adams</v>
      </c>
      <c r="G2" t="str">
        <f>_xlfn.XLOOKUP(tblSales[[#This Row],[Category ID]],tblCategories[Category ID],tblCategories[Category])</f>
        <v>Menswear</v>
      </c>
      <c r="H2">
        <v>13120</v>
      </c>
      <c r="I2">
        <v>12611</v>
      </c>
      <c r="J2">
        <v>41</v>
      </c>
      <c r="K2">
        <f>tblSales[[#This Row],[Sales]]-tblSales[[#This Row],[Budget]]</f>
        <v>509</v>
      </c>
      <c r="L2" s="3">
        <f>(tblSales[[#This Row],[Sales]]-tblSales[[#This Row],[Budget]])/tblSales[[#This Row],[Budget]]</f>
        <v>4.0361589088890648E-2</v>
      </c>
      <c r="M2" s="2">
        <f>tblSales[[#This Row],[Sales]]/tblSales[[#This Row],[Transactions]]</f>
        <v>320</v>
      </c>
    </row>
    <row r="3" spans="1:13" x14ac:dyDescent="0.25">
      <c r="A3" s="1">
        <v>46023</v>
      </c>
      <c r="B3" t="s">
        <v>8</v>
      </c>
      <c r="C3" t="s">
        <v>9</v>
      </c>
      <c r="D3" t="str">
        <f>_xlfn.XLOOKUP(tblSales[[#This Row],[Store ID]],tblStores[Store ID],tblStores[Store Name])</f>
        <v>Gateway</v>
      </c>
      <c r="E3" t="str">
        <f>_xlfn.XLOOKUP(tblSales[[#This Row],[Store ID]],tblStores[Store ID],tblStores[Province])</f>
        <v>KZN</v>
      </c>
      <c r="F3" t="str">
        <f>_xlfn.XLOOKUP(tblSales[[#This Row],[Store ID]],tblStores[Store ID],tblStores[Manager])</f>
        <v>Michael Jones</v>
      </c>
      <c r="G3" t="str">
        <f>_xlfn.XLOOKUP(tblSales[[#This Row],[Category ID]],tblCategories[Category ID],tblCategories[Category])</f>
        <v>Ladieswear</v>
      </c>
      <c r="H3">
        <v>27999</v>
      </c>
      <c r="I3">
        <v>25807</v>
      </c>
      <c r="J3">
        <v>61</v>
      </c>
      <c r="K3">
        <f>tblSales[[#This Row],[Sales]]-tblSales[[#This Row],[Budget]]</f>
        <v>2192</v>
      </c>
      <c r="L3" s="3">
        <f>(tblSales[[#This Row],[Sales]]-tblSales[[#This Row],[Budget]])/tblSales[[#This Row],[Budget]]</f>
        <v>8.4938195063354899E-2</v>
      </c>
      <c r="M3" s="2">
        <f>tblSales[[#This Row],[Sales]]/tblSales[[#This Row],[Transactions]]</f>
        <v>459</v>
      </c>
    </row>
    <row r="4" spans="1:13" x14ac:dyDescent="0.25">
      <c r="A4" s="1">
        <v>46023</v>
      </c>
      <c r="B4" t="s">
        <v>10</v>
      </c>
      <c r="C4" t="s">
        <v>11</v>
      </c>
      <c r="D4" t="str">
        <f>_xlfn.XLOOKUP(tblSales[[#This Row],[Store ID]],tblStores[Store ID],tblStores[Store Name])</f>
        <v>Ballito</v>
      </c>
      <c r="E4" t="str">
        <f>_xlfn.XLOOKUP(tblSales[[#This Row],[Store ID]],tblStores[Store ID],tblStores[Province])</f>
        <v>KZN</v>
      </c>
      <c r="F4" t="str">
        <f>_xlfn.XLOOKUP(tblSales[[#This Row],[Store ID]],tblStores[Store ID],tblStores[Manager])</f>
        <v>Linda Smith</v>
      </c>
      <c r="G4" t="str">
        <f>_xlfn.XLOOKUP(tblSales[[#This Row],[Category ID]],tblCategories[Category ID],tblCategories[Category])</f>
        <v>Footwear</v>
      </c>
      <c r="H4">
        <v>8385</v>
      </c>
      <c r="I4">
        <v>7742</v>
      </c>
      <c r="J4">
        <v>43</v>
      </c>
      <c r="K4">
        <f>tblSales[[#This Row],[Sales]]-tblSales[[#This Row],[Budget]]</f>
        <v>643</v>
      </c>
      <c r="L4" s="3">
        <f>(tblSales[[#This Row],[Sales]]-tblSales[[#This Row],[Budget]])/tblSales[[#This Row],[Budget]]</f>
        <v>8.3053474554378712E-2</v>
      </c>
      <c r="M4" s="2">
        <f>tblSales[[#This Row],[Sales]]/tblSales[[#This Row],[Transactions]]</f>
        <v>195</v>
      </c>
    </row>
    <row r="5" spans="1:13" x14ac:dyDescent="0.25">
      <c r="A5" s="1">
        <v>46023</v>
      </c>
      <c r="B5" t="s">
        <v>12</v>
      </c>
      <c r="C5" t="s">
        <v>9</v>
      </c>
      <c r="D5" t="str">
        <f>_xlfn.XLOOKUP(tblSales[[#This Row],[Store ID]],tblStores[Store ID],tblStores[Store Name])</f>
        <v>Pietermaritzburg</v>
      </c>
      <c r="E5" t="str">
        <f>_xlfn.XLOOKUP(tblSales[[#This Row],[Store ID]],tblStores[Store ID],tblStores[Province])</f>
        <v>KZN</v>
      </c>
      <c r="F5" t="str">
        <f>_xlfn.XLOOKUP(tblSales[[#This Row],[Store ID]],tblStores[Store ID],tblStores[Manager])</f>
        <v>Peter Brown</v>
      </c>
      <c r="G5" t="str">
        <f>_xlfn.XLOOKUP(tblSales[[#This Row],[Category ID]],tblCategories[Category ID],tblCategories[Category])</f>
        <v>Ladieswear</v>
      </c>
      <c r="H5">
        <v>80032</v>
      </c>
      <c r="I5">
        <v>72559</v>
      </c>
      <c r="J5">
        <v>164</v>
      </c>
      <c r="K5">
        <f>tblSales[[#This Row],[Sales]]-tblSales[[#This Row],[Budget]]</f>
        <v>7473</v>
      </c>
      <c r="L5" s="3">
        <f>(tblSales[[#This Row],[Sales]]-tblSales[[#This Row],[Budget]])/tblSales[[#This Row],[Budget]]</f>
        <v>0.10299204785071459</v>
      </c>
      <c r="M5" s="2">
        <f>tblSales[[#This Row],[Sales]]/tblSales[[#This Row],[Transactions]]</f>
        <v>488</v>
      </c>
    </row>
    <row r="6" spans="1:13" x14ac:dyDescent="0.25">
      <c r="A6" s="1">
        <v>46023</v>
      </c>
      <c r="B6" t="s">
        <v>13</v>
      </c>
      <c r="C6" t="s">
        <v>9</v>
      </c>
      <c r="D6" t="str">
        <f>_xlfn.XLOOKUP(tblSales[[#This Row],[Store ID]],tblStores[Store ID],tblStores[Store Name])</f>
        <v>Richards Bay</v>
      </c>
      <c r="E6" t="str">
        <f>_xlfn.XLOOKUP(tblSales[[#This Row],[Store ID]],tblStores[Store ID],tblStores[Province])</f>
        <v>KZN</v>
      </c>
      <c r="F6" t="str">
        <f>_xlfn.XLOOKUP(tblSales[[#This Row],[Store ID]],tblStores[Store ID],tblStores[Manager])</f>
        <v>David Green</v>
      </c>
      <c r="G6" t="str">
        <f>_xlfn.XLOOKUP(tblSales[[#This Row],[Category ID]],tblCategories[Category ID],tblCategories[Category])</f>
        <v>Ladieswear</v>
      </c>
      <c r="H6">
        <v>111616</v>
      </c>
      <c r="I6">
        <v>120024</v>
      </c>
      <c r="J6">
        <v>218</v>
      </c>
      <c r="K6">
        <f>tblSales[[#This Row],[Sales]]-tblSales[[#This Row],[Budget]]</f>
        <v>-8408</v>
      </c>
      <c r="L6" s="3">
        <f>(tblSales[[#This Row],[Sales]]-tblSales[[#This Row],[Budget]])/tblSales[[#This Row],[Budget]]</f>
        <v>-7.0052656135439581E-2</v>
      </c>
      <c r="M6" s="2">
        <f>tblSales[[#This Row],[Sales]]/tblSales[[#This Row],[Transactions]]</f>
        <v>512</v>
      </c>
    </row>
    <row r="7" spans="1:13" x14ac:dyDescent="0.25">
      <c r="A7" s="1">
        <v>46023</v>
      </c>
      <c r="B7" t="s">
        <v>14</v>
      </c>
      <c r="C7" t="s">
        <v>11</v>
      </c>
      <c r="D7" t="str">
        <f>_xlfn.XLOOKUP(tblSales[[#This Row],[Store ID]],tblStores[Store ID],tblStores[Store Name])</f>
        <v>Sandton</v>
      </c>
      <c r="E7" t="str">
        <f>_xlfn.XLOOKUP(tblSales[[#This Row],[Store ID]],tblStores[Store ID],tblStores[Province])</f>
        <v>Gauteng</v>
      </c>
      <c r="F7" t="str">
        <f>_xlfn.XLOOKUP(tblSales[[#This Row],[Store ID]],tblStores[Store ID],tblStores[Manager])</f>
        <v>Karen White</v>
      </c>
      <c r="G7" t="str">
        <f>_xlfn.XLOOKUP(tblSales[[#This Row],[Category ID]],tblCategories[Category ID],tblCategories[Category])</f>
        <v>Footwear</v>
      </c>
      <c r="H7">
        <v>37219</v>
      </c>
      <c r="I7">
        <v>38980</v>
      </c>
      <c r="J7">
        <v>91</v>
      </c>
      <c r="K7">
        <f>tblSales[[#This Row],[Sales]]-tblSales[[#This Row],[Budget]]</f>
        <v>-1761</v>
      </c>
      <c r="L7" s="3">
        <f>(tblSales[[#This Row],[Sales]]-tblSales[[#This Row],[Budget]])/tblSales[[#This Row],[Budget]]</f>
        <v>-4.5177013853258084E-2</v>
      </c>
      <c r="M7" s="2">
        <f>tblSales[[#This Row],[Sales]]/tblSales[[#This Row],[Transactions]]</f>
        <v>409</v>
      </c>
    </row>
    <row r="8" spans="1:13" x14ac:dyDescent="0.25">
      <c r="A8" s="1">
        <v>46023</v>
      </c>
      <c r="B8" t="s">
        <v>15</v>
      </c>
      <c r="C8" t="s">
        <v>7</v>
      </c>
      <c r="D8" t="str">
        <f>_xlfn.XLOOKUP(tblSales[[#This Row],[Store ID]],tblStores[Store ID],tblStores[Store Name])</f>
        <v>Rosebank</v>
      </c>
      <c r="E8" t="str">
        <f>_xlfn.XLOOKUP(tblSales[[#This Row],[Store ID]],tblStores[Store ID],tblStores[Province])</f>
        <v>Gauteng</v>
      </c>
      <c r="F8" t="str">
        <f>_xlfn.XLOOKUP(tblSales[[#This Row],[Store ID]],tblStores[Store ID],tblStores[Manager])</f>
        <v>James Taylor</v>
      </c>
      <c r="G8" t="str">
        <f>_xlfn.XLOOKUP(tblSales[[#This Row],[Category ID]],tblCategories[Category ID],tblCategories[Category])</f>
        <v>Menswear</v>
      </c>
      <c r="H8">
        <v>29700</v>
      </c>
      <c r="I8">
        <v>29256</v>
      </c>
      <c r="J8">
        <v>75</v>
      </c>
      <c r="K8">
        <f>tblSales[[#This Row],[Sales]]-tblSales[[#This Row],[Budget]]</f>
        <v>444</v>
      </c>
      <c r="L8" s="3">
        <f>(tblSales[[#This Row],[Sales]]-tblSales[[#This Row],[Budget]])/tblSales[[#This Row],[Budget]]</f>
        <v>1.5176374077112387E-2</v>
      </c>
      <c r="M8" s="2">
        <f>tblSales[[#This Row],[Sales]]/tblSales[[#This Row],[Transactions]]</f>
        <v>396</v>
      </c>
    </row>
    <row r="9" spans="1:13" x14ac:dyDescent="0.25">
      <c r="A9" s="1">
        <v>46023</v>
      </c>
      <c r="B9" t="s">
        <v>16</v>
      </c>
      <c r="C9" t="s">
        <v>9</v>
      </c>
      <c r="D9" t="str">
        <f>_xlfn.XLOOKUP(tblSales[[#This Row],[Store ID]],tblStores[Store ID],tblStores[Store Name])</f>
        <v>Pretoria</v>
      </c>
      <c r="E9" t="str">
        <f>_xlfn.XLOOKUP(tblSales[[#This Row],[Store ID]],tblStores[Store ID],tblStores[Province])</f>
        <v>Gauteng</v>
      </c>
      <c r="F9" t="str">
        <f>_xlfn.XLOOKUP(tblSales[[#This Row],[Store ID]],tblStores[Store ID],tblStores[Manager])</f>
        <v>Susan Clark</v>
      </c>
      <c r="G9" t="str">
        <f>_xlfn.XLOOKUP(tblSales[[#This Row],[Category ID]],tblCategories[Category ID],tblCategories[Category])</f>
        <v>Ladieswear</v>
      </c>
      <c r="H9">
        <v>31680</v>
      </c>
      <c r="I9">
        <v>29321</v>
      </c>
      <c r="J9">
        <v>90</v>
      </c>
      <c r="K9">
        <f>tblSales[[#This Row],[Sales]]-tblSales[[#This Row],[Budget]]</f>
        <v>2359</v>
      </c>
      <c r="L9" s="3">
        <f>(tblSales[[#This Row],[Sales]]-tblSales[[#This Row],[Budget]])/tblSales[[#This Row],[Budget]]</f>
        <v>8.0454281913986556E-2</v>
      </c>
      <c r="M9" s="2">
        <f>tblSales[[#This Row],[Sales]]/tblSales[[#This Row],[Transactions]]</f>
        <v>352</v>
      </c>
    </row>
    <row r="10" spans="1:13" x14ac:dyDescent="0.25">
      <c r="A10" s="1">
        <v>46023</v>
      </c>
      <c r="B10" t="s">
        <v>17</v>
      </c>
      <c r="C10" t="s">
        <v>11</v>
      </c>
      <c r="D10" t="str">
        <f>_xlfn.XLOOKUP(tblSales[[#This Row],[Store ID]],tblStores[Store ID],tblStores[Store Name])</f>
        <v>Centurion</v>
      </c>
      <c r="E10" t="str">
        <f>_xlfn.XLOOKUP(tblSales[[#This Row],[Store ID]],tblStores[Store ID],tblStores[Province])</f>
        <v>Gauteng</v>
      </c>
      <c r="F10" t="str">
        <f>_xlfn.XLOOKUP(tblSales[[#This Row],[Store ID]],tblStores[Store ID],tblStores[Manager])</f>
        <v>Mark Wilson</v>
      </c>
      <c r="G10" t="str">
        <f>_xlfn.XLOOKUP(tblSales[[#This Row],[Category ID]],tblCategories[Category ID],tblCategories[Category])</f>
        <v>Footwear</v>
      </c>
      <c r="H10">
        <v>21417</v>
      </c>
      <c r="I10">
        <v>23812</v>
      </c>
      <c r="J10">
        <v>59</v>
      </c>
      <c r="K10">
        <f>tblSales[[#This Row],[Sales]]-tblSales[[#This Row],[Budget]]</f>
        <v>-2395</v>
      </c>
      <c r="L10" s="3">
        <f>(tblSales[[#This Row],[Sales]]-tblSales[[#This Row],[Budget]])/tblSales[[#This Row],[Budget]]</f>
        <v>-0.1005795397278683</v>
      </c>
      <c r="M10" s="2">
        <f>tblSales[[#This Row],[Sales]]/tblSales[[#This Row],[Transactions]]</f>
        <v>363</v>
      </c>
    </row>
    <row r="11" spans="1:13" x14ac:dyDescent="0.25">
      <c r="A11" s="1">
        <v>46023</v>
      </c>
      <c r="B11" t="s">
        <v>18</v>
      </c>
      <c r="C11" t="s">
        <v>19</v>
      </c>
      <c r="D11" t="str">
        <f>_xlfn.XLOOKUP(tblSales[[#This Row],[Store ID]],tblStores[Store ID],tblStores[Store Name])</f>
        <v>East Rand</v>
      </c>
      <c r="E11" t="str">
        <f>_xlfn.XLOOKUP(tblSales[[#This Row],[Store ID]],tblStores[Store ID],tblStores[Province])</f>
        <v>Gauteng</v>
      </c>
      <c r="F11" t="str">
        <f>_xlfn.XLOOKUP(tblSales[[#This Row],[Store ID]],tblStores[Store ID],tblStores[Manager])</f>
        <v>Lisa Young</v>
      </c>
      <c r="G11" t="str">
        <f>_xlfn.XLOOKUP(tblSales[[#This Row],[Category ID]],tblCategories[Category ID],tblCategories[Category])</f>
        <v>Accessories</v>
      </c>
      <c r="H11">
        <v>20604</v>
      </c>
      <c r="I11">
        <v>22302</v>
      </c>
      <c r="J11">
        <v>102</v>
      </c>
      <c r="K11">
        <f>tblSales[[#This Row],[Sales]]-tblSales[[#This Row],[Budget]]</f>
        <v>-1698</v>
      </c>
      <c r="L11" s="3">
        <f>(tblSales[[#This Row],[Sales]]-tblSales[[#This Row],[Budget]])/tblSales[[#This Row],[Budget]]</f>
        <v>-7.6136669357008344E-2</v>
      </c>
      <c r="M11" s="2">
        <f>tblSales[[#This Row],[Sales]]/tblSales[[#This Row],[Transactions]]</f>
        <v>202</v>
      </c>
    </row>
    <row r="12" spans="1:13" x14ac:dyDescent="0.25">
      <c r="A12" s="1">
        <v>46023</v>
      </c>
      <c r="B12" t="s">
        <v>20</v>
      </c>
      <c r="C12" t="s">
        <v>19</v>
      </c>
      <c r="D12" t="str">
        <f>_xlfn.XLOOKUP(tblSales[[#This Row],[Store ID]],tblStores[Store ID],tblStores[Store Name])</f>
        <v>Cape Town CBD</v>
      </c>
      <c r="E12" t="str">
        <f>_xlfn.XLOOKUP(tblSales[[#This Row],[Store ID]],tblStores[Store ID],tblStores[Province])</f>
        <v>Western Cape</v>
      </c>
      <c r="F12" t="str">
        <f>_xlfn.XLOOKUP(tblSales[[#This Row],[Store ID]],tblStores[Store ID],tblStores[Manager])</f>
        <v>Brian Hall</v>
      </c>
      <c r="G12" t="str">
        <f>_xlfn.XLOOKUP(tblSales[[#This Row],[Category ID]],tblCategories[Category ID],tblCategories[Category])</f>
        <v>Accessories</v>
      </c>
      <c r="H12">
        <v>24618</v>
      </c>
      <c r="I12">
        <v>22641</v>
      </c>
      <c r="J12">
        <v>66</v>
      </c>
      <c r="K12">
        <f>tblSales[[#This Row],[Sales]]-tblSales[[#This Row],[Budget]]</f>
        <v>1977</v>
      </c>
      <c r="L12" s="3">
        <f>(tblSales[[#This Row],[Sales]]-tblSales[[#This Row],[Budget]])/tblSales[[#This Row],[Budget]]</f>
        <v>8.7319464687955484E-2</v>
      </c>
      <c r="M12" s="2">
        <f>tblSales[[#This Row],[Sales]]/tblSales[[#This Row],[Transactions]]</f>
        <v>373</v>
      </c>
    </row>
    <row r="13" spans="1:13" x14ac:dyDescent="0.25">
      <c r="A13" s="1">
        <v>46023</v>
      </c>
      <c r="B13" t="s">
        <v>21</v>
      </c>
      <c r="C13" t="s">
        <v>22</v>
      </c>
      <c r="D13" t="str">
        <f>_xlfn.XLOOKUP(tblSales[[#This Row],[Store ID]],tblStores[Store ID],tblStores[Store Name])</f>
        <v>Canal Walk</v>
      </c>
      <c r="E13" t="str">
        <f>_xlfn.XLOOKUP(tblSales[[#This Row],[Store ID]],tblStores[Store ID],tblStores[Province])</f>
        <v>Western Cape</v>
      </c>
      <c r="F13" t="str">
        <f>_xlfn.XLOOKUP(tblSales[[#This Row],[Store ID]],tblStores[Store ID],tblStores[Manager])</f>
        <v>Megan Scott</v>
      </c>
      <c r="G13" t="str">
        <f>_xlfn.XLOOKUP(tblSales[[#This Row],[Category ID]],tblCategories[Category ID],tblCategories[Category])</f>
        <v>Kids</v>
      </c>
      <c r="H13">
        <v>96720</v>
      </c>
      <c r="I13">
        <v>108458</v>
      </c>
      <c r="J13">
        <v>195</v>
      </c>
      <c r="K13">
        <f>tblSales[[#This Row],[Sales]]-tblSales[[#This Row],[Budget]]</f>
        <v>-11738</v>
      </c>
      <c r="L13" s="3">
        <f>(tblSales[[#This Row],[Sales]]-tblSales[[#This Row],[Budget]])/tblSales[[#This Row],[Budget]]</f>
        <v>-0.10822622582013314</v>
      </c>
      <c r="M13" s="2">
        <f>tblSales[[#This Row],[Sales]]/tblSales[[#This Row],[Transactions]]</f>
        <v>496</v>
      </c>
    </row>
    <row r="14" spans="1:13" x14ac:dyDescent="0.25">
      <c r="A14" s="1">
        <v>46023</v>
      </c>
      <c r="B14" t="s">
        <v>23</v>
      </c>
      <c r="C14" t="s">
        <v>22</v>
      </c>
      <c r="D14" t="str">
        <f>_xlfn.XLOOKUP(tblSales[[#This Row],[Store ID]],tblStores[Store ID],tblStores[Store Name])</f>
        <v>Stellenbosch</v>
      </c>
      <c r="E14" t="str">
        <f>_xlfn.XLOOKUP(tblSales[[#This Row],[Store ID]],tblStores[Store ID],tblStores[Province])</f>
        <v>Western Cape</v>
      </c>
      <c r="F14" t="str">
        <f>_xlfn.XLOOKUP(tblSales[[#This Row],[Store ID]],tblStores[Store ID],tblStores[Manager])</f>
        <v>Jason King</v>
      </c>
      <c r="G14" t="str">
        <f>_xlfn.XLOOKUP(tblSales[[#This Row],[Category ID]],tblCategories[Category ID],tblCategories[Category])</f>
        <v>Kids</v>
      </c>
      <c r="H14">
        <v>50596</v>
      </c>
      <c r="I14">
        <v>54448</v>
      </c>
      <c r="J14">
        <v>182</v>
      </c>
      <c r="K14">
        <f>tblSales[[#This Row],[Sales]]-tblSales[[#This Row],[Budget]]</f>
        <v>-3852</v>
      </c>
      <c r="L14" s="3">
        <f>(tblSales[[#This Row],[Sales]]-tblSales[[#This Row],[Budget]])/tblSales[[#This Row],[Budget]]</f>
        <v>-7.0746400235086687E-2</v>
      </c>
      <c r="M14" s="2">
        <f>tblSales[[#This Row],[Sales]]/tblSales[[#This Row],[Transactions]]</f>
        <v>278</v>
      </c>
    </row>
    <row r="15" spans="1:13" x14ac:dyDescent="0.25">
      <c r="A15" s="1">
        <v>46023</v>
      </c>
      <c r="B15" t="s">
        <v>24</v>
      </c>
      <c r="C15" t="s">
        <v>7</v>
      </c>
      <c r="D15" t="str">
        <f>_xlfn.XLOOKUP(tblSales[[#This Row],[Store ID]],tblStores[Store ID],tblStores[Store Name])</f>
        <v>George</v>
      </c>
      <c r="E15" t="str">
        <f>_xlfn.XLOOKUP(tblSales[[#This Row],[Store ID]],tblStores[Store ID],tblStores[Province])</f>
        <v>Western Cape</v>
      </c>
      <c r="F15" t="str">
        <f>_xlfn.XLOOKUP(tblSales[[#This Row],[Store ID]],tblStores[Store ID],tblStores[Manager])</f>
        <v>Chloe Hill</v>
      </c>
      <c r="G15" t="str">
        <f>_xlfn.XLOOKUP(tblSales[[#This Row],[Category ID]],tblCategories[Category ID],tblCategories[Category])</f>
        <v>Menswear</v>
      </c>
      <c r="H15">
        <v>60384</v>
      </c>
      <c r="I15">
        <v>66015</v>
      </c>
      <c r="J15">
        <v>204</v>
      </c>
      <c r="K15">
        <f>tblSales[[#This Row],[Sales]]-tblSales[[#This Row],[Budget]]</f>
        <v>-5631</v>
      </c>
      <c r="L15" s="3">
        <f>(tblSales[[#This Row],[Sales]]-tblSales[[#This Row],[Budget]])/tblSales[[#This Row],[Budget]]</f>
        <v>-8.5298795728243587E-2</v>
      </c>
      <c r="M15" s="2">
        <f>tblSales[[#This Row],[Sales]]/tblSales[[#This Row],[Transactions]]</f>
        <v>296</v>
      </c>
    </row>
    <row r="16" spans="1:13" x14ac:dyDescent="0.25">
      <c r="A16" s="1">
        <v>46023</v>
      </c>
      <c r="B16" t="s">
        <v>25</v>
      </c>
      <c r="C16" t="s">
        <v>7</v>
      </c>
      <c r="D16" t="str">
        <f>_xlfn.XLOOKUP(tblSales[[#This Row],[Store ID]],tblStores[Store ID],tblStores[Store Name])</f>
        <v>Paarl</v>
      </c>
      <c r="E16" t="str">
        <f>_xlfn.XLOOKUP(tblSales[[#This Row],[Store ID]],tblStores[Store ID],tblStores[Province])</f>
        <v>Western Cape</v>
      </c>
      <c r="F16" t="str">
        <f>_xlfn.XLOOKUP(tblSales[[#This Row],[Store ID]],tblStores[Store ID],tblStores[Manager])</f>
        <v>Andrew Lee</v>
      </c>
      <c r="G16" t="str">
        <f>_xlfn.XLOOKUP(tblSales[[#This Row],[Category ID]],tblCategories[Category ID],tblCategories[Category])</f>
        <v>Menswear</v>
      </c>
      <c r="H16">
        <v>21714</v>
      </c>
      <c r="I16">
        <v>21606</v>
      </c>
      <c r="J16">
        <v>94</v>
      </c>
      <c r="K16">
        <f>tblSales[[#This Row],[Sales]]-tblSales[[#This Row],[Budget]]</f>
        <v>108</v>
      </c>
      <c r="L16" s="3">
        <f>(tblSales[[#This Row],[Sales]]-tblSales[[#This Row],[Budget]])/tblSales[[#This Row],[Budget]]</f>
        <v>4.9986114968064424E-3</v>
      </c>
      <c r="M16" s="2">
        <f>tblSales[[#This Row],[Sales]]/tblSales[[#This Row],[Transactions]]</f>
        <v>231</v>
      </c>
    </row>
    <row r="17" spans="1:13" x14ac:dyDescent="0.25">
      <c r="A17" s="1">
        <v>46023</v>
      </c>
      <c r="B17" t="s">
        <v>26</v>
      </c>
      <c r="C17" t="s">
        <v>11</v>
      </c>
      <c r="D17" t="str">
        <f>_xlfn.XLOOKUP(tblSales[[#This Row],[Store ID]],tblStores[Store ID],tblStores[Store Name])</f>
        <v>Gqeberha</v>
      </c>
      <c r="E17" t="str">
        <f>_xlfn.XLOOKUP(tblSales[[#This Row],[Store ID]],tblStores[Store ID],tblStores[Province])</f>
        <v>Eastern Cape</v>
      </c>
      <c r="F17" t="str">
        <f>_xlfn.XLOOKUP(tblSales[[#This Row],[Store ID]],tblStores[Store ID],tblStores[Manager])</f>
        <v>Emma Baker</v>
      </c>
      <c r="G17" t="str">
        <f>_xlfn.XLOOKUP(tblSales[[#This Row],[Category ID]],tblCategories[Category ID],tblCategories[Category])</f>
        <v>Footwear</v>
      </c>
      <c r="H17">
        <v>72102</v>
      </c>
      <c r="I17">
        <v>67823</v>
      </c>
      <c r="J17">
        <v>197</v>
      </c>
      <c r="K17">
        <f>tblSales[[#This Row],[Sales]]-tblSales[[#This Row],[Budget]]</f>
        <v>4279</v>
      </c>
      <c r="L17" s="3">
        <f>(tblSales[[#This Row],[Sales]]-tblSales[[#This Row],[Budget]])/tblSales[[#This Row],[Budget]]</f>
        <v>6.309069194815918E-2</v>
      </c>
      <c r="M17" s="2">
        <f>tblSales[[#This Row],[Sales]]/tblSales[[#This Row],[Transactions]]</f>
        <v>366</v>
      </c>
    </row>
    <row r="18" spans="1:13" x14ac:dyDescent="0.25">
      <c r="A18" s="1">
        <v>46023</v>
      </c>
      <c r="B18" t="s">
        <v>27</v>
      </c>
      <c r="C18" t="s">
        <v>22</v>
      </c>
      <c r="D18" t="str">
        <f>_xlfn.XLOOKUP(tblSales[[#This Row],[Store ID]],tblStores[Store ID],tblStores[Store Name])</f>
        <v>East London</v>
      </c>
      <c r="E18" t="str">
        <f>_xlfn.XLOOKUP(tblSales[[#This Row],[Store ID]],tblStores[Store ID],tblStores[Province])</f>
        <v>Eastern Cape</v>
      </c>
      <c r="F18" t="str">
        <f>_xlfn.XLOOKUP(tblSales[[#This Row],[Store ID]],tblStores[Store ID],tblStores[Manager])</f>
        <v>Daniel Evans</v>
      </c>
      <c r="G18" t="str">
        <f>_xlfn.XLOOKUP(tblSales[[#This Row],[Category ID]],tblCategories[Category ID],tblCategories[Category])</f>
        <v>Kids</v>
      </c>
      <c r="H18">
        <v>27808</v>
      </c>
      <c r="I18">
        <v>29906</v>
      </c>
      <c r="J18">
        <v>88</v>
      </c>
      <c r="K18">
        <f>tblSales[[#This Row],[Sales]]-tblSales[[#This Row],[Budget]]</f>
        <v>-2098</v>
      </c>
      <c r="L18" s="3">
        <f>(tblSales[[#This Row],[Sales]]-tblSales[[#This Row],[Budget]])/tblSales[[#This Row],[Budget]]</f>
        <v>-7.015314652578078E-2</v>
      </c>
      <c r="M18" s="2">
        <f>tblSales[[#This Row],[Sales]]/tblSales[[#This Row],[Transactions]]</f>
        <v>316</v>
      </c>
    </row>
    <row r="19" spans="1:13" x14ac:dyDescent="0.25">
      <c r="A19" s="1">
        <v>46023</v>
      </c>
      <c r="B19" t="s">
        <v>28</v>
      </c>
      <c r="C19" t="s">
        <v>7</v>
      </c>
      <c r="D19" t="str">
        <f>_xlfn.XLOOKUP(tblSales[[#This Row],[Store ID]],tblStores[Store ID],tblStores[Store Name])</f>
        <v>Bloemfontein</v>
      </c>
      <c r="E19" t="str">
        <f>_xlfn.XLOOKUP(tblSales[[#This Row],[Store ID]],tblStores[Store ID],tblStores[Province])</f>
        <v>Free State</v>
      </c>
      <c r="F19" t="str">
        <f>_xlfn.XLOOKUP(tblSales[[#This Row],[Store ID]],tblStores[Store ID],tblStores[Manager])</f>
        <v>Rachel Moore</v>
      </c>
      <c r="G19" t="str">
        <f>_xlfn.XLOOKUP(tblSales[[#This Row],[Category ID]],tblCategories[Category ID],tblCategories[Category])</f>
        <v>Menswear</v>
      </c>
      <c r="H19">
        <v>95950</v>
      </c>
      <c r="I19">
        <v>90460</v>
      </c>
      <c r="J19">
        <v>190</v>
      </c>
      <c r="K19">
        <f>tblSales[[#This Row],[Sales]]-tblSales[[#This Row],[Budget]]</f>
        <v>5490</v>
      </c>
      <c r="L19" s="3">
        <f>(tblSales[[#This Row],[Sales]]-tblSales[[#This Row],[Budget]])/tblSales[[#This Row],[Budget]]</f>
        <v>6.0689807649789963E-2</v>
      </c>
      <c r="M19" s="2">
        <f>tblSales[[#This Row],[Sales]]/tblSales[[#This Row],[Transactions]]</f>
        <v>505</v>
      </c>
    </row>
    <row r="20" spans="1:13" x14ac:dyDescent="0.25">
      <c r="A20" s="1">
        <v>46023</v>
      </c>
      <c r="B20" t="s">
        <v>29</v>
      </c>
      <c r="C20" t="s">
        <v>9</v>
      </c>
      <c r="D20" t="str">
        <f>_xlfn.XLOOKUP(tblSales[[#This Row],[Store ID]],tblStores[Store ID],tblStores[Store Name])</f>
        <v>Polokwane</v>
      </c>
      <c r="E20" t="str">
        <f>_xlfn.XLOOKUP(tblSales[[#This Row],[Store ID]],tblStores[Store ID],tblStores[Province])</f>
        <v>Limpopo</v>
      </c>
      <c r="F20" t="str">
        <f>_xlfn.XLOOKUP(tblSales[[#This Row],[Store ID]],tblStores[Store ID],tblStores[Manager])</f>
        <v>Kevin Harris</v>
      </c>
      <c r="G20" t="str">
        <f>_xlfn.XLOOKUP(tblSales[[#This Row],[Category ID]],tblCategories[Category ID],tblCategories[Category])</f>
        <v>Ladieswear</v>
      </c>
      <c r="H20">
        <v>31616</v>
      </c>
      <c r="I20">
        <v>31453</v>
      </c>
      <c r="J20">
        <v>76</v>
      </c>
      <c r="K20">
        <f>tblSales[[#This Row],[Sales]]-tblSales[[#This Row],[Budget]]</f>
        <v>163</v>
      </c>
      <c r="L20" s="3">
        <f>(tblSales[[#This Row],[Sales]]-tblSales[[#This Row],[Budget]])/tblSales[[#This Row],[Budget]]</f>
        <v>5.1823355482783834E-3</v>
      </c>
      <c r="M20" s="2">
        <f>tblSales[[#This Row],[Sales]]/tblSales[[#This Row],[Transactions]]</f>
        <v>416</v>
      </c>
    </row>
    <row r="21" spans="1:13" x14ac:dyDescent="0.25">
      <c r="A21" s="1">
        <v>46023</v>
      </c>
      <c r="B21" t="s">
        <v>30</v>
      </c>
      <c r="C21" t="s">
        <v>19</v>
      </c>
      <c r="D21" t="str">
        <f>_xlfn.XLOOKUP(tblSales[[#This Row],[Store ID]],tblStores[Store ID],tblStores[Store Name])</f>
        <v>Nelspruit</v>
      </c>
      <c r="E21" t="str">
        <f>_xlfn.XLOOKUP(tblSales[[#This Row],[Store ID]],tblStores[Store ID],tblStores[Province])</f>
        <v>Mpumalanga</v>
      </c>
      <c r="F21" t="str">
        <f>_xlfn.XLOOKUP(tblSales[[#This Row],[Store ID]],tblStores[Store ID],tblStores[Manager])</f>
        <v>Olivia Turner</v>
      </c>
      <c r="G21" t="str">
        <f>_xlfn.XLOOKUP(tblSales[[#This Row],[Category ID]],tblCategories[Category ID],tblCategories[Category])</f>
        <v>Accessories</v>
      </c>
      <c r="H21">
        <v>31486</v>
      </c>
      <c r="I21">
        <v>34971</v>
      </c>
      <c r="J21">
        <v>91</v>
      </c>
      <c r="K21">
        <f>tblSales[[#This Row],[Sales]]-tblSales[[#This Row],[Budget]]</f>
        <v>-3485</v>
      </c>
      <c r="L21" s="3">
        <f>(tblSales[[#This Row],[Sales]]-tblSales[[#This Row],[Budget]])/tblSales[[#This Row],[Budget]]</f>
        <v>-9.9653999027765866E-2</v>
      </c>
      <c r="M21" s="2">
        <f>tblSales[[#This Row],[Sales]]/tblSales[[#This Row],[Transactions]]</f>
        <v>346</v>
      </c>
    </row>
    <row r="22" spans="1:13" x14ac:dyDescent="0.25">
      <c r="A22" s="1">
        <v>46024</v>
      </c>
      <c r="B22" t="s">
        <v>6</v>
      </c>
      <c r="C22" t="s">
        <v>7</v>
      </c>
      <c r="D22" t="str">
        <f>_xlfn.XLOOKUP(tblSales[[#This Row],[Store ID]],tblStores[Store ID],tblStores[Store Name])</f>
        <v>Durban CBD</v>
      </c>
      <c r="E22" t="str">
        <f>_xlfn.XLOOKUP(tblSales[[#This Row],[Store ID]],tblStores[Store ID],tblStores[Province])</f>
        <v>KZN</v>
      </c>
      <c r="F22" t="str">
        <f>_xlfn.XLOOKUP(tblSales[[#This Row],[Store ID]],tblStores[Store ID],tblStores[Manager])</f>
        <v>Sarah Adams</v>
      </c>
      <c r="G22" t="str">
        <f>_xlfn.XLOOKUP(tblSales[[#This Row],[Category ID]],tblCategories[Category ID],tblCategories[Category])</f>
        <v>Menswear</v>
      </c>
      <c r="H22">
        <v>18228</v>
      </c>
      <c r="I22">
        <v>20073</v>
      </c>
      <c r="J22">
        <v>93</v>
      </c>
      <c r="K22">
        <f>tblSales[[#This Row],[Sales]]-tblSales[[#This Row],[Budget]]</f>
        <v>-1845</v>
      </c>
      <c r="L22" s="3">
        <f>(tblSales[[#This Row],[Sales]]-tblSales[[#This Row],[Budget]])/tblSales[[#This Row],[Budget]]</f>
        <v>-9.191451203108654E-2</v>
      </c>
      <c r="M22" s="2">
        <f>tblSales[[#This Row],[Sales]]/tblSales[[#This Row],[Transactions]]</f>
        <v>196</v>
      </c>
    </row>
    <row r="23" spans="1:13" x14ac:dyDescent="0.25">
      <c r="A23" s="1">
        <v>46024</v>
      </c>
      <c r="B23" t="s">
        <v>8</v>
      </c>
      <c r="C23" t="s">
        <v>11</v>
      </c>
      <c r="D23" t="str">
        <f>_xlfn.XLOOKUP(tblSales[[#This Row],[Store ID]],tblStores[Store ID],tblStores[Store Name])</f>
        <v>Gateway</v>
      </c>
      <c r="E23" t="str">
        <f>_xlfn.XLOOKUP(tblSales[[#This Row],[Store ID]],tblStores[Store ID],tblStores[Province])</f>
        <v>KZN</v>
      </c>
      <c r="F23" t="str">
        <f>_xlfn.XLOOKUP(tblSales[[#This Row],[Store ID]],tblStores[Store ID],tblStores[Manager])</f>
        <v>Michael Jones</v>
      </c>
      <c r="G23" t="str">
        <f>_xlfn.XLOOKUP(tblSales[[#This Row],[Category ID]],tblCategories[Category ID],tblCategories[Category])</f>
        <v>Footwear</v>
      </c>
      <c r="H23">
        <v>21939</v>
      </c>
      <c r="I23">
        <v>20902</v>
      </c>
      <c r="J23">
        <v>103</v>
      </c>
      <c r="K23">
        <f>tblSales[[#This Row],[Sales]]-tblSales[[#This Row],[Budget]]</f>
        <v>1037</v>
      </c>
      <c r="L23" s="3">
        <f>(tblSales[[#This Row],[Sales]]-tblSales[[#This Row],[Budget]])/tblSales[[#This Row],[Budget]]</f>
        <v>4.9612477274901923E-2</v>
      </c>
      <c r="M23" s="2">
        <f>tblSales[[#This Row],[Sales]]/tblSales[[#This Row],[Transactions]]</f>
        <v>213</v>
      </c>
    </row>
    <row r="24" spans="1:13" x14ac:dyDescent="0.25">
      <c r="A24" s="1">
        <v>46024</v>
      </c>
      <c r="B24" t="s">
        <v>10</v>
      </c>
      <c r="C24" t="s">
        <v>19</v>
      </c>
      <c r="D24" t="str">
        <f>_xlfn.XLOOKUP(tblSales[[#This Row],[Store ID]],tblStores[Store ID],tblStores[Store Name])</f>
        <v>Ballito</v>
      </c>
      <c r="E24" t="str">
        <f>_xlfn.XLOOKUP(tblSales[[#This Row],[Store ID]],tblStores[Store ID],tblStores[Province])</f>
        <v>KZN</v>
      </c>
      <c r="F24" t="str">
        <f>_xlfn.XLOOKUP(tblSales[[#This Row],[Store ID]],tblStores[Store ID],tblStores[Manager])</f>
        <v>Linda Smith</v>
      </c>
      <c r="G24" t="str">
        <f>_xlfn.XLOOKUP(tblSales[[#This Row],[Category ID]],tblCategories[Category ID],tblCategories[Category])</f>
        <v>Accessories</v>
      </c>
      <c r="H24">
        <v>74338</v>
      </c>
      <c r="I24">
        <v>70855</v>
      </c>
      <c r="J24">
        <v>218</v>
      </c>
      <c r="K24">
        <f>tblSales[[#This Row],[Sales]]-tblSales[[#This Row],[Budget]]</f>
        <v>3483</v>
      </c>
      <c r="L24" s="3">
        <f>(tblSales[[#This Row],[Sales]]-tblSales[[#This Row],[Budget]])/tblSales[[#This Row],[Budget]]</f>
        <v>4.9156728530096679E-2</v>
      </c>
      <c r="M24" s="2">
        <f>tblSales[[#This Row],[Sales]]/tblSales[[#This Row],[Transactions]]</f>
        <v>341</v>
      </c>
    </row>
    <row r="25" spans="1:13" x14ac:dyDescent="0.25">
      <c r="A25" s="1">
        <v>46024</v>
      </c>
      <c r="B25" t="s">
        <v>12</v>
      </c>
      <c r="C25" t="s">
        <v>11</v>
      </c>
      <c r="D25" t="str">
        <f>_xlfn.XLOOKUP(tblSales[[#This Row],[Store ID]],tblStores[Store ID],tblStores[Store Name])</f>
        <v>Pietermaritzburg</v>
      </c>
      <c r="E25" t="str">
        <f>_xlfn.XLOOKUP(tblSales[[#This Row],[Store ID]],tblStores[Store ID],tblStores[Province])</f>
        <v>KZN</v>
      </c>
      <c r="F25" t="str">
        <f>_xlfn.XLOOKUP(tblSales[[#This Row],[Store ID]],tblStores[Store ID],tblStores[Manager])</f>
        <v>Peter Brown</v>
      </c>
      <c r="G25" t="str">
        <f>_xlfn.XLOOKUP(tblSales[[#This Row],[Category ID]],tblCategories[Category ID],tblCategories[Category])</f>
        <v>Footwear</v>
      </c>
      <c r="H25">
        <v>69224</v>
      </c>
      <c r="I25">
        <v>70242</v>
      </c>
      <c r="J25">
        <v>136</v>
      </c>
      <c r="K25">
        <f>tblSales[[#This Row],[Sales]]-tblSales[[#This Row],[Budget]]</f>
        <v>-1018</v>
      </c>
      <c r="L25" s="3">
        <f>(tblSales[[#This Row],[Sales]]-tblSales[[#This Row],[Budget]])/tblSales[[#This Row],[Budget]]</f>
        <v>-1.4492753623188406E-2</v>
      </c>
      <c r="M25" s="2">
        <f>tblSales[[#This Row],[Sales]]/tblSales[[#This Row],[Transactions]]</f>
        <v>509</v>
      </c>
    </row>
    <row r="26" spans="1:13" x14ac:dyDescent="0.25">
      <c r="A26" s="1">
        <v>46024</v>
      </c>
      <c r="B26" t="s">
        <v>13</v>
      </c>
      <c r="C26" t="s">
        <v>22</v>
      </c>
      <c r="D26" t="str">
        <f>_xlfn.XLOOKUP(tblSales[[#This Row],[Store ID]],tblStores[Store ID],tblStores[Store Name])</f>
        <v>Richards Bay</v>
      </c>
      <c r="E26" t="str">
        <f>_xlfn.XLOOKUP(tblSales[[#This Row],[Store ID]],tblStores[Store ID],tblStores[Province])</f>
        <v>KZN</v>
      </c>
      <c r="F26" t="str">
        <f>_xlfn.XLOOKUP(tblSales[[#This Row],[Store ID]],tblStores[Store ID],tblStores[Manager])</f>
        <v>David Green</v>
      </c>
      <c r="G26" t="str">
        <f>_xlfn.XLOOKUP(tblSales[[#This Row],[Category ID]],tblCategories[Category ID],tblCategories[Category])</f>
        <v>Kids</v>
      </c>
      <c r="H26">
        <v>21420</v>
      </c>
      <c r="I26">
        <v>23267</v>
      </c>
      <c r="J26">
        <v>70</v>
      </c>
      <c r="K26">
        <f>tblSales[[#This Row],[Sales]]-tblSales[[#This Row],[Budget]]</f>
        <v>-1847</v>
      </c>
      <c r="L26" s="3">
        <f>(tblSales[[#This Row],[Sales]]-tblSales[[#This Row],[Budget]])/tblSales[[#This Row],[Budget]]</f>
        <v>-7.9382816865087899E-2</v>
      </c>
      <c r="M26" s="2">
        <f>tblSales[[#This Row],[Sales]]/tblSales[[#This Row],[Transactions]]</f>
        <v>306</v>
      </c>
    </row>
    <row r="27" spans="1:13" x14ac:dyDescent="0.25">
      <c r="A27" s="1">
        <v>46024</v>
      </c>
      <c r="B27" t="s">
        <v>14</v>
      </c>
      <c r="C27" t="s">
        <v>19</v>
      </c>
      <c r="D27" t="str">
        <f>_xlfn.XLOOKUP(tblSales[[#This Row],[Store ID]],tblStores[Store ID],tblStores[Store Name])</f>
        <v>Sandton</v>
      </c>
      <c r="E27" t="str">
        <f>_xlfn.XLOOKUP(tblSales[[#This Row],[Store ID]],tblStores[Store ID],tblStores[Province])</f>
        <v>Gauteng</v>
      </c>
      <c r="F27" t="str">
        <f>_xlfn.XLOOKUP(tblSales[[#This Row],[Store ID]],tblStores[Store ID],tblStores[Manager])</f>
        <v>Karen White</v>
      </c>
      <c r="G27" t="str">
        <f>_xlfn.XLOOKUP(tblSales[[#This Row],[Category ID]],tblCategories[Category ID],tblCategories[Category])</f>
        <v>Accessories</v>
      </c>
      <c r="H27">
        <v>48858</v>
      </c>
      <c r="I27">
        <v>49205</v>
      </c>
      <c r="J27">
        <v>102</v>
      </c>
      <c r="K27">
        <f>tblSales[[#This Row],[Sales]]-tblSales[[#This Row],[Budget]]</f>
        <v>-347</v>
      </c>
      <c r="L27" s="3">
        <f>(tblSales[[#This Row],[Sales]]-tblSales[[#This Row],[Budget]])/tblSales[[#This Row],[Budget]]</f>
        <v>-7.0521288486942385E-3</v>
      </c>
      <c r="M27" s="2">
        <f>tblSales[[#This Row],[Sales]]/tblSales[[#This Row],[Transactions]]</f>
        <v>479</v>
      </c>
    </row>
    <row r="28" spans="1:13" x14ac:dyDescent="0.25">
      <c r="A28" s="1">
        <v>46024</v>
      </c>
      <c r="B28" t="s">
        <v>15</v>
      </c>
      <c r="C28" t="s">
        <v>19</v>
      </c>
      <c r="D28" t="str">
        <f>_xlfn.XLOOKUP(tblSales[[#This Row],[Store ID]],tblStores[Store ID],tblStores[Store Name])</f>
        <v>Rosebank</v>
      </c>
      <c r="E28" t="str">
        <f>_xlfn.XLOOKUP(tblSales[[#This Row],[Store ID]],tblStores[Store ID],tblStores[Province])</f>
        <v>Gauteng</v>
      </c>
      <c r="F28" t="str">
        <f>_xlfn.XLOOKUP(tblSales[[#This Row],[Store ID]],tblStores[Store ID],tblStores[Manager])</f>
        <v>James Taylor</v>
      </c>
      <c r="G28" t="str">
        <f>_xlfn.XLOOKUP(tblSales[[#This Row],[Category ID]],tblCategories[Category ID],tblCategories[Category])</f>
        <v>Accessories</v>
      </c>
      <c r="H28">
        <v>50005</v>
      </c>
      <c r="I28">
        <v>47746</v>
      </c>
      <c r="J28">
        <v>137</v>
      </c>
      <c r="K28">
        <f>tblSales[[#This Row],[Sales]]-tblSales[[#This Row],[Budget]]</f>
        <v>2259</v>
      </c>
      <c r="L28" s="3">
        <f>(tblSales[[#This Row],[Sales]]-tblSales[[#This Row],[Budget]])/tblSales[[#This Row],[Budget]]</f>
        <v>4.7312863904829722E-2</v>
      </c>
      <c r="M28" s="2">
        <f>tblSales[[#This Row],[Sales]]/tblSales[[#This Row],[Transactions]]</f>
        <v>365</v>
      </c>
    </row>
    <row r="29" spans="1:13" x14ac:dyDescent="0.25">
      <c r="A29" s="1">
        <v>46024</v>
      </c>
      <c r="B29" t="s">
        <v>16</v>
      </c>
      <c r="C29" t="s">
        <v>9</v>
      </c>
      <c r="D29" t="str">
        <f>_xlfn.XLOOKUP(tblSales[[#This Row],[Store ID]],tblStores[Store ID],tblStores[Store Name])</f>
        <v>Pretoria</v>
      </c>
      <c r="E29" t="str">
        <f>_xlfn.XLOOKUP(tblSales[[#This Row],[Store ID]],tblStores[Store ID],tblStores[Province])</f>
        <v>Gauteng</v>
      </c>
      <c r="F29" t="str">
        <f>_xlfn.XLOOKUP(tblSales[[#This Row],[Store ID]],tblStores[Store ID],tblStores[Manager])</f>
        <v>Susan Clark</v>
      </c>
      <c r="G29" t="str">
        <f>_xlfn.XLOOKUP(tblSales[[#This Row],[Category ID]],tblCategories[Category ID],tblCategories[Category])</f>
        <v>Ladieswear</v>
      </c>
      <c r="H29">
        <v>71280</v>
      </c>
      <c r="I29">
        <v>65772</v>
      </c>
      <c r="J29">
        <v>165</v>
      </c>
      <c r="K29">
        <f>tblSales[[#This Row],[Sales]]-tblSales[[#This Row],[Budget]]</f>
        <v>5508</v>
      </c>
      <c r="L29" s="3">
        <f>(tblSales[[#This Row],[Sales]]-tblSales[[#This Row],[Budget]])/tblSales[[#This Row],[Budget]]</f>
        <v>8.3743842364532015E-2</v>
      </c>
      <c r="M29" s="2">
        <f>tblSales[[#This Row],[Sales]]/tblSales[[#This Row],[Transactions]]</f>
        <v>432</v>
      </c>
    </row>
    <row r="30" spans="1:13" x14ac:dyDescent="0.25">
      <c r="A30" s="1">
        <v>46024</v>
      </c>
      <c r="B30" t="s">
        <v>17</v>
      </c>
      <c r="C30" t="s">
        <v>7</v>
      </c>
      <c r="D30" t="str">
        <f>_xlfn.XLOOKUP(tblSales[[#This Row],[Store ID]],tblStores[Store ID],tblStores[Store Name])</f>
        <v>Centurion</v>
      </c>
      <c r="E30" t="str">
        <f>_xlfn.XLOOKUP(tblSales[[#This Row],[Store ID]],tblStores[Store ID],tblStores[Province])</f>
        <v>Gauteng</v>
      </c>
      <c r="F30" t="str">
        <f>_xlfn.XLOOKUP(tblSales[[#This Row],[Store ID]],tblStores[Store ID],tblStores[Manager])</f>
        <v>Mark Wilson</v>
      </c>
      <c r="G30" t="str">
        <f>_xlfn.XLOOKUP(tblSales[[#This Row],[Category ID]],tblCategories[Category ID],tblCategories[Category])</f>
        <v>Menswear</v>
      </c>
      <c r="H30">
        <v>16254</v>
      </c>
      <c r="I30">
        <v>17178</v>
      </c>
      <c r="J30">
        <v>63</v>
      </c>
      <c r="K30">
        <f>tblSales[[#This Row],[Sales]]-tblSales[[#This Row],[Budget]]</f>
        <v>-924</v>
      </c>
      <c r="L30" s="3">
        <f>(tblSales[[#This Row],[Sales]]-tblSales[[#This Row],[Budget]])/tblSales[[#This Row],[Budget]]</f>
        <v>-5.3789731051344741E-2</v>
      </c>
      <c r="M30" s="2">
        <f>tblSales[[#This Row],[Sales]]/tblSales[[#This Row],[Transactions]]</f>
        <v>258</v>
      </c>
    </row>
    <row r="31" spans="1:13" x14ac:dyDescent="0.25">
      <c r="A31" s="1">
        <v>46024</v>
      </c>
      <c r="B31" t="s">
        <v>18</v>
      </c>
      <c r="C31" t="s">
        <v>11</v>
      </c>
      <c r="D31" t="str">
        <f>_xlfn.XLOOKUP(tblSales[[#This Row],[Store ID]],tblStores[Store ID],tblStores[Store Name])</f>
        <v>East Rand</v>
      </c>
      <c r="E31" t="str">
        <f>_xlfn.XLOOKUP(tblSales[[#This Row],[Store ID]],tblStores[Store ID],tblStores[Province])</f>
        <v>Gauteng</v>
      </c>
      <c r="F31" t="str">
        <f>_xlfn.XLOOKUP(tblSales[[#This Row],[Store ID]],tblStores[Store ID],tblStores[Manager])</f>
        <v>Lisa Young</v>
      </c>
      <c r="G31" t="str">
        <f>_xlfn.XLOOKUP(tblSales[[#This Row],[Category ID]],tblCategories[Category ID],tblCategories[Category])</f>
        <v>Footwear</v>
      </c>
      <c r="H31">
        <v>39644</v>
      </c>
      <c r="I31">
        <v>39493</v>
      </c>
      <c r="J31">
        <v>187</v>
      </c>
      <c r="K31">
        <f>tblSales[[#This Row],[Sales]]-tblSales[[#This Row],[Budget]]</f>
        <v>151</v>
      </c>
      <c r="L31" s="3">
        <f>(tblSales[[#This Row],[Sales]]-tblSales[[#This Row],[Budget]])/tblSales[[#This Row],[Budget]]</f>
        <v>3.8234623857392449E-3</v>
      </c>
      <c r="M31" s="2">
        <f>tblSales[[#This Row],[Sales]]/tblSales[[#This Row],[Transactions]]</f>
        <v>212</v>
      </c>
    </row>
    <row r="32" spans="1:13" x14ac:dyDescent="0.25">
      <c r="A32" s="1">
        <v>46024</v>
      </c>
      <c r="B32" t="s">
        <v>20</v>
      </c>
      <c r="C32" t="s">
        <v>19</v>
      </c>
      <c r="D32" t="str">
        <f>_xlfn.XLOOKUP(tblSales[[#This Row],[Store ID]],tblStores[Store ID],tblStores[Store Name])</f>
        <v>Cape Town CBD</v>
      </c>
      <c r="E32" t="str">
        <f>_xlfn.XLOOKUP(tblSales[[#This Row],[Store ID]],tblStores[Store ID],tblStores[Province])</f>
        <v>Western Cape</v>
      </c>
      <c r="F32" t="str">
        <f>_xlfn.XLOOKUP(tblSales[[#This Row],[Store ID]],tblStores[Store ID],tblStores[Manager])</f>
        <v>Brian Hall</v>
      </c>
      <c r="G32" t="str">
        <f>_xlfn.XLOOKUP(tblSales[[#This Row],[Category ID]],tblCategories[Category ID],tblCategories[Category])</f>
        <v>Accessories</v>
      </c>
      <c r="H32">
        <v>69300</v>
      </c>
      <c r="I32">
        <v>66725</v>
      </c>
      <c r="J32">
        <v>154</v>
      </c>
      <c r="K32">
        <f>tblSales[[#This Row],[Sales]]-tblSales[[#This Row],[Budget]]</f>
        <v>2575</v>
      </c>
      <c r="L32" s="3">
        <f>(tblSales[[#This Row],[Sales]]-tblSales[[#This Row],[Budget]])/tblSales[[#This Row],[Budget]]</f>
        <v>3.8591232671412512E-2</v>
      </c>
      <c r="M32" s="2">
        <f>tblSales[[#This Row],[Sales]]/tblSales[[#This Row],[Transactions]]</f>
        <v>450</v>
      </c>
    </row>
    <row r="33" spans="1:13" x14ac:dyDescent="0.25">
      <c r="A33" s="1">
        <v>46024</v>
      </c>
      <c r="B33" t="s">
        <v>21</v>
      </c>
      <c r="C33" t="s">
        <v>19</v>
      </c>
      <c r="D33" t="str">
        <f>_xlfn.XLOOKUP(tblSales[[#This Row],[Store ID]],tblStores[Store ID],tblStores[Store Name])</f>
        <v>Canal Walk</v>
      </c>
      <c r="E33" t="str">
        <f>_xlfn.XLOOKUP(tblSales[[#This Row],[Store ID]],tblStores[Store ID],tblStores[Province])</f>
        <v>Western Cape</v>
      </c>
      <c r="F33" t="str">
        <f>_xlfn.XLOOKUP(tblSales[[#This Row],[Store ID]],tblStores[Store ID],tblStores[Manager])</f>
        <v>Megan Scott</v>
      </c>
      <c r="G33" t="str">
        <f>_xlfn.XLOOKUP(tblSales[[#This Row],[Category ID]],tblCategories[Category ID],tblCategories[Category])</f>
        <v>Accessories</v>
      </c>
      <c r="H33">
        <v>8806</v>
      </c>
      <c r="I33">
        <v>9426</v>
      </c>
      <c r="J33">
        <v>37</v>
      </c>
      <c r="K33">
        <f>tblSales[[#This Row],[Sales]]-tblSales[[#This Row],[Budget]]</f>
        <v>-620</v>
      </c>
      <c r="L33" s="3">
        <f>(tblSales[[#This Row],[Sales]]-tblSales[[#This Row],[Budget]])/tblSales[[#This Row],[Budget]]</f>
        <v>-6.5775514534266916E-2</v>
      </c>
      <c r="M33" s="2">
        <f>tblSales[[#This Row],[Sales]]/tblSales[[#This Row],[Transactions]]</f>
        <v>238</v>
      </c>
    </row>
    <row r="34" spans="1:13" x14ac:dyDescent="0.25">
      <c r="A34" s="1">
        <v>46024</v>
      </c>
      <c r="B34" t="s">
        <v>23</v>
      </c>
      <c r="C34" t="s">
        <v>19</v>
      </c>
      <c r="D34" t="str">
        <f>_xlfn.XLOOKUP(tblSales[[#This Row],[Store ID]],tblStores[Store ID],tblStores[Store Name])</f>
        <v>Stellenbosch</v>
      </c>
      <c r="E34" t="str">
        <f>_xlfn.XLOOKUP(tblSales[[#This Row],[Store ID]],tblStores[Store ID],tblStores[Province])</f>
        <v>Western Cape</v>
      </c>
      <c r="F34" t="str">
        <f>_xlfn.XLOOKUP(tblSales[[#This Row],[Store ID]],tblStores[Store ID],tblStores[Manager])</f>
        <v>Jason King</v>
      </c>
      <c r="G34" t="str">
        <f>_xlfn.XLOOKUP(tblSales[[#This Row],[Category ID]],tblCategories[Category ID],tblCategories[Category])</f>
        <v>Accessories</v>
      </c>
      <c r="H34">
        <v>52324</v>
      </c>
      <c r="I34">
        <v>51541</v>
      </c>
      <c r="J34">
        <v>103</v>
      </c>
      <c r="K34">
        <f>tblSales[[#This Row],[Sales]]-tblSales[[#This Row],[Budget]]</f>
        <v>783</v>
      </c>
      <c r="L34" s="3">
        <f>(tblSales[[#This Row],[Sales]]-tblSales[[#This Row],[Budget]])/tblSales[[#This Row],[Budget]]</f>
        <v>1.5191789061135795E-2</v>
      </c>
      <c r="M34" s="2">
        <f>tblSales[[#This Row],[Sales]]/tblSales[[#This Row],[Transactions]]</f>
        <v>508</v>
      </c>
    </row>
    <row r="35" spans="1:13" x14ac:dyDescent="0.25">
      <c r="A35" s="1">
        <v>46024</v>
      </c>
      <c r="B35" t="s">
        <v>24</v>
      </c>
      <c r="C35" t="s">
        <v>22</v>
      </c>
      <c r="D35" t="str">
        <f>_xlfn.XLOOKUP(tblSales[[#This Row],[Store ID]],tblStores[Store ID],tblStores[Store Name])</f>
        <v>George</v>
      </c>
      <c r="E35" t="str">
        <f>_xlfn.XLOOKUP(tblSales[[#This Row],[Store ID]],tblStores[Store ID],tblStores[Province])</f>
        <v>Western Cape</v>
      </c>
      <c r="F35" t="str">
        <f>_xlfn.XLOOKUP(tblSales[[#This Row],[Store ID]],tblStores[Store ID],tblStores[Manager])</f>
        <v>Chloe Hill</v>
      </c>
      <c r="G35" t="str">
        <f>_xlfn.XLOOKUP(tblSales[[#This Row],[Category ID]],tblCategories[Category ID],tblCategories[Category])</f>
        <v>Kids</v>
      </c>
      <c r="H35">
        <v>37960</v>
      </c>
      <c r="I35">
        <v>38469</v>
      </c>
      <c r="J35">
        <v>146</v>
      </c>
      <c r="K35">
        <f>tblSales[[#This Row],[Sales]]-tblSales[[#This Row],[Budget]]</f>
        <v>-509</v>
      </c>
      <c r="L35" s="3">
        <f>(tblSales[[#This Row],[Sales]]-tblSales[[#This Row],[Budget]])/tblSales[[#This Row],[Budget]]</f>
        <v>-1.3231433101978217E-2</v>
      </c>
      <c r="M35" s="2">
        <f>tblSales[[#This Row],[Sales]]/tblSales[[#This Row],[Transactions]]</f>
        <v>260</v>
      </c>
    </row>
    <row r="36" spans="1:13" x14ac:dyDescent="0.25">
      <c r="A36" s="1">
        <v>46024</v>
      </c>
      <c r="B36" t="s">
        <v>25</v>
      </c>
      <c r="C36" t="s">
        <v>22</v>
      </c>
      <c r="D36" t="str">
        <f>_xlfn.XLOOKUP(tblSales[[#This Row],[Store ID]],tblStores[Store ID],tblStores[Store Name])</f>
        <v>Paarl</v>
      </c>
      <c r="E36" t="str">
        <f>_xlfn.XLOOKUP(tblSales[[#This Row],[Store ID]],tblStores[Store ID],tblStores[Province])</f>
        <v>Western Cape</v>
      </c>
      <c r="F36" t="str">
        <f>_xlfn.XLOOKUP(tblSales[[#This Row],[Store ID]],tblStores[Store ID],tblStores[Manager])</f>
        <v>Andrew Lee</v>
      </c>
      <c r="G36" t="str">
        <f>_xlfn.XLOOKUP(tblSales[[#This Row],[Category ID]],tblCategories[Category ID],tblCategories[Category])</f>
        <v>Kids</v>
      </c>
      <c r="H36">
        <v>44173</v>
      </c>
      <c r="I36">
        <v>45362</v>
      </c>
      <c r="J36">
        <v>163</v>
      </c>
      <c r="K36">
        <f>tblSales[[#This Row],[Sales]]-tblSales[[#This Row],[Budget]]</f>
        <v>-1189</v>
      </c>
      <c r="L36" s="3">
        <f>(tblSales[[#This Row],[Sales]]-tblSales[[#This Row],[Budget]])/tblSales[[#This Row],[Budget]]</f>
        <v>-2.6211366341872051E-2</v>
      </c>
      <c r="M36" s="2">
        <f>tblSales[[#This Row],[Sales]]/tblSales[[#This Row],[Transactions]]</f>
        <v>271</v>
      </c>
    </row>
    <row r="37" spans="1:13" x14ac:dyDescent="0.25">
      <c r="A37" s="1">
        <v>46024</v>
      </c>
      <c r="B37" t="s">
        <v>26</v>
      </c>
      <c r="C37" t="s">
        <v>7</v>
      </c>
      <c r="D37" t="str">
        <f>_xlfn.XLOOKUP(tblSales[[#This Row],[Store ID]],tblStores[Store ID],tblStores[Store Name])</f>
        <v>Gqeberha</v>
      </c>
      <c r="E37" t="str">
        <f>_xlfn.XLOOKUP(tblSales[[#This Row],[Store ID]],tblStores[Store ID],tblStores[Province])</f>
        <v>Eastern Cape</v>
      </c>
      <c r="F37" t="str">
        <f>_xlfn.XLOOKUP(tblSales[[#This Row],[Store ID]],tblStores[Store ID],tblStores[Manager])</f>
        <v>Emma Baker</v>
      </c>
      <c r="G37" t="str">
        <f>_xlfn.XLOOKUP(tblSales[[#This Row],[Category ID]],tblCategories[Category ID],tblCategories[Category])</f>
        <v>Menswear</v>
      </c>
      <c r="H37">
        <v>64740</v>
      </c>
      <c r="I37">
        <v>71888</v>
      </c>
      <c r="J37">
        <v>195</v>
      </c>
      <c r="K37">
        <f>tblSales[[#This Row],[Sales]]-tblSales[[#This Row],[Budget]]</f>
        <v>-7148</v>
      </c>
      <c r="L37" s="3">
        <f>(tblSales[[#This Row],[Sales]]-tblSales[[#This Row],[Budget]])/tblSales[[#This Row],[Budget]]</f>
        <v>-9.9432450478522144E-2</v>
      </c>
      <c r="M37" s="2">
        <f>tblSales[[#This Row],[Sales]]/tblSales[[#This Row],[Transactions]]</f>
        <v>332</v>
      </c>
    </row>
    <row r="38" spans="1:13" x14ac:dyDescent="0.25">
      <c r="A38" s="1">
        <v>46024</v>
      </c>
      <c r="B38" t="s">
        <v>27</v>
      </c>
      <c r="C38" t="s">
        <v>19</v>
      </c>
      <c r="D38" t="str">
        <f>_xlfn.XLOOKUP(tblSales[[#This Row],[Store ID]],tblStores[Store ID],tblStores[Store Name])</f>
        <v>East London</v>
      </c>
      <c r="E38" t="str">
        <f>_xlfn.XLOOKUP(tblSales[[#This Row],[Store ID]],tblStores[Store ID],tblStores[Province])</f>
        <v>Eastern Cape</v>
      </c>
      <c r="F38" t="str">
        <f>_xlfn.XLOOKUP(tblSales[[#This Row],[Store ID]],tblStores[Store ID],tblStores[Manager])</f>
        <v>Daniel Evans</v>
      </c>
      <c r="G38" t="str">
        <f>_xlfn.XLOOKUP(tblSales[[#This Row],[Category ID]],tblCategories[Category ID],tblCategories[Category])</f>
        <v>Accessories</v>
      </c>
      <c r="H38">
        <v>53390</v>
      </c>
      <c r="I38">
        <v>50091</v>
      </c>
      <c r="J38">
        <v>190</v>
      </c>
      <c r="K38">
        <f>tblSales[[#This Row],[Sales]]-tblSales[[#This Row],[Budget]]</f>
        <v>3299</v>
      </c>
      <c r="L38" s="3">
        <f>(tblSales[[#This Row],[Sales]]-tblSales[[#This Row],[Budget]])/tblSales[[#This Row],[Budget]]</f>
        <v>6.5860134555109695E-2</v>
      </c>
      <c r="M38" s="2">
        <f>tblSales[[#This Row],[Sales]]/tblSales[[#This Row],[Transactions]]</f>
        <v>281</v>
      </c>
    </row>
    <row r="39" spans="1:13" x14ac:dyDescent="0.25">
      <c r="A39" s="1">
        <v>46024</v>
      </c>
      <c r="B39" t="s">
        <v>28</v>
      </c>
      <c r="C39" t="s">
        <v>9</v>
      </c>
      <c r="D39" t="str">
        <f>_xlfn.XLOOKUP(tblSales[[#This Row],[Store ID]],tblStores[Store ID],tblStores[Store Name])</f>
        <v>Bloemfontein</v>
      </c>
      <c r="E39" t="str">
        <f>_xlfn.XLOOKUP(tblSales[[#This Row],[Store ID]],tblStores[Store ID],tblStores[Province])</f>
        <v>Free State</v>
      </c>
      <c r="F39" t="str">
        <f>_xlfn.XLOOKUP(tblSales[[#This Row],[Store ID]],tblStores[Store ID],tblStores[Manager])</f>
        <v>Rachel Moore</v>
      </c>
      <c r="G39" t="str">
        <f>_xlfn.XLOOKUP(tblSales[[#This Row],[Category ID]],tblCategories[Category ID],tblCategories[Category])</f>
        <v>Ladieswear</v>
      </c>
      <c r="H39">
        <v>78023</v>
      </c>
      <c r="I39">
        <v>88136</v>
      </c>
      <c r="J39">
        <v>173</v>
      </c>
      <c r="K39">
        <f>tblSales[[#This Row],[Sales]]-tblSales[[#This Row],[Budget]]</f>
        <v>-10113</v>
      </c>
      <c r="L39" s="3">
        <f>(tblSales[[#This Row],[Sales]]-tblSales[[#This Row],[Budget]])/tblSales[[#This Row],[Budget]]</f>
        <v>-0.11474312426250341</v>
      </c>
      <c r="M39" s="2">
        <f>tblSales[[#This Row],[Sales]]/tblSales[[#This Row],[Transactions]]</f>
        <v>451</v>
      </c>
    </row>
    <row r="40" spans="1:13" x14ac:dyDescent="0.25">
      <c r="A40" s="1">
        <v>46024</v>
      </c>
      <c r="B40" t="s">
        <v>29</v>
      </c>
      <c r="C40" t="s">
        <v>19</v>
      </c>
      <c r="D40" t="str">
        <f>_xlfn.XLOOKUP(tblSales[[#This Row],[Store ID]],tblStores[Store ID],tblStores[Store Name])</f>
        <v>Polokwane</v>
      </c>
      <c r="E40" t="str">
        <f>_xlfn.XLOOKUP(tblSales[[#This Row],[Store ID]],tblStores[Store ID],tblStores[Province])</f>
        <v>Limpopo</v>
      </c>
      <c r="F40" t="str">
        <f>_xlfn.XLOOKUP(tblSales[[#This Row],[Store ID]],tblStores[Store ID],tblStores[Manager])</f>
        <v>Kevin Harris</v>
      </c>
      <c r="G40" t="str">
        <f>_xlfn.XLOOKUP(tblSales[[#This Row],[Category ID]],tblCategories[Category ID],tblCategories[Category])</f>
        <v>Accessories</v>
      </c>
      <c r="H40">
        <v>50310</v>
      </c>
      <c r="I40">
        <v>45523</v>
      </c>
      <c r="J40">
        <v>117</v>
      </c>
      <c r="K40">
        <f>tblSales[[#This Row],[Sales]]-tblSales[[#This Row],[Budget]]</f>
        <v>4787</v>
      </c>
      <c r="L40" s="3">
        <f>(tblSales[[#This Row],[Sales]]-tblSales[[#This Row],[Budget]])/tblSales[[#This Row],[Budget]]</f>
        <v>0.10515563561276717</v>
      </c>
      <c r="M40" s="2">
        <f>tblSales[[#This Row],[Sales]]/tblSales[[#This Row],[Transactions]]</f>
        <v>430</v>
      </c>
    </row>
    <row r="41" spans="1:13" x14ac:dyDescent="0.25">
      <c r="A41" s="1">
        <v>46024</v>
      </c>
      <c r="B41" t="s">
        <v>30</v>
      </c>
      <c r="C41" t="s">
        <v>22</v>
      </c>
      <c r="D41" t="str">
        <f>_xlfn.XLOOKUP(tblSales[[#This Row],[Store ID]],tblStores[Store ID],tblStores[Store Name])</f>
        <v>Nelspruit</v>
      </c>
      <c r="E41" t="str">
        <f>_xlfn.XLOOKUP(tblSales[[#This Row],[Store ID]],tblStores[Store ID],tblStores[Province])</f>
        <v>Mpumalanga</v>
      </c>
      <c r="F41" t="str">
        <f>_xlfn.XLOOKUP(tblSales[[#This Row],[Store ID]],tblStores[Store ID],tblStores[Manager])</f>
        <v>Olivia Turner</v>
      </c>
      <c r="G41" t="str">
        <f>_xlfn.XLOOKUP(tblSales[[#This Row],[Category ID]],tblCategories[Category ID],tblCategories[Category])</f>
        <v>Kids</v>
      </c>
      <c r="H41">
        <v>34126</v>
      </c>
      <c r="I41">
        <v>31207</v>
      </c>
      <c r="J41">
        <v>113</v>
      </c>
      <c r="K41">
        <f>tblSales[[#This Row],[Sales]]-tblSales[[#This Row],[Budget]]</f>
        <v>2919</v>
      </c>
      <c r="L41" s="3">
        <f>(tblSales[[#This Row],[Sales]]-tblSales[[#This Row],[Budget]])/tblSales[[#This Row],[Budget]]</f>
        <v>9.3536706508155223E-2</v>
      </c>
      <c r="M41" s="2">
        <f>tblSales[[#This Row],[Sales]]/tblSales[[#This Row],[Transactions]]</f>
        <v>302</v>
      </c>
    </row>
    <row r="42" spans="1:13" x14ac:dyDescent="0.25">
      <c r="A42" s="1">
        <v>46025</v>
      </c>
      <c r="B42" t="s">
        <v>6</v>
      </c>
      <c r="C42" t="s">
        <v>19</v>
      </c>
      <c r="D42" t="str">
        <f>_xlfn.XLOOKUP(tblSales[[#This Row],[Store ID]],tblStores[Store ID],tblStores[Store Name])</f>
        <v>Durban CBD</v>
      </c>
      <c r="E42" t="str">
        <f>_xlfn.XLOOKUP(tblSales[[#This Row],[Store ID]],tblStores[Store ID],tblStores[Province])</f>
        <v>KZN</v>
      </c>
      <c r="F42" t="str">
        <f>_xlfn.XLOOKUP(tblSales[[#This Row],[Store ID]],tblStores[Store ID],tblStores[Manager])</f>
        <v>Sarah Adams</v>
      </c>
      <c r="G42" t="str">
        <f>_xlfn.XLOOKUP(tblSales[[#This Row],[Category ID]],tblCategories[Category ID],tblCategories[Category])</f>
        <v>Accessories</v>
      </c>
      <c r="H42">
        <v>12265</v>
      </c>
      <c r="I42">
        <v>13282</v>
      </c>
      <c r="J42">
        <v>55</v>
      </c>
      <c r="K42">
        <f>tblSales[[#This Row],[Sales]]-tblSales[[#This Row],[Budget]]</f>
        <v>-1017</v>
      </c>
      <c r="L42" s="3">
        <f>(tblSales[[#This Row],[Sales]]-tblSales[[#This Row],[Budget]])/tblSales[[#This Row],[Budget]]</f>
        <v>-7.6569793705767206E-2</v>
      </c>
      <c r="M42" s="2">
        <f>tblSales[[#This Row],[Sales]]/tblSales[[#This Row],[Transactions]]</f>
        <v>223</v>
      </c>
    </row>
    <row r="43" spans="1:13" x14ac:dyDescent="0.25">
      <c r="A43" s="1">
        <v>46025</v>
      </c>
      <c r="B43" t="s">
        <v>8</v>
      </c>
      <c r="C43" t="s">
        <v>7</v>
      </c>
      <c r="D43" t="str">
        <f>_xlfn.XLOOKUP(tblSales[[#This Row],[Store ID]],tblStores[Store ID],tblStores[Store Name])</f>
        <v>Gateway</v>
      </c>
      <c r="E43" t="str">
        <f>_xlfn.XLOOKUP(tblSales[[#This Row],[Store ID]],tblStores[Store ID],tblStores[Province])</f>
        <v>KZN</v>
      </c>
      <c r="F43" t="str">
        <f>_xlfn.XLOOKUP(tblSales[[#This Row],[Store ID]],tblStores[Store ID],tblStores[Manager])</f>
        <v>Michael Jones</v>
      </c>
      <c r="G43" t="str">
        <f>_xlfn.XLOOKUP(tblSales[[#This Row],[Category ID]],tblCategories[Category ID],tblCategories[Category])</f>
        <v>Menswear</v>
      </c>
      <c r="H43">
        <v>41724</v>
      </c>
      <c r="I43">
        <v>38890</v>
      </c>
      <c r="J43">
        <v>171</v>
      </c>
      <c r="K43">
        <f>tblSales[[#This Row],[Sales]]-tblSales[[#This Row],[Budget]]</f>
        <v>2834</v>
      </c>
      <c r="L43" s="3">
        <f>(tblSales[[#This Row],[Sales]]-tblSales[[#This Row],[Budget]])/tblSales[[#This Row],[Budget]]</f>
        <v>7.2872203651324241E-2</v>
      </c>
      <c r="M43" s="2">
        <f>tblSales[[#This Row],[Sales]]/tblSales[[#This Row],[Transactions]]</f>
        <v>244</v>
      </c>
    </row>
    <row r="44" spans="1:13" x14ac:dyDescent="0.25">
      <c r="A44" s="1">
        <v>46025</v>
      </c>
      <c r="B44" t="s">
        <v>10</v>
      </c>
      <c r="C44" t="s">
        <v>11</v>
      </c>
      <c r="D44" t="str">
        <f>_xlfn.XLOOKUP(tblSales[[#This Row],[Store ID]],tblStores[Store ID],tblStores[Store Name])</f>
        <v>Ballito</v>
      </c>
      <c r="E44" t="str">
        <f>_xlfn.XLOOKUP(tblSales[[#This Row],[Store ID]],tblStores[Store ID],tblStores[Province])</f>
        <v>KZN</v>
      </c>
      <c r="F44" t="str">
        <f>_xlfn.XLOOKUP(tblSales[[#This Row],[Store ID]],tblStores[Store ID],tblStores[Manager])</f>
        <v>Linda Smith</v>
      </c>
      <c r="G44" t="str">
        <f>_xlfn.XLOOKUP(tblSales[[#This Row],[Category ID]],tblCategories[Category ID],tblCategories[Category])</f>
        <v>Footwear</v>
      </c>
      <c r="H44">
        <v>46200</v>
      </c>
      <c r="I44">
        <v>44641</v>
      </c>
      <c r="J44">
        <v>175</v>
      </c>
      <c r="K44">
        <f>tblSales[[#This Row],[Sales]]-tblSales[[#This Row],[Budget]]</f>
        <v>1559</v>
      </c>
      <c r="L44" s="3">
        <f>(tblSales[[#This Row],[Sales]]-tblSales[[#This Row],[Budget]])/tblSales[[#This Row],[Budget]]</f>
        <v>3.4923052798996441E-2</v>
      </c>
      <c r="M44" s="2">
        <f>tblSales[[#This Row],[Sales]]/tblSales[[#This Row],[Transactions]]</f>
        <v>264</v>
      </c>
    </row>
    <row r="45" spans="1:13" x14ac:dyDescent="0.25">
      <c r="A45" s="1">
        <v>46025</v>
      </c>
      <c r="B45" t="s">
        <v>12</v>
      </c>
      <c r="C45" t="s">
        <v>19</v>
      </c>
      <c r="D45" t="str">
        <f>_xlfn.XLOOKUP(tblSales[[#This Row],[Store ID]],tblStores[Store ID],tblStores[Store Name])</f>
        <v>Pietermaritzburg</v>
      </c>
      <c r="E45" t="str">
        <f>_xlfn.XLOOKUP(tblSales[[#This Row],[Store ID]],tblStores[Store ID],tblStores[Province])</f>
        <v>KZN</v>
      </c>
      <c r="F45" t="str">
        <f>_xlfn.XLOOKUP(tblSales[[#This Row],[Store ID]],tblStores[Store ID],tblStores[Manager])</f>
        <v>Peter Brown</v>
      </c>
      <c r="G45" t="str">
        <f>_xlfn.XLOOKUP(tblSales[[#This Row],[Category ID]],tblCategories[Category ID],tblCategories[Category])</f>
        <v>Accessories</v>
      </c>
      <c r="H45">
        <v>41184</v>
      </c>
      <c r="I45">
        <v>46629</v>
      </c>
      <c r="J45">
        <v>143</v>
      </c>
      <c r="K45">
        <f>tblSales[[#This Row],[Sales]]-tblSales[[#This Row],[Budget]]</f>
        <v>-5445</v>
      </c>
      <c r="L45" s="3">
        <f>(tblSales[[#This Row],[Sales]]-tblSales[[#This Row],[Budget]])/tblSales[[#This Row],[Budget]]</f>
        <v>-0.11677282377919321</v>
      </c>
      <c r="M45" s="2">
        <f>tblSales[[#This Row],[Sales]]/tblSales[[#This Row],[Transactions]]</f>
        <v>288</v>
      </c>
    </row>
    <row r="46" spans="1:13" x14ac:dyDescent="0.25">
      <c r="A46" s="1">
        <v>46025</v>
      </c>
      <c r="B46" t="s">
        <v>13</v>
      </c>
      <c r="C46" t="s">
        <v>9</v>
      </c>
      <c r="D46" t="str">
        <f>_xlfn.XLOOKUP(tblSales[[#This Row],[Store ID]],tblStores[Store ID],tblStores[Store Name])</f>
        <v>Richards Bay</v>
      </c>
      <c r="E46" t="str">
        <f>_xlfn.XLOOKUP(tblSales[[#This Row],[Store ID]],tblStores[Store ID],tblStores[Province])</f>
        <v>KZN</v>
      </c>
      <c r="F46" t="str">
        <f>_xlfn.XLOOKUP(tblSales[[#This Row],[Store ID]],tblStores[Store ID],tblStores[Manager])</f>
        <v>David Green</v>
      </c>
      <c r="G46" t="str">
        <f>_xlfn.XLOOKUP(tblSales[[#This Row],[Category ID]],tblCategories[Category ID],tblCategories[Category])</f>
        <v>Ladieswear</v>
      </c>
      <c r="H46">
        <v>73563</v>
      </c>
      <c r="I46">
        <v>73544</v>
      </c>
      <c r="J46">
        <v>217</v>
      </c>
      <c r="K46">
        <f>tblSales[[#This Row],[Sales]]-tblSales[[#This Row],[Budget]]</f>
        <v>19</v>
      </c>
      <c r="L46" s="3">
        <f>(tblSales[[#This Row],[Sales]]-tblSales[[#This Row],[Budget]])/tblSales[[#This Row],[Budget]]</f>
        <v>2.583487436092679E-4</v>
      </c>
      <c r="M46" s="2">
        <f>tblSales[[#This Row],[Sales]]/tblSales[[#This Row],[Transactions]]</f>
        <v>339</v>
      </c>
    </row>
    <row r="47" spans="1:13" x14ac:dyDescent="0.25">
      <c r="A47" s="1">
        <v>46025</v>
      </c>
      <c r="B47" t="s">
        <v>14</v>
      </c>
      <c r="C47" t="s">
        <v>22</v>
      </c>
      <c r="D47" t="str">
        <f>_xlfn.XLOOKUP(tblSales[[#This Row],[Store ID]],tblStores[Store ID],tblStores[Store Name])</f>
        <v>Sandton</v>
      </c>
      <c r="E47" t="str">
        <f>_xlfn.XLOOKUP(tblSales[[#This Row],[Store ID]],tblStores[Store ID],tblStores[Province])</f>
        <v>Gauteng</v>
      </c>
      <c r="F47" t="str">
        <f>_xlfn.XLOOKUP(tblSales[[#This Row],[Store ID]],tblStores[Store ID],tblStores[Manager])</f>
        <v>Karen White</v>
      </c>
      <c r="G47" t="str">
        <f>_xlfn.XLOOKUP(tblSales[[#This Row],[Category ID]],tblCategories[Category ID],tblCategories[Category])</f>
        <v>Kids</v>
      </c>
      <c r="H47">
        <v>65268</v>
      </c>
      <c r="I47">
        <v>66108</v>
      </c>
      <c r="J47">
        <v>147</v>
      </c>
      <c r="K47">
        <f>tblSales[[#This Row],[Sales]]-tblSales[[#This Row],[Budget]]</f>
        <v>-840</v>
      </c>
      <c r="L47" s="3">
        <f>(tblSales[[#This Row],[Sales]]-tblSales[[#This Row],[Budget]])/tblSales[[#This Row],[Budget]]</f>
        <v>-1.2706480304955527E-2</v>
      </c>
      <c r="M47" s="2">
        <f>tblSales[[#This Row],[Sales]]/tblSales[[#This Row],[Transactions]]</f>
        <v>444</v>
      </c>
    </row>
    <row r="48" spans="1:13" x14ac:dyDescent="0.25">
      <c r="A48" s="1">
        <v>46025</v>
      </c>
      <c r="B48" t="s">
        <v>15</v>
      </c>
      <c r="C48" t="s">
        <v>9</v>
      </c>
      <c r="D48" t="str">
        <f>_xlfn.XLOOKUP(tblSales[[#This Row],[Store ID]],tblStores[Store ID],tblStores[Store Name])</f>
        <v>Rosebank</v>
      </c>
      <c r="E48" t="str">
        <f>_xlfn.XLOOKUP(tblSales[[#This Row],[Store ID]],tblStores[Store ID],tblStores[Province])</f>
        <v>Gauteng</v>
      </c>
      <c r="F48" t="str">
        <f>_xlfn.XLOOKUP(tblSales[[#This Row],[Store ID]],tblStores[Store ID],tblStores[Manager])</f>
        <v>James Taylor</v>
      </c>
      <c r="G48" t="str">
        <f>_xlfn.XLOOKUP(tblSales[[#This Row],[Category ID]],tblCategories[Category ID],tblCategories[Category])</f>
        <v>Ladieswear</v>
      </c>
      <c r="H48">
        <v>19504</v>
      </c>
      <c r="I48">
        <v>19202</v>
      </c>
      <c r="J48">
        <v>92</v>
      </c>
      <c r="K48">
        <f>tblSales[[#This Row],[Sales]]-tblSales[[#This Row],[Budget]]</f>
        <v>302</v>
      </c>
      <c r="L48" s="3">
        <f>(tblSales[[#This Row],[Sales]]-tblSales[[#This Row],[Budget]])/tblSales[[#This Row],[Budget]]</f>
        <v>1.5727528382460162E-2</v>
      </c>
      <c r="M48" s="2">
        <f>tblSales[[#This Row],[Sales]]/tblSales[[#This Row],[Transactions]]</f>
        <v>212</v>
      </c>
    </row>
    <row r="49" spans="1:13" x14ac:dyDescent="0.25">
      <c r="A49" s="1">
        <v>46025</v>
      </c>
      <c r="B49" t="s">
        <v>16</v>
      </c>
      <c r="C49" t="s">
        <v>19</v>
      </c>
      <c r="D49" t="str">
        <f>_xlfn.XLOOKUP(tblSales[[#This Row],[Store ID]],tblStores[Store ID],tblStores[Store Name])</f>
        <v>Pretoria</v>
      </c>
      <c r="E49" t="str">
        <f>_xlfn.XLOOKUP(tblSales[[#This Row],[Store ID]],tblStores[Store ID],tblStores[Province])</f>
        <v>Gauteng</v>
      </c>
      <c r="F49" t="str">
        <f>_xlfn.XLOOKUP(tblSales[[#This Row],[Store ID]],tblStores[Store ID],tblStores[Manager])</f>
        <v>Susan Clark</v>
      </c>
      <c r="G49" t="str">
        <f>_xlfn.XLOOKUP(tblSales[[#This Row],[Category ID]],tblCategories[Category ID],tblCategories[Category])</f>
        <v>Accessories</v>
      </c>
      <c r="H49">
        <v>52272</v>
      </c>
      <c r="I49">
        <v>54734</v>
      </c>
      <c r="J49">
        <v>176</v>
      </c>
      <c r="K49">
        <f>tblSales[[#This Row],[Sales]]-tblSales[[#This Row],[Budget]]</f>
        <v>-2462</v>
      </c>
      <c r="L49" s="3">
        <f>(tblSales[[#This Row],[Sales]]-tblSales[[#This Row],[Budget]])/tblSales[[#This Row],[Budget]]</f>
        <v>-4.4981181715204446E-2</v>
      </c>
      <c r="M49" s="2">
        <f>tblSales[[#This Row],[Sales]]/tblSales[[#This Row],[Transactions]]</f>
        <v>297</v>
      </c>
    </row>
    <row r="50" spans="1:13" x14ac:dyDescent="0.25">
      <c r="A50" s="1">
        <v>46025</v>
      </c>
      <c r="B50" t="s">
        <v>17</v>
      </c>
      <c r="C50" t="s">
        <v>7</v>
      </c>
      <c r="D50" t="str">
        <f>_xlfn.XLOOKUP(tblSales[[#This Row],[Store ID]],tblStores[Store ID],tblStores[Store Name])</f>
        <v>Centurion</v>
      </c>
      <c r="E50" t="str">
        <f>_xlfn.XLOOKUP(tblSales[[#This Row],[Store ID]],tblStores[Store ID],tblStores[Province])</f>
        <v>Gauteng</v>
      </c>
      <c r="F50" t="str">
        <f>_xlfn.XLOOKUP(tblSales[[#This Row],[Store ID]],tblStores[Store ID],tblStores[Manager])</f>
        <v>Mark Wilson</v>
      </c>
      <c r="G50" t="str">
        <f>_xlfn.XLOOKUP(tblSales[[#This Row],[Category ID]],tblCategories[Category ID],tblCategories[Category])</f>
        <v>Menswear</v>
      </c>
      <c r="H50">
        <v>26659</v>
      </c>
      <c r="I50">
        <v>24385</v>
      </c>
      <c r="J50">
        <v>53</v>
      </c>
      <c r="K50">
        <f>tblSales[[#This Row],[Sales]]-tblSales[[#This Row],[Budget]]</f>
        <v>2274</v>
      </c>
      <c r="L50" s="3">
        <f>(tblSales[[#This Row],[Sales]]-tblSales[[#This Row],[Budget]])/tblSales[[#This Row],[Budget]]</f>
        <v>9.3254049620668439E-2</v>
      </c>
      <c r="M50" s="2">
        <f>tblSales[[#This Row],[Sales]]/tblSales[[#This Row],[Transactions]]</f>
        <v>503</v>
      </c>
    </row>
    <row r="51" spans="1:13" x14ac:dyDescent="0.25">
      <c r="A51" s="1">
        <v>46025</v>
      </c>
      <c r="B51" t="s">
        <v>18</v>
      </c>
      <c r="C51" t="s">
        <v>7</v>
      </c>
      <c r="D51" t="str">
        <f>_xlfn.XLOOKUP(tblSales[[#This Row],[Store ID]],tblStores[Store ID],tblStores[Store Name])</f>
        <v>East Rand</v>
      </c>
      <c r="E51" t="str">
        <f>_xlfn.XLOOKUP(tblSales[[#This Row],[Store ID]],tblStores[Store ID],tblStores[Province])</f>
        <v>Gauteng</v>
      </c>
      <c r="F51" t="str">
        <f>_xlfn.XLOOKUP(tblSales[[#This Row],[Store ID]],tblStores[Store ID],tblStores[Manager])</f>
        <v>Lisa Young</v>
      </c>
      <c r="G51" t="str">
        <f>_xlfn.XLOOKUP(tblSales[[#This Row],[Category ID]],tblCategories[Category ID],tblCategories[Category])</f>
        <v>Menswear</v>
      </c>
      <c r="H51">
        <v>15007</v>
      </c>
      <c r="I51">
        <v>13772</v>
      </c>
      <c r="J51">
        <v>43</v>
      </c>
      <c r="K51">
        <f>tblSales[[#This Row],[Sales]]-tblSales[[#This Row],[Budget]]</f>
        <v>1235</v>
      </c>
      <c r="L51" s="3">
        <f>(tblSales[[#This Row],[Sales]]-tblSales[[#This Row],[Budget]])/tblSales[[#This Row],[Budget]]</f>
        <v>8.9674702294510605E-2</v>
      </c>
      <c r="M51" s="2">
        <f>tblSales[[#This Row],[Sales]]/tblSales[[#This Row],[Transactions]]</f>
        <v>349</v>
      </c>
    </row>
    <row r="52" spans="1:13" x14ac:dyDescent="0.25">
      <c r="A52" s="1">
        <v>46025</v>
      </c>
      <c r="B52" t="s">
        <v>20</v>
      </c>
      <c r="C52" t="s">
        <v>9</v>
      </c>
      <c r="D52" t="str">
        <f>_xlfn.XLOOKUP(tblSales[[#This Row],[Store ID]],tblStores[Store ID],tblStores[Store Name])</f>
        <v>Cape Town CBD</v>
      </c>
      <c r="E52" t="str">
        <f>_xlfn.XLOOKUP(tblSales[[#This Row],[Store ID]],tblStores[Store ID],tblStores[Province])</f>
        <v>Western Cape</v>
      </c>
      <c r="F52" t="str">
        <f>_xlfn.XLOOKUP(tblSales[[#This Row],[Store ID]],tblStores[Store ID],tblStores[Manager])</f>
        <v>Brian Hall</v>
      </c>
      <c r="G52" t="str">
        <f>_xlfn.XLOOKUP(tblSales[[#This Row],[Category ID]],tblCategories[Category ID],tblCategories[Category])</f>
        <v>Ladieswear</v>
      </c>
      <c r="H52">
        <v>45368</v>
      </c>
      <c r="I52">
        <v>43261</v>
      </c>
      <c r="J52">
        <v>106</v>
      </c>
      <c r="K52">
        <f>tblSales[[#This Row],[Sales]]-tblSales[[#This Row],[Budget]]</f>
        <v>2107</v>
      </c>
      <c r="L52" s="3">
        <f>(tblSales[[#This Row],[Sales]]-tblSales[[#This Row],[Budget]])/tblSales[[#This Row],[Budget]]</f>
        <v>4.8704375765701212E-2</v>
      </c>
      <c r="M52" s="2">
        <f>tblSales[[#This Row],[Sales]]/tblSales[[#This Row],[Transactions]]</f>
        <v>428</v>
      </c>
    </row>
    <row r="53" spans="1:13" x14ac:dyDescent="0.25">
      <c r="A53" s="1">
        <v>46025</v>
      </c>
      <c r="B53" t="s">
        <v>21</v>
      </c>
      <c r="C53" t="s">
        <v>9</v>
      </c>
      <c r="D53" t="str">
        <f>_xlfn.XLOOKUP(tblSales[[#This Row],[Store ID]],tblStores[Store ID],tblStores[Store Name])</f>
        <v>Canal Walk</v>
      </c>
      <c r="E53" t="str">
        <f>_xlfn.XLOOKUP(tblSales[[#This Row],[Store ID]],tblStores[Store ID],tblStores[Province])</f>
        <v>Western Cape</v>
      </c>
      <c r="F53" t="str">
        <f>_xlfn.XLOOKUP(tblSales[[#This Row],[Store ID]],tblStores[Store ID],tblStores[Manager])</f>
        <v>Megan Scott</v>
      </c>
      <c r="G53" t="str">
        <f>_xlfn.XLOOKUP(tblSales[[#This Row],[Category ID]],tblCategories[Category ID],tblCategories[Category])</f>
        <v>Ladieswear</v>
      </c>
      <c r="H53">
        <v>103840</v>
      </c>
      <c r="I53">
        <v>108414</v>
      </c>
      <c r="J53">
        <v>220</v>
      </c>
      <c r="K53">
        <f>tblSales[[#This Row],[Sales]]-tblSales[[#This Row],[Budget]]</f>
        <v>-4574</v>
      </c>
      <c r="L53" s="3">
        <f>(tblSales[[#This Row],[Sales]]-tblSales[[#This Row],[Budget]])/tblSales[[#This Row],[Budget]]</f>
        <v>-4.2190123046838966E-2</v>
      </c>
      <c r="M53" s="2">
        <f>tblSales[[#This Row],[Sales]]/tblSales[[#This Row],[Transactions]]</f>
        <v>472</v>
      </c>
    </row>
    <row r="54" spans="1:13" x14ac:dyDescent="0.25">
      <c r="A54" s="1">
        <v>46025</v>
      </c>
      <c r="B54" t="s">
        <v>23</v>
      </c>
      <c r="C54" t="s">
        <v>9</v>
      </c>
      <c r="D54" t="str">
        <f>_xlfn.XLOOKUP(tblSales[[#This Row],[Store ID]],tblStores[Store ID],tblStores[Store Name])</f>
        <v>Stellenbosch</v>
      </c>
      <c r="E54" t="str">
        <f>_xlfn.XLOOKUP(tblSales[[#This Row],[Store ID]],tblStores[Store ID],tblStores[Province])</f>
        <v>Western Cape</v>
      </c>
      <c r="F54" t="str">
        <f>_xlfn.XLOOKUP(tblSales[[#This Row],[Store ID]],tblStores[Store ID],tblStores[Manager])</f>
        <v>Jason King</v>
      </c>
      <c r="G54" t="str">
        <f>_xlfn.XLOOKUP(tblSales[[#This Row],[Category ID]],tblCategories[Category ID],tblCategories[Category])</f>
        <v>Ladieswear</v>
      </c>
      <c r="H54">
        <v>60528</v>
      </c>
      <c r="I54">
        <v>57356</v>
      </c>
      <c r="J54">
        <v>156</v>
      </c>
      <c r="K54">
        <f>tblSales[[#This Row],[Sales]]-tblSales[[#This Row],[Budget]]</f>
        <v>3172</v>
      </c>
      <c r="L54" s="3">
        <f>(tblSales[[#This Row],[Sales]]-tblSales[[#This Row],[Budget]])/tblSales[[#This Row],[Budget]]</f>
        <v>5.5303717135086132E-2</v>
      </c>
      <c r="M54" s="2">
        <f>tblSales[[#This Row],[Sales]]/tblSales[[#This Row],[Transactions]]</f>
        <v>388</v>
      </c>
    </row>
    <row r="55" spans="1:13" x14ac:dyDescent="0.25">
      <c r="A55" s="1">
        <v>46025</v>
      </c>
      <c r="B55" t="s">
        <v>24</v>
      </c>
      <c r="C55" t="s">
        <v>7</v>
      </c>
      <c r="D55" t="str">
        <f>_xlfn.XLOOKUP(tblSales[[#This Row],[Store ID]],tblStores[Store ID],tblStores[Store Name])</f>
        <v>George</v>
      </c>
      <c r="E55" t="str">
        <f>_xlfn.XLOOKUP(tblSales[[#This Row],[Store ID]],tblStores[Store ID],tblStores[Province])</f>
        <v>Western Cape</v>
      </c>
      <c r="F55" t="str">
        <f>_xlfn.XLOOKUP(tblSales[[#This Row],[Store ID]],tblStores[Store ID],tblStores[Manager])</f>
        <v>Chloe Hill</v>
      </c>
      <c r="G55" t="str">
        <f>_xlfn.XLOOKUP(tblSales[[#This Row],[Category ID]],tblCategories[Category ID],tblCategories[Category])</f>
        <v>Menswear</v>
      </c>
      <c r="H55">
        <v>81200</v>
      </c>
      <c r="I55">
        <v>80272</v>
      </c>
      <c r="J55">
        <v>203</v>
      </c>
      <c r="K55">
        <f>tblSales[[#This Row],[Sales]]-tblSales[[#This Row],[Budget]]</f>
        <v>928</v>
      </c>
      <c r="L55" s="3">
        <f>(tblSales[[#This Row],[Sales]]-tblSales[[#This Row],[Budget]])/tblSales[[#This Row],[Budget]]</f>
        <v>1.1560693641618497E-2</v>
      </c>
      <c r="M55" s="2">
        <f>tblSales[[#This Row],[Sales]]/tblSales[[#This Row],[Transactions]]</f>
        <v>400</v>
      </c>
    </row>
    <row r="56" spans="1:13" x14ac:dyDescent="0.25">
      <c r="A56" s="1">
        <v>46025</v>
      </c>
      <c r="B56" t="s">
        <v>25</v>
      </c>
      <c r="C56" t="s">
        <v>11</v>
      </c>
      <c r="D56" t="str">
        <f>_xlfn.XLOOKUP(tblSales[[#This Row],[Store ID]],tblStores[Store ID],tblStores[Store Name])</f>
        <v>Paarl</v>
      </c>
      <c r="E56" t="str">
        <f>_xlfn.XLOOKUP(tblSales[[#This Row],[Store ID]],tblStores[Store ID],tblStores[Province])</f>
        <v>Western Cape</v>
      </c>
      <c r="F56" t="str">
        <f>_xlfn.XLOOKUP(tblSales[[#This Row],[Store ID]],tblStores[Store ID],tblStores[Manager])</f>
        <v>Andrew Lee</v>
      </c>
      <c r="G56" t="str">
        <f>_xlfn.XLOOKUP(tblSales[[#This Row],[Category ID]],tblCategories[Category ID],tblCategories[Category])</f>
        <v>Footwear</v>
      </c>
      <c r="H56">
        <v>31878</v>
      </c>
      <c r="I56">
        <v>34056</v>
      </c>
      <c r="J56">
        <v>154</v>
      </c>
      <c r="K56">
        <f>tblSales[[#This Row],[Sales]]-tblSales[[#This Row],[Budget]]</f>
        <v>-2178</v>
      </c>
      <c r="L56" s="3">
        <f>(tblSales[[#This Row],[Sales]]-tblSales[[#This Row],[Budget]])/tblSales[[#This Row],[Budget]]</f>
        <v>-6.3953488372093026E-2</v>
      </c>
      <c r="M56" s="2">
        <f>tblSales[[#This Row],[Sales]]/tblSales[[#This Row],[Transactions]]</f>
        <v>207</v>
      </c>
    </row>
    <row r="57" spans="1:13" x14ac:dyDescent="0.25">
      <c r="A57" s="1">
        <v>46025</v>
      </c>
      <c r="B57" t="s">
        <v>26</v>
      </c>
      <c r="C57" t="s">
        <v>7</v>
      </c>
      <c r="D57" t="str">
        <f>_xlfn.XLOOKUP(tblSales[[#This Row],[Store ID]],tblStores[Store ID],tblStores[Store Name])</f>
        <v>Gqeberha</v>
      </c>
      <c r="E57" t="str">
        <f>_xlfn.XLOOKUP(tblSales[[#This Row],[Store ID]],tblStores[Store ID],tblStores[Province])</f>
        <v>Eastern Cape</v>
      </c>
      <c r="F57" t="str">
        <f>_xlfn.XLOOKUP(tblSales[[#This Row],[Store ID]],tblStores[Store ID],tblStores[Manager])</f>
        <v>Emma Baker</v>
      </c>
      <c r="G57" t="str">
        <f>_xlfn.XLOOKUP(tblSales[[#This Row],[Category ID]],tblCategories[Category ID],tblCategories[Category])</f>
        <v>Menswear</v>
      </c>
      <c r="H57">
        <v>19300</v>
      </c>
      <c r="I57">
        <v>20883</v>
      </c>
      <c r="J57">
        <v>50</v>
      </c>
      <c r="K57">
        <f>tblSales[[#This Row],[Sales]]-tblSales[[#This Row],[Budget]]</f>
        <v>-1583</v>
      </c>
      <c r="L57" s="3">
        <f>(tblSales[[#This Row],[Sales]]-tblSales[[#This Row],[Budget]])/tblSales[[#This Row],[Budget]]</f>
        <v>-7.5803284968634768E-2</v>
      </c>
      <c r="M57" s="2">
        <f>tblSales[[#This Row],[Sales]]/tblSales[[#This Row],[Transactions]]</f>
        <v>386</v>
      </c>
    </row>
    <row r="58" spans="1:13" x14ac:dyDescent="0.25">
      <c r="A58" s="1">
        <v>46025</v>
      </c>
      <c r="B58" t="s">
        <v>27</v>
      </c>
      <c r="C58" t="s">
        <v>7</v>
      </c>
      <c r="D58" t="str">
        <f>_xlfn.XLOOKUP(tblSales[[#This Row],[Store ID]],tblStores[Store ID],tblStores[Store Name])</f>
        <v>East London</v>
      </c>
      <c r="E58" t="str">
        <f>_xlfn.XLOOKUP(tblSales[[#This Row],[Store ID]],tblStores[Store ID],tblStores[Province])</f>
        <v>Eastern Cape</v>
      </c>
      <c r="F58" t="str">
        <f>_xlfn.XLOOKUP(tblSales[[#This Row],[Store ID]],tblStores[Store ID],tblStores[Manager])</f>
        <v>Daniel Evans</v>
      </c>
      <c r="G58" t="str">
        <f>_xlfn.XLOOKUP(tblSales[[#This Row],[Category ID]],tblCategories[Category ID],tblCategories[Category])</f>
        <v>Menswear</v>
      </c>
      <c r="H58">
        <v>27244</v>
      </c>
      <c r="I58">
        <v>25815</v>
      </c>
      <c r="J58">
        <v>98</v>
      </c>
      <c r="K58">
        <f>tblSales[[#This Row],[Sales]]-tblSales[[#This Row],[Budget]]</f>
        <v>1429</v>
      </c>
      <c r="L58" s="3">
        <f>(tblSales[[#This Row],[Sales]]-tblSales[[#This Row],[Budget]])/tblSales[[#This Row],[Budget]]</f>
        <v>5.5355413519271743E-2</v>
      </c>
      <c r="M58" s="2">
        <f>tblSales[[#This Row],[Sales]]/tblSales[[#This Row],[Transactions]]</f>
        <v>278</v>
      </c>
    </row>
    <row r="59" spans="1:13" x14ac:dyDescent="0.25">
      <c r="A59" s="1">
        <v>46025</v>
      </c>
      <c r="B59" t="s">
        <v>28</v>
      </c>
      <c r="C59" t="s">
        <v>11</v>
      </c>
      <c r="D59" t="str">
        <f>_xlfn.XLOOKUP(tblSales[[#This Row],[Store ID]],tblStores[Store ID],tblStores[Store Name])</f>
        <v>Bloemfontein</v>
      </c>
      <c r="E59" t="str">
        <f>_xlfn.XLOOKUP(tblSales[[#This Row],[Store ID]],tblStores[Store ID],tblStores[Province])</f>
        <v>Free State</v>
      </c>
      <c r="F59" t="str">
        <f>_xlfn.XLOOKUP(tblSales[[#This Row],[Store ID]],tblStores[Store ID],tblStores[Manager])</f>
        <v>Rachel Moore</v>
      </c>
      <c r="G59" t="str">
        <f>_xlfn.XLOOKUP(tblSales[[#This Row],[Category ID]],tblCategories[Category ID],tblCategories[Category])</f>
        <v>Footwear</v>
      </c>
      <c r="H59">
        <v>27720</v>
      </c>
      <c r="I59">
        <v>26219</v>
      </c>
      <c r="J59">
        <v>70</v>
      </c>
      <c r="K59">
        <f>tblSales[[#This Row],[Sales]]-tblSales[[#This Row],[Budget]]</f>
        <v>1501</v>
      </c>
      <c r="L59" s="3">
        <f>(tblSales[[#This Row],[Sales]]-tblSales[[#This Row],[Budget]])/tblSales[[#This Row],[Budget]]</f>
        <v>5.7248560204431899E-2</v>
      </c>
      <c r="M59" s="2">
        <f>tblSales[[#This Row],[Sales]]/tblSales[[#This Row],[Transactions]]</f>
        <v>396</v>
      </c>
    </row>
    <row r="60" spans="1:13" x14ac:dyDescent="0.25">
      <c r="A60" s="1">
        <v>46025</v>
      </c>
      <c r="B60" t="s">
        <v>29</v>
      </c>
      <c r="C60" t="s">
        <v>11</v>
      </c>
      <c r="D60" t="str">
        <f>_xlfn.XLOOKUP(tblSales[[#This Row],[Store ID]],tblStores[Store ID],tblStores[Store Name])</f>
        <v>Polokwane</v>
      </c>
      <c r="E60" t="str">
        <f>_xlfn.XLOOKUP(tblSales[[#This Row],[Store ID]],tblStores[Store ID],tblStores[Province])</f>
        <v>Limpopo</v>
      </c>
      <c r="F60" t="str">
        <f>_xlfn.XLOOKUP(tblSales[[#This Row],[Store ID]],tblStores[Store ID],tblStores[Manager])</f>
        <v>Kevin Harris</v>
      </c>
      <c r="G60" t="str">
        <f>_xlfn.XLOOKUP(tblSales[[#This Row],[Category ID]],tblCategories[Category ID],tblCategories[Category])</f>
        <v>Footwear</v>
      </c>
      <c r="H60">
        <v>21364</v>
      </c>
      <c r="I60">
        <v>21594</v>
      </c>
      <c r="J60">
        <v>98</v>
      </c>
      <c r="K60">
        <f>tblSales[[#This Row],[Sales]]-tblSales[[#This Row],[Budget]]</f>
        <v>-230</v>
      </c>
      <c r="L60" s="3">
        <f>(tblSales[[#This Row],[Sales]]-tblSales[[#This Row],[Budget]])/tblSales[[#This Row],[Budget]]</f>
        <v>-1.0651106788922849E-2</v>
      </c>
      <c r="M60" s="2">
        <f>tblSales[[#This Row],[Sales]]/tblSales[[#This Row],[Transactions]]</f>
        <v>218</v>
      </c>
    </row>
    <row r="61" spans="1:13" x14ac:dyDescent="0.25">
      <c r="A61" s="1">
        <v>46025</v>
      </c>
      <c r="B61" t="s">
        <v>30</v>
      </c>
      <c r="C61" t="s">
        <v>19</v>
      </c>
      <c r="D61" t="str">
        <f>_xlfn.XLOOKUP(tblSales[[#This Row],[Store ID]],tblStores[Store ID],tblStores[Store Name])</f>
        <v>Nelspruit</v>
      </c>
      <c r="E61" t="str">
        <f>_xlfn.XLOOKUP(tblSales[[#This Row],[Store ID]],tblStores[Store ID],tblStores[Province])</f>
        <v>Mpumalanga</v>
      </c>
      <c r="F61" t="str">
        <f>_xlfn.XLOOKUP(tblSales[[#This Row],[Store ID]],tblStores[Store ID],tblStores[Manager])</f>
        <v>Olivia Turner</v>
      </c>
      <c r="G61" t="str">
        <f>_xlfn.XLOOKUP(tblSales[[#This Row],[Category ID]],tblCategories[Category ID],tblCategories[Category])</f>
        <v>Accessories</v>
      </c>
      <c r="H61">
        <v>12300</v>
      </c>
      <c r="I61">
        <v>13075</v>
      </c>
      <c r="J61">
        <v>60</v>
      </c>
      <c r="K61">
        <f>tblSales[[#This Row],[Sales]]-tblSales[[#This Row],[Budget]]</f>
        <v>-775</v>
      </c>
      <c r="L61" s="3">
        <f>(tblSales[[#This Row],[Sales]]-tblSales[[#This Row],[Budget]])/tblSales[[#This Row],[Budget]]</f>
        <v>-5.9273422562141492E-2</v>
      </c>
      <c r="M61" s="2">
        <f>tblSales[[#This Row],[Sales]]/tblSales[[#This Row],[Transactions]]</f>
        <v>205</v>
      </c>
    </row>
    <row r="62" spans="1:13" x14ac:dyDescent="0.25">
      <c r="A62" s="1">
        <v>46026</v>
      </c>
      <c r="B62" t="s">
        <v>6</v>
      </c>
      <c r="C62" t="s">
        <v>19</v>
      </c>
      <c r="D62" t="str">
        <f>_xlfn.XLOOKUP(tblSales[[#This Row],[Store ID]],tblStores[Store ID],tblStores[Store Name])</f>
        <v>Durban CBD</v>
      </c>
      <c r="E62" t="str">
        <f>_xlfn.XLOOKUP(tblSales[[#This Row],[Store ID]],tblStores[Store ID],tblStores[Province])</f>
        <v>KZN</v>
      </c>
      <c r="F62" t="str">
        <f>_xlfn.XLOOKUP(tblSales[[#This Row],[Store ID]],tblStores[Store ID],tblStores[Manager])</f>
        <v>Sarah Adams</v>
      </c>
      <c r="G62" t="str">
        <f>_xlfn.XLOOKUP(tblSales[[#This Row],[Category ID]],tblCategories[Category ID],tblCategories[Category])</f>
        <v>Accessories</v>
      </c>
      <c r="H62">
        <v>8626</v>
      </c>
      <c r="I62">
        <v>9761</v>
      </c>
      <c r="J62">
        <v>38</v>
      </c>
      <c r="K62">
        <f>tblSales[[#This Row],[Sales]]-tblSales[[#This Row],[Budget]]</f>
        <v>-1135</v>
      </c>
      <c r="L62" s="3">
        <f>(tblSales[[#This Row],[Sales]]-tblSales[[#This Row],[Budget]])/tblSales[[#This Row],[Budget]]</f>
        <v>-0.11627906976744186</v>
      </c>
      <c r="M62" s="2">
        <f>tblSales[[#This Row],[Sales]]/tblSales[[#This Row],[Transactions]]</f>
        <v>227</v>
      </c>
    </row>
    <row r="63" spans="1:13" x14ac:dyDescent="0.25">
      <c r="A63" s="1">
        <v>46026</v>
      </c>
      <c r="B63" t="s">
        <v>8</v>
      </c>
      <c r="C63" t="s">
        <v>9</v>
      </c>
      <c r="D63" t="str">
        <f>_xlfn.XLOOKUP(tblSales[[#This Row],[Store ID]],tblStores[Store ID],tblStores[Store Name])</f>
        <v>Gateway</v>
      </c>
      <c r="E63" t="str">
        <f>_xlfn.XLOOKUP(tblSales[[#This Row],[Store ID]],tblStores[Store ID],tblStores[Province])</f>
        <v>KZN</v>
      </c>
      <c r="F63" t="str">
        <f>_xlfn.XLOOKUP(tblSales[[#This Row],[Store ID]],tblStores[Store ID],tblStores[Manager])</f>
        <v>Michael Jones</v>
      </c>
      <c r="G63" t="str">
        <f>_xlfn.XLOOKUP(tblSales[[#This Row],[Category ID]],tblCategories[Category ID],tblCategories[Category])</f>
        <v>Ladieswear</v>
      </c>
      <c r="H63">
        <v>29876</v>
      </c>
      <c r="I63">
        <v>30515</v>
      </c>
      <c r="J63">
        <v>77</v>
      </c>
      <c r="K63">
        <f>tblSales[[#This Row],[Sales]]-tblSales[[#This Row],[Budget]]</f>
        <v>-639</v>
      </c>
      <c r="L63" s="3">
        <f>(tblSales[[#This Row],[Sales]]-tblSales[[#This Row],[Budget]])/tblSales[[#This Row],[Budget]]</f>
        <v>-2.0940521055218746E-2</v>
      </c>
      <c r="M63" s="2">
        <f>tblSales[[#This Row],[Sales]]/tblSales[[#This Row],[Transactions]]</f>
        <v>388</v>
      </c>
    </row>
    <row r="64" spans="1:13" x14ac:dyDescent="0.25">
      <c r="A64" s="1">
        <v>46026</v>
      </c>
      <c r="B64" t="s">
        <v>10</v>
      </c>
      <c r="C64" t="s">
        <v>9</v>
      </c>
      <c r="D64" t="str">
        <f>_xlfn.XLOOKUP(tblSales[[#This Row],[Store ID]],tblStores[Store ID],tblStores[Store Name])</f>
        <v>Ballito</v>
      </c>
      <c r="E64" t="str">
        <f>_xlfn.XLOOKUP(tblSales[[#This Row],[Store ID]],tblStores[Store ID],tblStores[Province])</f>
        <v>KZN</v>
      </c>
      <c r="F64" t="str">
        <f>_xlfn.XLOOKUP(tblSales[[#This Row],[Store ID]],tblStores[Store ID],tblStores[Manager])</f>
        <v>Linda Smith</v>
      </c>
      <c r="G64" t="str">
        <f>_xlfn.XLOOKUP(tblSales[[#This Row],[Category ID]],tblCategories[Category ID],tblCategories[Category])</f>
        <v>Ladieswear</v>
      </c>
      <c r="H64">
        <v>28770</v>
      </c>
      <c r="I64">
        <v>27077</v>
      </c>
      <c r="J64">
        <v>137</v>
      </c>
      <c r="K64">
        <f>tblSales[[#This Row],[Sales]]-tblSales[[#This Row],[Budget]]</f>
        <v>1693</v>
      </c>
      <c r="L64" s="3">
        <f>(tblSales[[#This Row],[Sales]]-tblSales[[#This Row],[Budget]])/tblSales[[#This Row],[Budget]]</f>
        <v>6.2525390552867752E-2</v>
      </c>
      <c r="M64" s="2">
        <f>tblSales[[#This Row],[Sales]]/tblSales[[#This Row],[Transactions]]</f>
        <v>210</v>
      </c>
    </row>
    <row r="65" spans="1:13" x14ac:dyDescent="0.25">
      <c r="A65" s="1">
        <v>46026</v>
      </c>
      <c r="B65" t="s">
        <v>12</v>
      </c>
      <c r="C65" t="s">
        <v>7</v>
      </c>
      <c r="D65" t="str">
        <f>_xlfn.XLOOKUP(tblSales[[#This Row],[Store ID]],tblStores[Store ID],tblStores[Store Name])</f>
        <v>Pietermaritzburg</v>
      </c>
      <c r="E65" t="str">
        <f>_xlfn.XLOOKUP(tblSales[[#This Row],[Store ID]],tblStores[Store ID],tblStores[Province])</f>
        <v>KZN</v>
      </c>
      <c r="F65" t="str">
        <f>_xlfn.XLOOKUP(tblSales[[#This Row],[Store ID]],tblStores[Store ID],tblStores[Manager])</f>
        <v>Peter Brown</v>
      </c>
      <c r="G65" t="str">
        <f>_xlfn.XLOOKUP(tblSales[[#This Row],[Category ID]],tblCategories[Category ID],tblCategories[Category])</f>
        <v>Menswear</v>
      </c>
      <c r="H65">
        <v>42210</v>
      </c>
      <c r="I65">
        <v>47766</v>
      </c>
      <c r="J65">
        <v>134</v>
      </c>
      <c r="K65">
        <f>tblSales[[#This Row],[Sales]]-tblSales[[#This Row],[Budget]]</f>
        <v>-5556</v>
      </c>
      <c r="L65" s="3">
        <f>(tblSales[[#This Row],[Sales]]-tblSales[[#This Row],[Budget]])/tblSales[[#This Row],[Budget]]</f>
        <v>-0.11631704559728677</v>
      </c>
      <c r="M65" s="2">
        <f>tblSales[[#This Row],[Sales]]/tblSales[[#This Row],[Transactions]]</f>
        <v>315</v>
      </c>
    </row>
    <row r="66" spans="1:13" x14ac:dyDescent="0.25">
      <c r="A66" s="1">
        <v>46026</v>
      </c>
      <c r="B66" t="s">
        <v>13</v>
      </c>
      <c r="C66" t="s">
        <v>11</v>
      </c>
      <c r="D66" t="str">
        <f>_xlfn.XLOOKUP(tblSales[[#This Row],[Store ID]],tblStores[Store ID],tblStores[Store Name])</f>
        <v>Richards Bay</v>
      </c>
      <c r="E66" t="str">
        <f>_xlfn.XLOOKUP(tblSales[[#This Row],[Store ID]],tblStores[Store ID],tblStores[Province])</f>
        <v>KZN</v>
      </c>
      <c r="F66" t="str">
        <f>_xlfn.XLOOKUP(tblSales[[#This Row],[Store ID]],tblStores[Store ID],tblStores[Manager])</f>
        <v>David Green</v>
      </c>
      <c r="G66" t="str">
        <f>_xlfn.XLOOKUP(tblSales[[#This Row],[Category ID]],tblCategories[Category ID],tblCategories[Category])</f>
        <v>Footwear</v>
      </c>
      <c r="H66">
        <v>42768</v>
      </c>
      <c r="I66">
        <v>45939</v>
      </c>
      <c r="J66">
        <v>108</v>
      </c>
      <c r="K66">
        <f>tblSales[[#This Row],[Sales]]-tblSales[[#This Row],[Budget]]</f>
        <v>-3171</v>
      </c>
      <c r="L66" s="3">
        <f>(tblSales[[#This Row],[Sales]]-tblSales[[#This Row],[Budget]])/tblSales[[#This Row],[Budget]]</f>
        <v>-6.9026317507999743E-2</v>
      </c>
      <c r="M66" s="2">
        <f>tblSales[[#This Row],[Sales]]/tblSales[[#This Row],[Transactions]]</f>
        <v>396</v>
      </c>
    </row>
    <row r="67" spans="1:13" x14ac:dyDescent="0.25">
      <c r="A67" s="1">
        <v>46026</v>
      </c>
      <c r="B67" t="s">
        <v>14</v>
      </c>
      <c r="C67" t="s">
        <v>19</v>
      </c>
      <c r="D67" t="str">
        <f>_xlfn.XLOOKUP(tblSales[[#This Row],[Store ID]],tblStores[Store ID],tblStores[Store Name])</f>
        <v>Sandton</v>
      </c>
      <c r="E67" t="str">
        <f>_xlfn.XLOOKUP(tblSales[[#This Row],[Store ID]],tblStores[Store ID],tblStores[Province])</f>
        <v>Gauteng</v>
      </c>
      <c r="F67" t="str">
        <f>_xlfn.XLOOKUP(tblSales[[#This Row],[Store ID]],tblStores[Store ID],tblStores[Manager])</f>
        <v>Karen White</v>
      </c>
      <c r="G67" t="str">
        <f>_xlfn.XLOOKUP(tblSales[[#This Row],[Category ID]],tblCategories[Category ID],tblCategories[Category])</f>
        <v>Accessories</v>
      </c>
      <c r="H67">
        <v>87516</v>
      </c>
      <c r="I67">
        <v>82151</v>
      </c>
      <c r="J67">
        <v>204</v>
      </c>
      <c r="K67">
        <f>tblSales[[#This Row],[Sales]]-tblSales[[#This Row],[Budget]]</f>
        <v>5365</v>
      </c>
      <c r="L67" s="3">
        <f>(tblSales[[#This Row],[Sales]]-tblSales[[#This Row],[Budget]])/tblSales[[#This Row],[Budget]]</f>
        <v>6.5306569609621307E-2</v>
      </c>
      <c r="M67" s="2">
        <f>tblSales[[#This Row],[Sales]]/tblSales[[#This Row],[Transactions]]</f>
        <v>429</v>
      </c>
    </row>
    <row r="68" spans="1:13" x14ac:dyDescent="0.25">
      <c r="A68" s="1">
        <v>46026</v>
      </c>
      <c r="B68" t="s">
        <v>15</v>
      </c>
      <c r="C68" t="s">
        <v>22</v>
      </c>
      <c r="D68" t="str">
        <f>_xlfn.XLOOKUP(tblSales[[#This Row],[Store ID]],tblStores[Store ID],tblStores[Store Name])</f>
        <v>Rosebank</v>
      </c>
      <c r="E68" t="str">
        <f>_xlfn.XLOOKUP(tblSales[[#This Row],[Store ID]],tblStores[Store ID],tblStores[Province])</f>
        <v>Gauteng</v>
      </c>
      <c r="F68" t="str">
        <f>_xlfn.XLOOKUP(tblSales[[#This Row],[Store ID]],tblStores[Store ID],tblStores[Manager])</f>
        <v>James Taylor</v>
      </c>
      <c r="G68" t="str">
        <f>_xlfn.XLOOKUP(tblSales[[#This Row],[Category ID]],tblCategories[Category ID],tblCategories[Category])</f>
        <v>Kids</v>
      </c>
      <c r="H68">
        <v>18810</v>
      </c>
      <c r="I68">
        <v>19652</v>
      </c>
      <c r="J68">
        <v>90</v>
      </c>
      <c r="K68">
        <f>tblSales[[#This Row],[Sales]]-tblSales[[#This Row],[Budget]]</f>
        <v>-842</v>
      </c>
      <c r="L68" s="3">
        <f>(tblSales[[#This Row],[Sales]]-tblSales[[#This Row],[Budget]])/tblSales[[#This Row],[Budget]]</f>
        <v>-4.2845511907185017E-2</v>
      </c>
      <c r="M68" s="2">
        <f>tblSales[[#This Row],[Sales]]/tblSales[[#This Row],[Transactions]]</f>
        <v>209</v>
      </c>
    </row>
    <row r="69" spans="1:13" x14ac:dyDescent="0.25">
      <c r="A69" s="1">
        <v>46026</v>
      </c>
      <c r="B69" t="s">
        <v>16</v>
      </c>
      <c r="C69" t="s">
        <v>19</v>
      </c>
      <c r="D69" t="str">
        <f>_xlfn.XLOOKUP(tblSales[[#This Row],[Store ID]],tblStores[Store ID],tblStores[Store Name])</f>
        <v>Pretoria</v>
      </c>
      <c r="E69" t="str">
        <f>_xlfn.XLOOKUP(tblSales[[#This Row],[Store ID]],tblStores[Store ID],tblStores[Province])</f>
        <v>Gauteng</v>
      </c>
      <c r="F69" t="str">
        <f>_xlfn.XLOOKUP(tblSales[[#This Row],[Store ID]],tblStores[Store ID],tblStores[Manager])</f>
        <v>Susan Clark</v>
      </c>
      <c r="G69" t="str">
        <f>_xlfn.XLOOKUP(tblSales[[#This Row],[Category ID]],tblCategories[Category ID],tblCategories[Category])</f>
        <v>Accessories</v>
      </c>
      <c r="H69">
        <v>17000</v>
      </c>
      <c r="I69">
        <v>15542</v>
      </c>
      <c r="J69">
        <v>50</v>
      </c>
      <c r="K69">
        <f>tblSales[[#This Row],[Sales]]-tblSales[[#This Row],[Budget]]</f>
        <v>1458</v>
      </c>
      <c r="L69" s="3">
        <f>(tblSales[[#This Row],[Sales]]-tblSales[[#This Row],[Budget]])/tblSales[[#This Row],[Budget]]</f>
        <v>9.3810320422082094E-2</v>
      </c>
      <c r="M69" s="2">
        <f>tblSales[[#This Row],[Sales]]/tblSales[[#This Row],[Transactions]]</f>
        <v>340</v>
      </c>
    </row>
    <row r="70" spans="1:13" x14ac:dyDescent="0.25">
      <c r="A70" s="1">
        <v>46026</v>
      </c>
      <c r="B70" t="s">
        <v>17</v>
      </c>
      <c r="C70" t="s">
        <v>19</v>
      </c>
      <c r="D70" t="str">
        <f>_xlfn.XLOOKUP(tblSales[[#This Row],[Store ID]],tblStores[Store ID],tblStores[Store Name])</f>
        <v>Centurion</v>
      </c>
      <c r="E70" t="str">
        <f>_xlfn.XLOOKUP(tblSales[[#This Row],[Store ID]],tblStores[Store ID],tblStores[Province])</f>
        <v>Gauteng</v>
      </c>
      <c r="F70" t="str">
        <f>_xlfn.XLOOKUP(tblSales[[#This Row],[Store ID]],tblStores[Store ID],tblStores[Manager])</f>
        <v>Mark Wilson</v>
      </c>
      <c r="G70" t="str">
        <f>_xlfn.XLOOKUP(tblSales[[#This Row],[Category ID]],tblCategories[Category ID],tblCategories[Category])</f>
        <v>Accessories</v>
      </c>
      <c r="H70">
        <v>68609</v>
      </c>
      <c r="I70">
        <v>77517</v>
      </c>
      <c r="J70">
        <v>157</v>
      </c>
      <c r="K70">
        <f>tblSales[[#This Row],[Sales]]-tblSales[[#This Row],[Budget]]</f>
        <v>-8908</v>
      </c>
      <c r="L70" s="3">
        <f>(tblSales[[#This Row],[Sales]]-tblSales[[#This Row],[Budget]])/tblSales[[#This Row],[Budget]]</f>
        <v>-0.11491672794354786</v>
      </c>
      <c r="M70" s="2">
        <f>tblSales[[#This Row],[Sales]]/tblSales[[#This Row],[Transactions]]</f>
        <v>437</v>
      </c>
    </row>
    <row r="71" spans="1:13" x14ac:dyDescent="0.25">
      <c r="A71" s="1">
        <v>46026</v>
      </c>
      <c r="B71" t="s">
        <v>18</v>
      </c>
      <c r="C71" t="s">
        <v>19</v>
      </c>
      <c r="D71" t="str">
        <f>_xlfn.XLOOKUP(tblSales[[#This Row],[Store ID]],tblStores[Store ID],tblStores[Store Name])</f>
        <v>East Rand</v>
      </c>
      <c r="E71" t="str">
        <f>_xlfn.XLOOKUP(tblSales[[#This Row],[Store ID]],tblStores[Store ID],tblStores[Province])</f>
        <v>Gauteng</v>
      </c>
      <c r="F71" t="str">
        <f>_xlfn.XLOOKUP(tblSales[[#This Row],[Store ID]],tblStores[Store ID],tblStores[Manager])</f>
        <v>Lisa Young</v>
      </c>
      <c r="G71" t="str">
        <f>_xlfn.XLOOKUP(tblSales[[#This Row],[Category ID]],tblCategories[Category ID],tblCategories[Category])</f>
        <v>Accessories</v>
      </c>
      <c r="H71">
        <v>15675</v>
      </c>
      <c r="I71">
        <v>17872</v>
      </c>
      <c r="J71">
        <v>75</v>
      </c>
      <c r="K71">
        <f>tblSales[[#This Row],[Sales]]-tblSales[[#This Row],[Budget]]</f>
        <v>-2197</v>
      </c>
      <c r="L71" s="3">
        <f>(tblSales[[#This Row],[Sales]]-tblSales[[#This Row],[Budget]])/tblSales[[#This Row],[Budget]]</f>
        <v>-0.12292972247090421</v>
      </c>
      <c r="M71" s="2">
        <f>tblSales[[#This Row],[Sales]]/tblSales[[#This Row],[Transactions]]</f>
        <v>209</v>
      </c>
    </row>
    <row r="72" spans="1:13" x14ac:dyDescent="0.25">
      <c r="A72" s="1">
        <v>46026</v>
      </c>
      <c r="B72" t="s">
        <v>20</v>
      </c>
      <c r="C72" t="s">
        <v>7</v>
      </c>
      <c r="D72" t="str">
        <f>_xlfn.XLOOKUP(tblSales[[#This Row],[Store ID]],tblStores[Store ID],tblStores[Store Name])</f>
        <v>Cape Town CBD</v>
      </c>
      <c r="E72" t="str">
        <f>_xlfn.XLOOKUP(tblSales[[#This Row],[Store ID]],tblStores[Store ID],tblStores[Province])</f>
        <v>Western Cape</v>
      </c>
      <c r="F72" t="str">
        <f>_xlfn.XLOOKUP(tblSales[[#This Row],[Store ID]],tblStores[Store ID],tblStores[Manager])</f>
        <v>Brian Hall</v>
      </c>
      <c r="G72" t="str">
        <f>_xlfn.XLOOKUP(tblSales[[#This Row],[Category ID]],tblCategories[Category ID],tblCategories[Category])</f>
        <v>Menswear</v>
      </c>
      <c r="H72">
        <v>17630</v>
      </c>
      <c r="I72">
        <v>18489</v>
      </c>
      <c r="J72">
        <v>82</v>
      </c>
      <c r="K72">
        <f>tblSales[[#This Row],[Sales]]-tblSales[[#This Row],[Budget]]</f>
        <v>-859</v>
      </c>
      <c r="L72" s="3">
        <f>(tblSales[[#This Row],[Sales]]-tblSales[[#This Row],[Budget]])/tblSales[[#This Row],[Budget]]</f>
        <v>-4.646005733138623E-2</v>
      </c>
      <c r="M72" s="2">
        <f>tblSales[[#This Row],[Sales]]/tblSales[[#This Row],[Transactions]]</f>
        <v>215</v>
      </c>
    </row>
    <row r="73" spans="1:13" x14ac:dyDescent="0.25">
      <c r="A73" s="1">
        <v>46026</v>
      </c>
      <c r="B73" t="s">
        <v>21</v>
      </c>
      <c r="C73" t="s">
        <v>9</v>
      </c>
      <c r="D73" t="str">
        <f>_xlfn.XLOOKUP(tblSales[[#This Row],[Store ID]],tblStores[Store ID],tblStores[Store Name])</f>
        <v>Canal Walk</v>
      </c>
      <c r="E73" t="str">
        <f>_xlfn.XLOOKUP(tblSales[[#This Row],[Store ID]],tblStores[Store ID],tblStores[Province])</f>
        <v>Western Cape</v>
      </c>
      <c r="F73" t="str">
        <f>_xlfn.XLOOKUP(tblSales[[#This Row],[Store ID]],tblStores[Store ID],tblStores[Manager])</f>
        <v>Megan Scott</v>
      </c>
      <c r="G73" t="str">
        <f>_xlfn.XLOOKUP(tblSales[[#This Row],[Category ID]],tblCategories[Category ID],tblCategories[Category])</f>
        <v>Ladieswear</v>
      </c>
      <c r="H73">
        <v>33258</v>
      </c>
      <c r="I73">
        <v>37761</v>
      </c>
      <c r="J73">
        <v>138</v>
      </c>
      <c r="K73">
        <f>tblSales[[#This Row],[Sales]]-tblSales[[#This Row],[Budget]]</f>
        <v>-4503</v>
      </c>
      <c r="L73" s="3">
        <f>(tblSales[[#This Row],[Sales]]-tblSales[[#This Row],[Budget]])/tblSales[[#This Row],[Budget]]</f>
        <v>-0.11925001986176213</v>
      </c>
      <c r="M73" s="2">
        <f>tblSales[[#This Row],[Sales]]/tblSales[[#This Row],[Transactions]]</f>
        <v>241</v>
      </c>
    </row>
    <row r="74" spans="1:13" x14ac:dyDescent="0.25">
      <c r="A74" s="1">
        <v>46026</v>
      </c>
      <c r="B74" t="s">
        <v>23</v>
      </c>
      <c r="C74" t="s">
        <v>19</v>
      </c>
      <c r="D74" t="str">
        <f>_xlfn.XLOOKUP(tblSales[[#This Row],[Store ID]],tblStores[Store ID],tblStores[Store Name])</f>
        <v>Stellenbosch</v>
      </c>
      <c r="E74" t="str">
        <f>_xlfn.XLOOKUP(tblSales[[#This Row],[Store ID]],tblStores[Store ID],tblStores[Province])</f>
        <v>Western Cape</v>
      </c>
      <c r="F74" t="str">
        <f>_xlfn.XLOOKUP(tblSales[[#This Row],[Store ID]],tblStores[Store ID],tblStores[Manager])</f>
        <v>Jason King</v>
      </c>
      <c r="G74" t="str">
        <f>_xlfn.XLOOKUP(tblSales[[#This Row],[Category ID]],tblCategories[Category ID],tblCategories[Category])</f>
        <v>Accessories</v>
      </c>
      <c r="H74">
        <v>46648</v>
      </c>
      <c r="I74">
        <v>48916</v>
      </c>
      <c r="J74">
        <v>98</v>
      </c>
      <c r="K74">
        <f>tblSales[[#This Row],[Sales]]-tblSales[[#This Row],[Budget]]</f>
        <v>-2268</v>
      </c>
      <c r="L74" s="3">
        <f>(tblSales[[#This Row],[Sales]]-tblSales[[#This Row],[Budget]])/tblSales[[#This Row],[Budget]]</f>
        <v>-4.6365197481396683E-2</v>
      </c>
      <c r="M74" s="2">
        <f>tblSales[[#This Row],[Sales]]/tblSales[[#This Row],[Transactions]]</f>
        <v>476</v>
      </c>
    </row>
    <row r="75" spans="1:13" x14ac:dyDescent="0.25">
      <c r="A75" s="1">
        <v>46026</v>
      </c>
      <c r="B75" t="s">
        <v>24</v>
      </c>
      <c r="C75" t="s">
        <v>19</v>
      </c>
      <c r="D75" t="str">
        <f>_xlfn.XLOOKUP(tblSales[[#This Row],[Store ID]],tblStores[Store ID],tblStores[Store Name])</f>
        <v>George</v>
      </c>
      <c r="E75" t="str">
        <f>_xlfn.XLOOKUP(tblSales[[#This Row],[Store ID]],tblStores[Store ID],tblStores[Province])</f>
        <v>Western Cape</v>
      </c>
      <c r="F75" t="str">
        <f>_xlfn.XLOOKUP(tblSales[[#This Row],[Store ID]],tblStores[Store ID],tblStores[Manager])</f>
        <v>Chloe Hill</v>
      </c>
      <c r="G75" t="str">
        <f>_xlfn.XLOOKUP(tblSales[[#This Row],[Category ID]],tblCategories[Category ID],tblCategories[Category])</f>
        <v>Accessories</v>
      </c>
      <c r="H75">
        <v>21670</v>
      </c>
      <c r="I75">
        <v>23064</v>
      </c>
      <c r="J75">
        <v>55</v>
      </c>
      <c r="K75">
        <f>tblSales[[#This Row],[Sales]]-tblSales[[#This Row],[Budget]]</f>
        <v>-1394</v>
      </c>
      <c r="L75" s="3">
        <f>(tblSales[[#This Row],[Sales]]-tblSales[[#This Row],[Budget]])/tblSales[[#This Row],[Budget]]</f>
        <v>-6.0440513354144985E-2</v>
      </c>
      <c r="M75" s="2">
        <f>tblSales[[#This Row],[Sales]]/tblSales[[#This Row],[Transactions]]</f>
        <v>394</v>
      </c>
    </row>
    <row r="76" spans="1:13" x14ac:dyDescent="0.25">
      <c r="A76" s="1">
        <v>46026</v>
      </c>
      <c r="B76" t="s">
        <v>25</v>
      </c>
      <c r="C76" t="s">
        <v>19</v>
      </c>
      <c r="D76" t="str">
        <f>_xlfn.XLOOKUP(tblSales[[#This Row],[Store ID]],tblStores[Store ID],tblStores[Store Name])</f>
        <v>Paarl</v>
      </c>
      <c r="E76" t="str">
        <f>_xlfn.XLOOKUP(tblSales[[#This Row],[Store ID]],tblStores[Store ID],tblStores[Province])</f>
        <v>Western Cape</v>
      </c>
      <c r="F76" t="str">
        <f>_xlfn.XLOOKUP(tblSales[[#This Row],[Store ID]],tblStores[Store ID],tblStores[Manager])</f>
        <v>Andrew Lee</v>
      </c>
      <c r="G76" t="str">
        <f>_xlfn.XLOOKUP(tblSales[[#This Row],[Category ID]],tblCategories[Category ID],tblCategories[Category])</f>
        <v>Accessories</v>
      </c>
      <c r="H76">
        <v>57288</v>
      </c>
      <c r="I76">
        <v>64946</v>
      </c>
      <c r="J76">
        <v>168</v>
      </c>
      <c r="K76">
        <f>tblSales[[#This Row],[Sales]]-tblSales[[#This Row],[Budget]]</f>
        <v>-7658</v>
      </c>
      <c r="L76" s="3">
        <f>(tblSales[[#This Row],[Sales]]-tblSales[[#This Row],[Budget]])/tblSales[[#This Row],[Budget]]</f>
        <v>-0.11791334339297262</v>
      </c>
      <c r="M76" s="2">
        <f>tblSales[[#This Row],[Sales]]/tblSales[[#This Row],[Transactions]]</f>
        <v>341</v>
      </c>
    </row>
    <row r="77" spans="1:13" x14ac:dyDescent="0.25">
      <c r="A77" s="1">
        <v>46026</v>
      </c>
      <c r="B77" t="s">
        <v>26</v>
      </c>
      <c r="C77" t="s">
        <v>9</v>
      </c>
      <c r="D77" t="str">
        <f>_xlfn.XLOOKUP(tblSales[[#This Row],[Store ID]],tblStores[Store ID],tblStores[Store Name])</f>
        <v>Gqeberha</v>
      </c>
      <c r="E77" t="str">
        <f>_xlfn.XLOOKUP(tblSales[[#This Row],[Store ID]],tblStores[Store ID],tblStores[Province])</f>
        <v>Eastern Cape</v>
      </c>
      <c r="F77" t="str">
        <f>_xlfn.XLOOKUP(tblSales[[#This Row],[Store ID]],tblStores[Store ID],tblStores[Manager])</f>
        <v>Emma Baker</v>
      </c>
      <c r="G77" t="str">
        <f>_xlfn.XLOOKUP(tblSales[[#This Row],[Category ID]],tblCategories[Category ID],tblCategories[Category])</f>
        <v>Ladieswear</v>
      </c>
      <c r="H77">
        <v>70040</v>
      </c>
      <c r="I77">
        <v>67215</v>
      </c>
      <c r="J77">
        <v>206</v>
      </c>
      <c r="K77">
        <f>tblSales[[#This Row],[Sales]]-tblSales[[#This Row],[Budget]]</f>
        <v>2825</v>
      </c>
      <c r="L77" s="3">
        <f>(tblSales[[#This Row],[Sales]]-tblSales[[#This Row],[Budget]])/tblSales[[#This Row],[Budget]]</f>
        <v>4.2029308934017705E-2</v>
      </c>
      <c r="M77" s="2">
        <f>tblSales[[#This Row],[Sales]]/tblSales[[#This Row],[Transactions]]</f>
        <v>340</v>
      </c>
    </row>
    <row r="78" spans="1:13" x14ac:dyDescent="0.25">
      <c r="A78" s="1">
        <v>46026</v>
      </c>
      <c r="B78" t="s">
        <v>27</v>
      </c>
      <c r="C78" t="s">
        <v>11</v>
      </c>
      <c r="D78" t="str">
        <f>_xlfn.XLOOKUP(tblSales[[#This Row],[Store ID]],tblStores[Store ID],tblStores[Store Name])</f>
        <v>East London</v>
      </c>
      <c r="E78" t="str">
        <f>_xlfn.XLOOKUP(tblSales[[#This Row],[Store ID]],tblStores[Store ID],tblStores[Province])</f>
        <v>Eastern Cape</v>
      </c>
      <c r="F78" t="str">
        <f>_xlfn.XLOOKUP(tblSales[[#This Row],[Store ID]],tblStores[Store ID],tblStores[Manager])</f>
        <v>Daniel Evans</v>
      </c>
      <c r="G78" t="str">
        <f>_xlfn.XLOOKUP(tblSales[[#This Row],[Category ID]],tblCategories[Category ID],tblCategories[Category])</f>
        <v>Footwear</v>
      </c>
      <c r="H78">
        <v>34680</v>
      </c>
      <c r="I78">
        <v>33812</v>
      </c>
      <c r="J78">
        <v>68</v>
      </c>
      <c r="K78">
        <f>tblSales[[#This Row],[Sales]]-tblSales[[#This Row],[Budget]]</f>
        <v>868</v>
      </c>
      <c r="L78" s="3">
        <f>(tblSales[[#This Row],[Sales]]-tblSales[[#This Row],[Budget]])/tblSales[[#This Row],[Budget]]</f>
        <v>2.5671359280728737E-2</v>
      </c>
      <c r="M78" s="2">
        <f>tblSales[[#This Row],[Sales]]/tblSales[[#This Row],[Transactions]]</f>
        <v>510</v>
      </c>
    </row>
    <row r="79" spans="1:13" x14ac:dyDescent="0.25">
      <c r="A79" s="1">
        <v>46026</v>
      </c>
      <c r="B79" t="s">
        <v>28</v>
      </c>
      <c r="C79" t="s">
        <v>22</v>
      </c>
      <c r="D79" t="str">
        <f>_xlfn.XLOOKUP(tblSales[[#This Row],[Store ID]],tblStores[Store ID],tblStores[Store Name])</f>
        <v>Bloemfontein</v>
      </c>
      <c r="E79" t="str">
        <f>_xlfn.XLOOKUP(tblSales[[#This Row],[Store ID]],tblStores[Store ID],tblStores[Province])</f>
        <v>Free State</v>
      </c>
      <c r="F79" t="str">
        <f>_xlfn.XLOOKUP(tblSales[[#This Row],[Store ID]],tblStores[Store ID],tblStores[Manager])</f>
        <v>Rachel Moore</v>
      </c>
      <c r="G79" t="str">
        <f>_xlfn.XLOOKUP(tblSales[[#This Row],[Category ID]],tblCategories[Category ID],tblCategories[Category])</f>
        <v>Kids</v>
      </c>
      <c r="H79">
        <v>9752</v>
      </c>
      <c r="I79">
        <v>9894</v>
      </c>
      <c r="J79">
        <v>53</v>
      </c>
      <c r="K79">
        <f>tblSales[[#This Row],[Sales]]-tblSales[[#This Row],[Budget]]</f>
        <v>-142</v>
      </c>
      <c r="L79" s="3">
        <f>(tblSales[[#This Row],[Sales]]-tblSales[[#This Row],[Budget]])/tblSales[[#This Row],[Budget]]</f>
        <v>-1.4352132605619567E-2</v>
      </c>
      <c r="M79" s="2">
        <f>tblSales[[#This Row],[Sales]]/tblSales[[#This Row],[Transactions]]</f>
        <v>184</v>
      </c>
    </row>
    <row r="80" spans="1:13" x14ac:dyDescent="0.25">
      <c r="A80" s="1">
        <v>46026</v>
      </c>
      <c r="B80" t="s">
        <v>29</v>
      </c>
      <c r="C80" t="s">
        <v>19</v>
      </c>
      <c r="D80" t="str">
        <f>_xlfn.XLOOKUP(tblSales[[#This Row],[Store ID]],tblStores[Store ID],tblStores[Store Name])</f>
        <v>Polokwane</v>
      </c>
      <c r="E80" t="str">
        <f>_xlfn.XLOOKUP(tblSales[[#This Row],[Store ID]],tblStores[Store ID],tblStores[Province])</f>
        <v>Limpopo</v>
      </c>
      <c r="F80" t="str">
        <f>_xlfn.XLOOKUP(tblSales[[#This Row],[Store ID]],tblStores[Store ID],tblStores[Manager])</f>
        <v>Kevin Harris</v>
      </c>
      <c r="G80" t="str">
        <f>_xlfn.XLOOKUP(tblSales[[#This Row],[Category ID]],tblCategories[Category ID],tblCategories[Category])</f>
        <v>Accessories</v>
      </c>
      <c r="H80">
        <v>13020</v>
      </c>
      <c r="I80">
        <v>13467</v>
      </c>
      <c r="J80">
        <v>60</v>
      </c>
      <c r="K80">
        <f>tblSales[[#This Row],[Sales]]-tblSales[[#This Row],[Budget]]</f>
        <v>-447</v>
      </c>
      <c r="L80" s="3">
        <f>(tblSales[[#This Row],[Sales]]-tblSales[[#This Row],[Budget]])/tblSales[[#This Row],[Budget]]</f>
        <v>-3.3192247716640678E-2</v>
      </c>
      <c r="M80" s="2">
        <f>tblSales[[#This Row],[Sales]]/tblSales[[#This Row],[Transactions]]</f>
        <v>217</v>
      </c>
    </row>
    <row r="81" spans="1:13" x14ac:dyDescent="0.25">
      <c r="A81" s="1">
        <v>46026</v>
      </c>
      <c r="B81" t="s">
        <v>30</v>
      </c>
      <c r="C81" t="s">
        <v>19</v>
      </c>
      <c r="D81" t="str">
        <f>_xlfn.XLOOKUP(tblSales[[#This Row],[Store ID]],tblStores[Store ID],tblStores[Store Name])</f>
        <v>Nelspruit</v>
      </c>
      <c r="E81" t="str">
        <f>_xlfn.XLOOKUP(tblSales[[#This Row],[Store ID]],tblStores[Store ID],tblStores[Province])</f>
        <v>Mpumalanga</v>
      </c>
      <c r="F81" t="str">
        <f>_xlfn.XLOOKUP(tblSales[[#This Row],[Store ID]],tblStores[Store ID],tblStores[Manager])</f>
        <v>Olivia Turner</v>
      </c>
      <c r="G81" t="str">
        <f>_xlfn.XLOOKUP(tblSales[[#This Row],[Category ID]],tblCategories[Category ID],tblCategories[Category])</f>
        <v>Accessories</v>
      </c>
      <c r="H81">
        <v>25194</v>
      </c>
      <c r="I81">
        <v>28552</v>
      </c>
      <c r="J81">
        <v>102</v>
      </c>
      <c r="K81">
        <f>tblSales[[#This Row],[Sales]]-tblSales[[#This Row],[Budget]]</f>
        <v>-3358</v>
      </c>
      <c r="L81" s="3">
        <f>(tblSales[[#This Row],[Sales]]-tblSales[[#This Row],[Budget]])/tblSales[[#This Row],[Budget]]</f>
        <v>-0.11760997478285234</v>
      </c>
      <c r="M81" s="2">
        <f>tblSales[[#This Row],[Sales]]/tblSales[[#This Row],[Transactions]]</f>
        <v>247</v>
      </c>
    </row>
    <row r="82" spans="1:13" x14ac:dyDescent="0.25">
      <c r="A82" s="1">
        <v>46027</v>
      </c>
      <c r="B82" t="s">
        <v>6</v>
      </c>
      <c r="C82" t="s">
        <v>7</v>
      </c>
      <c r="D82" t="str">
        <f>_xlfn.XLOOKUP(tblSales[[#This Row],[Store ID]],tblStores[Store ID],tblStores[Store Name])</f>
        <v>Durban CBD</v>
      </c>
      <c r="E82" t="str">
        <f>_xlfn.XLOOKUP(tblSales[[#This Row],[Store ID]],tblStores[Store ID],tblStores[Province])</f>
        <v>KZN</v>
      </c>
      <c r="F82" t="str">
        <f>_xlfn.XLOOKUP(tblSales[[#This Row],[Store ID]],tblStores[Store ID],tblStores[Manager])</f>
        <v>Sarah Adams</v>
      </c>
      <c r="G82" t="str">
        <f>_xlfn.XLOOKUP(tblSales[[#This Row],[Category ID]],tblCategories[Category ID],tblCategories[Category])</f>
        <v>Menswear</v>
      </c>
      <c r="H82">
        <v>35793</v>
      </c>
      <c r="I82">
        <v>34763</v>
      </c>
      <c r="J82">
        <v>97</v>
      </c>
      <c r="K82">
        <f>tblSales[[#This Row],[Sales]]-tblSales[[#This Row],[Budget]]</f>
        <v>1030</v>
      </c>
      <c r="L82" s="3">
        <f>(tblSales[[#This Row],[Sales]]-tblSales[[#This Row],[Budget]])/tblSales[[#This Row],[Budget]]</f>
        <v>2.9629203463452523E-2</v>
      </c>
      <c r="M82" s="2">
        <f>tblSales[[#This Row],[Sales]]/tblSales[[#This Row],[Transactions]]</f>
        <v>369</v>
      </c>
    </row>
    <row r="83" spans="1:13" x14ac:dyDescent="0.25">
      <c r="A83" s="1">
        <v>46027</v>
      </c>
      <c r="B83" t="s">
        <v>8</v>
      </c>
      <c r="C83" t="s">
        <v>11</v>
      </c>
      <c r="D83" t="str">
        <f>_xlfn.XLOOKUP(tblSales[[#This Row],[Store ID]],tblStores[Store ID],tblStores[Store Name])</f>
        <v>Gateway</v>
      </c>
      <c r="E83" t="str">
        <f>_xlfn.XLOOKUP(tblSales[[#This Row],[Store ID]],tblStores[Store ID],tblStores[Province])</f>
        <v>KZN</v>
      </c>
      <c r="F83" t="str">
        <f>_xlfn.XLOOKUP(tblSales[[#This Row],[Store ID]],tblStores[Store ID],tblStores[Manager])</f>
        <v>Michael Jones</v>
      </c>
      <c r="G83" t="str">
        <f>_xlfn.XLOOKUP(tblSales[[#This Row],[Category ID]],tblCategories[Category ID],tblCategories[Category])</f>
        <v>Footwear</v>
      </c>
      <c r="H83">
        <v>58116</v>
      </c>
      <c r="I83">
        <v>61191</v>
      </c>
      <c r="J83">
        <v>174</v>
      </c>
      <c r="K83">
        <f>tblSales[[#This Row],[Sales]]-tblSales[[#This Row],[Budget]]</f>
        <v>-3075</v>
      </c>
      <c r="L83" s="3">
        <f>(tblSales[[#This Row],[Sales]]-tblSales[[#This Row],[Budget]])/tblSales[[#This Row],[Budget]]</f>
        <v>-5.0252488110996717E-2</v>
      </c>
      <c r="M83" s="2">
        <f>tblSales[[#This Row],[Sales]]/tblSales[[#This Row],[Transactions]]</f>
        <v>334</v>
      </c>
    </row>
    <row r="84" spans="1:13" x14ac:dyDescent="0.25">
      <c r="A84" s="1">
        <v>46027</v>
      </c>
      <c r="B84" t="s">
        <v>10</v>
      </c>
      <c r="C84" t="s">
        <v>19</v>
      </c>
      <c r="D84" t="str">
        <f>_xlfn.XLOOKUP(tblSales[[#This Row],[Store ID]],tblStores[Store ID],tblStores[Store Name])</f>
        <v>Ballito</v>
      </c>
      <c r="E84" t="str">
        <f>_xlfn.XLOOKUP(tblSales[[#This Row],[Store ID]],tblStores[Store ID],tblStores[Province])</f>
        <v>KZN</v>
      </c>
      <c r="F84" t="str">
        <f>_xlfn.XLOOKUP(tblSales[[#This Row],[Store ID]],tblStores[Store ID],tblStores[Manager])</f>
        <v>Linda Smith</v>
      </c>
      <c r="G84" t="str">
        <f>_xlfn.XLOOKUP(tblSales[[#This Row],[Category ID]],tblCategories[Category ID],tblCategories[Category])</f>
        <v>Accessories</v>
      </c>
      <c r="H84">
        <v>17131</v>
      </c>
      <c r="I84">
        <v>16700</v>
      </c>
      <c r="J84">
        <v>37</v>
      </c>
      <c r="K84">
        <f>tblSales[[#This Row],[Sales]]-tblSales[[#This Row],[Budget]]</f>
        <v>431</v>
      </c>
      <c r="L84" s="3">
        <f>(tblSales[[#This Row],[Sales]]-tblSales[[#This Row],[Budget]])/tblSales[[#This Row],[Budget]]</f>
        <v>2.5808383233532933E-2</v>
      </c>
      <c r="M84" s="2">
        <f>tblSales[[#This Row],[Sales]]/tblSales[[#This Row],[Transactions]]</f>
        <v>463</v>
      </c>
    </row>
    <row r="85" spans="1:13" x14ac:dyDescent="0.25">
      <c r="A85" s="1">
        <v>46027</v>
      </c>
      <c r="B85" t="s">
        <v>12</v>
      </c>
      <c r="C85" t="s">
        <v>7</v>
      </c>
      <c r="D85" t="str">
        <f>_xlfn.XLOOKUP(tblSales[[#This Row],[Store ID]],tblStores[Store ID],tblStores[Store Name])</f>
        <v>Pietermaritzburg</v>
      </c>
      <c r="E85" t="str">
        <f>_xlfn.XLOOKUP(tblSales[[#This Row],[Store ID]],tblStores[Store ID],tblStores[Province])</f>
        <v>KZN</v>
      </c>
      <c r="F85" t="str">
        <f>_xlfn.XLOOKUP(tblSales[[#This Row],[Store ID]],tblStores[Store ID],tblStores[Manager])</f>
        <v>Peter Brown</v>
      </c>
      <c r="G85" t="str">
        <f>_xlfn.XLOOKUP(tblSales[[#This Row],[Category ID]],tblCategories[Category ID],tblCategories[Category])</f>
        <v>Menswear</v>
      </c>
      <c r="H85">
        <v>21735</v>
      </c>
      <c r="I85">
        <v>20188</v>
      </c>
      <c r="J85">
        <v>69</v>
      </c>
      <c r="K85">
        <f>tblSales[[#This Row],[Sales]]-tblSales[[#This Row],[Budget]]</f>
        <v>1547</v>
      </c>
      <c r="L85" s="3">
        <f>(tblSales[[#This Row],[Sales]]-tblSales[[#This Row],[Budget]])/tblSales[[#This Row],[Budget]]</f>
        <v>7.6629680998613031E-2</v>
      </c>
      <c r="M85" s="2">
        <f>tblSales[[#This Row],[Sales]]/tblSales[[#This Row],[Transactions]]</f>
        <v>315</v>
      </c>
    </row>
    <row r="86" spans="1:13" x14ac:dyDescent="0.25">
      <c r="A86" s="1">
        <v>46027</v>
      </c>
      <c r="B86" t="s">
        <v>13</v>
      </c>
      <c r="C86" t="s">
        <v>7</v>
      </c>
      <c r="D86" t="str">
        <f>_xlfn.XLOOKUP(tblSales[[#This Row],[Store ID]],tblStores[Store ID],tblStores[Store Name])</f>
        <v>Richards Bay</v>
      </c>
      <c r="E86" t="str">
        <f>_xlfn.XLOOKUP(tblSales[[#This Row],[Store ID]],tblStores[Store ID],tblStores[Province])</f>
        <v>KZN</v>
      </c>
      <c r="F86" t="str">
        <f>_xlfn.XLOOKUP(tblSales[[#This Row],[Store ID]],tblStores[Store ID],tblStores[Manager])</f>
        <v>David Green</v>
      </c>
      <c r="G86" t="str">
        <f>_xlfn.XLOOKUP(tblSales[[#This Row],[Category ID]],tblCategories[Category ID],tblCategories[Category])</f>
        <v>Menswear</v>
      </c>
      <c r="H86">
        <v>45584</v>
      </c>
      <c r="I86">
        <v>44129</v>
      </c>
      <c r="J86">
        <v>176</v>
      </c>
      <c r="K86">
        <f>tblSales[[#This Row],[Sales]]-tblSales[[#This Row],[Budget]]</f>
        <v>1455</v>
      </c>
      <c r="L86" s="3">
        <f>(tblSales[[#This Row],[Sales]]-tblSales[[#This Row],[Budget]])/tblSales[[#This Row],[Budget]]</f>
        <v>3.2971515330055066E-2</v>
      </c>
      <c r="M86" s="2">
        <f>tblSales[[#This Row],[Sales]]/tblSales[[#This Row],[Transactions]]</f>
        <v>259</v>
      </c>
    </row>
    <row r="87" spans="1:13" x14ac:dyDescent="0.25">
      <c r="A87" s="1">
        <v>46027</v>
      </c>
      <c r="B87" t="s">
        <v>14</v>
      </c>
      <c r="C87" t="s">
        <v>19</v>
      </c>
      <c r="D87" t="str">
        <f>_xlfn.XLOOKUP(tblSales[[#This Row],[Store ID]],tblStores[Store ID],tblStores[Store Name])</f>
        <v>Sandton</v>
      </c>
      <c r="E87" t="str">
        <f>_xlfn.XLOOKUP(tblSales[[#This Row],[Store ID]],tblStores[Store ID],tblStores[Province])</f>
        <v>Gauteng</v>
      </c>
      <c r="F87" t="str">
        <f>_xlfn.XLOOKUP(tblSales[[#This Row],[Store ID]],tblStores[Store ID],tblStores[Manager])</f>
        <v>Karen White</v>
      </c>
      <c r="G87" t="str">
        <f>_xlfn.XLOOKUP(tblSales[[#This Row],[Category ID]],tblCategories[Category ID],tblCategories[Category])</f>
        <v>Accessories</v>
      </c>
      <c r="H87">
        <v>31240</v>
      </c>
      <c r="I87">
        <v>29706</v>
      </c>
      <c r="J87">
        <v>88</v>
      </c>
      <c r="K87">
        <f>tblSales[[#This Row],[Sales]]-tblSales[[#This Row],[Budget]]</f>
        <v>1534</v>
      </c>
      <c r="L87" s="3">
        <f>(tblSales[[#This Row],[Sales]]-tblSales[[#This Row],[Budget]])/tblSales[[#This Row],[Budget]]</f>
        <v>5.1639399447922979E-2</v>
      </c>
      <c r="M87" s="2">
        <f>tblSales[[#This Row],[Sales]]/tblSales[[#This Row],[Transactions]]</f>
        <v>355</v>
      </c>
    </row>
    <row r="88" spans="1:13" x14ac:dyDescent="0.25">
      <c r="A88" s="1">
        <v>46027</v>
      </c>
      <c r="B88" t="s">
        <v>15</v>
      </c>
      <c r="C88" t="s">
        <v>22</v>
      </c>
      <c r="D88" t="str">
        <f>_xlfn.XLOOKUP(tblSales[[#This Row],[Store ID]],tblStores[Store ID],tblStores[Store Name])</f>
        <v>Rosebank</v>
      </c>
      <c r="E88" t="str">
        <f>_xlfn.XLOOKUP(tblSales[[#This Row],[Store ID]],tblStores[Store ID],tblStores[Province])</f>
        <v>Gauteng</v>
      </c>
      <c r="F88" t="str">
        <f>_xlfn.XLOOKUP(tblSales[[#This Row],[Store ID]],tblStores[Store ID],tblStores[Manager])</f>
        <v>James Taylor</v>
      </c>
      <c r="G88" t="str">
        <f>_xlfn.XLOOKUP(tblSales[[#This Row],[Category ID]],tblCategories[Category ID],tblCategories[Category])</f>
        <v>Kids</v>
      </c>
      <c r="H88">
        <v>70520</v>
      </c>
      <c r="I88">
        <v>67895</v>
      </c>
      <c r="J88">
        <v>164</v>
      </c>
      <c r="K88">
        <f>tblSales[[#This Row],[Sales]]-tblSales[[#This Row],[Budget]]</f>
        <v>2625</v>
      </c>
      <c r="L88" s="3">
        <f>(tblSales[[#This Row],[Sales]]-tblSales[[#This Row],[Budget]])/tblSales[[#This Row],[Budget]]</f>
        <v>3.8662640842477357E-2</v>
      </c>
      <c r="M88" s="2">
        <f>tblSales[[#This Row],[Sales]]/tblSales[[#This Row],[Transactions]]</f>
        <v>430</v>
      </c>
    </row>
    <row r="89" spans="1:13" x14ac:dyDescent="0.25">
      <c r="A89" s="1">
        <v>46027</v>
      </c>
      <c r="B89" t="s">
        <v>16</v>
      </c>
      <c r="C89" t="s">
        <v>7</v>
      </c>
      <c r="D89" t="str">
        <f>_xlfn.XLOOKUP(tblSales[[#This Row],[Store ID]],tblStores[Store ID],tblStores[Store Name])</f>
        <v>Pretoria</v>
      </c>
      <c r="E89" t="str">
        <f>_xlfn.XLOOKUP(tblSales[[#This Row],[Store ID]],tblStores[Store ID],tblStores[Province])</f>
        <v>Gauteng</v>
      </c>
      <c r="F89" t="str">
        <f>_xlfn.XLOOKUP(tblSales[[#This Row],[Store ID]],tblStores[Store ID],tblStores[Manager])</f>
        <v>Susan Clark</v>
      </c>
      <c r="G89" t="str">
        <f>_xlfn.XLOOKUP(tblSales[[#This Row],[Category ID]],tblCategories[Category ID],tblCategories[Category])</f>
        <v>Menswear</v>
      </c>
      <c r="H89">
        <v>29232</v>
      </c>
      <c r="I89">
        <v>29404</v>
      </c>
      <c r="J89">
        <v>58</v>
      </c>
      <c r="K89">
        <f>tblSales[[#This Row],[Sales]]-tblSales[[#This Row],[Budget]]</f>
        <v>-172</v>
      </c>
      <c r="L89" s="3">
        <f>(tblSales[[#This Row],[Sales]]-tblSales[[#This Row],[Budget]])/tblSales[[#This Row],[Budget]]</f>
        <v>-5.8495442796898381E-3</v>
      </c>
      <c r="M89" s="2">
        <f>tblSales[[#This Row],[Sales]]/tblSales[[#This Row],[Transactions]]</f>
        <v>504</v>
      </c>
    </row>
    <row r="90" spans="1:13" x14ac:dyDescent="0.25">
      <c r="A90" s="1">
        <v>46027</v>
      </c>
      <c r="B90" t="s">
        <v>17</v>
      </c>
      <c r="C90" t="s">
        <v>22</v>
      </c>
      <c r="D90" t="str">
        <f>_xlfn.XLOOKUP(tblSales[[#This Row],[Store ID]],tblStores[Store ID],tblStores[Store Name])</f>
        <v>Centurion</v>
      </c>
      <c r="E90" t="str">
        <f>_xlfn.XLOOKUP(tblSales[[#This Row],[Store ID]],tblStores[Store ID],tblStores[Province])</f>
        <v>Gauteng</v>
      </c>
      <c r="F90" t="str">
        <f>_xlfn.XLOOKUP(tblSales[[#This Row],[Store ID]],tblStores[Store ID],tblStores[Manager])</f>
        <v>Mark Wilson</v>
      </c>
      <c r="G90" t="str">
        <f>_xlfn.XLOOKUP(tblSales[[#This Row],[Category ID]],tblCategories[Category ID],tblCategories[Category])</f>
        <v>Kids</v>
      </c>
      <c r="H90">
        <v>8326</v>
      </c>
      <c r="I90">
        <v>8187</v>
      </c>
      <c r="J90">
        <v>46</v>
      </c>
      <c r="K90">
        <f>tblSales[[#This Row],[Sales]]-tblSales[[#This Row],[Budget]]</f>
        <v>139</v>
      </c>
      <c r="L90" s="3">
        <f>(tblSales[[#This Row],[Sales]]-tblSales[[#This Row],[Budget]])/tblSales[[#This Row],[Budget]]</f>
        <v>1.6978136069378282E-2</v>
      </c>
      <c r="M90" s="2">
        <f>tblSales[[#This Row],[Sales]]/tblSales[[#This Row],[Transactions]]</f>
        <v>181</v>
      </c>
    </row>
    <row r="91" spans="1:13" x14ac:dyDescent="0.25">
      <c r="A91" s="1">
        <v>46027</v>
      </c>
      <c r="B91" t="s">
        <v>18</v>
      </c>
      <c r="C91" t="s">
        <v>9</v>
      </c>
      <c r="D91" t="str">
        <f>_xlfn.XLOOKUP(tblSales[[#This Row],[Store ID]],tblStores[Store ID],tblStores[Store Name])</f>
        <v>East Rand</v>
      </c>
      <c r="E91" t="str">
        <f>_xlfn.XLOOKUP(tblSales[[#This Row],[Store ID]],tblStores[Store ID],tblStores[Province])</f>
        <v>Gauteng</v>
      </c>
      <c r="F91" t="str">
        <f>_xlfn.XLOOKUP(tblSales[[#This Row],[Store ID]],tblStores[Store ID],tblStores[Manager])</f>
        <v>Lisa Young</v>
      </c>
      <c r="G91" t="str">
        <f>_xlfn.XLOOKUP(tblSales[[#This Row],[Category ID]],tblCategories[Category ID],tblCategories[Category])</f>
        <v>Ladieswear</v>
      </c>
      <c r="H91">
        <v>62172</v>
      </c>
      <c r="I91">
        <v>58466</v>
      </c>
      <c r="J91">
        <v>198</v>
      </c>
      <c r="K91">
        <f>tblSales[[#This Row],[Sales]]-tblSales[[#This Row],[Budget]]</f>
        <v>3706</v>
      </c>
      <c r="L91" s="3">
        <f>(tblSales[[#This Row],[Sales]]-tblSales[[#This Row],[Budget]])/tblSales[[#This Row],[Budget]]</f>
        <v>6.3387267813772102E-2</v>
      </c>
      <c r="M91" s="2">
        <f>tblSales[[#This Row],[Sales]]/tblSales[[#This Row],[Transactions]]</f>
        <v>314</v>
      </c>
    </row>
    <row r="92" spans="1:13" x14ac:dyDescent="0.25">
      <c r="A92" s="1">
        <v>46027</v>
      </c>
      <c r="B92" t="s">
        <v>20</v>
      </c>
      <c r="C92" t="s">
        <v>11</v>
      </c>
      <c r="D92" t="str">
        <f>_xlfn.XLOOKUP(tblSales[[#This Row],[Store ID]],tblStores[Store ID],tblStores[Store Name])</f>
        <v>Cape Town CBD</v>
      </c>
      <c r="E92" t="str">
        <f>_xlfn.XLOOKUP(tblSales[[#This Row],[Store ID]],tblStores[Store ID],tblStores[Province])</f>
        <v>Western Cape</v>
      </c>
      <c r="F92" t="str">
        <f>_xlfn.XLOOKUP(tblSales[[#This Row],[Store ID]],tblStores[Store ID],tblStores[Manager])</f>
        <v>Brian Hall</v>
      </c>
      <c r="G92" t="str">
        <f>_xlfn.XLOOKUP(tblSales[[#This Row],[Category ID]],tblCategories[Category ID],tblCategories[Category])</f>
        <v>Footwear</v>
      </c>
      <c r="H92">
        <v>70048</v>
      </c>
      <c r="I92">
        <v>72865</v>
      </c>
      <c r="J92">
        <v>176</v>
      </c>
      <c r="K92">
        <f>tblSales[[#This Row],[Sales]]-tblSales[[#This Row],[Budget]]</f>
        <v>-2817</v>
      </c>
      <c r="L92" s="3">
        <f>(tblSales[[#This Row],[Sales]]-tblSales[[#This Row],[Budget]])/tblSales[[#This Row],[Budget]]</f>
        <v>-3.8660536608797091E-2</v>
      </c>
      <c r="M92" s="2">
        <f>tblSales[[#This Row],[Sales]]/tblSales[[#This Row],[Transactions]]</f>
        <v>398</v>
      </c>
    </row>
    <row r="93" spans="1:13" x14ac:dyDescent="0.25">
      <c r="A93" s="1">
        <v>46027</v>
      </c>
      <c r="B93" t="s">
        <v>21</v>
      </c>
      <c r="C93" t="s">
        <v>7</v>
      </c>
      <c r="D93" t="str">
        <f>_xlfn.XLOOKUP(tblSales[[#This Row],[Store ID]],tblStores[Store ID],tblStores[Store Name])</f>
        <v>Canal Walk</v>
      </c>
      <c r="E93" t="str">
        <f>_xlfn.XLOOKUP(tblSales[[#This Row],[Store ID]],tblStores[Store ID],tblStores[Province])</f>
        <v>Western Cape</v>
      </c>
      <c r="F93" t="str">
        <f>_xlfn.XLOOKUP(tblSales[[#This Row],[Store ID]],tblStores[Store ID],tblStores[Manager])</f>
        <v>Megan Scott</v>
      </c>
      <c r="G93" t="str">
        <f>_xlfn.XLOOKUP(tblSales[[#This Row],[Category ID]],tblCategories[Category ID],tblCategories[Category])</f>
        <v>Menswear</v>
      </c>
      <c r="H93">
        <v>13824</v>
      </c>
      <c r="I93">
        <v>14327</v>
      </c>
      <c r="J93">
        <v>54</v>
      </c>
      <c r="K93">
        <f>tblSales[[#This Row],[Sales]]-tblSales[[#This Row],[Budget]]</f>
        <v>-503</v>
      </c>
      <c r="L93" s="3">
        <f>(tblSales[[#This Row],[Sales]]-tblSales[[#This Row],[Budget]])/tblSales[[#This Row],[Budget]]</f>
        <v>-3.5108536330006282E-2</v>
      </c>
      <c r="M93" s="2">
        <f>tblSales[[#This Row],[Sales]]/tblSales[[#This Row],[Transactions]]</f>
        <v>256</v>
      </c>
    </row>
    <row r="94" spans="1:13" x14ac:dyDescent="0.25">
      <c r="A94" s="1">
        <v>46027</v>
      </c>
      <c r="B94" t="s">
        <v>23</v>
      </c>
      <c r="C94" t="s">
        <v>22</v>
      </c>
      <c r="D94" t="str">
        <f>_xlfn.XLOOKUP(tblSales[[#This Row],[Store ID]],tblStores[Store ID],tblStores[Store Name])</f>
        <v>Stellenbosch</v>
      </c>
      <c r="E94" t="str">
        <f>_xlfn.XLOOKUP(tblSales[[#This Row],[Store ID]],tblStores[Store ID],tblStores[Province])</f>
        <v>Western Cape</v>
      </c>
      <c r="F94" t="str">
        <f>_xlfn.XLOOKUP(tblSales[[#This Row],[Store ID]],tblStores[Store ID],tblStores[Manager])</f>
        <v>Jason King</v>
      </c>
      <c r="G94" t="str">
        <f>_xlfn.XLOOKUP(tblSales[[#This Row],[Category ID]],tblCategories[Category ID],tblCategories[Category])</f>
        <v>Kids</v>
      </c>
      <c r="H94">
        <v>85008</v>
      </c>
      <c r="I94">
        <v>79654</v>
      </c>
      <c r="J94">
        <v>184</v>
      </c>
      <c r="K94">
        <f>tblSales[[#This Row],[Sales]]-tblSales[[#This Row],[Budget]]</f>
        <v>5354</v>
      </c>
      <c r="L94" s="3">
        <f>(tblSales[[#This Row],[Sales]]-tblSales[[#This Row],[Budget]])/tblSales[[#This Row],[Budget]]</f>
        <v>6.7215707936826782E-2</v>
      </c>
      <c r="M94" s="2">
        <f>tblSales[[#This Row],[Sales]]/tblSales[[#This Row],[Transactions]]</f>
        <v>462</v>
      </c>
    </row>
    <row r="95" spans="1:13" x14ac:dyDescent="0.25">
      <c r="A95" s="1">
        <v>46027</v>
      </c>
      <c r="B95" t="s">
        <v>24</v>
      </c>
      <c r="C95" t="s">
        <v>9</v>
      </c>
      <c r="D95" t="str">
        <f>_xlfn.XLOOKUP(tblSales[[#This Row],[Store ID]],tblStores[Store ID],tblStores[Store Name])</f>
        <v>George</v>
      </c>
      <c r="E95" t="str">
        <f>_xlfn.XLOOKUP(tblSales[[#This Row],[Store ID]],tblStores[Store ID],tblStores[Province])</f>
        <v>Western Cape</v>
      </c>
      <c r="F95" t="str">
        <f>_xlfn.XLOOKUP(tblSales[[#This Row],[Store ID]],tblStores[Store ID],tblStores[Manager])</f>
        <v>Chloe Hill</v>
      </c>
      <c r="G95" t="str">
        <f>_xlfn.XLOOKUP(tblSales[[#This Row],[Category ID]],tblCategories[Category ID],tblCategories[Category])</f>
        <v>Ladieswear</v>
      </c>
      <c r="H95">
        <v>15165</v>
      </c>
      <c r="I95">
        <v>15030</v>
      </c>
      <c r="J95">
        <v>45</v>
      </c>
      <c r="K95">
        <f>tblSales[[#This Row],[Sales]]-tblSales[[#This Row],[Budget]]</f>
        <v>135</v>
      </c>
      <c r="L95" s="3">
        <f>(tblSales[[#This Row],[Sales]]-tblSales[[#This Row],[Budget]])/tblSales[[#This Row],[Budget]]</f>
        <v>8.9820359281437123E-3</v>
      </c>
      <c r="M95" s="2">
        <f>tblSales[[#This Row],[Sales]]/tblSales[[#This Row],[Transactions]]</f>
        <v>337</v>
      </c>
    </row>
    <row r="96" spans="1:13" x14ac:dyDescent="0.25">
      <c r="A96" s="1">
        <v>46027</v>
      </c>
      <c r="B96" t="s">
        <v>25</v>
      </c>
      <c r="C96" t="s">
        <v>7</v>
      </c>
      <c r="D96" t="str">
        <f>_xlfn.XLOOKUP(tblSales[[#This Row],[Store ID]],tblStores[Store ID],tblStores[Store Name])</f>
        <v>Paarl</v>
      </c>
      <c r="E96" t="str">
        <f>_xlfn.XLOOKUP(tblSales[[#This Row],[Store ID]],tblStores[Store ID],tblStores[Province])</f>
        <v>Western Cape</v>
      </c>
      <c r="F96" t="str">
        <f>_xlfn.XLOOKUP(tblSales[[#This Row],[Store ID]],tblStores[Store ID],tblStores[Manager])</f>
        <v>Andrew Lee</v>
      </c>
      <c r="G96" t="str">
        <f>_xlfn.XLOOKUP(tblSales[[#This Row],[Category ID]],tblCategories[Category ID],tblCategories[Category])</f>
        <v>Menswear</v>
      </c>
      <c r="H96">
        <v>36162</v>
      </c>
      <c r="I96">
        <v>38712</v>
      </c>
      <c r="J96">
        <v>126</v>
      </c>
      <c r="K96">
        <f>tblSales[[#This Row],[Sales]]-tblSales[[#This Row],[Budget]]</f>
        <v>-2550</v>
      </c>
      <c r="L96" s="3">
        <f>(tblSales[[#This Row],[Sales]]-tblSales[[#This Row],[Budget]])/tblSales[[#This Row],[Budget]]</f>
        <v>-6.5871047737135771E-2</v>
      </c>
      <c r="M96" s="2">
        <f>tblSales[[#This Row],[Sales]]/tblSales[[#This Row],[Transactions]]</f>
        <v>287</v>
      </c>
    </row>
    <row r="97" spans="1:13" x14ac:dyDescent="0.25">
      <c r="A97" s="1">
        <v>46027</v>
      </c>
      <c r="B97" t="s">
        <v>26</v>
      </c>
      <c r="C97" t="s">
        <v>7</v>
      </c>
      <c r="D97" t="str">
        <f>_xlfn.XLOOKUP(tblSales[[#This Row],[Store ID]],tblStores[Store ID],tblStores[Store Name])</f>
        <v>Gqeberha</v>
      </c>
      <c r="E97" t="str">
        <f>_xlfn.XLOOKUP(tblSales[[#This Row],[Store ID]],tblStores[Store ID],tblStores[Province])</f>
        <v>Eastern Cape</v>
      </c>
      <c r="F97" t="str">
        <f>_xlfn.XLOOKUP(tblSales[[#This Row],[Store ID]],tblStores[Store ID],tblStores[Manager])</f>
        <v>Emma Baker</v>
      </c>
      <c r="G97" t="str">
        <f>_xlfn.XLOOKUP(tblSales[[#This Row],[Category ID]],tblCategories[Category ID],tblCategories[Category])</f>
        <v>Menswear</v>
      </c>
      <c r="H97">
        <v>58250</v>
      </c>
      <c r="I97">
        <v>65300</v>
      </c>
      <c r="J97">
        <v>125</v>
      </c>
      <c r="K97">
        <f>tblSales[[#This Row],[Sales]]-tblSales[[#This Row],[Budget]]</f>
        <v>-7050</v>
      </c>
      <c r="L97" s="3">
        <f>(tblSales[[#This Row],[Sales]]-tblSales[[#This Row],[Budget]])/tblSales[[#This Row],[Budget]]</f>
        <v>-0.10796324655436447</v>
      </c>
      <c r="M97" s="2">
        <f>tblSales[[#This Row],[Sales]]/tblSales[[#This Row],[Transactions]]</f>
        <v>466</v>
      </c>
    </row>
    <row r="98" spans="1:13" x14ac:dyDescent="0.25">
      <c r="A98" s="1">
        <v>46027</v>
      </c>
      <c r="B98" t="s">
        <v>27</v>
      </c>
      <c r="C98" t="s">
        <v>11</v>
      </c>
      <c r="D98" t="str">
        <f>_xlfn.XLOOKUP(tblSales[[#This Row],[Store ID]],tblStores[Store ID],tblStores[Store Name])</f>
        <v>East London</v>
      </c>
      <c r="E98" t="str">
        <f>_xlfn.XLOOKUP(tblSales[[#This Row],[Store ID]],tblStores[Store ID],tblStores[Province])</f>
        <v>Eastern Cape</v>
      </c>
      <c r="F98" t="str">
        <f>_xlfn.XLOOKUP(tblSales[[#This Row],[Store ID]],tblStores[Store ID],tblStores[Manager])</f>
        <v>Daniel Evans</v>
      </c>
      <c r="G98" t="str">
        <f>_xlfn.XLOOKUP(tblSales[[#This Row],[Category ID]],tblCategories[Category ID],tblCategories[Category])</f>
        <v>Footwear</v>
      </c>
      <c r="H98">
        <v>49987</v>
      </c>
      <c r="I98">
        <v>56557</v>
      </c>
      <c r="J98">
        <v>193</v>
      </c>
      <c r="K98">
        <f>tblSales[[#This Row],[Sales]]-tblSales[[#This Row],[Budget]]</f>
        <v>-6570</v>
      </c>
      <c r="L98" s="3">
        <f>(tblSales[[#This Row],[Sales]]-tblSales[[#This Row],[Budget]])/tblSales[[#This Row],[Budget]]</f>
        <v>-0.11616599183124988</v>
      </c>
      <c r="M98" s="2">
        <f>tblSales[[#This Row],[Sales]]/tblSales[[#This Row],[Transactions]]</f>
        <v>259</v>
      </c>
    </row>
    <row r="99" spans="1:13" x14ac:dyDescent="0.25">
      <c r="A99" s="1">
        <v>46027</v>
      </c>
      <c r="B99" t="s">
        <v>28</v>
      </c>
      <c r="C99" t="s">
        <v>9</v>
      </c>
      <c r="D99" t="str">
        <f>_xlfn.XLOOKUP(tblSales[[#This Row],[Store ID]],tblStores[Store ID],tblStores[Store Name])</f>
        <v>Bloemfontein</v>
      </c>
      <c r="E99" t="str">
        <f>_xlfn.XLOOKUP(tblSales[[#This Row],[Store ID]],tblStores[Store ID],tblStores[Province])</f>
        <v>Free State</v>
      </c>
      <c r="F99" t="str">
        <f>_xlfn.XLOOKUP(tblSales[[#This Row],[Store ID]],tblStores[Store ID],tblStores[Manager])</f>
        <v>Rachel Moore</v>
      </c>
      <c r="G99" t="str">
        <f>_xlfn.XLOOKUP(tblSales[[#This Row],[Category ID]],tblCategories[Category ID],tblCategories[Category])</f>
        <v>Ladieswear</v>
      </c>
      <c r="H99">
        <v>20520</v>
      </c>
      <c r="I99">
        <v>22989</v>
      </c>
      <c r="J99">
        <v>76</v>
      </c>
      <c r="K99">
        <f>tblSales[[#This Row],[Sales]]-tblSales[[#This Row],[Budget]]</f>
        <v>-2469</v>
      </c>
      <c r="L99" s="3">
        <f>(tblSales[[#This Row],[Sales]]-tblSales[[#This Row],[Budget]])/tblSales[[#This Row],[Budget]]</f>
        <v>-0.10739919091739528</v>
      </c>
      <c r="M99" s="2">
        <f>tblSales[[#This Row],[Sales]]/tblSales[[#This Row],[Transactions]]</f>
        <v>270</v>
      </c>
    </row>
    <row r="100" spans="1:13" x14ac:dyDescent="0.25">
      <c r="A100" s="1">
        <v>46027</v>
      </c>
      <c r="B100" t="s">
        <v>29</v>
      </c>
      <c r="C100" t="s">
        <v>7</v>
      </c>
      <c r="D100" t="str">
        <f>_xlfn.XLOOKUP(tblSales[[#This Row],[Store ID]],tblStores[Store ID],tblStores[Store Name])</f>
        <v>Polokwane</v>
      </c>
      <c r="E100" t="str">
        <f>_xlfn.XLOOKUP(tblSales[[#This Row],[Store ID]],tblStores[Store ID],tblStores[Province])</f>
        <v>Limpopo</v>
      </c>
      <c r="F100" t="str">
        <f>_xlfn.XLOOKUP(tblSales[[#This Row],[Store ID]],tblStores[Store ID],tblStores[Manager])</f>
        <v>Kevin Harris</v>
      </c>
      <c r="G100" t="str">
        <f>_xlfn.XLOOKUP(tblSales[[#This Row],[Category ID]],tblCategories[Category ID],tblCategories[Category])</f>
        <v>Menswear</v>
      </c>
      <c r="H100">
        <v>28000</v>
      </c>
      <c r="I100">
        <v>30676</v>
      </c>
      <c r="J100">
        <v>80</v>
      </c>
      <c r="K100">
        <f>tblSales[[#This Row],[Sales]]-tblSales[[#This Row],[Budget]]</f>
        <v>-2676</v>
      </c>
      <c r="L100" s="3">
        <f>(tblSales[[#This Row],[Sales]]-tblSales[[#This Row],[Budget]])/tblSales[[#This Row],[Budget]]</f>
        <v>-8.723431998956839E-2</v>
      </c>
      <c r="M100" s="2">
        <f>tblSales[[#This Row],[Sales]]/tblSales[[#This Row],[Transactions]]</f>
        <v>350</v>
      </c>
    </row>
    <row r="101" spans="1:13" x14ac:dyDescent="0.25">
      <c r="A101" s="1">
        <v>46027</v>
      </c>
      <c r="B101" t="s">
        <v>30</v>
      </c>
      <c r="C101" t="s">
        <v>11</v>
      </c>
      <c r="D101" t="str">
        <f>_xlfn.XLOOKUP(tblSales[[#This Row],[Store ID]],tblStores[Store ID],tblStores[Store Name])</f>
        <v>Nelspruit</v>
      </c>
      <c r="E101" t="str">
        <f>_xlfn.XLOOKUP(tblSales[[#This Row],[Store ID]],tblStores[Store ID],tblStores[Province])</f>
        <v>Mpumalanga</v>
      </c>
      <c r="F101" t="str">
        <f>_xlfn.XLOOKUP(tblSales[[#This Row],[Store ID]],tblStores[Store ID],tblStores[Manager])</f>
        <v>Olivia Turner</v>
      </c>
      <c r="G101" t="str">
        <f>_xlfn.XLOOKUP(tblSales[[#This Row],[Category ID]],tblCategories[Category ID],tblCategories[Category])</f>
        <v>Footwear</v>
      </c>
      <c r="H101">
        <v>63242</v>
      </c>
      <c r="I101">
        <v>61136</v>
      </c>
      <c r="J101">
        <v>206</v>
      </c>
      <c r="K101">
        <f>tblSales[[#This Row],[Sales]]-tblSales[[#This Row],[Budget]]</f>
        <v>2106</v>
      </c>
      <c r="L101" s="3">
        <f>(tblSales[[#This Row],[Sales]]-tblSales[[#This Row],[Budget]])/tblSales[[#This Row],[Budget]]</f>
        <v>3.444778853703219E-2</v>
      </c>
      <c r="M101" s="2">
        <f>tblSales[[#This Row],[Sales]]/tblSales[[#This Row],[Transactions]]</f>
        <v>307</v>
      </c>
    </row>
    <row r="102" spans="1:13" x14ac:dyDescent="0.25">
      <c r="A102" s="1">
        <v>46028</v>
      </c>
      <c r="B102" t="s">
        <v>6</v>
      </c>
      <c r="C102" t="s">
        <v>7</v>
      </c>
      <c r="D102" t="str">
        <f>_xlfn.XLOOKUP(tblSales[[#This Row],[Store ID]],tblStores[Store ID],tblStores[Store Name])</f>
        <v>Durban CBD</v>
      </c>
      <c r="E102" t="str">
        <f>_xlfn.XLOOKUP(tblSales[[#This Row],[Store ID]],tblStores[Store ID],tblStores[Province])</f>
        <v>KZN</v>
      </c>
      <c r="F102" t="str">
        <f>_xlfn.XLOOKUP(tblSales[[#This Row],[Store ID]],tblStores[Store ID],tblStores[Manager])</f>
        <v>Sarah Adams</v>
      </c>
      <c r="G102" t="str">
        <f>_xlfn.XLOOKUP(tblSales[[#This Row],[Category ID]],tblCategories[Category ID],tblCategories[Category])</f>
        <v>Menswear</v>
      </c>
      <c r="H102">
        <v>26268</v>
      </c>
      <c r="I102">
        <v>29279</v>
      </c>
      <c r="J102">
        <v>132</v>
      </c>
      <c r="K102">
        <f>tblSales[[#This Row],[Sales]]-tblSales[[#This Row],[Budget]]</f>
        <v>-3011</v>
      </c>
      <c r="L102" s="3">
        <f>(tblSales[[#This Row],[Sales]]-tblSales[[#This Row],[Budget]])/tblSales[[#This Row],[Budget]]</f>
        <v>-0.10283821168755763</v>
      </c>
      <c r="M102" s="2">
        <f>tblSales[[#This Row],[Sales]]/tblSales[[#This Row],[Transactions]]</f>
        <v>199</v>
      </c>
    </row>
    <row r="103" spans="1:13" x14ac:dyDescent="0.25">
      <c r="A103" s="1">
        <v>46028</v>
      </c>
      <c r="B103" t="s">
        <v>8</v>
      </c>
      <c r="C103" t="s">
        <v>9</v>
      </c>
      <c r="D103" t="str">
        <f>_xlfn.XLOOKUP(tblSales[[#This Row],[Store ID]],tblStores[Store ID],tblStores[Store Name])</f>
        <v>Gateway</v>
      </c>
      <c r="E103" t="str">
        <f>_xlfn.XLOOKUP(tblSales[[#This Row],[Store ID]],tblStores[Store ID],tblStores[Province])</f>
        <v>KZN</v>
      </c>
      <c r="F103" t="str">
        <f>_xlfn.XLOOKUP(tblSales[[#This Row],[Store ID]],tblStores[Store ID],tblStores[Manager])</f>
        <v>Michael Jones</v>
      </c>
      <c r="G103" t="str">
        <f>_xlfn.XLOOKUP(tblSales[[#This Row],[Category ID]],tblCategories[Category ID],tblCategories[Category])</f>
        <v>Ladieswear</v>
      </c>
      <c r="H103">
        <v>35690</v>
      </c>
      <c r="I103">
        <v>35240</v>
      </c>
      <c r="J103">
        <v>86</v>
      </c>
      <c r="K103">
        <f>tblSales[[#This Row],[Sales]]-tblSales[[#This Row],[Budget]]</f>
        <v>450</v>
      </c>
      <c r="L103" s="3">
        <f>(tblSales[[#This Row],[Sales]]-tblSales[[#This Row],[Budget]])/tblSales[[#This Row],[Budget]]</f>
        <v>1.2769580022701475E-2</v>
      </c>
      <c r="M103" s="2">
        <f>tblSales[[#This Row],[Sales]]/tblSales[[#This Row],[Transactions]]</f>
        <v>415</v>
      </c>
    </row>
    <row r="104" spans="1:13" x14ac:dyDescent="0.25">
      <c r="A104" s="1">
        <v>46028</v>
      </c>
      <c r="B104" t="s">
        <v>10</v>
      </c>
      <c r="C104" t="s">
        <v>9</v>
      </c>
      <c r="D104" t="str">
        <f>_xlfn.XLOOKUP(tblSales[[#This Row],[Store ID]],tblStores[Store ID],tblStores[Store Name])</f>
        <v>Ballito</v>
      </c>
      <c r="E104" t="str">
        <f>_xlfn.XLOOKUP(tblSales[[#This Row],[Store ID]],tblStores[Store ID],tblStores[Province])</f>
        <v>KZN</v>
      </c>
      <c r="F104" t="str">
        <f>_xlfn.XLOOKUP(tblSales[[#This Row],[Store ID]],tblStores[Store ID],tblStores[Manager])</f>
        <v>Linda Smith</v>
      </c>
      <c r="G104" t="str">
        <f>_xlfn.XLOOKUP(tblSales[[#This Row],[Category ID]],tblCategories[Category ID],tblCategories[Category])</f>
        <v>Ladieswear</v>
      </c>
      <c r="H104">
        <v>17664</v>
      </c>
      <c r="I104">
        <v>18812</v>
      </c>
      <c r="J104">
        <v>92</v>
      </c>
      <c r="K104">
        <f>tblSales[[#This Row],[Sales]]-tblSales[[#This Row],[Budget]]</f>
        <v>-1148</v>
      </c>
      <c r="L104" s="3">
        <f>(tblSales[[#This Row],[Sales]]-tblSales[[#This Row],[Budget]])/tblSales[[#This Row],[Budget]]</f>
        <v>-6.1024877737614287E-2</v>
      </c>
      <c r="M104" s="2">
        <f>tblSales[[#This Row],[Sales]]/tblSales[[#This Row],[Transactions]]</f>
        <v>192</v>
      </c>
    </row>
    <row r="105" spans="1:13" x14ac:dyDescent="0.25">
      <c r="A105" s="1">
        <v>46028</v>
      </c>
      <c r="B105" t="s">
        <v>12</v>
      </c>
      <c r="C105" t="s">
        <v>11</v>
      </c>
      <c r="D105" t="str">
        <f>_xlfn.XLOOKUP(tblSales[[#This Row],[Store ID]],tblStores[Store ID],tblStores[Store Name])</f>
        <v>Pietermaritzburg</v>
      </c>
      <c r="E105" t="str">
        <f>_xlfn.XLOOKUP(tblSales[[#This Row],[Store ID]],tblStores[Store ID],tblStores[Province])</f>
        <v>KZN</v>
      </c>
      <c r="F105" t="str">
        <f>_xlfn.XLOOKUP(tblSales[[#This Row],[Store ID]],tblStores[Store ID],tblStores[Manager])</f>
        <v>Peter Brown</v>
      </c>
      <c r="G105" t="str">
        <f>_xlfn.XLOOKUP(tblSales[[#This Row],[Category ID]],tblCategories[Category ID],tblCategories[Category])</f>
        <v>Footwear</v>
      </c>
      <c r="H105">
        <v>38318</v>
      </c>
      <c r="I105">
        <v>42766</v>
      </c>
      <c r="J105">
        <v>119</v>
      </c>
      <c r="K105">
        <f>tblSales[[#This Row],[Sales]]-tblSales[[#This Row],[Budget]]</f>
        <v>-4448</v>
      </c>
      <c r="L105" s="3">
        <f>(tblSales[[#This Row],[Sales]]-tblSales[[#This Row],[Budget]])/tblSales[[#This Row],[Budget]]</f>
        <v>-0.10400785670860029</v>
      </c>
      <c r="M105" s="2">
        <f>tblSales[[#This Row],[Sales]]/tblSales[[#This Row],[Transactions]]</f>
        <v>322</v>
      </c>
    </row>
    <row r="106" spans="1:13" x14ac:dyDescent="0.25">
      <c r="A106" s="1">
        <v>46028</v>
      </c>
      <c r="B106" t="s">
        <v>13</v>
      </c>
      <c r="C106" t="s">
        <v>22</v>
      </c>
      <c r="D106" t="str">
        <f>_xlfn.XLOOKUP(tblSales[[#This Row],[Store ID]],tblStores[Store ID],tblStores[Store Name])</f>
        <v>Richards Bay</v>
      </c>
      <c r="E106" t="str">
        <f>_xlfn.XLOOKUP(tblSales[[#This Row],[Store ID]],tblStores[Store ID],tblStores[Province])</f>
        <v>KZN</v>
      </c>
      <c r="F106" t="str">
        <f>_xlfn.XLOOKUP(tblSales[[#This Row],[Store ID]],tblStores[Store ID],tblStores[Manager])</f>
        <v>David Green</v>
      </c>
      <c r="G106" t="str">
        <f>_xlfn.XLOOKUP(tblSales[[#This Row],[Category ID]],tblCategories[Category ID],tblCategories[Category])</f>
        <v>Kids</v>
      </c>
      <c r="H106">
        <v>62992</v>
      </c>
      <c r="I106">
        <v>64714</v>
      </c>
      <c r="J106">
        <v>124</v>
      </c>
      <c r="K106">
        <f>tblSales[[#This Row],[Sales]]-tblSales[[#This Row],[Budget]]</f>
        <v>-1722</v>
      </c>
      <c r="L106" s="3">
        <f>(tblSales[[#This Row],[Sales]]-tblSales[[#This Row],[Budget]])/tblSales[[#This Row],[Budget]]</f>
        <v>-2.6609389003924962E-2</v>
      </c>
      <c r="M106" s="2">
        <f>tblSales[[#This Row],[Sales]]/tblSales[[#This Row],[Transactions]]</f>
        <v>508</v>
      </c>
    </row>
    <row r="107" spans="1:13" x14ac:dyDescent="0.25">
      <c r="A107" s="1">
        <v>46028</v>
      </c>
      <c r="B107" t="s">
        <v>14</v>
      </c>
      <c r="C107" t="s">
        <v>19</v>
      </c>
      <c r="D107" t="str">
        <f>_xlfn.XLOOKUP(tblSales[[#This Row],[Store ID]],tblStores[Store ID],tblStores[Store Name])</f>
        <v>Sandton</v>
      </c>
      <c r="E107" t="str">
        <f>_xlfn.XLOOKUP(tblSales[[#This Row],[Store ID]],tblStores[Store ID],tblStores[Province])</f>
        <v>Gauteng</v>
      </c>
      <c r="F107" t="str">
        <f>_xlfn.XLOOKUP(tblSales[[#This Row],[Store ID]],tblStores[Store ID],tblStores[Manager])</f>
        <v>Karen White</v>
      </c>
      <c r="G107" t="str">
        <f>_xlfn.XLOOKUP(tblSales[[#This Row],[Category ID]],tblCategories[Category ID],tblCategories[Category])</f>
        <v>Accessories</v>
      </c>
      <c r="H107">
        <v>23086</v>
      </c>
      <c r="I107">
        <v>21443</v>
      </c>
      <c r="J107">
        <v>119</v>
      </c>
      <c r="K107">
        <f>tblSales[[#This Row],[Sales]]-tblSales[[#This Row],[Budget]]</f>
        <v>1643</v>
      </c>
      <c r="L107" s="3">
        <f>(tblSales[[#This Row],[Sales]]-tblSales[[#This Row],[Budget]])/tblSales[[#This Row],[Budget]]</f>
        <v>7.662174136081705E-2</v>
      </c>
      <c r="M107" s="2">
        <f>tblSales[[#This Row],[Sales]]/tblSales[[#This Row],[Transactions]]</f>
        <v>194</v>
      </c>
    </row>
    <row r="108" spans="1:13" x14ac:dyDescent="0.25">
      <c r="A108" s="1">
        <v>46028</v>
      </c>
      <c r="B108" t="s">
        <v>15</v>
      </c>
      <c r="C108" t="s">
        <v>22</v>
      </c>
      <c r="D108" t="str">
        <f>_xlfn.XLOOKUP(tblSales[[#This Row],[Store ID]],tblStores[Store ID],tblStores[Store Name])</f>
        <v>Rosebank</v>
      </c>
      <c r="E108" t="str">
        <f>_xlfn.XLOOKUP(tblSales[[#This Row],[Store ID]],tblStores[Store ID],tblStores[Province])</f>
        <v>Gauteng</v>
      </c>
      <c r="F108" t="str">
        <f>_xlfn.XLOOKUP(tblSales[[#This Row],[Store ID]],tblStores[Store ID],tblStores[Manager])</f>
        <v>James Taylor</v>
      </c>
      <c r="G108" t="str">
        <f>_xlfn.XLOOKUP(tblSales[[#This Row],[Category ID]],tblCategories[Category ID],tblCategories[Category])</f>
        <v>Kids</v>
      </c>
      <c r="H108">
        <v>38160</v>
      </c>
      <c r="I108">
        <v>43526</v>
      </c>
      <c r="J108">
        <v>80</v>
      </c>
      <c r="K108">
        <f>tblSales[[#This Row],[Sales]]-tblSales[[#This Row],[Budget]]</f>
        <v>-5366</v>
      </c>
      <c r="L108" s="3">
        <f>(tblSales[[#This Row],[Sales]]-tblSales[[#This Row],[Budget]])/tblSales[[#This Row],[Budget]]</f>
        <v>-0.12328263566603868</v>
      </c>
      <c r="M108" s="2">
        <f>tblSales[[#This Row],[Sales]]/tblSales[[#This Row],[Transactions]]</f>
        <v>477</v>
      </c>
    </row>
    <row r="109" spans="1:13" x14ac:dyDescent="0.25">
      <c r="A109" s="1">
        <v>46028</v>
      </c>
      <c r="B109" t="s">
        <v>16</v>
      </c>
      <c r="C109" t="s">
        <v>22</v>
      </c>
      <c r="D109" t="str">
        <f>_xlfn.XLOOKUP(tblSales[[#This Row],[Store ID]],tblStores[Store ID],tblStores[Store Name])</f>
        <v>Pretoria</v>
      </c>
      <c r="E109" t="str">
        <f>_xlfn.XLOOKUP(tblSales[[#This Row],[Store ID]],tblStores[Store ID],tblStores[Province])</f>
        <v>Gauteng</v>
      </c>
      <c r="F109" t="str">
        <f>_xlfn.XLOOKUP(tblSales[[#This Row],[Store ID]],tblStores[Store ID],tblStores[Manager])</f>
        <v>Susan Clark</v>
      </c>
      <c r="G109" t="str">
        <f>_xlfn.XLOOKUP(tblSales[[#This Row],[Category ID]],tblCategories[Category ID],tblCategories[Category])</f>
        <v>Kids</v>
      </c>
      <c r="H109">
        <v>10340</v>
      </c>
      <c r="I109">
        <v>10848</v>
      </c>
      <c r="J109">
        <v>44</v>
      </c>
      <c r="K109">
        <f>tblSales[[#This Row],[Sales]]-tblSales[[#This Row],[Budget]]</f>
        <v>-508</v>
      </c>
      <c r="L109" s="3">
        <f>(tblSales[[#This Row],[Sales]]-tblSales[[#This Row],[Budget]])/tblSales[[#This Row],[Budget]]</f>
        <v>-4.6828908554572272E-2</v>
      </c>
      <c r="M109" s="2">
        <f>tblSales[[#This Row],[Sales]]/tblSales[[#This Row],[Transactions]]</f>
        <v>235</v>
      </c>
    </row>
    <row r="110" spans="1:13" x14ac:dyDescent="0.25">
      <c r="A110" s="1">
        <v>46028</v>
      </c>
      <c r="B110" t="s">
        <v>17</v>
      </c>
      <c r="C110" t="s">
        <v>22</v>
      </c>
      <c r="D110" t="str">
        <f>_xlfn.XLOOKUP(tblSales[[#This Row],[Store ID]],tblStores[Store ID],tblStores[Store Name])</f>
        <v>Centurion</v>
      </c>
      <c r="E110" t="str">
        <f>_xlfn.XLOOKUP(tblSales[[#This Row],[Store ID]],tblStores[Store ID],tblStores[Province])</f>
        <v>Gauteng</v>
      </c>
      <c r="F110" t="str">
        <f>_xlfn.XLOOKUP(tblSales[[#This Row],[Store ID]],tblStores[Store ID],tblStores[Manager])</f>
        <v>Mark Wilson</v>
      </c>
      <c r="G110" t="str">
        <f>_xlfn.XLOOKUP(tblSales[[#This Row],[Category ID]],tblCategories[Category ID],tblCategories[Category])</f>
        <v>Kids</v>
      </c>
      <c r="H110">
        <v>46345</v>
      </c>
      <c r="I110">
        <v>48734</v>
      </c>
      <c r="J110">
        <v>115</v>
      </c>
      <c r="K110">
        <f>tblSales[[#This Row],[Sales]]-tblSales[[#This Row],[Budget]]</f>
        <v>-2389</v>
      </c>
      <c r="L110" s="3">
        <f>(tblSales[[#This Row],[Sales]]-tblSales[[#This Row],[Budget]])/tblSales[[#This Row],[Budget]]</f>
        <v>-4.9021217220010668E-2</v>
      </c>
      <c r="M110" s="2">
        <f>tblSales[[#This Row],[Sales]]/tblSales[[#This Row],[Transactions]]</f>
        <v>403</v>
      </c>
    </row>
    <row r="111" spans="1:13" x14ac:dyDescent="0.25">
      <c r="A111" s="1">
        <v>46028</v>
      </c>
      <c r="B111" t="s">
        <v>18</v>
      </c>
      <c r="C111" t="s">
        <v>19</v>
      </c>
      <c r="D111" t="str">
        <f>_xlfn.XLOOKUP(tblSales[[#This Row],[Store ID]],tblStores[Store ID],tblStores[Store Name])</f>
        <v>East Rand</v>
      </c>
      <c r="E111" t="str">
        <f>_xlfn.XLOOKUP(tblSales[[#This Row],[Store ID]],tblStores[Store ID],tblStores[Province])</f>
        <v>Gauteng</v>
      </c>
      <c r="F111" t="str">
        <f>_xlfn.XLOOKUP(tblSales[[#This Row],[Store ID]],tblStores[Store ID],tblStores[Manager])</f>
        <v>Lisa Young</v>
      </c>
      <c r="G111" t="str">
        <f>_xlfn.XLOOKUP(tblSales[[#This Row],[Category ID]],tblCategories[Category ID],tblCategories[Category])</f>
        <v>Accessories</v>
      </c>
      <c r="H111">
        <v>24128</v>
      </c>
      <c r="I111">
        <v>27141</v>
      </c>
      <c r="J111">
        <v>64</v>
      </c>
      <c r="K111">
        <f>tblSales[[#This Row],[Sales]]-tblSales[[#This Row],[Budget]]</f>
        <v>-3013</v>
      </c>
      <c r="L111" s="3">
        <f>(tblSales[[#This Row],[Sales]]-tblSales[[#This Row],[Budget]])/tblSales[[#This Row],[Budget]]</f>
        <v>-0.11101285877454774</v>
      </c>
      <c r="M111" s="2">
        <f>tblSales[[#This Row],[Sales]]/tblSales[[#This Row],[Transactions]]</f>
        <v>377</v>
      </c>
    </row>
    <row r="112" spans="1:13" x14ac:dyDescent="0.25">
      <c r="A112" s="1">
        <v>46028</v>
      </c>
      <c r="B112" t="s">
        <v>20</v>
      </c>
      <c r="C112" t="s">
        <v>9</v>
      </c>
      <c r="D112" t="str">
        <f>_xlfn.XLOOKUP(tblSales[[#This Row],[Store ID]],tblStores[Store ID],tblStores[Store Name])</f>
        <v>Cape Town CBD</v>
      </c>
      <c r="E112" t="str">
        <f>_xlfn.XLOOKUP(tblSales[[#This Row],[Store ID]],tblStores[Store ID],tblStores[Province])</f>
        <v>Western Cape</v>
      </c>
      <c r="F112" t="str">
        <f>_xlfn.XLOOKUP(tblSales[[#This Row],[Store ID]],tblStores[Store ID],tblStores[Manager])</f>
        <v>Brian Hall</v>
      </c>
      <c r="G112" t="str">
        <f>_xlfn.XLOOKUP(tblSales[[#This Row],[Category ID]],tblCategories[Category ID],tblCategories[Category])</f>
        <v>Ladieswear</v>
      </c>
      <c r="H112">
        <v>20200</v>
      </c>
      <c r="I112">
        <v>21759</v>
      </c>
      <c r="J112">
        <v>100</v>
      </c>
      <c r="K112">
        <f>tblSales[[#This Row],[Sales]]-tblSales[[#This Row],[Budget]]</f>
        <v>-1559</v>
      </c>
      <c r="L112" s="3">
        <f>(tblSales[[#This Row],[Sales]]-tblSales[[#This Row],[Budget]])/tblSales[[#This Row],[Budget]]</f>
        <v>-7.1648513258881386E-2</v>
      </c>
      <c r="M112" s="2">
        <f>tblSales[[#This Row],[Sales]]/tblSales[[#This Row],[Transactions]]</f>
        <v>202</v>
      </c>
    </row>
    <row r="113" spans="1:13" x14ac:dyDescent="0.25">
      <c r="A113" s="1">
        <v>46028</v>
      </c>
      <c r="B113" t="s">
        <v>21</v>
      </c>
      <c r="C113" t="s">
        <v>7</v>
      </c>
      <c r="D113" t="str">
        <f>_xlfn.XLOOKUP(tblSales[[#This Row],[Store ID]],tblStores[Store ID],tblStores[Store Name])</f>
        <v>Canal Walk</v>
      </c>
      <c r="E113" t="str">
        <f>_xlfn.XLOOKUP(tblSales[[#This Row],[Store ID]],tblStores[Store ID],tblStores[Province])</f>
        <v>Western Cape</v>
      </c>
      <c r="F113" t="str">
        <f>_xlfn.XLOOKUP(tblSales[[#This Row],[Store ID]],tblStores[Store ID],tblStores[Manager])</f>
        <v>Megan Scott</v>
      </c>
      <c r="G113" t="str">
        <f>_xlfn.XLOOKUP(tblSales[[#This Row],[Category ID]],tblCategories[Category ID],tblCategories[Category])</f>
        <v>Menswear</v>
      </c>
      <c r="H113">
        <v>76440</v>
      </c>
      <c r="I113">
        <v>81921</v>
      </c>
      <c r="J113">
        <v>168</v>
      </c>
      <c r="K113">
        <f>tblSales[[#This Row],[Sales]]-tblSales[[#This Row],[Budget]]</f>
        <v>-5481</v>
      </c>
      <c r="L113" s="3">
        <f>(tblSales[[#This Row],[Sales]]-tblSales[[#This Row],[Budget]])/tblSales[[#This Row],[Budget]]</f>
        <v>-6.6905921558574721E-2</v>
      </c>
      <c r="M113" s="2">
        <f>tblSales[[#This Row],[Sales]]/tblSales[[#This Row],[Transactions]]</f>
        <v>455</v>
      </c>
    </row>
    <row r="114" spans="1:13" x14ac:dyDescent="0.25">
      <c r="A114" s="1">
        <v>46028</v>
      </c>
      <c r="B114" t="s">
        <v>23</v>
      </c>
      <c r="C114" t="s">
        <v>9</v>
      </c>
      <c r="D114" t="str">
        <f>_xlfn.XLOOKUP(tblSales[[#This Row],[Store ID]],tblStores[Store ID],tblStores[Store Name])</f>
        <v>Stellenbosch</v>
      </c>
      <c r="E114" t="str">
        <f>_xlfn.XLOOKUP(tblSales[[#This Row],[Store ID]],tblStores[Store ID],tblStores[Province])</f>
        <v>Western Cape</v>
      </c>
      <c r="F114" t="str">
        <f>_xlfn.XLOOKUP(tblSales[[#This Row],[Store ID]],tblStores[Store ID],tblStores[Manager])</f>
        <v>Jason King</v>
      </c>
      <c r="G114" t="str">
        <f>_xlfn.XLOOKUP(tblSales[[#This Row],[Category ID]],tblCategories[Category ID],tblCategories[Category])</f>
        <v>Ladieswear</v>
      </c>
      <c r="H114">
        <v>51200</v>
      </c>
      <c r="I114">
        <v>46975</v>
      </c>
      <c r="J114">
        <v>128</v>
      </c>
      <c r="K114">
        <f>tblSales[[#This Row],[Sales]]-tblSales[[#This Row],[Budget]]</f>
        <v>4225</v>
      </c>
      <c r="L114" s="3">
        <f>(tblSales[[#This Row],[Sales]]-tblSales[[#This Row],[Budget]])/tblSales[[#This Row],[Budget]]</f>
        <v>8.9941458222458748E-2</v>
      </c>
      <c r="M114" s="2">
        <f>tblSales[[#This Row],[Sales]]/tblSales[[#This Row],[Transactions]]</f>
        <v>400</v>
      </c>
    </row>
    <row r="115" spans="1:13" x14ac:dyDescent="0.25">
      <c r="A115" s="1">
        <v>46028</v>
      </c>
      <c r="B115" t="s">
        <v>24</v>
      </c>
      <c r="C115" t="s">
        <v>22</v>
      </c>
      <c r="D115" t="str">
        <f>_xlfn.XLOOKUP(tblSales[[#This Row],[Store ID]],tblStores[Store ID],tblStores[Store Name])</f>
        <v>George</v>
      </c>
      <c r="E115" t="str">
        <f>_xlfn.XLOOKUP(tblSales[[#This Row],[Store ID]],tblStores[Store ID],tblStores[Province])</f>
        <v>Western Cape</v>
      </c>
      <c r="F115" t="str">
        <f>_xlfn.XLOOKUP(tblSales[[#This Row],[Store ID]],tblStores[Store ID],tblStores[Manager])</f>
        <v>Chloe Hill</v>
      </c>
      <c r="G115" t="str">
        <f>_xlfn.XLOOKUP(tblSales[[#This Row],[Category ID]],tblCategories[Category ID],tblCategories[Category])</f>
        <v>Kids</v>
      </c>
      <c r="H115">
        <v>65960</v>
      </c>
      <c r="I115">
        <v>70303</v>
      </c>
      <c r="J115">
        <v>194</v>
      </c>
      <c r="K115">
        <f>tblSales[[#This Row],[Sales]]-tblSales[[#This Row],[Budget]]</f>
        <v>-4343</v>
      </c>
      <c r="L115" s="3">
        <f>(tblSales[[#This Row],[Sales]]-tblSales[[#This Row],[Budget]])/tblSales[[#This Row],[Budget]]</f>
        <v>-6.1775457661835197E-2</v>
      </c>
      <c r="M115" s="2">
        <f>tblSales[[#This Row],[Sales]]/tblSales[[#This Row],[Transactions]]</f>
        <v>340</v>
      </c>
    </row>
    <row r="116" spans="1:13" x14ac:dyDescent="0.25">
      <c r="A116" s="1">
        <v>46028</v>
      </c>
      <c r="B116" t="s">
        <v>25</v>
      </c>
      <c r="C116" t="s">
        <v>7</v>
      </c>
      <c r="D116" t="str">
        <f>_xlfn.XLOOKUP(tblSales[[#This Row],[Store ID]],tblStores[Store ID],tblStores[Store Name])</f>
        <v>Paarl</v>
      </c>
      <c r="E116" t="str">
        <f>_xlfn.XLOOKUP(tblSales[[#This Row],[Store ID]],tblStores[Store ID],tblStores[Province])</f>
        <v>Western Cape</v>
      </c>
      <c r="F116" t="str">
        <f>_xlfn.XLOOKUP(tblSales[[#This Row],[Store ID]],tblStores[Store ID],tblStores[Manager])</f>
        <v>Andrew Lee</v>
      </c>
      <c r="G116" t="str">
        <f>_xlfn.XLOOKUP(tblSales[[#This Row],[Category ID]],tblCategories[Category ID],tblCategories[Category])</f>
        <v>Menswear</v>
      </c>
      <c r="H116">
        <v>72927</v>
      </c>
      <c r="I116">
        <v>74880</v>
      </c>
      <c r="J116">
        <v>219</v>
      </c>
      <c r="K116">
        <f>tblSales[[#This Row],[Sales]]-tblSales[[#This Row],[Budget]]</f>
        <v>-1953</v>
      </c>
      <c r="L116" s="3">
        <f>(tblSales[[#This Row],[Sales]]-tblSales[[#This Row],[Budget]])/tblSales[[#This Row],[Budget]]</f>
        <v>-2.608173076923077E-2</v>
      </c>
      <c r="M116" s="2">
        <f>tblSales[[#This Row],[Sales]]/tblSales[[#This Row],[Transactions]]</f>
        <v>333</v>
      </c>
    </row>
    <row r="117" spans="1:13" x14ac:dyDescent="0.25">
      <c r="A117" s="1">
        <v>46028</v>
      </c>
      <c r="B117" t="s">
        <v>26</v>
      </c>
      <c r="C117" t="s">
        <v>11</v>
      </c>
      <c r="D117" t="str">
        <f>_xlfn.XLOOKUP(tblSales[[#This Row],[Store ID]],tblStores[Store ID],tblStores[Store Name])</f>
        <v>Gqeberha</v>
      </c>
      <c r="E117" t="str">
        <f>_xlfn.XLOOKUP(tblSales[[#This Row],[Store ID]],tblStores[Store ID],tblStores[Province])</f>
        <v>Eastern Cape</v>
      </c>
      <c r="F117" t="str">
        <f>_xlfn.XLOOKUP(tblSales[[#This Row],[Store ID]],tblStores[Store ID],tblStores[Manager])</f>
        <v>Emma Baker</v>
      </c>
      <c r="G117" t="str">
        <f>_xlfn.XLOOKUP(tblSales[[#This Row],[Category ID]],tblCategories[Category ID],tblCategories[Category])</f>
        <v>Footwear</v>
      </c>
      <c r="H117">
        <v>45548</v>
      </c>
      <c r="I117">
        <v>48932</v>
      </c>
      <c r="J117">
        <v>118</v>
      </c>
      <c r="K117">
        <f>tblSales[[#This Row],[Sales]]-tblSales[[#This Row],[Budget]]</f>
        <v>-3384</v>
      </c>
      <c r="L117" s="3">
        <f>(tblSales[[#This Row],[Sales]]-tblSales[[#This Row],[Budget]])/tblSales[[#This Row],[Budget]]</f>
        <v>-6.9157197743807727E-2</v>
      </c>
      <c r="M117" s="2">
        <f>tblSales[[#This Row],[Sales]]/tblSales[[#This Row],[Transactions]]</f>
        <v>386</v>
      </c>
    </row>
    <row r="118" spans="1:13" x14ac:dyDescent="0.25">
      <c r="A118" s="1">
        <v>46028</v>
      </c>
      <c r="B118" t="s">
        <v>27</v>
      </c>
      <c r="C118" t="s">
        <v>19</v>
      </c>
      <c r="D118" t="str">
        <f>_xlfn.XLOOKUP(tblSales[[#This Row],[Store ID]],tblStores[Store ID],tblStores[Store Name])</f>
        <v>East London</v>
      </c>
      <c r="E118" t="str">
        <f>_xlfn.XLOOKUP(tblSales[[#This Row],[Store ID]],tblStores[Store ID],tblStores[Province])</f>
        <v>Eastern Cape</v>
      </c>
      <c r="F118" t="str">
        <f>_xlfn.XLOOKUP(tblSales[[#This Row],[Store ID]],tblStores[Store ID],tblStores[Manager])</f>
        <v>Daniel Evans</v>
      </c>
      <c r="G118" t="str">
        <f>_xlfn.XLOOKUP(tblSales[[#This Row],[Category ID]],tblCategories[Category ID],tblCategories[Category])</f>
        <v>Accessories</v>
      </c>
      <c r="H118">
        <v>18626</v>
      </c>
      <c r="I118">
        <v>18721</v>
      </c>
      <c r="J118">
        <v>67</v>
      </c>
      <c r="K118">
        <f>tblSales[[#This Row],[Sales]]-tblSales[[#This Row],[Budget]]</f>
        <v>-95</v>
      </c>
      <c r="L118" s="3">
        <f>(tblSales[[#This Row],[Sales]]-tblSales[[#This Row],[Budget]])/tblSales[[#This Row],[Budget]]</f>
        <v>-5.0745152502537257E-3</v>
      </c>
      <c r="M118" s="2">
        <f>tblSales[[#This Row],[Sales]]/tblSales[[#This Row],[Transactions]]</f>
        <v>278</v>
      </c>
    </row>
    <row r="119" spans="1:13" x14ac:dyDescent="0.25">
      <c r="A119" s="1">
        <v>46028</v>
      </c>
      <c r="B119" t="s">
        <v>28</v>
      </c>
      <c r="C119" t="s">
        <v>11</v>
      </c>
      <c r="D119" t="str">
        <f>_xlfn.XLOOKUP(tblSales[[#This Row],[Store ID]],tblStores[Store ID],tblStores[Store Name])</f>
        <v>Bloemfontein</v>
      </c>
      <c r="E119" t="str">
        <f>_xlfn.XLOOKUP(tblSales[[#This Row],[Store ID]],tblStores[Store ID],tblStores[Province])</f>
        <v>Free State</v>
      </c>
      <c r="F119" t="str">
        <f>_xlfn.XLOOKUP(tblSales[[#This Row],[Store ID]],tblStores[Store ID],tblStores[Manager])</f>
        <v>Rachel Moore</v>
      </c>
      <c r="G119" t="str">
        <f>_xlfn.XLOOKUP(tblSales[[#This Row],[Category ID]],tblCategories[Category ID],tblCategories[Category])</f>
        <v>Footwear</v>
      </c>
      <c r="H119">
        <v>55952</v>
      </c>
      <c r="I119">
        <v>58966</v>
      </c>
      <c r="J119">
        <v>208</v>
      </c>
      <c r="K119">
        <f>tblSales[[#This Row],[Sales]]-tblSales[[#This Row],[Budget]]</f>
        <v>-3014</v>
      </c>
      <c r="L119" s="3">
        <f>(tblSales[[#This Row],[Sales]]-tblSales[[#This Row],[Budget]])/tblSales[[#This Row],[Budget]]</f>
        <v>-5.1114201404199033E-2</v>
      </c>
      <c r="M119" s="2">
        <f>tblSales[[#This Row],[Sales]]/tblSales[[#This Row],[Transactions]]</f>
        <v>269</v>
      </c>
    </row>
    <row r="120" spans="1:13" x14ac:dyDescent="0.25">
      <c r="A120" s="1">
        <v>46028</v>
      </c>
      <c r="B120" t="s">
        <v>29</v>
      </c>
      <c r="C120" t="s">
        <v>22</v>
      </c>
      <c r="D120" t="str">
        <f>_xlfn.XLOOKUP(tblSales[[#This Row],[Store ID]],tblStores[Store ID],tblStores[Store Name])</f>
        <v>Polokwane</v>
      </c>
      <c r="E120" t="str">
        <f>_xlfn.XLOOKUP(tblSales[[#This Row],[Store ID]],tblStores[Store ID],tblStores[Province])</f>
        <v>Limpopo</v>
      </c>
      <c r="F120" t="str">
        <f>_xlfn.XLOOKUP(tblSales[[#This Row],[Store ID]],tblStores[Store ID],tblStores[Manager])</f>
        <v>Kevin Harris</v>
      </c>
      <c r="G120" t="str">
        <f>_xlfn.XLOOKUP(tblSales[[#This Row],[Category ID]],tblCategories[Category ID],tblCategories[Category])</f>
        <v>Kids</v>
      </c>
      <c r="H120">
        <v>63480</v>
      </c>
      <c r="I120">
        <v>70363</v>
      </c>
      <c r="J120">
        <v>138</v>
      </c>
      <c r="K120">
        <f>tblSales[[#This Row],[Sales]]-tblSales[[#This Row],[Budget]]</f>
        <v>-6883</v>
      </c>
      <c r="L120" s="3">
        <f>(tblSales[[#This Row],[Sales]]-tblSales[[#This Row],[Budget]])/tblSales[[#This Row],[Budget]]</f>
        <v>-9.7821298125435246E-2</v>
      </c>
      <c r="M120" s="2">
        <f>tblSales[[#This Row],[Sales]]/tblSales[[#This Row],[Transactions]]</f>
        <v>460</v>
      </c>
    </row>
    <row r="121" spans="1:13" x14ac:dyDescent="0.25">
      <c r="A121" s="1">
        <v>46028</v>
      </c>
      <c r="B121" t="s">
        <v>30</v>
      </c>
      <c r="C121" t="s">
        <v>22</v>
      </c>
      <c r="D121" t="str">
        <f>_xlfn.XLOOKUP(tblSales[[#This Row],[Store ID]],tblStores[Store ID],tblStores[Store Name])</f>
        <v>Nelspruit</v>
      </c>
      <c r="E121" t="str">
        <f>_xlfn.XLOOKUP(tblSales[[#This Row],[Store ID]],tblStores[Store ID],tblStores[Province])</f>
        <v>Mpumalanga</v>
      </c>
      <c r="F121" t="str">
        <f>_xlfn.XLOOKUP(tblSales[[#This Row],[Store ID]],tblStores[Store ID],tblStores[Manager])</f>
        <v>Olivia Turner</v>
      </c>
      <c r="G121" t="str">
        <f>_xlfn.XLOOKUP(tblSales[[#This Row],[Category ID]],tblCategories[Category ID],tblCategories[Category])</f>
        <v>Kids</v>
      </c>
      <c r="H121">
        <v>30996</v>
      </c>
      <c r="I121">
        <v>31227</v>
      </c>
      <c r="J121">
        <v>108</v>
      </c>
      <c r="K121">
        <f>tblSales[[#This Row],[Sales]]-tblSales[[#This Row],[Budget]]</f>
        <v>-231</v>
      </c>
      <c r="L121" s="3">
        <f>(tblSales[[#This Row],[Sales]]-tblSales[[#This Row],[Budget]])/tblSales[[#This Row],[Budget]]</f>
        <v>-7.3974445191661064E-3</v>
      </c>
      <c r="M121" s="2">
        <f>tblSales[[#This Row],[Sales]]/tblSales[[#This Row],[Transactions]]</f>
        <v>287</v>
      </c>
    </row>
    <row r="122" spans="1:13" x14ac:dyDescent="0.25">
      <c r="A122" s="1">
        <v>46029</v>
      </c>
      <c r="B122" t="s">
        <v>6</v>
      </c>
      <c r="C122" t="s">
        <v>19</v>
      </c>
      <c r="D122" t="str">
        <f>_xlfn.XLOOKUP(tblSales[[#This Row],[Store ID]],tblStores[Store ID],tblStores[Store Name])</f>
        <v>Durban CBD</v>
      </c>
      <c r="E122" t="str">
        <f>_xlfn.XLOOKUP(tblSales[[#This Row],[Store ID]],tblStores[Store ID],tblStores[Province])</f>
        <v>KZN</v>
      </c>
      <c r="F122" t="str">
        <f>_xlfn.XLOOKUP(tblSales[[#This Row],[Store ID]],tblStores[Store ID],tblStores[Manager])</f>
        <v>Sarah Adams</v>
      </c>
      <c r="G122" t="str">
        <f>_xlfn.XLOOKUP(tblSales[[#This Row],[Category ID]],tblCategories[Category ID],tblCategories[Category])</f>
        <v>Accessories</v>
      </c>
      <c r="H122">
        <v>97850</v>
      </c>
      <c r="I122">
        <v>95948</v>
      </c>
      <c r="J122">
        <v>190</v>
      </c>
      <c r="K122">
        <f>tblSales[[#This Row],[Sales]]-tblSales[[#This Row],[Budget]]</f>
        <v>1902</v>
      </c>
      <c r="L122" s="3">
        <f>(tblSales[[#This Row],[Sales]]-tblSales[[#This Row],[Budget]])/tblSales[[#This Row],[Budget]]</f>
        <v>1.9823237587026307E-2</v>
      </c>
      <c r="M122" s="2">
        <f>tblSales[[#This Row],[Sales]]/tblSales[[#This Row],[Transactions]]</f>
        <v>515</v>
      </c>
    </row>
    <row r="123" spans="1:13" x14ac:dyDescent="0.25">
      <c r="A123" s="1">
        <v>46029</v>
      </c>
      <c r="B123" t="s">
        <v>8</v>
      </c>
      <c r="C123" t="s">
        <v>11</v>
      </c>
      <c r="D123" t="str">
        <f>_xlfn.XLOOKUP(tblSales[[#This Row],[Store ID]],tblStores[Store ID],tblStores[Store Name])</f>
        <v>Gateway</v>
      </c>
      <c r="E123" t="str">
        <f>_xlfn.XLOOKUP(tblSales[[#This Row],[Store ID]],tblStores[Store ID],tblStores[Province])</f>
        <v>KZN</v>
      </c>
      <c r="F123" t="str">
        <f>_xlfn.XLOOKUP(tblSales[[#This Row],[Store ID]],tblStores[Store ID],tblStores[Manager])</f>
        <v>Michael Jones</v>
      </c>
      <c r="G123" t="str">
        <f>_xlfn.XLOOKUP(tblSales[[#This Row],[Category ID]],tblCategories[Category ID],tblCategories[Category])</f>
        <v>Footwear</v>
      </c>
      <c r="H123">
        <v>42772</v>
      </c>
      <c r="I123">
        <v>43960</v>
      </c>
      <c r="J123">
        <v>148</v>
      </c>
      <c r="K123">
        <f>tblSales[[#This Row],[Sales]]-tblSales[[#This Row],[Budget]]</f>
        <v>-1188</v>
      </c>
      <c r="L123" s="3">
        <f>(tblSales[[#This Row],[Sales]]-tblSales[[#This Row],[Budget]])/tblSales[[#This Row],[Budget]]</f>
        <v>-2.7024567788898998E-2</v>
      </c>
      <c r="M123" s="2">
        <f>tblSales[[#This Row],[Sales]]/tblSales[[#This Row],[Transactions]]</f>
        <v>289</v>
      </c>
    </row>
    <row r="124" spans="1:13" x14ac:dyDescent="0.25">
      <c r="A124" s="1">
        <v>46029</v>
      </c>
      <c r="B124" t="s">
        <v>10</v>
      </c>
      <c r="C124" t="s">
        <v>9</v>
      </c>
      <c r="D124" t="str">
        <f>_xlfn.XLOOKUP(tblSales[[#This Row],[Store ID]],tblStores[Store ID],tblStores[Store Name])</f>
        <v>Ballito</v>
      </c>
      <c r="E124" t="str">
        <f>_xlfn.XLOOKUP(tblSales[[#This Row],[Store ID]],tblStores[Store ID],tblStores[Province])</f>
        <v>KZN</v>
      </c>
      <c r="F124" t="str">
        <f>_xlfn.XLOOKUP(tblSales[[#This Row],[Store ID]],tblStores[Store ID],tblStores[Manager])</f>
        <v>Linda Smith</v>
      </c>
      <c r="G124" t="str">
        <f>_xlfn.XLOOKUP(tblSales[[#This Row],[Category ID]],tblCategories[Category ID],tblCategories[Category])</f>
        <v>Ladieswear</v>
      </c>
      <c r="H124">
        <v>45269</v>
      </c>
      <c r="I124">
        <v>43953</v>
      </c>
      <c r="J124">
        <v>203</v>
      </c>
      <c r="K124">
        <f>tblSales[[#This Row],[Sales]]-tblSales[[#This Row],[Budget]]</f>
        <v>1316</v>
      </c>
      <c r="L124" s="3">
        <f>(tblSales[[#This Row],[Sales]]-tblSales[[#This Row],[Budget]])/tblSales[[#This Row],[Budget]]</f>
        <v>2.9941073419334288E-2</v>
      </c>
      <c r="M124" s="2">
        <f>tblSales[[#This Row],[Sales]]/tblSales[[#This Row],[Transactions]]</f>
        <v>223</v>
      </c>
    </row>
    <row r="125" spans="1:13" x14ac:dyDescent="0.25">
      <c r="A125" s="1">
        <v>46029</v>
      </c>
      <c r="B125" t="s">
        <v>12</v>
      </c>
      <c r="C125" t="s">
        <v>19</v>
      </c>
      <c r="D125" t="str">
        <f>_xlfn.XLOOKUP(tblSales[[#This Row],[Store ID]],tblStores[Store ID],tblStores[Store Name])</f>
        <v>Pietermaritzburg</v>
      </c>
      <c r="E125" t="str">
        <f>_xlfn.XLOOKUP(tblSales[[#This Row],[Store ID]],tblStores[Store ID],tblStores[Province])</f>
        <v>KZN</v>
      </c>
      <c r="F125" t="str">
        <f>_xlfn.XLOOKUP(tblSales[[#This Row],[Store ID]],tblStores[Store ID],tblStores[Manager])</f>
        <v>Peter Brown</v>
      </c>
      <c r="G125" t="str">
        <f>_xlfn.XLOOKUP(tblSales[[#This Row],[Category ID]],tblCategories[Category ID],tblCategories[Category])</f>
        <v>Accessories</v>
      </c>
      <c r="H125">
        <v>27240</v>
      </c>
      <c r="I125">
        <v>30089</v>
      </c>
      <c r="J125">
        <v>120</v>
      </c>
      <c r="K125">
        <f>tblSales[[#This Row],[Sales]]-tblSales[[#This Row],[Budget]]</f>
        <v>-2849</v>
      </c>
      <c r="L125" s="3">
        <f>(tblSales[[#This Row],[Sales]]-tblSales[[#This Row],[Budget]])/tblSales[[#This Row],[Budget]]</f>
        <v>-9.4685765562165569E-2</v>
      </c>
      <c r="M125" s="2">
        <f>tblSales[[#This Row],[Sales]]/tblSales[[#This Row],[Transactions]]</f>
        <v>227</v>
      </c>
    </row>
    <row r="126" spans="1:13" x14ac:dyDescent="0.25">
      <c r="A126" s="1">
        <v>46029</v>
      </c>
      <c r="B126" t="s">
        <v>13</v>
      </c>
      <c r="C126" t="s">
        <v>9</v>
      </c>
      <c r="D126" t="str">
        <f>_xlfn.XLOOKUP(tblSales[[#This Row],[Store ID]],tblStores[Store ID],tblStores[Store Name])</f>
        <v>Richards Bay</v>
      </c>
      <c r="E126" t="str">
        <f>_xlfn.XLOOKUP(tblSales[[#This Row],[Store ID]],tblStores[Store ID],tblStores[Province])</f>
        <v>KZN</v>
      </c>
      <c r="F126" t="str">
        <f>_xlfn.XLOOKUP(tblSales[[#This Row],[Store ID]],tblStores[Store ID],tblStores[Manager])</f>
        <v>David Green</v>
      </c>
      <c r="G126" t="str">
        <f>_xlfn.XLOOKUP(tblSales[[#This Row],[Category ID]],tblCategories[Category ID],tblCategories[Category])</f>
        <v>Ladieswear</v>
      </c>
      <c r="H126">
        <v>69966</v>
      </c>
      <c r="I126">
        <v>66898</v>
      </c>
      <c r="J126">
        <v>207</v>
      </c>
      <c r="K126">
        <f>tblSales[[#This Row],[Sales]]-tblSales[[#This Row],[Budget]]</f>
        <v>3068</v>
      </c>
      <c r="L126" s="3">
        <f>(tblSales[[#This Row],[Sales]]-tblSales[[#This Row],[Budget]])/tblSales[[#This Row],[Budget]]</f>
        <v>4.5860862806062962E-2</v>
      </c>
      <c r="M126" s="2">
        <f>tblSales[[#This Row],[Sales]]/tblSales[[#This Row],[Transactions]]</f>
        <v>338</v>
      </c>
    </row>
    <row r="127" spans="1:13" x14ac:dyDescent="0.25">
      <c r="A127" s="1">
        <v>46029</v>
      </c>
      <c r="B127" t="s">
        <v>14</v>
      </c>
      <c r="C127" t="s">
        <v>9</v>
      </c>
      <c r="D127" t="str">
        <f>_xlfn.XLOOKUP(tblSales[[#This Row],[Store ID]],tblStores[Store ID],tblStores[Store Name])</f>
        <v>Sandton</v>
      </c>
      <c r="E127" t="str">
        <f>_xlfn.XLOOKUP(tblSales[[#This Row],[Store ID]],tblStores[Store ID],tblStores[Province])</f>
        <v>Gauteng</v>
      </c>
      <c r="F127" t="str">
        <f>_xlfn.XLOOKUP(tblSales[[#This Row],[Store ID]],tblStores[Store ID],tblStores[Manager])</f>
        <v>Karen White</v>
      </c>
      <c r="G127" t="str">
        <f>_xlfn.XLOOKUP(tblSales[[#This Row],[Category ID]],tblCategories[Category ID],tblCategories[Category])</f>
        <v>Ladieswear</v>
      </c>
      <c r="H127">
        <v>13824</v>
      </c>
      <c r="I127">
        <v>12601</v>
      </c>
      <c r="J127">
        <v>72</v>
      </c>
      <c r="K127">
        <f>tblSales[[#This Row],[Sales]]-tblSales[[#This Row],[Budget]]</f>
        <v>1223</v>
      </c>
      <c r="L127" s="3">
        <f>(tblSales[[#This Row],[Sales]]-tblSales[[#This Row],[Budget]])/tblSales[[#This Row],[Budget]]</f>
        <v>9.7055789223077532E-2</v>
      </c>
      <c r="M127" s="2">
        <f>tblSales[[#This Row],[Sales]]/tblSales[[#This Row],[Transactions]]</f>
        <v>192</v>
      </c>
    </row>
    <row r="128" spans="1:13" x14ac:dyDescent="0.25">
      <c r="A128" s="1">
        <v>46029</v>
      </c>
      <c r="B128" t="s">
        <v>15</v>
      </c>
      <c r="C128" t="s">
        <v>11</v>
      </c>
      <c r="D128" t="str">
        <f>_xlfn.XLOOKUP(tblSales[[#This Row],[Store ID]],tblStores[Store ID],tblStores[Store Name])</f>
        <v>Rosebank</v>
      </c>
      <c r="E128" t="str">
        <f>_xlfn.XLOOKUP(tblSales[[#This Row],[Store ID]],tblStores[Store ID],tblStores[Province])</f>
        <v>Gauteng</v>
      </c>
      <c r="F128" t="str">
        <f>_xlfn.XLOOKUP(tblSales[[#This Row],[Store ID]],tblStores[Store ID],tblStores[Manager])</f>
        <v>James Taylor</v>
      </c>
      <c r="G128" t="str">
        <f>_xlfn.XLOOKUP(tblSales[[#This Row],[Category ID]],tblCategories[Category ID],tblCategories[Category])</f>
        <v>Footwear</v>
      </c>
      <c r="H128">
        <v>41447</v>
      </c>
      <c r="I128">
        <v>42021</v>
      </c>
      <c r="J128">
        <v>191</v>
      </c>
      <c r="K128">
        <f>tblSales[[#This Row],[Sales]]-tblSales[[#This Row],[Budget]]</f>
        <v>-574</v>
      </c>
      <c r="L128" s="3">
        <f>(tblSales[[#This Row],[Sales]]-tblSales[[#This Row],[Budget]])/tblSales[[#This Row],[Budget]]</f>
        <v>-1.365983674829252E-2</v>
      </c>
      <c r="M128" s="2">
        <f>tblSales[[#This Row],[Sales]]/tblSales[[#This Row],[Transactions]]</f>
        <v>217</v>
      </c>
    </row>
    <row r="129" spans="1:13" x14ac:dyDescent="0.25">
      <c r="A129" s="1">
        <v>46029</v>
      </c>
      <c r="B129" t="s">
        <v>16</v>
      </c>
      <c r="C129" t="s">
        <v>19</v>
      </c>
      <c r="D129" t="str">
        <f>_xlfn.XLOOKUP(tblSales[[#This Row],[Store ID]],tblStores[Store ID],tblStores[Store Name])</f>
        <v>Pretoria</v>
      </c>
      <c r="E129" t="str">
        <f>_xlfn.XLOOKUP(tblSales[[#This Row],[Store ID]],tblStores[Store ID],tblStores[Province])</f>
        <v>Gauteng</v>
      </c>
      <c r="F129" t="str">
        <f>_xlfn.XLOOKUP(tblSales[[#This Row],[Store ID]],tblStores[Store ID],tblStores[Manager])</f>
        <v>Susan Clark</v>
      </c>
      <c r="G129" t="str">
        <f>_xlfn.XLOOKUP(tblSales[[#This Row],[Category ID]],tblCategories[Category ID],tblCategories[Category])</f>
        <v>Accessories</v>
      </c>
      <c r="H129">
        <v>31584</v>
      </c>
      <c r="I129">
        <v>32329</v>
      </c>
      <c r="J129">
        <v>84</v>
      </c>
      <c r="K129">
        <f>tblSales[[#This Row],[Sales]]-tblSales[[#This Row],[Budget]]</f>
        <v>-745</v>
      </c>
      <c r="L129" s="3">
        <f>(tblSales[[#This Row],[Sales]]-tblSales[[#This Row],[Budget]])/tblSales[[#This Row],[Budget]]</f>
        <v>-2.3044325528163569E-2</v>
      </c>
      <c r="M129" s="2">
        <f>tblSales[[#This Row],[Sales]]/tblSales[[#This Row],[Transactions]]</f>
        <v>376</v>
      </c>
    </row>
    <row r="130" spans="1:13" x14ac:dyDescent="0.25">
      <c r="A130" s="1">
        <v>46029</v>
      </c>
      <c r="B130" t="s">
        <v>17</v>
      </c>
      <c r="C130" t="s">
        <v>9</v>
      </c>
      <c r="D130" t="str">
        <f>_xlfn.XLOOKUP(tblSales[[#This Row],[Store ID]],tblStores[Store ID],tblStores[Store Name])</f>
        <v>Centurion</v>
      </c>
      <c r="E130" t="str">
        <f>_xlfn.XLOOKUP(tblSales[[#This Row],[Store ID]],tblStores[Store ID],tblStores[Province])</f>
        <v>Gauteng</v>
      </c>
      <c r="F130" t="str">
        <f>_xlfn.XLOOKUP(tblSales[[#This Row],[Store ID]],tblStores[Store ID],tblStores[Manager])</f>
        <v>Mark Wilson</v>
      </c>
      <c r="G130" t="str">
        <f>_xlfn.XLOOKUP(tblSales[[#This Row],[Category ID]],tblCategories[Category ID],tblCategories[Category])</f>
        <v>Ladieswear</v>
      </c>
      <c r="H130">
        <v>37080</v>
      </c>
      <c r="I130">
        <v>39746</v>
      </c>
      <c r="J130">
        <v>72</v>
      </c>
      <c r="K130">
        <f>tblSales[[#This Row],[Sales]]-tblSales[[#This Row],[Budget]]</f>
        <v>-2666</v>
      </c>
      <c r="L130" s="3">
        <f>(tblSales[[#This Row],[Sales]]-tblSales[[#This Row],[Budget]])/tblSales[[#This Row],[Budget]]</f>
        <v>-6.7075932169274891E-2</v>
      </c>
      <c r="M130" s="2">
        <f>tblSales[[#This Row],[Sales]]/tblSales[[#This Row],[Transactions]]</f>
        <v>515</v>
      </c>
    </row>
    <row r="131" spans="1:13" x14ac:dyDescent="0.25">
      <c r="A131" s="1">
        <v>46029</v>
      </c>
      <c r="B131" t="s">
        <v>18</v>
      </c>
      <c r="C131" t="s">
        <v>7</v>
      </c>
      <c r="D131" t="str">
        <f>_xlfn.XLOOKUP(tblSales[[#This Row],[Store ID]],tblStores[Store ID],tblStores[Store Name])</f>
        <v>East Rand</v>
      </c>
      <c r="E131" t="str">
        <f>_xlfn.XLOOKUP(tblSales[[#This Row],[Store ID]],tblStores[Store ID],tblStores[Province])</f>
        <v>Gauteng</v>
      </c>
      <c r="F131" t="str">
        <f>_xlfn.XLOOKUP(tblSales[[#This Row],[Store ID]],tblStores[Store ID],tblStores[Manager])</f>
        <v>Lisa Young</v>
      </c>
      <c r="G131" t="str">
        <f>_xlfn.XLOOKUP(tblSales[[#This Row],[Category ID]],tblCategories[Category ID],tblCategories[Category])</f>
        <v>Menswear</v>
      </c>
      <c r="H131">
        <v>41756</v>
      </c>
      <c r="I131">
        <v>39416</v>
      </c>
      <c r="J131">
        <v>143</v>
      </c>
      <c r="K131">
        <f>tblSales[[#This Row],[Sales]]-tblSales[[#This Row],[Budget]]</f>
        <v>2340</v>
      </c>
      <c r="L131" s="3">
        <f>(tblSales[[#This Row],[Sales]]-tblSales[[#This Row],[Budget]])/tblSales[[#This Row],[Budget]]</f>
        <v>5.9366754617414245E-2</v>
      </c>
      <c r="M131" s="2">
        <f>tblSales[[#This Row],[Sales]]/tblSales[[#This Row],[Transactions]]</f>
        <v>292</v>
      </c>
    </row>
    <row r="132" spans="1:13" x14ac:dyDescent="0.25">
      <c r="A132" s="1">
        <v>46029</v>
      </c>
      <c r="B132" t="s">
        <v>20</v>
      </c>
      <c r="C132" t="s">
        <v>19</v>
      </c>
      <c r="D132" t="str">
        <f>_xlfn.XLOOKUP(tblSales[[#This Row],[Store ID]],tblStores[Store ID],tblStores[Store Name])</f>
        <v>Cape Town CBD</v>
      </c>
      <c r="E132" t="str">
        <f>_xlfn.XLOOKUP(tblSales[[#This Row],[Store ID]],tblStores[Store ID],tblStores[Province])</f>
        <v>Western Cape</v>
      </c>
      <c r="F132" t="str">
        <f>_xlfn.XLOOKUP(tblSales[[#This Row],[Store ID]],tblStores[Store ID],tblStores[Manager])</f>
        <v>Brian Hall</v>
      </c>
      <c r="G132" t="str">
        <f>_xlfn.XLOOKUP(tblSales[[#This Row],[Category ID]],tblCategories[Category ID],tblCategories[Category])</f>
        <v>Accessories</v>
      </c>
      <c r="H132">
        <v>31365</v>
      </c>
      <c r="I132">
        <v>32599</v>
      </c>
      <c r="J132">
        <v>153</v>
      </c>
      <c r="K132">
        <f>tblSales[[#This Row],[Sales]]-tblSales[[#This Row],[Budget]]</f>
        <v>-1234</v>
      </c>
      <c r="L132" s="3">
        <f>(tblSales[[#This Row],[Sales]]-tblSales[[#This Row],[Budget]])/tblSales[[#This Row],[Budget]]</f>
        <v>-3.7853921899444767E-2</v>
      </c>
      <c r="M132" s="2">
        <f>tblSales[[#This Row],[Sales]]/tblSales[[#This Row],[Transactions]]</f>
        <v>205</v>
      </c>
    </row>
    <row r="133" spans="1:13" x14ac:dyDescent="0.25">
      <c r="A133" s="1">
        <v>46029</v>
      </c>
      <c r="B133" t="s">
        <v>21</v>
      </c>
      <c r="C133" t="s">
        <v>7</v>
      </c>
      <c r="D133" t="str">
        <f>_xlfn.XLOOKUP(tblSales[[#This Row],[Store ID]],tblStores[Store ID],tblStores[Store Name])</f>
        <v>Canal Walk</v>
      </c>
      <c r="E133" t="str">
        <f>_xlfn.XLOOKUP(tblSales[[#This Row],[Store ID]],tblStores[Store ID],tblStores[Province])</f>
        <v>Western Cape</v>
      </c>
      <c r="F133" t="str">
        <f>_xlfn.XLOOKUP(tblSales[[#This Row],[Store ID]],tblStores[Store ID],tblStores[Manager])</f>
        <v>Megan Scott</v>
      </c>
      <c r="G133" t="str">
        <f>_xlfn.XLOOKUP(tblSales[[#This Row],[Category ID]],tblCategories[Category ID],tblCategories[Category])</f>
        <v>Menswear</v>
      </c>
      <c r="H133">
        <v>37448</v>
      </c>
      <c r="I133">
        <v>41206</v>
      </c>
      <c r="J133">
        <v>151</v>
      </c>
      <c r="K133">
        <f>tblSales[[#This Row],[Sales]]-tblSales[[#This Row],[Budget]]</f>
        <v>-3758</v>
      </c>
      <c r="L133" s="3">
        <f>(tblSales[[#This Row],[Sales]]-tblSales[[#This Row],[Budget]])/tblSales[[#This Row],[Budget]]</f>
        <v>-9.120031063437363E-2</v>
      </c>
      <c r="M133" s="2">
        <f>tblSales[[#This Row],[Sales]]/tblSales[[#This Row],[Transactions]]</f>
        <v>248</v>
      </c>
    </row>
    <row r="134" spans="1:13" x14ac:dyDescent="0.25">
      <c r="A134" s="1">
        <v>46029</v>
      </c>
      <c r="B134" t="s">
        <v>23</v>
      </c>
      <c r="C134" t="s">
        <v>19</v>
      </c>
      <c r="D134" t="str">
        <f>_xlfn.XLOOKUP(tblSales[[#This Row],[Store ID]],tblStores[Store ID],tblStores[Store Name])</f>
        <v>Stellenbosch</v>
      </c>
      <c r="E134" t="str">
        <f>_xlfn.XLOOKUP(tblSales[[#This Row],[Store ID]],tblStores[Store ID],tblStores[Province])</f>
        <v>Western Cape</v>
      </c>
      <c r="F134" t="str">
        <f>_xlfn.XLOOKUP(tblSales[[#This Row],[Store ID]],tblStores[Store ID],tblStores[Manager])</f>
        <v>Jason King</v>
      </c>
      <c r="G134" t="str">
        <f>_xlfn.XLOOKUP(tblSales[[#This Row],[Category ID]],tblCategories[Category ID],tblCategories[Category])</f>
        <v>Accessories</v>
      </c>
      <c r="H134">
        <v>86152</v>
      </c>
      <c r="I134">
        <v>84370</v>
      </c>
      <c r="J134">
        <v>178</v>
      </c>
      <c r="K134">
        <f>tblSales[[#This Row],[Sales]]-tblSales[[#This Row],[Budget]]</f>
        <v>1782</v>
      </c>
      <c r="L134" s="3">
        <f>(tblSales[[#This Row],[Sales]]-tblSales[[#This Row],[Budget]])/tblSales[[#This Row],[Budget]]</f>
        <v>2.1121251629726206E-2</v>
      </c>
      <c r="M134" s="2">
        <f>tblSales[[#This Row],[Sales]]/tblSales[[#This Row],[Transactions]]</f>
        <v>484</v>
      </c>
    </row>
    <row r="135" spans="1:13" x14ac:dyDescent="0.25">
      <c r="A135" s="1">
        <v>46029</v>
      </c>
      <c r="B135" t="s">
        <v>24</v>
      </c>
      <c r="C135" t="s">
        <v>11</v>
      </c>
      <c r="D135" t="str">
        <f>_xlfn.XLOOKUP(tblSales[[#This Row],[Store ID]],tblStores[Store ID],tblStores[Store Name])</f>
        <v>George</v>
      </c>
      <c r="E135" t="str">
        <f>_xlfn.XLOOKUP(tblSales[[#This Row],[Store ID]],tblStores[Store ID],tblStores[Province])</f>
        <v>Western Cape</v>
      </c>
      <c r="F135" t="str">
        <f>_xlfn.XLOOKUP(tblSales[[#This Row],[Store ID]],tblStores[Store ID],tblStores[Manager])</f>
        <v>Chloe Hill</v>
      </c>
      <c r="G135" t="str">
        <f>_xlfn.XLOOKUP(tblSales[[#This Row],[Category ID]],tblCategories[Category ID],tblCategories[Category])</f>
        <v>Footwear</v>
      </c>
      <c r="H135">
        <v>83658</v>
      </c>
      <c r="I135">
        <v>84217</v>
      </c>
      <c r="J135">
        <v>191</v>
      </c>
      <c r="K135">
        <f>tblSales[[#This Row],[Sales]]-tblSales[[#This Row],[Budget]]</f>
        <v>-559</v>
      </c>
      <c r="L135" s="3">
        <f>(tblSales[[#This Row],[Sales]]-tblSales[[#This Row],[Budget]])/tblSales[[#This Row],[Budget]]</f>
        <v>-6.6376147333673721E-3</v>
      </c>
      <c r="M135" s="2">
        <f>tblSales[[#This Row],[Sales]]/tblSales[[#This Row],[Transactions]]</f>
        <v>438</v>
      </c>
    </row>
    <row r="136" spans="1:13" x14ac:dyDescent="0.25">
      <c r="A136" s="1">
        <v>46029</v>
      </c>
      <c r="B136" t="s">
        <v>25</v>
      </c>
      <c r="C136" t="s">
        <v>19</v>
      </c>
      <c r="D136" t="str">
        <f>_xlfn.XLOOKUP(tblSales[[#This Row],[Store ID]],tblStores[Store ID],tblStores[Store Name])</f>
        <v>Paarl</v>
      </c>
      <c r="E136" t="str">
        <f>_xlfn.XLOOKUP(tblSales[[#This Row],[Store ID]],tblStores[Store ID],tblStores[Province])</f>
        <v>Western Cape</v>
      </c>
      <c r="F136" t="str">
        <f>_xlfn.XLOOKUP(tblSales[[#This Row],[Store ID]],tblStores[Store ID],tblStores[Manager])</f>
        <v>Andrew Lee</v>
      </c>
      <c r="G136" t="str">
        <f>_xlfn.XLOOKUP(tblSales[[#This Row],[Category ID]],tblCategories[Category ID],tblCategories[Category])</f>
        <v>Accessories</v>
      </c>
      <c r="H136">
        <v>38889</v>
      </c>
      <c r="I136">
        <v>42230</v>
      </c>
      <c r="J136">
        <v>149</v>
      </c>
      <c r="K136">
        <f>tblSales[[#This Row],[Sales]]-tblSales[[#This Row],[Budget]]</f>
        <v>-3341</v>
      </c>
      <c r="L136" s="3">
        <f>(tblSales[[#This Row],[Sales]]-tblSales[[#This Row],[Budget]])/tblSales[[#This Row],[Budget]]</f>
        <v>-7.9114373668008525E-2</v>
      </c>
      <c r="M136" s="2">
        <f>tblSales[[#This Row],[Sales]]/tblSales[[#This Row],[Transactions]]</f>
        <v>261</v>
      </c>
    </row>
    <row r="137" spans="1:13" x14ac:dyDescent="0.25">
      <c r="A137" s="1">
        <v>46029</v>
      </c>
      <c r="B137" t="s">
        <v>26</v>
      </c>
      <c r="C137" t="s">
        <v>11</v>
      </c>
      <c r="D137" t="str">
        <f>_xlfn.XLOOKUP(tblSales[[#This Row],[Store ID]],tblStores[Store ID],tblStores[Store Name])</f>
        <v>Gqeberha</v>
      </c>
      <c r="E137" t="str">
        <f>_xlfn.XLOOKUP(tblSales[[#This Row],[Store ID]],tblStores[Store ID],tblStores[Province])</f>
        <v>Eastern Cape</v>
      </c>
      <c r="F137" t="str">
        <f>_xlfn.XLOOKUP(tblSales[[#This Row],[Store ID]],tblStores[Store ID],tblStores[Manager])</f>
        <v>Emma Baker</v>
      </c>
      <c r="G137" t="str">
        <f>_xlfn.XLOOKUP(tblSales[[#This Row],[Category ID]],tblCategories[Category ID],tblCategories[Category])</f>
        <v>Footwear</v>
      </c>
      <c r="H137">
        <v>46800</v>
      </c>
      <c r="I137">
        <v>50915</v>
      </c>
      <c r="J137">
        <v>150</v>
      </c>
      <c r="K137">
        <f>tblSales[[#This Row],[Sales]]-tblSales[[#This Row],[Budget]]</f>
        <v>-4115</v>
      </c>
      <c r="L137" s="3">
        <f>(tblSales[[#This Row],[Sales]]-tblSales[[#This Row],[Budget]])/tblSales[[#This Row],[Budget]]</f>
        <v>-8.0820976136698419E-2</v>
      </c>
      <c r="M137" s="2">
        <f>tblSales[[#This Row],[Sales]]/tblSales[[#This Row],[Transactions]]</f>
        <v>312</v>
      </c>
    </row>
    <row r="138" spans="1:13" x14ac:dyDescent="0.25">
      <c r="A138" s="1">
        <v>46029</v>
      </c>
      <c r="B138" t="s">
        <v>27</v>
      </c>
      <c r="C138" t="s">
        <v>22</v>
      </c>
      <c r="D138" t="str">
        <f>_xlfn.XLOOKUP(tblSales[[#This Row],[Store ID]],tblStores[Store ID],tblStores[Store Name])</f>
        <v>East London</v>
      </c>
      <c r="E138" t="str">
        <f>_xlfn.XLOOKUP(tblSales[[#This Row],[Store ID]],tblStores[Store ID],tblStores[Province])</f>
        <v>Eastern Cape</v>
      </c>
      <c r="F138" t="str">
        <f>_xlfn.XLOOKUP(tblSales[[#This Row],[Store ID]],tblStores[Store ID],tblStores[Manager])</f>
        <v>Daniel Evans</v>
      </c>
      <c r="G138" t="str">
        <f>_xlfn.XLOOKUP(tblSales[[#This Row],[Category ID]],tblCategories[Category ID],tblCategories[Category])</f>
        <v>Kids</v>
      </c>
      <c r="H138">
        <v>71904</v>
      </c>
      <c r="I138">
        <v>75980</v>
      </c>
      <c r="J138">
        <v>168</v>
      </c>
      <c r="K138">
        <f>tblSales[[#This Row],[Sales]]-tblSales[[#This Row],[Budget]]</f>
        <v>-4076</v>
      </c>
      <c r="L138" s="3">
        <f>(tblSales[[#This Row],[Sales]]-tblSales[[#This Row],[Budget]])/tblSales[[#This Row],[Budget]]</f>
        <v>-5.3645696235851539E-2</v>
      </c>
      <c r="M138" s="2">
        <f>tblSales[[#This Row],[Sales]]/tblSales[[#This Row],[Transactions]]</f>
        <v>428</v>
      </c>
    </row>
    <row r="139" spans="1:13" x14ac:dyDescent="0.25">
      <c r="A139" s="1">
        <v>46029</v>
      </c>
      <c r="B139" t="s">
        <v>28</v>
      </c>
      <c r="C139" t="s">
        <v>22</v>
      </c>
      <c r="D139" t="str">
        <f>_xlfn.XLOOKUP(tblSales[[#This Row],[Store ID]],tblStores[Store ID],tblStores[Store Name])</f>
        <v>Bloemfontein</v>
      </c>
      <c r="E139" t="str">
        <f>_xlfn.XLOOKUP(tblSales[[#This Row],[Store ID]],tblStores[Store ID],tblStores[Province])</f>
        <v>Free State</v>
      </c>
      <c r="F139" t="str">
        <f>_xlfn.XLOOKUP(tblSales[[#This Row],[Store ID]],tblStores[Store ID],tblStores[Manager])</f>
        <v>Rachel Moore</v>
      </c>
      <c r="G139" t="str">
        <f>_xlfn.XLOOKUP(tblSales[[#This Row],[Category ID]],tblCategories[Category ID],tblCategories[Category])</f>
        <v>Kids</v>
      </c>
      <c r="H139">
        <v>32193</v>
      </c>
      <c r="I139">
        <v>34716</v>
      </c>
      <c r="J139">
        <v>147</v>
      </c>
      <c r="K139">
        <f>tblSales[[#This Row],[Sales]]-tblSales[[#This Row],[Budget]]</f>
        <v>-2523</v>
      </c>
      <c r="L139" s="3">
        <f>(tblSales[[#This Row],[Sales]]-tblSales[[#This Row],[Budget]])/tblSales[[#This Row],[Budget]]</f>
        <v>-7.267542343587971E-2</v>
      </c>
      <c r="M139" s="2">
        <f>tblSales[[#This Row],[Sales]]/tblSales[[#This Row],[Transactions]]</f>
        <v>219</v>
      </c>
    </row>
    <row r="140" spans="1:13" x14ac:dyDescent="0.25">
      <c r="A140" s="1">
        <v>46029</v>
      </c>
      <c r="B140" t="s">
        <v>29</v>
      </c>
      <c r="C140" t="s">
        <v>9</v>
      </c>
      <c r="D140" t="str">
        <f>_xlfn.XLOOKUP(tblSales[[#This Row],[Store ID]],tblStores[Store ID],tblStores[Store Name])</f>
        <v>Polokwane</v>
      </c>
      <c r="E140" t="str">
        <f>_xlfn.XLOOKUP(tblSales[[#This Row],[Store ID]],tblStores[Store ID],tblStores[Province])</f>
        <v>Limpopo</v>
      </c>
      <c r="F140" t="str">
        <f>_xlfn.XLOOKUP(tblSales[[#This Row],[Store ID]],tblStores[Store ID],tblStores[Manager])</f>
        <v>Kevin Harris</v>
      </c>
      <c r="G140" t="str">
        <f>_xlfn.XLOOKUP(tblSales[[#This Row],[Category ID]],tblCategories[Category ID],tblCategories[Category])</f>
        <v>Ladieswear</v>
      </c>
      <c r="H140">
        <v>36504</v>
      </c>
      <c r="I140">
        <v>35771</v>
      </c>
      <c r="J140">
        <v>104</v>
      </c>
      <c r="K140">
        <f>tblSales[[#This Row],[Sales]]-tblSales[[#This Row],[Budget]]</f>
        <v>733</v>
      </c>
      <c r="L140" s="3">
        <f>(tblSales[[#This Row],[Sales]]-tblSales[[#This Row],[Budget]])/tblSales[[#This Row],[Budget]]</f>
        <v>2.0491459562215202E-2</v>
      </c>
      <c r="M140" s="2">
        <f>tblSales[[#This Row],[Sales]]/tblSales[[#This Row],[Transactions]]</f>
        <v>351</v>
      </c>
    </row>
    <row r="141" spans="1:13" x14ac:dyDescent="0.25">
      <c r="A141" s="1">
        <v>46029</v>
      </c>
      <c r="B141" t="s">
        <v>30</v>
      </c>
      <c r="C141" t="s">
        <v>19</v>
      </c>
      <c r="D141" t="str">
        <f>_xlfn.XLOOKUP(tblSales[[#This Row],[Store ID]],tblStores[Store ID],tblStores[Store Name])</f>
        <v>Nelspruit</v>
      </c>
      <c r="E141" t="str">
        <f>_xlfn.XLOOKUP(tblSales[[#This Row],[Store ID]],tblStores[Store ID],tblStores[Province])</f>
        <v>Mpumalanga</v>
      </c>
      <c r="F141" t="str">
        <f>_xlfn.XLOOKUP(tblSales[[#This Row],[Store ID]],tblStores[Store ID],tblStores[Manager])</f>
        <v>Olivia Turner</v>
      </c>
      <c r="G141" t="str">
        <f>_xlfn.XLOOKUP(tblSales[[#This Row],[Category ID]],tblCategories[Category ID],tblCategories[Category])</f>
        <v>Accessories</v>
      </c>
      <c r="H141">
        <v>13750</v>
      </c>
      <c r="I141">
        <v>12893</v>
      </c>
      <c r="J141">
        <v>55</v>
      </c>
      <c r="K141">
        <f>tblSales[[#This Row],[Sales]]-tblSales[[#This Row],[Budget]]</f>
        <v>857</v>
      </c>
      <c r="L141" s="3">
        <f>(tblSales[[#This Row],[Sales]]-tblSales[[#This Row],[Budget]])/tblSales[[#This Row],[Budget]]</f>
        <v>6.647017761576049E-2</v>
      </c>
      <c r="M141" s="2">
        <f>tblSales[[#This Row],[Sales]]/tblSales[[#This Row],[Transactions]]</f>
        <v>250</v>
      </c>
    </row>
    <row r="142" spans="1:13" x14ac:dyDescent="0.25">
      <c r="A142" s="1">
        <v>46030</v>
      </c>
      <c r="B142" t="s">
        <v>6</v>
      </c>
      <c r="C142" t="s">
        <v>11</v>
      </c>
      <c r="D142" t="str">
        <f>_xlfn.XLOOKUP(tblSales[[#This Row],[Store ID]],tblStores[Store ID],tblStores[Store Name])</f>
        <v>Durban CBD</v>
      </c>
      <c r="E142" t="str">
        <f>_xlfn.XLOOKUP(tblSales[[#This Row],[Store ID]],tblStores[Store ID],tblStores[Province])</f>
        <v>KZN</v>
      </c>
      <c r="F142" t="str">
        <f>_xlfn.XLOOKUP(tblSales[[#This Row],[Store ID]],tblStores[Store ID],tblStores[Manager])</f>
        <v>Sarah Adams</v>
      </c>
      <c r="G142" t="str">
        <f>_xlfn.XLOOKUP(tblSales[[#This Row],[Category ID]],tblCategories[Category ID],tblCategories[Category])</f>
        <v>Footwear</v>
      </c>
      <c r="H142">
        <v>54696</v>
      </c>
      <c r="I142">
        <v>58885</v>
      </c>
      <c r="J142">
        <v>212</v>
      </c>
      <c r="K142">
        <f>tblSales[[#This Row],[Sales]]-tblSales[[#This Row],[Budget]]</f>
        <v>-4189</v>
      </c>
      <c r="L142" s="3">
        <f>(tblSales[[#This Row],[Sales]]-tblSales[[#This Row],[Budget]])/tblSales[[#This Row],[Budget]]</f>
        <v>-7.1138660100195303E-2</v>
      </c>
      <c r="M142" s="2">
        <f>tblSales[[#This Row],[Sales]]/tblSales[[#This Row],[Transactions]]</f>
        <v>258</v>
      </c>
    </row>
    <row r="143" spans="1:13" x14ac:dyDescent="0.25">
      <c r="A143" s="1">
        <v>46030</v>
      </c>
      <c r="B143" t="s">
        <v>8</v>
      </c>
      <c r="C143" t="s">
        <v>7</v>
      </c>
      <c r="D143" t="str">
        <f>_xlfn.XLOOKUP(tblSales[[#This Row],[Store ID]],tblStores[Store ID],tblStores[Store Name])</f>
        <v>Gateway</v>
      </c>
      <c r="E143" t="str">
        <f>_xlfn.XLOOKUP(tblSales[[#This Row],[Store ID]],tblStores[Store ID],tblStores[Province])</f>
        <v>KZN</v>
      </c>
      <c r="F143" t="str">
        <f>_xlfn.XLOOKUP(tblSales[[#This Row],[Store ID]],tblStores[Store ID],tblStores[Manager])</f>
        <v>Michael Jones</v>
      </c>
      <c r="G143" t="str">
        <f>_xlfn.XLOOKUP(tblSales[[#This Row],[Category ID]],tblCategories[Category ID],tblCategories[Category])</f>
        <v>Menswear</v>
      </c>
      <c r="H143">
        <v>54708</v>
      </c>
      <c r="I143">
        <v>53762</v>
      </c>
      <c r="J143">
        <v>141</v>
      </c>
      <c r="K143">
        <f>tblSales[[#This Row],[Sales]]-tblSales[[#This Row],[Budget]]</f>
        <v>946</v>
      </c>
      <c r="L143" s="3">
        <f>(tblSales[[#This Row],[Sales]]-tblSales[[#This Row],[Budget]])/tblSales[[#This Row],[Budget]]</f>
        <v>1.7596071574718201E-2</v>
      </c>
      <c r="M143" s="2">
        <f>tblSales[[#This Row],[Sales]]/tblSales[[#This Row],[Transactions]]</f>
        <v>388</v>
      </c>
    </row>
    <row r="144" spans="1:13" x14ac:dyDescent="0.25">
      <c r="A144" s="1">
        <v>46030</v>
      </c>
      <c r="B144" t="s">
        <v>10</v>
      </c>
      <c r="C144" t="s">
        <v>11</v>
      </c>
      <c r="D144" t="str">
        <f>_xlfn.XLOOKUP(tblSales[[#This Row],[Store ID]],tblStores[Store ID],tblStores[Store Name])</f>
        <v>Ballito</v>
      </c>
      <c r="E144" t="str">
        <f>_xlfn.XLOOKUP(tblSales[[#This Row],[Store ID]],tblStores[Store ID],tblStores[Province])</f>
        <v>KZN</v>
      </c>
      <c r="F144" t="str">
        <f>_xlfn.XLOOKUP(tblSales[[#This Row],[Store ID]],tblStores[Store ID],tblStores[Manager])</f>
        <v>Linda Smith</v>
      </c>
      <c r="G144" t="str">
        <f>_xlfn.XLOOKUP(tblSales[[#This Row],[Category ID]],tblCategories[Category ID],tblCategories[Category])</f>
        <v>Footwear</v>
      </c>
      <c r="H144">
        <v>29751</v>
      </c>
      <c r="I144">
        <v>28314</v>
      </c>
      <c r="J144">
        <v>141</v>
      </c>
      <c r="K144">
        <f>tblSales[[#This Row],[Sales]]-tblSales[[#This Row],[Budget]]</f>
        <v>1437</v>
      </c>
      <c r="L144" s="3">
        <f>(tblSales[[#This Row],[Sales]]-tblSales[[#This Row],[Budget]])/tblSales[[#This Row],[Budget]]</f>
        <v>5.0752278025005294E-2</v>
      </c>
      <c r="M144" s="2">
        <f>tblSales[[#This Row],[Sales]]/tblSales[[#This Row],[Transactions]]</f>
        <v>211</v>
      </c>
    </row>
    <row r="145" spans="1:13" x14ac:dyDescent="0.25">
      <c r="A145" s="1">
        <v>46030</v>
      </c>
      <c r="B145" t="s">
        <v>12</v>
      </c>
      <c r="C145" t="s">
        <v>11</v>
      </c>
      <c r="D145" t="str">
        <f>_xlfn.XLOOKUP(tblSales[[#This Row],[Store ID]],tblStores[Store ID],tblStores[Store Name])</f>
        <v>Pietermaritzburg</v>
      </c>
      <c r="E145" t="str">
        <f>_xlfn.XLOOKUP(tblSales[[#This Row],[Store ID]],tblStores[Store ID],tblStores[Province])</f>
        <v>KZN</v>
      </c>
      <c r="F145" t="str">
        <f>_xlfn.XLOOKUP(tblSales[[#This Row],[Store ID]],tblStores[Store ID],tblStores[Manager])</f>
        <v>Peter Brown</v>
      </c>
      <c r="G145" t="str">
        <f>_xlfn.XLOOKUP(tblSales[[#This Row],[Category ID]],tblCategories[Category ID],tblCategories[Category])</f>
        <v>Footwear</v>
      </c>
      <c r="H145">
        <v>64186</v>
      </c>
      <c r="I145">
        <v>72948</v>
      </c>
      <c r="J145">
        <v>134</v>
      </c>
      <c r="K145">
        <f>tblSales[[#This Row],[Sales]]-tblSales[[#This Row],[Budget]]</f>
        <v>-8762</v>
      </c>
      <c r="L145" s="3">
        <f>(tblSales[[#This Row],[Sales]]-tblSales[[#This Row],[Budget]])/tblSales[[#This Row],[Budget]]</f>
        <v>-0.12011295717497396</v>
      </c>
      <c r="M145" s="2">
        <f>tblSales[[#This Row],[Sales]]/tblSales[[#This Row],[Transactions]]</f>
        <v>479</v>
      </c>
    </row>
    <row r="146" spans="1:13" x14ac:dyDescent="0.25">
      <c r="A146" s="1">
        <v>46030</v>
      </c>
      <c r="B146" t="s">
        <v>13</v>
      </c>
      <c r="C146" t="s">
        <v>7</v>
      </c>
      <c r="D146" t="str">
        <f>_xlfn.XLOOKUP(tblSales[[#This Row],[Store ID]],tblStores[Store ID],tblStores[Store Name])</f>
        <v>Richards Bay</v>
      </c>
      <c r="E146" t="str">
        <f>_xlfn.XLOOKUP(tblSales[[#This Row],[Store ID]],tblStores[Store ID],tblStores[Province])</f>
        <v>KZN</v>
      </c>
      <c r="F146" t="str">
        <f>_xlfn.XLOOKUP(tblSales[[#This Row],[Store ID]],tblStores[Store ID],tblStores[Manager])</f>
        <v>David Green</v>
      </c>
      <c r="G146" t="str">
        <f>_xlfn.XLOOKUP(tblSales[[#This Row],[Category ID]],tblCategories[Category ID],tblCategories[Category])</f>
        <v>Menswear</v>
      </c>
      <c r="H146">
        <v>68068</v>
      </c>
      <c r="I146">
        <v>69377</v>
      </c>
      <c r="J146">
        <v>182</v>
      </c>
      <c r="K146">
        <f>tblSales[[#This Row],[Sales]]-tblSales[[#This Row],[Budget]]</f>
        <v>-1309</v>
      </c>
      <c r="L146" s="3">
        <f>(tblSales[[#This Row],[Sales]]-tblSales[[#This Row],[Budget]])/tblSales[[#This Row],[Budget]]</f>
        <v>-1.8867924528301886E-2</v>
      </c>
      <c r="M146" s="2">
        <f>tblSales[[#This Row],[Sales]]/tblSales[[#This Row],[Transactions]]</f>
        <v>374</v>
      </c>
    </row>
    <row r="147" spans="1:13" x14ac:dyDescent="0.25">
      <c r="A147" s="1">
        <v>46030</v>
      </c>
      <c r="B147" t="s">
        <v>14</v>
      </c>
      <c r="C147" t="s">
        <v>22</v>
      </c>
      <c r="D147" t="str">
        <f>_xlfn.XLOOKUP(tblSales[[#This Row],[Store ID]],tblStores[Store ID],tblStores[Store Name])</f>
        <v>Sandton</v>
      </c>
      <c r="E147" t="str">
        <f>_xlfn.XLOOKUP(tblSales[[#This Row],[Store ID]],tblStores[Store ID],tblStores[Province])</f>
        <v>Gauteng</v>
      </c>
      <c r="F147" t="str">
        <f>_xlfn.XLOOKUP(tblSales[[#This Row],[Store ID]],tblStores[Store ID],tblStores[Manager])</f>
        <v>Karen White</v>
      </c>
      <c r="G147" t="str">
        <f>_xlfn.XLOOKUP(tblSales[[#This Row],[Category ID]],tblCategories[Category ID],tblCategories[Category])</f>
        <v>Kids</v>
      </c>
      <c r="H147">
        <v>42069</v>
      </c>
      <c r="I147">
        <v>46838</v>
      </c>
      <c r="J147">
        <v>111</v>
      </c>
      <c r="K147">
        <f>tblSales[[#This Row],[Sales]]-tblSales[[#This Row],[Budget]]</f>
        <v>-4769</v>
      </c>
      <c r="L147" s="3">
        <f>(tblSales[[#This Row],[Sales]]-tblSales[[#This Row],[Budget]])/tblSales[[#This Row],[Budget]]</f>
        <v>-0.10181903582561168</v>
      </c>
      <c r="M147" s="2">
        <f>tblSales[[#This Row],[Sales]]/tblSales[[#This Row],[Transactions]]</f>
        <v>379</v>
      </c>
    </row>
    <row r="148" spans="1:13" x14ac:dyDescent="0.25">
      <c r="A148" s="1">
        <v>46030</v>
      </c>
      <c r="B148" t="s">
        <v>15</v>
      </c>
      <c r="C148" t="s">
        <v>11</v>
      </c>
      <c r="D148" t="str">
        <f>_xlfn.XLOOKUP(tblSales[[#This Row],[Store ID]],tblStores[Store ID],tblStores[Store Name])</f>
        <v>Rosebank</v>
      </c>
      <c r="E148" t="str">
        <f>_xlfn.XLOOKUP(tblSales[[#This Row],[Store ID]],tblStores[Store ID],tblStores[Province])</f>
        <v>Gauteng</v>
      </c>
      <c r="F148" t="str">
        <f>_xlfn.XLOOKUP(tblSales[[#This Row],[Store ID]],tblStores[Store ID],tblStores[Manager])</f>
        <v>James Taylor</v>
      </c>
      <c r="G148" t="str">
        <f>_xlfn.XLOOKUP(tblSales[[#This Row],[Category ID]],tblCategories[Category ID],tblCategories[Category])</f>
        <v>Footwear</v>
      </c>
      <c r="H148">
        <v>78948</v>
      </c>
      <c r="I148">
        <v>86840</v>
      </c>
      <c r="J148">
        <v>172</v>
      </c>
      <c r="K148">
        <f>tblSales[[#This Row],[Sales]]-tblSales[[#This Row],[Budget]]</f>
        <v>-7892</v>
      </c>
      <c r="L148" s="3">
        <f>(tblSales[[#This Row],[Sales]]-tblSales[[#This Row],[Budget]])/tblSales[[#This Row],[Budget]]</f>
        <v>-9.0879778903731001E-2</v>
      </c>
      <c r="M148" s="2">
        <f>tblSales[[#This Row],[Sales]]/tblSales[[#This Row],[Transactions]]</f>
        <v>459</v>
      </c>
    </row>
    <row r="149" spans="1:13" x14ac:dyDescent="0.25">
      <c r="A149" s="1">
        <v>46030</v>
      </c>
      <c r="B149" t="s">
        <v>16</v>
      </c>
      <c r="C149" t="s">
        <v>9</v>
      </c>
      <c r="D149" t="str">
        <f>_xlfn.XLOOKUP(tblSales[[#This Row],[Store ID]],tblStores[Store ID],tblStores[Store Name])</f>
        <v>Pretoria</v>
      </c>
      <c r="E149" t="str">
        <f>_xlfn.XLOOKUP(tblSales[[#This Row],[Store ID]],tblStores[Store ID],tblStores[Province])</f>
        <v>Gauteng</v>
      </c>
      <c r="F149" t="str">
        <f>_xlfn.XLOOKUP(tblSales[[#This Row],[Store ID]],tblStores[Store ID],tblStores[Manager])</f>
        <v>Susan Clark</v>
      </c>
      <c r="G149" t="str">
        <f>_xlfn.XLOOKUP(tblSales[[#This Row],[Category ID]],tblCategories[Category ID],tblCategories[Category])</f>
        <v>Ladieswear</v>
      </c>
      <c r="H149">
        <v>46428</v>
      </c>
      <c r="I149">
        <v>44953</v>
      </c>
      <c r="J149">
        <v>159</v>
      </c>
      <c r="K149">
        <f>tblSales[[#This Row],[Sales]]-tblSales[[#This Row],[Budget]]</f>
        <v>1475</v>
      </c>
      <c r="L149" s="3">
        <f>(tblSales[[#This Row],[Sales]]-tblSales[[#This Row],[Budget]])/tblSales[[#This Row],[Budget]]</f>
        <v>3.2812048139167577E-2</v>
      </c>
      <c r="M149" s="2">
        <f>tblSales[[#This Row],[Sales]]/tblSales[[#This Row],[Transactions]]</f>
        <v>292</v>
      </c>
    </row>
    <row r="150" spans="1:13" x14ac:dyDescent="0.25">
      <c r="A150" s="1">
        <v>46030</v>
      </c>
      <c r="B150" t="s">
        <v>17</v>
      </c>
      <c r="C150" t="s">
        <v>11</v>
      </c>
      <c r="D150" t="str">
        <f>_xlfn.XLOOKUP(tblSales[[#This Row],[Store ID]],tblStores[Store ID],tblStores[Store Name])</f>
        <v>Centurion</v>
      </c>
      <c r="E150" t="str">
        <f>_xlfn.XLOOKUP(tblSales[[#This Row],[Store ID]],tblStores[Store ID],tblStores[Province])</f>
        <v>Gauteng</v>
      </c>
      <c r="F150" t="str">
        <f>_xlfn.XLOOKUP(tblSales[[#This Row],[Store ID]],tblStores[Store ID],tblStores[Manager])</f>
        <v>Mark Wilson</v>
      </c>
      <c r="G150" t="str">
        <f>_xlfn.XLOOKUP(tblSales[[#This Row],[Category ID]],tblCategories[Category ID],tblCategories[Category])</f>
        <v>Footwear</v>
      </c>
      <c r="H150">
        <v>15918</v>
      </c>
      <c r="I150">
        <v>15663</v>
      </c>
      <c r="J150">
        <v>42</v>
      </c>
      <c r="K150">
        <f>tblSales[[#This Row],[Sales]]-tblSales[[#This Row],[Budget]]</f>
        <v>255</v>
      </c>
      <c r="L150" s="3">
        <f>(tblSales[[#This Row],[Sales]]-tblSales[[#This Row],[Budget]])/tblSales[[#This Row],[Budget]]</f>
        <v>1.6280406052480368E-2</v>
      </c>
      <c r="M150" s="2">
        <f>tblSales[[#This Row],[Sales]]/tblSales[[#This Row],[Transactions]]</f>
        <v>379</v>
      </c>
    </row>
    <row r="151" spans="1:13" x14ac:dyDescent="0.25">
      <c r="A151" s="1">
        <v>46030</v>
      </c>
      <c r="B151" t="s">
        <v>18</v>
      </c>
      <c r="C151" t="s">
        <v>11</v>
      </c>
      <c r="D151" t="str">
        <f>_xlfn.XLOOKUP(tblSales[[#This Row],[Store ID]],tblStores[Store ID],tblStores[Store Name])</f>
        <v>East Rand</v>
      </c>
      <c r="E151" t="str">
        <f>_xlfn.XLOOKUP(tblSales[[#This Row],[Store ID]],tblStores[Store ID],tblStores[Province])</f>
        <v>Gauteng</v>
      </c>
      <c r="F151" t="str">
        <f>_xlfn.XLOOKUP(tblSales[[#This Row],[Store ID]],tblStores[Store ID],tblStores[Manager])</f>
        <v>Lisa Young</v>
      </c>
      <c r="G151" t="str">
        <f>_xlfn.XLOOKUP(tblSales[[#This Row],[Category ID]],tblCategories[Category ID],tblCategories[Category])</f>
        <v>Footwear</v>
      </c>
      <c r="H151">
        <v>58080</v>
      </c>
      <c r="I151">
        <v>64476</v>
      </c>
      <c r="J151">
        <v>220</v>
      </c>
      <c r="K151">
        <f>tblSales[[#This Row],[Sales]]-tblSales[[#This Row],[Budget]]</f>
        <v>-6396</v>
      </c>
      <c r="L151" s="3">
        <f>(tblSales[[#This Row],[Sales]]-tblSales[[#This Row],[Budget]])/tblSales[[#This Row],[Budget]]</f>
        <v>-9.9199702214777585E-2</v>
      </c>
      <c r="M151" s="2">
        <f>tblSales[[#This Row],[Sales]]/tblSales[[#This Row],[Transactions]]</f>
        <v>264</v>
      </c>
    </row>
    <row r="152" spans="1:13" x14ac:dyDescent="0.25">
      <c r="A152" s="1">
        <v>46030</v>
      </c>
      <c r="B152" t="s">
        <v>20</v>
      </c>
      <c r="C152" t="s">
        <v>9</v>
      </c>
      <c r="D152" t="str">
        <f>_xlfn.XLOOKUP(tblSales[[#This Row],[Store ID]],tblStores[Store ID],tblStores[Store Name])</f>
        <v>Cape Town CBD</v>
      </c>
      <c r="E152" t="str">
        <f>_xlfn.XLOOKUP(tblSales[[#This Row],[Store ID]],tblStores[Store ID],tblStores[Province])</f>
        <v>Western Cape</v>
      </c>
      <c r="F152" t="str">
        <f>_xlfn.XLOOKUP(tblSales[[#This Row],[Store ID]],tblStores[Store ID],tblStores[Manager])</f>
        <v>Brian Hall</v>
      </c>
      <c r="G152" t="str">
        <f>_xlfn.XLOOKUP(tblSales[[#This Row],[Category ID]],tblCategories[Category ID],tblCategories[Category])</f>
        <v>Ladieswear</v>
      </c>
      <c r="H152">
        <v>87882</v>
      </c>
      <c r="I152">
        <v>79686</v>
      </c>
      <c r="J152">
        <v>194</v>
      </c>
      <c r="K152">
        <f>tblSales[[#This Row],[Sales]]-tblSales[[#This Row],[Budget]]</f>
        <v>8196</v>
      </c>
      <c r="L152" s="3">
        <f>(tblSales[[#This Row],[Sales]]-tblSales[[#This Row],[Budget]])/tblSales[[#This Row],[Budget]]</f>
        <v>0.10285370077554401</v>
      </c>
      <c r="M152" s="2">
        <f>tblSales[[#This Row],[Sales]]/tblSales[[#This Row],[Transactions]]</f>
        <v>453</v>
      </c>
    </row>
    <row r="153" spans="1:13" x14ac:dyDescent="0.25">
      <c r="A153" s="1">
        <v>46030</v>
      </c>
      <c r="B153" t="s">
        <v>21</v>
      </c>
      <c r="C153" t="s">
        <v>11</v>
      </c>
      <c r="D153" t="str">
        <f>_xlfn.XLOOKUP(tblSales[[#This Row],[Store ID]],tblStores[Store ID],tblStores[Store Name])</f>
        <v>Canal Walk</v>
      </c>
      <c r="E153" t="str">
        <f>_xlfn.XLOOKUP(tblSales[[#This Row],[Store ID]],tblStores[Store ID],tblStores[Province])</f>
        <v>Western Cape</v>
      </c>
      <c r="F153" t="str">
        <f>_xlfn.XLOOKUP(tblSales[[#This Row],[Store ID]],tblStores[Store ID],tblStores[Manager])</f>
        <v>Megan Scott</v>
      </c>
      <c r="G153" t="str">
        <f>_xlfn.XLOOKUP(tblSales[[#This Row],[Category ID]],tblCategories[Category ID],tblCategories[Category])</f>
        <v>Footwear</v>
      </c>
      <c r="H153">
        <v>87048</v>
      </c>
      <c r="I153">
        <v>92771</v>
      </c>
      <c r="J153">
        <v>186</v>
      </c>
      <c r="K153">
        <f>tblSales[[#This Row],[Sales]]-tblSales[[#This Row],[Budget]]</f>
        <v>-5723</v>
      </c>
      <c r="L153" s="3">
        <f>(tblSales[[#This Row],[Sales]]-tblSales[[#This Row],[Budget]])/tblSales[[#This Row],[Budget]]</f>
        <v>-6.1689536600877427E-2</v>
      </c>
      <c r="M153" s="2">
        <f>tblSales[[#This Row],[Sales]]/tblSales[[#This Row],[Transactions]]</f>
        <v>468</v>
      </c>
    </row>
    <row r="154" spans="1:13" x14ac:dyDescent="0.25">
      <c r="A154" s="1">
        <v>46030</v>
      </c>
      <c r="B154" t="s">
        <v>23</v>
      </c>
      <c r="C154" t="s">
        <v>7</v>
      </c>
      <c r="D154" t="str">
        <f>_xlfn.XLOOKUP(tblSales[[#This Row],[Store ID]],tblStores[Store ID],tblStores[Store Name])</f>
        <v>Stellenbosch</v>
      </c>
      <c r="E154" t="str">
        <f>_xlfn.XLOOKUP(tblSales[[#This Row],[Store ID]],tblStores[Store ID],tblStores[Province])</f>
        <v>Western Cape</v>
      </c>
      <c r="F154" t="str">
        <f>_xlfn.XLOOKUP(tblSales[[#This Row],[Store ID]],tblStores[Store ID],tblStores[Manager])</f>
        <v>Jason King</v>
      </c>
      <c r="G154" t="str">
        <f>_xlfn.XLOOKUP(tblSales[[#This Row],[Category ID]],tblCategories[Category ID],tblCategories[Category])</f>
        <v>Menswear</v>
      </c>
      <c r="H154">
        <v>79401</v>
      </c>
      <c r="I154">
        <v>74154</v>
      </c>
      <c r="J154">
        <v>199</v>
      </c>
      <c r="K154">
        <f>tblSales[[#This Row],[Sales]]-tblSales[[#This Row],[Budget]]</f>
        <v>5247</v>
      </c>
      <c r="L154" s="3">
        <f>(tblSales[[#This Row],[Sales]]-tblSales[[#This Row],[Budget]])/tblSales[[#This Row],[Budget]]</f>
        <v>7.0758151954041587E-2</v>
      </c>
      <c r="M154" s="2">
        <f>tblSales[[#This Row],[Sales]]/tblSales[[#This Row],[Transactions]]</f>
        <v>399</v>
      </c>
    </row>
    <row r="155" spans="1:13" x14ac:dyDescent="0.25">
      <c r="A155" s="1">
        <v>46030</v>
      </c>
      <c r="B155" t="s">
        <v>24</v>
      </c>
      <c r="C155" t="s">
        <v>11</v>
      </c>
      <c r="D155" t="str">
        <f>_xlfn.XLOOKUP(tblSales[[#This Row],[Store ID]],tblStores[Store ID],tblStores[Store Name])</f>
        <v>George</v>
      </c>
      <c r="E155" t="str">
        <f>_xlfn.XLOOKUP(tblSales[[#This Row],[Store ID]],tblStores[Store ID],tblStores[Province])</f>
        <v>Western Cape</v>
      </c>
      <c r="F155" t="str">
        <f>_xlfn.XLOOKUP(tblSales[[#This Row],[Store ID]],tblStores[Store ID],tblStores[Manager])</f>
        <v>Chloe Hill</v>
      </c>
      <c r="G155" t="str">
        <f>_xlfn.XLOOKUP(tblSales[[#This Row],[Category ID]],tblCategories[Category ID],tblCategories[Category])</f>
        <v>Footwear</v>
      </c>
      <c r="H155">
        <v>16605</v>
      </c>
      <c r="I155">
        <v>16024</v>
      </c>
      <c r="J155">
        <v>81</v>
      </c>
      <c r="K155">
        <f>tblSales[[#This Row],[Sales]]-tblSales[[#This Row],[Budget]]</f>
        <v>581</v>
      </c>
      <c r="L155" s="3">
        <f>(tblSales[[#This Row],[Sales]]-tblSales[[#This Row],[Budget]])/tblSales[[#This Row],[Budget]]</f>
        <v>3.6258112830753871E-2</v>
      </c>
      <c r="M155" s="2">
        <f>tblSales[[#This Row],[Sales]]/tblSales[[#This Row],[Transactions]]</f>
        <v>205</v>
      </c>
    </row>
    <row r="156" spans="1:13" x14ac:dyDescent="0.25">
      <c r="A156" s="1">
        <v>46030</v>
      </c>
      <c r="B156" t="s">
        <v>25</v>
      </c>
      <c r="C156" t="s">
        <v>22</v>
      </c>
      <c r="D156" t="str">
        <f>_xlfn.XLOOKUP(tblSales[[#This Row],[Store ID]],tblStores[Store ID],tblStores[Store Name])</f>
        <v>Paarl</v>
      </c>
      <c r="E156" t="str">
        <f>_xlfn.XLOOKUP(tblSales[[#This Row],[Store ID]],tblStores[Store ID],tblStores[Province])</f>
        <v>Western Cape</v>
      </c>
      <c r="F156" t="str">
        <f>_xlfn.XLOOKUP(tblSales[[#This Row],[Store ID]],tblStores[Store ID],tblStores[Manager])</f>
        <v>Andrew Lee</v>
      </c>
      <c r="G156" t="str">
        <f>_xlfn.XLOOKUP(tblSales[[#This Row],[Category ID]],tblCategories[Category ID],tblCategories[Category])</f>
        <v>Kids</v>
      </c>
      <c r="H156">
        <v>36668</v>
      </c>
      <c r="I156">
        <v>35997</v>
      </c>
      <c r="J156">
        <v>89</v>
      </c>
      <c r="K156">
        <f>tblSales[[#This Row],[Sales]]-tblSales[[#This Row],[Budget]]</f>
        <v>671</v>
      </c>
      <c r="L156" s="3">
        <f>(tblSales[[#This Row],[Sales]]-tblSales[[#This Row],[Budget]])/tblSales[[#This Row],[Budget]]</f>
        <v>1.8640442259077145E-2</v>
      </c>
      <c r="M156" s="2">
        <f>tblSales[[#This Row],[Sales]]/tblSales[[#This Row],[Transactions]]</f>
        <v>412</v>
      </c>
    </row>
    <row r="157" spans="1:13" x14ac:dyDescent="0.25">
      <c r="A157" s="1">
        <v>46030</v>
      </c>
      <c r="B157" t="s">
        <v>26</v>
      </c>
      <c r="C157" t="s">
        <v>11</v>
      </c>
      <c r="D157" t="str">
        <f>_xlfn.XLOOKUP(tblSales[[#This Row],[Store ID]],tblStores[Store ID],tblStores[Store Name])</f>
        <v>Gqeberha</v>
      </c>
      <c r="E157" t="str">
        <f>_xlfn.XLOOKUP(tblSales[[#This Row],[Store ID]],tblStores[Store ID],tblStores[Province])</f>
        <v>Eastern Cape</v>
      </c>
      <c r="F157" t="str">
        <f>_xlfn.XLOOKUP(tblSales[[#This Row],[Store ID]],tblStores[Store ID],tblStores[Manager])</f>
        <v>Emma Baker</v>
      </c>
      <c r="G157" t="str">
        <f>_xlfn.XLOOKUP(tblSales[[#This Row],[Category ID]],tblCategories[Category ID],tblCategories[Category])</f>
        <v>Footwear</v>
      </c>
      <c r="H157">
        <v>41870</v>
      </c>
      <c r="I157">
        <v>40323</v>
      </c>
      <c r="J157">
        <v>106</v>
      </c>
      <c r="K157">
        <f>tblSales[[#This Row],[Sales]]-tblSales[[#This Row],[Budget]]</f>
        <v>1547</v>
      </c>
      <c r="L157" s="3">
        <f>(tblSales[[#This Row],[Sales]]-tblSales[[#This Row],[Budget]])/tblSales[[#This Row],[Budget]]</f>
        <v>3.8365201001909578E-2</v>
      </c>
      <c r="M157" s="2">
        <f>tblSales[[#This Row],[Sales]]/tblSales[[#This Row],[Transactions]]</f>
        <v>395</v>
      </c>
    </row>
    <row r="158" spans="1:13" x14ac:dyDescent="0.25">
      <c r="A158" s="1">
        <v>46030</v>
      </c>
      <c r="B158" t="s">
        <v>27</v>
      </c>
      <c r="C158" t="s">
        <v>7</v>
      </c>
      <c r="D158" t="str">
        <f>_xlfn.XLOOKUP(tblSales[[#This Row],[Store ID]],tblStores[Store ID],tblStores[Store Name])</f>
        <v>East London</v>
      </c>
      <c r="E158" t="str">
        <f>_xlfn.XLOOKUP(tblSales[[#This Row],[Store ID]],tblStores[Store ID],tblStores[Province])</f>
        <v>Eastern Cape</v>
      </c>
      <c r="F158" t="str">
        <f>_xlfn.XLOOKUP(tblSales[[#This Row],[Store ID]],tblStores[Store ID],tblStores[Manager])</f>
        <v>Daniel Evans</v>
      </c>
      <c r="G158" t="str">
        <f>_xlfn.XLOOKUP(tblSales[[#This Row],[Category ID]],tblCategories[Category ID],tblCategories[Category])</f>
        <v>Menswear</v>
      </c>
      <c r="H158">
        <v>29295</v>
      </c>
      <c r="I158">
        <v>31851</v>
      </c>
      <c r="J158">
        <v>155</v>
      </c>
      <c r="K158">
        <f>tblSales[[#This Row],[Sales]]-tblSales[[#This Row],[Budget]]</f>
        <v>-2556</v>
      </c>
      <c r="L158" s="3">
        <f>(tblSales[[#This Row],[Sales]]-tblSales[[#This Row],[Budget]])/tblSales[[#This Row],[Budget]]</f>
        <v>-8.0248657812941507E-2</v>
      </c>
      <c r="M158" s="2">
        <f>tblSales[[#This Row],[Sales]]/tblSales[[#This Row],[Transactions]]</f>
        <v>189</v>
      </c>
    </row>
    <row r="159" spans="1:13" x14ac:dyDescent="0.25">
      <c r="A159" s="1">
        <v>46030</v>
      </c>
      <c r="B159" t="s">
        <v>28</v>
      </c>
      <c r="C159" t="s">
        <v>7</v>
      </c>
      <c r="D159" t="str">
        <f>_xlfn.XLOOKUP(tblSales[[#This Row],[Store ID]],tblStores[Store ID],tblStores[Store Name])</f>
        <v>Bloemfontein</v>
      </c>
      <c r="E159" t="str">
        <f>_xlfn.XLOOKUP(tblSales[[#This Row],[Store ID]],tblStores[Store ID],tblStores[Province])</f>
        <v>Free State</v>
      </c>
      <c r="F159" t="str">
        <f>_xlfn.XLOOKUP(tblSales[[#This Row],[Store ID]],tblStores[Store ID],tblStores[Manager])</f>
        <v>Rachel Moore</v>
      </c>
      <c r="G159" t="str">
        <f>_xlfn.XLOOKUP(tblSales[[#This Row],[Category ID]],tblCategories[Category ID],tblCategories[Category])</f>
        <v>Menswear</v>
      </c>
      <c r="H159">
        <v>36456</v>
      </c>
      <c r="I159">
        <v>38735</v>
      </c>
      <c r="J159">
        <v>124</v>
      </c>
      <c r="K159">
        <f>tblSales[[#This Row],[Sales]]-tblSales[[#This Row],[Budget]]</f>
        <v>-2279</v>
      </c>
      <c r="L159" s="3">
        <f>(tblSales[[#This Row],[Sales]]-tblSales[[#This Row],[Budget]])/tblSales[[#This Row],[Budget]]</f>
        <v>-5.8835678327094361E-2</v>
      </c>
      <c r="M159" s="2">
        <f>tblSales[[#This Row],[Sales]]/tblSales[[#This Row],[Transactions]]</f>
        <v>294</v>
      </c>
    </row>
    <row r="160" spans="1:13" x14ac:dyDescent="0.25">
      <c r="A160" s="1">
        <v>46030</v>
      </c>
      <c r="B160" t="s">
        <v>29</v>
      </c>
      <c r="C160" t="s">
        <v>7</v>
      </c>
      <c r="D160" t="str">
        <f>_xlfn.XLOOKUP(tblSales[[#This Row],[Store ID]],tblStores[Store ID],tblStores[Store Name])</f>
        <v>Polokwane</v>
      </c>
      <c r="E160" t="str">
        <f>_xlfn.XLOOKUP(tblSales[[#This Row],[Store ID]],tblStores[Store ID],tblStores[Province])</f>
        <v>Limpopo</v>
      </c>
      <c r="F160" t="str">
        <f>_xlfn.XLOOKUP(tblSales[[#This Row],[Store ID]],tblStores[Store ID],tblStores[Manager])</f>
        <v>Kevin Harris</v>
      </c>
      <c r="G160" t="str">
        <f>_xlfn.XLOOKUP(tblSales[[#This Row],[Category ID]],tblCategories[Category ID],tblCategories[Category])</f>
        <v>Menswear</v>
      </c>
      <c r="H160">
        <v>12852</v>
      </c>
      <c r="I160">
        <v>12207</v>
      </c>
      <c r="J160">
        <v>42</v>
      </c>
      <c r="K160">
        <f>tblSales[[#This Row],[Sales]]-tblSales[[#This Row],[Budget]]</f>
        <v>645</v>
      </c>
      <c r="L160" s="3">
        <f>(tblSales[[#This Row],[Sales]]-tblSales[[#This Row],[Budget]])/tblSales[[#This Row],[Budget]]</f>
        <v>5.2838535266650284E-2</v>
      </c>
      <c r="M160" s="2">
        <f>tblSales[[#This Row],[Sales]]/tblSales[[#This Row],[Transactions]]</f>
        <v>306</v>
      </c>
    </row>
    <row r="161" spans="1:13" x14ac:dyDescent="0.25">
      <c r="A161" s="1">
        <v>46030</v>
      </c>
      <c r="B161" t="s">
        <v>30</v>
      </c>
      <c r="C161" t="s">
        <v>7</v>
      </c>
      <c r="D161" t="str">
        <f>_xlfn.XLOOKUP(tblSales[[#This Row],[Store ID]],tblStores[Store ID],tblStores[Store Name])</f>
        <v>Nelspruit</v>
      </c>
      <c r="E161" t="str">
        <f>_xlfn.XLOOKUP(tblSales[[#This Row],[Store ID]],tblStores[Store ID],tblStores[Province])</f>
        <v>Mpumalanga</v>
      </c>
      <c r="F161" t="str">
        <f>_xlfn.XLOOKUP(tblSales[[#This Row],[Store ID]],tblStores[Store ID],tblStores[Manager])</f>
        <v>Olivia Turner</v>
      </c>
      <c r="G161" t="str">
        <f>_xlfn.XLOOKUP(tblSales[[#This Row],[Category ID]],tblCategories[Category ID],tblCategories[Category])</f>
        <v>Menswear</v>
      </c>
      <c r="H161">
        <v>50052</v>
      </c>
      <c r="I161">
        <v>48031</v>
      </c>
      <c r="J161">
        <v>194</v>
      </c>
      <c r="K161">
        <f>tblSales[[#This Row],[Sales]]-tblSales[[#This Row],[Budget]]</f>
        <v>2021</v>
      </c>
      <c r="L161" s="3">
        <f>(tblSales[[#This Row],[Sales]]-tblSales[[#This Row],[Budget]])/tblSales[[#This Row],[Budget]]</f>
        <v>4.2076991942703673E-2</v>
      </c>
      <c r="M161" s="2">
        <f>tblSales[[#This Row],[Sales]]/tblSales[[#This Row],[Transactions]]</f>
        <v>258</v>
      </c>
    </row>
    <row r="162" spans="1:13" x14ac:dyDescent="0.25">
      <c r="A162" s="1">
        <v>46031</v>
      </c>
      <c r="B162" t="s">
        <v>6</v>
      </c>
      <c r="C162" t="s">
        <v>11</v>
      </c>
      <c r="D162" t="str">
        <f>_xlfn.XLOOKUP(tblSales[[#This Row],[Store ID]],tblStores[Store ID],tblStores[Store Name])</f>
        <v>Durban CBD</v>
      </c>
      <c r="E162" t="str">
        <f>_xlfn.XLOOKUP(tblSales[[#This Row],[Store ID]],tblStores[Store ID],tblStores[Province])</f>
        <v>KZN</v>
      </c>
      <c r="F162" t="str">
        <f>_xlfn.XLOOKUP(tblSales[[#This Row],[Store ID]],tblStores[Store ID],tblStores[Manager])</f>
        <v>Sarah Adams</v>
      </c>
      <c r="G162" t="str">
        <f>_xlfn.XLOOKUP(tblSales[[#This Row],[Category ID]],tblCategories[Category ID],tblCategories[Category])</f>
        <v>Footwear</v>
      </c>
      <c r="H162">
        <v>49028</v>
      </c>
      <c r="I162">
        <v>51037</v>
      </c>
      <c r="J162">
        <v>206</v>
      </c>
      <c r="K162">
        <f>tblSales[[#This Row],[Sales]]-tblSales[[#This Row],[Budget]]</f>
        <v>-2009</v>
      </c>
      <c r="L162" s="3">
        <f>(tblSales[[#This Row],[Sales]]-tblSales[[#This Row],[Budget]])/tblSales[[#This Row],[Budget]]</f>
        <v>-3.9363598957618984E-2</v>
      </c>
      <c r="M162" s="2">
        <f>tblSales[[#This Row],[Sales]]/tblSales[[#This Row],[Transactions]]</f>
        <v>238</v>
      </c>
    </row>
    <row r="163" spans="1:13" x14ac:dyDescent="0.25">
      <c r="A163" s="1">
        <v>46031</v>
      </c>
      <c r="B163" t="s">
        <v>8</v>
      </c>
      <c r="C163" t="s">
        <v>9</v>
      </c>
      <c r="D163" t="str">
        <f>_xlfn.XLOOKUP(tblSales[[#This Row],[Store ID]],tblStores[Store ID],tblStores[Store Name])</f>
        <v>Gateway</v>
      </c>
      <c r="E163" t="str">
        <f>_xlfn.XLOOKUP(tblSales[[#This Row],[Store ID]],tblStores[Store ID],tblStores[Province])</f>
        <v>KZN</v>
      </c>
      <c r="F163" t="str">
        <f>_xlfn.XLOOKUP(tblSales[[#This Row],[Store ID]],tblStores[Store ID],tblStores[Manager])</f>
        <v>Michael Jones</v>
      </c>
      <c r="G163" t="str">
        <f>_xlfn.XLOOKUP(tblSales[[#This Row],[Category ID]],tblCategories[Category ID],tblCategories[Category])</f>
        <v>Ladieswear</v>
      </c>
      <c r="H163">
        <v>47894</v>
      </c>
      <c r="I163">
        <v>52287</v>
      </c>
      <c r="J163">
        <v>154</v>
      </c>
      <c r="K163">
        <f>tblSales[[#This Row],[Sales]]-tblSales[[#This Row],[Budget]]</f>
        <v>-4393</v>
      </c>
      <c r="L163" s="3">
        <f>(tblSales[[#This Row],[Sales]]-tblSales[[#This Row],[Budget]])/tblSales[[#This Row],[Budget]]</f>
        <v>-8.401705968978905E-2</v>
      </c>
      <c r="M163" s="2">
        <f>tblSales[[#This Row],[Sales]]/tblSales[[#This Row],[Transactions]]</f>
        <v>311</v>
      </c>
    </row>
    <row r="164" spans="1:13" x14ac:dyDescent="0.25">
      <c r="A164" s="1">
        <v>46031</v>
      </c>
      <c r="B164" t="s">
        <v>10</v>
      </c>
      <c r="C164" t="s">
        <v>9</v>
      </c>
      <c r="D164" t="str">
        <f>_xlfn.XLOOKUP(tblSales[[#This Row],[Store ID]],tblStores[Store ID],tblStores[Store Name])</f>
        <v>Ballito</v>
      </c>
      <c r="E164" t="str">
        <f>_xlfn.XLOOKUP(tblSales[[#This Row],[Store ID]],tblStores[Store ID],tblStores[Province])</f>
        <v>KZN</v>
      </c>
      <c r="F164" t="str">
        <f>_xlfn.XLOOKUP(tblSales[[#This Row],[Store ID]],tblStores[Store ID],tblStores[Manager])</f>
        <v>Linda Smith</v>
      </c>
      <c r="G164" t="str">
        <f>_xlfn.XLOOKUP(tblSales[[#This Row],[Category ID]],tblCategories[Category ID],tblCategories[Category])</f>
        <v>Ladieswear</v>
      </c>
      <c r="H164">
        <v>93100</v>
      </c>
      <c r="I164">
        <v>106220</v>
      </c>
      <c r="J164">
        <v>190</v>
      </c>
      <c r="K164">
        <f>tblSales[[#This Row],[Sales]]-tblSales[[#This Row],[Budget]]</f>
        <v>-13120</v>
      </c>
      <c r="L164" s="3">
        <f>(tblSales[[#This Row],[Sales]]-tblSales[[#This Row],[Budget]])/tblSales[[#This Row],[Budget]]</f>
        <v>-0.12351722839389945</v>
      </c>
      <c r="M164" s="2">
        <f>tblSales[[#This Row],[Sales]]/tblSales[[#This Row],[Transactions]]</f>
        <v>490</v>
      </c>
    </row>
    <row r="165" spans="1:13" x14ac:dyDescent="0.25">
      <c r="A165" s="1">
        <v>46031</v>
      </c>
      <c r="B165" t="s">
        <v>12</v>
      </c>
      <c r="C165" t="s">
        <v>7</v>
      </c>
      <c r="D165" t="str">
        <f>_xlfn.XLOOKUP(tblSales[[#This Row],[Store ID]],tblStores[Store ID],tblStores[Store Name])</f>
        <v>Pietermaritzburg</v>
      </c>
      <c r="E165" t="str">
        <f>_xlfn.XLOOKUP(tblSales[[#This Row],[Store ID]],tblStores[Store ID],tblStores[Province])</f>
        <v>KZN</v>
      </c>
      <c r="F165" t="str">
        <f>_xlfn.XLOOKUP(tblSales[[#This Row],[Store ID]],tblStores[Store ID],tblStores[Manager])</f>
        <v>Peter Brown</v>
      </c>
      <c r="G165" t="str">
        <f>_xlfn.XLOOKUP(tblSales[[#This Row],[Category ID]],tblCategories[Category ID],tblCategories[Category])</f>
        <v>Menswear</v>
      </c>
      <c r="H165">
        <v>25764</v>
      </c>
      <c r="I165">
        <v>23883</v>
      </c>
      <c r="J165">
        <v>76</v>
      </c>
      <c r="K165">
        <f>tblSales[[#This Row],[Sales]]-tblSales[[#This Row],[Budget]]</f>
        <v>1881</v>
      </c>
      <c r="L165" s="3">
        <f>(tblSales[[#This Row],[Sales]]-tblSales[[#This Row],[Budget]])/tblSales[[#This Row],[Budget]]</f>
        <v>7.8758949880668255E-2</v>
      </c>
      <c r="M165" s="2">
        <f>tblSales[[#This Row],[Sales]]/tblSales[[#This Row],[Transactions]]</f>
        <v>339</v>
      </c>
    </row>
    <row r="166" spans="1:13" x14ac:dyDescent="0.25">
      <c r="A166" s="1">
        <v>46031</v>
      </c>
      <c r="B166" t="s">
        <v>13</v>
      </c>
      <c r="C166" t="s">
        <v>7</v>
      </c>
      <c r="D166" t="str">
        <f>_xlfn.XLOOKUP(tblSales[[#This Row],[Store ID]],tblStores[Store ID],tblStores[Store Name])</f>
        <v>Richards Bay</v>
      </c>
      <c r="E166" t="str">
        <f>_xlfn.XLOOKUP(tblSales[[#This Row],[Store ID]],tblStores[Store ID],tblStores[Province])</f>
        <v>KZN</v>
      </c>
      <c r="F166" t="str">
        <f>_xlfn.XLOOKUP(tblSales[[#This Row],[Store ID]],tblStores[Store ID],tblStores[Manager])</f>
        <v>David Green</v>
      </c>
      <c r="G166" t="str">
        <f>_xlfn.XLOOKUP(tblSales[[#This Row],[Category ID]],tblCategories[Category ID],tblCategories[Category])</f>
        <v>Menswear</v>
      </c>
      <c r="H166">
        <v>54036</v>
      </c>
      <c r="I166">
        <v>57782</v>
      </c>
      <c r="J166">
        <v>114</v>
      </c>
      <c r="K166">
        <f>tblSales[[#This Row],[Sales]]-tblSales[[#This Row],[Budget]]</f>
        <v>-3746</v>
      </c>
      <c r="L166" s="3">
        <f>(tblSales[[#This Row],[Sales]]-tblSales[[#This Row],[Budget]])/tblSales[[#This Row],[Budget]]</f>
        <v>-6.4829877816621098E-2</v>
      </c>
      <c r="M166" s="2">
        <f>tblSales[[#This Row],[Sales]]/tblSales[[#This Row],[Transactions]]</f>
        <v>474</v>
      </c>
    </row>
    <row r="167" spans="1:13" x14ac:dyDescent="0.25">
      <c r="A167" s="1">
        <v>46031</v>
      </c>
      <c r="B167" t="s">
        <v>14</v>
      </c>
      <c r="C167" t="s">
        <v>11</v>
      </c>
      <c r="D167" t="str">
        <f>_xlfn.XLOOKUP(tblSales[[#This Row],[Store ID]],tblStores[Store ID],tblStores[Store Name])</f>
        <v>Sandton</v>
      </c>
      <c r="E167" t="str">
        <f>_xlfn.XLOOKUP(tblSales[[#This Row],[Store ID]],tblStores[Store ID],tblStores[Province])</f>
        <v>Gauteng</v>
      </c>
      <c r="F167" t="str">
        <f>_xlfn.XLOOKUP(tblSales[[#This Row],[Store ID]],tblStores[Store ID],tblStores[Manager])</f>
        <v>Karen White</v>
      </c>
      <c r="G167" t="str">
        <f>_xlfn.XLOOKUP(tblSales[[#This Row],[Category ID]],tblCategories[Category ID],tblCategories[Category])</f>
        <v>Footwear</v>
      </c>
      <c r="H167">
        <v>38216</v>
      </c>
      <c r="I167">
        <v>35120</v>
      </c>
      <c r="J167">
        <v>136</v>
      </c>
      <c r="K167">
        <f>tblSales[[#This Row],[Sales]]-tblSales[[#This Row],[Budget]]</f>
        <v>3096</v>
      </c>
      <c r="L167" s="3">
        <f>(tblSales[[#This Row],[Sales]]-tblSales[[#This Row],[Budget]])/tblSales[[#This Row],[Budget]]</f>
        <v>8.8154897494305245E-2</v>
      </c>
      <c r="M167" s="2">
        <f>tblSales[[#This Row],[Sales]]/tblSales[[#This Row],[Transactions]]</f>
        <v>281</v>
      </c>
    </row>
    <row r="168" spans="1:13" x14ac:dyDescent="0.25">
      <c r="A168" s="1">
        <v>46031</v>
      </c>
      <c r="B168" t="s">
        <v>15</v>
      </c>
      <c r="C168" t="s">
        <v>9</v>
      </c>
      <c r="D168" t="str">
        <f>_xlfn.XLOOKUP(tblSales[[#This Row],[Store ID]],tblStores[Store ID],tblStores[Store Name])</f>
        <v>Rosebank</v>
      </c>
      <c r="E168" t="str">
        <f>_xlfn.XLOOKUP(tblSales[[#This Row],[Store ID]],tblStores[Store ID],tblStores[Province])</f>
        <v>Gauteng</v>
      </c>
      <c r="F168" t="str">
        <f>_xlfn.XLOOKUP(tblSales[[#This Row],[Store ID]],tblStores[Store ID],tblStores[Manager])</f>
        <v>James Taylor</v>
      </c>
      <c r="G168" t="str">
        <f>_xlfn.XLOOKUP(tblSales[[#This Row],[Category ID]],tblCategories[Category ID],tblCategories[Category])</f>
        <v>Ladieswear</v>
      </c>
      <c r="H168">
        <v>20374</v>
      </c>
      <c r="I168">
        <v>22667</v>
      </c>
      <c r="J168">
        <v>61</v>
      </c>
      <c r="K168">
        <f>tblSales[[#This Row],[Sales]]-tblSales[[#This Row],[Budget]]</f>
        <v>-2293</v>
      </c>
      <c r="L168" s="3">
        <f>(tblSales[[#This Row],[Sales]]-tblSales[[#This Row],[Budget]])/tblSales[[#This Row],[Budget]]</f>
        <v>-0.1011602770547492</v>
      </c>
      <c r="M168" s="2">
        <f>tblSales[[#This Row],[Sales]]/tblSales[[#This Row],[Transactions]]</f>
        <v>334</v>
      </c>
    </row>
    <row r="169" spans="1:13" x14ac:dyDescent="0.25">
      <c r="A169" s="1">
        <v>46031</v>
      </c>
      <c r="B169" t="s">
        <v>16</v>
      </c>
      <c r="C169" t="s">
        <v>19</v>
      </c>
      <c r="D169" t="str">
        <f>_xlfn.XLOOKUP(tblSales[[#This Row],[Store ID]],tblStores[Store ID],tblStores[Store Name])</f>
        <v>Pretoria</v>
      </c>
      <c r="E169" t="str">
        <f>_xlfn.XLOOKUP(tblSales[[#This Row],[Store ID]],tblStores[Store ID],tblStores[Province])</f>
        <v>Gauteng</v>
      </c>
      <c r="F169" t="str">
        <f>_xlfn.XLOOKUP(tblSales[[#This Row],[Store ID]],tblStores[Store ID],tblStores[Manager])</f>
        <v>Susan Clark</v>
      </c>
      <c r="G169" t="str">
        <f>_xlfn.XLOOKUP(tblSales[[#This Row],[Category ID]],tblCategories[Category ID],tblCategories[Category])</f>
        <v>Accessories</v>
      </c>
      <c r="H169">
        <v>30485</v>
      </c>
      <c r="I169">
        <v>33401</v>
      </c>
      <c r="J169">
        <v>65</v>
      </c>
      <c r="K169">
        <f>tblSales[[#This Row],[Sales]]-tblSales[[#This Row],[Budget]]</f>
        <v>-2916</v>
      </c>
      <c r="L169" s="3">
        <f>(tblSales[[#This Row],[Sales]]-tblSales[[#This Row],[Budget]])/tblSales[[#This Row],[Budget]]</f>
        <v>-8.7302775366007002E-2</v>
      </c>
      <c r="M169" s="2">
        <f>tblSales[[#This Row],[Sales]]/tblSales[[#This Row],[Transactions]]</f>
        <v>469</v>
      </c>
    </row>
    <row r="170" spans="1:13" x14ac:dyDescent="0.25">
      <c r="A170" s="1">
        <v>46031</v>
      </c>
      <c r="B170" t="s">
        <v>17</v>
      </c>
      <c r="C170" t="s">
        <v>22</v>
      </c>
      <c r="D170" t="str">
        <f>_xlfn.XLOOKUP(tblSales[[#This Row],[Store ID]],tblStores[Store ID],tblStores[Store Name])</f>
        <v>Centurion</v>
      </c>
      <c r="E170" t="str">
        <f>_xlfn.XLOOKUP(tblSales[[#This Row],[Store ID]],tblStores[Store ID],tblStores[Province])</f>
        <v>Gauteng</v>
      </c>
      <c r="F170" t="str">
        <f>_xlfn.XLOOKUP(tblSales[[#This Row],[Store ID]],tblStores[Store ID],tblStores[Manager])</f>
        <v>Mark Wilson</v>
      </c>
      <c r="G170" t="str">
        <f>_xlfn.XLOOKUP(tblSales[[#This Row],[Category ID]],tblCategories[Category ID],tblCategories[Category])</f>
        <v>Kids</v>
      </c>
      <c r="H170">
        <v>68229</v>
      </c>
      <c r="I170">
        <v>72689</v>
      </c>
      <c r="J170">
        <v>171</v>
      </c>
      <c r="K170">
        <f>tblSales[[#This Row],[Sales]]-tblSales[[#This Row],[Budget]]</f>
        <v>-4460</v>
      </c>
      <c r="L170" s="3">
        <f>(tblSales[[#This Row],[Sales]]-tblSales[[#This Row],[Budget]])/tblSales[[#This Row],[Budget]]</f>
        <v>-6.1357289273480171E-2</v>
      </c>
      <c r="M170" s="2">
        <f>tblSales[[#This Row],[Sales]]/tblSales[[#This Row],[Transactions]]</f>
        <v>399</v>
      </c>
    </row>
    <row r="171" spans="1:13" x14ac:dyDescent="0.25">
      <c r="A171" s="1">
        <v>46031</v>
      </c>
      <c r="B171" t="s">
        <v>18</v>
      </c>
      <c r="C171" t="s">
        <v>7</v>
      </c>
      <c r="D171" t="str">
        <f>_xlfn.XLOOKUP(tblSales[[#This Row],[Store ID]],tblStores[Store ID],tblStores[Store Name])</f>
        <v>East Rand</v>
      </c>
      <c r="E171" t="str">
        <f>_xlfn.XLOOKUP(tblSales[[#This Row],[Store ID]],tblStores[Store ID],tblStores[Province])</f>
        <v>Gauteng</v>
      </c>
      <c r="F171" t="str">
        <f>_xlfn.XLOOKUP(tblSales[[#This Row],[Store ID]],tblStores[Store ID],tblStores[Manager])</f>
        <v>Lisa Young</v>
      </c>
      <c r="G171" t="str">
        <f>_xlfn.XLOOKUP(tblSales[[#This Row],[Category ID]],tblCategories[Category ID],tblCategories[Category])</f>
        <v>Menswear</v>
      </c>
      <c r="H171">
        <v>83804</v>
      </c>
      <c r="I171">
        <v>82572</v>
      </c>
      <c r="J171">
        <v>164</v>
      </c>
      <c r="K171">
        <f>tblSales[[#This Row],[Sales]]-tblSales[[#This Row],[Budget]]</f>
        <v>1232</v>
      </c>
      <c r="L171" s="3">
        <f>(tblSales[[#This Row],[Sales]]-tblSales[[#This Row],[Budget]])/tblSales[[#This Row],[Budget]]</f>
        <v>1.4920311970159377E-2</v>
      </c>
      <c r="M171" s="2">
        <f>tblSales[[#This Row],[Sales]]/tblSales[[#This Row],[Transactions]]</f>
        <v>511</v>
      </c>
    </row>
    <row r="172" spans="1:13" x14ac:dyDescent="0.25">
      <c r="A172" s="1">
        <v>46031</v>
      </c>
      <c r="B172" t="s">
        <v>20</v>
      </c>
      <c r="C172" t="s">
        <v>11</v>
      </c>
      <c r="D172" t="str">
        <f>_xlfn.XLOOKUP(tblSales[[#This Row],[Store ID]],tblStores[Store ID],tblStores[Store Name])</f>
        <v>Cape Town CBD</v>
      </c>
      <c r="E172" t="str">
        <f>_xlfn.XLOOKUP(tblSales[[#This Row],[Store ID]],tblStores[Store ID],tblStores[Province])</f>
        <v>Western Cape</v>
      </c>
      <c r="F172" t="str">
        <f>_xlfn.XLOOKUP(tblSales[[#This Row],[Store ID]],tblStores[Store ID],tblStores[Manager])</f>
        <v>Brian Hall</v>
      </c>
      <c r="G172" t="str">
        <f>_xlfn.XLOOKUP(tblSales[[#This Row],[Category ID]],tblCategories[Category ID],tblCategories[Category])</f>
        <v>Footwear</v>
      </c>
      <c r="H172">
        <v>37440</v>
      </c>
      <c r="I172">
        <v>37753</v>
      </c>
      <c r="J172">
        <v>160</v>
      </c>
      <c r="K172">
        <f>tblSales[[#This Row],[Sales]]-tblSales[[#This Row],[Budget]]</f>
        <v>-313</v>
      </c>
      <c r="L172" s="3">
        <f>(tblSales[[#This Row],[Sales]]-tblSales[[#This Row],[Budget]])/tblSales[[#This Row],[Budget]]</f>
        <v>-8.2907318623685541E-3</v>
      </c>
      <c r="M172" s="2">
        <f>tblSales[[#This Row],[Sales]]/tblSales[[#This Row],[Transactions]]</f>
        <v>234</v>
      </c>
    </row>
    <row r="173" spans="1:13" x14ac:dyDescent="0.25">
      <c r="A173" s="1">
        <v>46031</v>
      </c>
      <c r="B173" t="s">
        <v>21</v>
      </c>
      <c r="C173" t="s">
        <v>22</v>
      </c>
      <c r="D173" t="str">
        <f>_xlfn.XLOOKUP(tblSales[[#This Row],[Store ID]],tblStores[Store ID],tblStores[Store Name])</f>
        <v>Canal Walk</v>
      </c>
      <c r="E173" t="str">
        <f>_xlfn.XLOOKUP(tblSales[[#This Row],[Store ID]],tblStores[Store ID],tblStores[Province])</f>
        <v>Western Cape</v>
      </c>
      <c r="F173" t="str">
        <f>_xlfn.XLOOKUP(tblSales[[#This Row],[Store ID]],tblStores[Store ID],tblStores[Manager])</f>
        <v>Megan Scott</v>
      </c>
      <c r="G173" t="str">
        <f>_xlfn.XLOOKUP(tblSales[[#This Row],[Category ID]],tblCategories[Category ID],tblCategories[Category])</f>
        <v>Kids</v>
      </c>
      <c r="H173">
        <v>81755</v>
      </c>
      <c r="I173">
        <v>88036</v>
      </c>
      <c r="J173">
        <v>197</v>
      </c>
      <c r="K173">
        <f>tblSales[[#This Row],[Sales]]-tblSales[[#This Row],[Budget]]</f>
        <v>-6281</v>
      </c>
      <c r="L173" s="3">
        <f>(tblSales[[#This Row],[Sales]]-tblSales[[#This Row],[Budget]])/tblSales[[#This Row],[Budget]]</f>
        <v>-7.1345813076468714E-2</v>
      </c>
      <c r="M173" s="2">
        <f>tblSales[[#This Row],[Sales]]/tblSales[[#This Row],[Transactions]]</f>
        <v>415</v>
      </c>
    </row>
    <row r="174" spans="1:13" x14ac:dyDescent="0.25">
      <c r="A174" s="1">
        <v>46031</v>
      </c>
      <c r="B174" t="s">
        <v>23</v>
      </c>
      <c r="C174" t="s">
        <v>11</v>
      </c>
      <c r="D174" t="str">
        <f>_xlfn.XLOOKUP(tblSales[[#This Row],[Store ID]],tblStores[Store ID],tblStores[Store Name])</f>
        <v>Stellenbosch</v>
      </c>
      <c r="E174" t="str">
        <f>_xlfn.XLOOKUP(tblSales[[#This Row],[Store ID]],tblStores[Store ID],tblStores[Province])</f>
        <v>Western Cape</v>
      </c>
      <c r="F174" t="str">
        <f>_xlfn.XLOOKUP(tblSales[[#This Row],[Store ID]],tblStores[Store ID],tblStores[Manager])</f>
        <v>Jason King</v>
      </c>
      <c r="G174" t="str">
        <f>_xlfn.XLOOKUP(tblSales[[#This Row],[Category ID]],tblCategories[Category ID],tblCategories[Category])</f>
        <v>Footwear</v>
      </c>
      <c r="H174">
        <v>35760</v>
      </c>
      <c r="I174">
        <v>40815</v>
      </c>
      <c r="J174">
        <v>80</v>
      </c>
      <c r="K174">
        <f>tblSales[[#This Row],[Sales]]-tblSales[[#This Row],[Budget]]</f>
        <v>-5055</v>
      </c>
      <c r="L174" s="3">
        <f>(tblSales[[#This Row],[Sales]]-tblSales[[#This Row],[Budget]])/tblSales[[#This Row],[Budget]]</f>
        <v>-0.12385152517456817</v>
      </c>
      <c r="M174" s="2">
        <f>tblSales[[#This Row],[Sales]]/tblSales[[#This Row],[Transactions]]</f>
        <v>447</v>
      </c>
    </row>
    <row r="175" spans="1:13" x14ac:dyDescent="0.25">
      <c r="A175" s="1">
        <v>46031</v>
      </c>
      <c r="B175" t="s">
        <v>24</v>
      </c>
      <c r="C175" t="s">
        <v>22</v>
      </c>
      <c r="D175" t="str">
        <f>_xlfn.XLOOKUP(tblSales[[#This Row],[Store ID]],tblStores[Store ID],tblStores[Store Name])</f>
        <v>George</v>
      </c>
      <c r="E175" t="str">
        <f>_xlfn.XLOOKUP(tblSales[[#This Row],[Store ID]],tblStores[Store ID],tblStores[Province])</f>
        <v>Western Cape</v>
      </c>
      <c r="F175" t="str">
        <f>_xlfn.XLOOKUP(tblSales[[#This Row],[Store ID]],tblStores[Store ID],tblStores[Manager])</f>
        <v>Chloe Hill</v>
      </c>
      <c r="G175" t="str">
        <f>_xlfn.XLOOKUP(tblSales[[#This Row],[Category ID]],tblCategories[Category ID],tblCategories[Category])</f>
        <v>Kids</v>
      </c>
      <c r="H175">
        <v>87360</v>
      </c>
      <c r="I175">
        <v>95542</v>
      </c>
      <c r="J175">
        <v>192</v>
      </c>
      <c r="K175">
        <f>tblSales[[#This Row],[Sales]]-tblSales[[#This Row],[Budget]]</f>
        <v>-8182</v>
      </c>
      <c r="L175" s="3">
        <f>(tblSales[[#This Row],[Sales]]-tblSales[[#This Row],[Budget]])/tblSales[[#This Row],[Budget]]</f>
        <v>-8.5637730003558649E-2</v>
      </c>
      <c r="M175" s="2">
        <f>tblSales[[#This Row],[Sales]]/tblSales[[#This Row],[Transactions]]</f>
        <v>455</v>
      </c>
    </row>
    <row r="176" spans="1:13" x14ac:dyDescent="0.25">
      <c r="A176" s="1">
        <v>46031</v>
      </c>
      <c r="B176" t="s">
        <v>25</v>
      </c>
      <c r="C176" t="s">
        <v>11</v>
      </c>
      <c r="D176" t="str">
        <f>_xlfn.XLOOKUP(tblSales[[#This Row],[Store ID]],tblStores[Store ID],tblStores[Store Name])</f>
        <v>Paarl</v>
      </c>
      <c r="E176" t="str">
        <f>_xlfn.XLOOKUP(tblSales[[#This Row],[Store ID]],tblStores[Store ID],tblStores[Province])</f>
        <v>Western Cape</v>
      </c>
      <c r="F176" t="str">
        <f>_xlfn.XLOOKUP(tblSales[[#This Row],[Store ID]],tblStores[Store ID],tblStores[Manager])</f>
        <v>Andrew Lee</v>
      </c>
      <c r="G176" t="str">
        <f>_xlfn.XLOOKUP(tblSales[[#This Row],[Category ID]],tblCategories[Category ID],tblCategories[Category])</f>
        <v>Footwear</v>
      </c>
      <c r="H176">
        <v>70518</v>
      </c>
      <c r="I176">
        <v>68197</v>
      </c>
      <c r="J176">
        <v>146</v>
      </c>
      <c r="K176">
        <f>tblSales[[#This Row],[Sales]]-tblSales[[#This Row],[Budget]]</f>
        <v>2321</v>
      </c>
      <c r="L176" s="3">
        <f>(tblSales[[#This Row],[Sales]]-tblSales[[#This Row],[Budget]])/tblSales[[#This Row],[Budget]]</f>
        <v>3.4033755150519818E-2</v>
      </c>
      <c r="M176" s="2">
        <f>tblSales[[#This Row],[Sales]]/tblSales[[#This Row],[Transactions]]</f>
        <v>483</v>
      </c>
    </row>
    <row r="177" spans="1:13" x14ac:dyDescent="0.25">
      <c r="A177" s="1">
        <v>46031</v>
      </c>
      <c r="B177" t="s">
        <v>26</v>
      </c>
      <c r="C177" t="s">
        <v>9</v>
      </c>
      <c r="D177" t="str">
        <f>_xlfn.XLOOKUP(tblSales[[#This Row],[Store ID]],tblStores[Store ID],tblStores[Store Name])</f>
        <v>Gqeberha</v>
      </c>
      <c r="E177" t="str">
        <f>_xlfn.XLOOKUP(tblSales[[#This Row],[Store ID]],tblStores[Store ID],tblStores[Province])</f>
        <v>Eastern Cape</v>
      </c>
      <c r="F177" t="str">
        <f>_xlfn.XLOOKUP(tblSales[[#This Row],[Store ID]],tblStores[Store ID],tblStores[Manager])</f>
        <v>Emma Baker</v>
      </c>
      <c r="G177" t="str">
        <f>_xlfn.XLOOKUP(tblSales[[#This Row],[Category ID]],tblCategories[Category ID],tblCategories[Category])</f>
        <v>Ladieswear</v>
      </c>
      <c r="H177">
        <v>18354</v>
      </c>
      <c r="I177">
        <v>20563</v>
      </c>
      <c r="J177">
        <v>57</v>
      </c>
      <c r="K177">
        <f>tblSales[[#This Row],[Sales]]-tblSales[[#This Row],[Budget]]</f>
        <v>-2209</v>
      </c>
      <c r="L177" s="3">
        <f>(tblSales[[#This Row],[Sales]]-tblSales[[#This Row],[Budget]])/tblSales[[#This Row],[Budget]]</f>
        <v>-0.10742595924719156</v>
      </c>
      <c r="M177" s="2">
        <f>tblSales[[#This Row],[Sales]]/tblSales[[#This Row],[Transactions]]</f>
        <v>322</v>
      </c>
    </row>
    <row r="178" spans="1:13" x14ac:dyDescent="0.25">
      <c r="A178" s="1">
        <v>46031</v>
      </c>
      <c r="B178" t="s">
        <v>27</v>
      </c>
      <c r="C178" t="s">
        <v>9</v>
      </c>
      <c r="D178" t="str">
        <f>_xlfn.XLOOKUP(tblSales[[#This Row],[Store ID]],tblStores[Store ID],tblStores[Store Name])</f>
        <v>East London</v>
      </c>
      <c r="E178" t="str">
        <f>_xlfn.XLOOKUP(tblSales[[#This Row],[Store ID]],tblStores[Store ID],tblStores[Province])</f>
        <v>Eastern Cape</v>
      </c>
      <c r="F178" t="str">
        <f>_xlfn.XLOOKUP(tblSales[[#This Row],[Store ID]],tblStores[Store ID],tblStores[Manager])</f>
        <v>Daniel Evans</v>
      </c>
      <c r="G178" t="str">
        <f>_xlfn.XLOOKUP(tblSales[[#This Row],[Category ID]],tblCategories[Category ID],tblCategories[Category])</f>
        <v>Ladieswear</v>
      </c>
      <c r="H178">
        <v>72063</v>
      </c>
      <c r="I178">
        <v>75852</v>
      </c>
      <c r="J178">
        <v>153</v>
      </c>
      <c r="K178">
        <f>tblSales[[#This Row],[Sales]]-tblSales[[#This Row],[Budget]]</f>
        <v>-3789</v>
      </c>
      <c r="L178" s="3">
        <f>(tblSales[[#This Row],[Sales]]-tblSales[[#This Row],[Budget]])/tblSales[[#This Row],[Budget]]</f>
        <v>-4.9952539155196964E-2</v>
      </c>
      <c r="M178" s="2">
        <f>tblSales[[#This Row],[Sales]]/tblSales[[#This Row],[Transactions]]</f>
        <v>471</v>
      </c>
    </row>
    <row r="179" spans="1:13" x14ac:dyDescent="0.25">
      <c r="A179" s="1">
        <v>46031</v>
      </c>
      <c r="B179" t="s">
        <v>28</v>
      </c>
      <c r="C179" t="s">
        <v>11</v>
      </c>
      <c r="D179" t="str">
        <f>_xlfn.XLOOKUP(tblSales[[#This Row],[Store ID]],tblStores[Store ID],tblStores[Store Name])</f>
        <v>Bloemfontein</v>
      </c>
      <c r="E179" t="str">
        <f>_xlfn.XLOOKUP(tblSales[[#This Row],[Store ID]],tblStores[Store ID],tblStores[Province])</f>
        <v>Free State</v>
      </c>
      <c r="F179" t="str">
        <f>_xlfn.XLOOKUP(tblSales[[#This Row],[Store ID]],tblStores[Store ID],tblStores[Manager])</f>
        <v>Rachel Moore</v>
      </c>
      <c r="G179" t="str">
        <f>_xlfn.XLOOKUP(tblSales[[#This Row],[Category ID]],tblCategories[Category ID],tblCategories[Category])</f>
        <v>Footwear</v>
      </c>
      <c r="H179">
        <v>23474</v>
      </c>
      <c r="I179">
        <v>24027</v>
      </c>
      <c r="J179">
        <v>121</v>
      </c>
      <c r="K179">
        <f>tblSales[[#This Row],[Sales]]-tblSales[[#This Row],[Budget]]</f>
        <v>-553</v>
      </c>
      <c r="L179" s="3">
        <f>(tblSales[[#This Row],[Sales]]-tblSales[[#This Row],[Budget]])/tblSales[[#This Row],[Budget]]</f>
        <v>-2.3015773921005536E-2</v>
      </c>
      <c r="M179" s="2">
        <f>tblSales[[#This Row],[Sales]]/tblSales[[#This Row],[Transactions]]</f>
        <v>194</v>
      </c>
    </row>
    <row r="180" spans="1:13" x14ac:dyDescent="0.25">
      <c r="A180" s="1">
        <v>46031</v>
      </c>
      <c r="B180" t="s">
        <v>29</v>
      </c>
      <c r="C180" t="s">
        <v>22</v>
      </c>
      <c r="D180" t="str">
        <f>_xlfn.XLOOKUP(tblSales[[#This Row],[Store ID]],tblStores[Store ID],tblStores[Store Name])</f>
        <v>Polokwane</v>
      </c>
      <c r="E180" t="str">
        <f>_xlfn.XLOOKUP(tblSales[[#This Row],[Store ID]],tblStores[Store ID],tblStores[Province])</f>
        <v>Limpopo</v>
      </c>
      <c r="F180" t="str">
        <f>_xlfn.XLOOKUP(tblSales[[#This Row],[Store ID]],tblStores[Store ID],tblStores[Manager])</f>
        <v>Kevin Harris</v>
      </c>
      <c r="G180" t="str">
        <f>_xlfn.XLOOKUP(tblSales[[#This Row],[Category ID]],tblCategories[Category ID],tblCategories[Category])</f>
        <v>Kids</v>
      </c>
      <c r="H180">
        <v>34749</v>
      </c>
      <c r="I180">
        <v>33116</v>
      </c>
      <c r="J180">
        <v>81</v>
      </c>
      <c r="K180">
        <f>tblSales[[#This Row],[Sales]]-tblSales[[#This Row],[Budget]]</f>
        <v>1633</v>
      </c>
      <c r="L180" s="3">
        <f>(tblSales[[#This Row],[Sales]]-tblSales[[#This Row],[Budget]])/tblSales[[#This Row],[Budget]]</f>
        <v>4.9311511052059429E-2</v>
      </c>
      <c r="M180" s="2">
        <f>tblSales[[#This Row],[Sales]]/tblSales[[#This Row],[Transactions]]</f>
        <v>429</v>
      </c>
    </row>
    <row r="181" spans="1:13" x14ac:dyDescent="0.25">
      <c r="A181" s="1">
        <v>46031</v>
      </c>
      <c r="B181" t="s">
        <v>30</v>
      </c>
      <c r="C181" t="s">
        <v>22</v>
      </c>
      <c r="D181" t="str">
        <f>_xlfn.XLOOKUP(tblSales[[#This Row],[Store ID]],tblStores[Store ID],tblStores[Store Name])</f>
        <v>Nelspruit</v>
      </c>
      <c r="E181" t="str">
        <f>_xlfn.XLOOKUP(tblSales[[#This Row],[Store ID]],tblStores[Store ID],tblStores[Province])</f>
        <v>Mpumalanga</v>
      </c>
      <c r="F181" t="str">
        <f>_xlfn.XLOOKUP(tblSales[[#This Row],[Store ID]],tblStores[Store ID],tblStores[Manager])</f>
        <v>Olivia Turner</v>
      </c>
      <c r="G181" t="str">
        <f>_xlfn.XLOOKUP(tblSales[[#This Row],[Category ID]],tblCategories[Category ID],tblCategories[Category])</f>
        <v>Kids</v>
      </c>
      <c r="H181">
        <v>39406</v>
      </c>
      <c r="I181">
        <v>44137</v>
      </c>
      <c r="J181">
        <v>122</v>
      </c>
      <c r="K181">
        <f>tblSales[[#This Row],[Sales]]-tblSales[[#This Row],[Budget]]</f>
        <v>-4731</v>
      </c>
      <c r="L181" s="3">
        <f>(tblSales[[#This Row],[Sales]]-tblSales[[#This Row],[Budget]])/tblSales[[#This Row],[Budget]]</f>
        <v>-0.10718897976754198</v>
      </c>
      <c r="M181" s="2">
        <f>tblSales[[#This Row],[Sales]]/tblSales[[#This Row],[Transactions]]</f>
        <v>323</v>
      </c>
    </row>
    <row r="182" spans="1:13" x14ac:dyDescent="0.25">
      <c r="A182" s="1">
        <v>46032</v>
      </c>
      <c r="B182" t="s">
        <v>6</v>
      </c>
      <c r="C182" t="s">
        <v>22</v>
      </c>
      <c r="D182" t="str">
        <f>_xlfn.XLOOKUP(tblSales[[#This Row],[Store ID]],tblStores[Store ID],tblStores[Store Name])</f>
        <v>Durban CBD</v>
      </c>
      <c r="E182" t="str">
        <f>_xlfn.XLOOKUP(tblSales[[#This Row],[Store ID]],tblStores[Store ID],tblStores[Province])</f>
        <v>KZN</v>
      </c>
      <c r="F182" t="str">
        <f>_xlfn.XLOOKUP(tblSales[[#This Row],[Store ID]],tblStores[Store ID],tblStores[Manager])</f>
        <v>Sarah Adams</v>
      </c>
      <c r="G182" t="str">
        <f>_xlfn.XLOOKUP(tblSales[[#This Row],[Category ID]],tblCategories[Category ID],tblCategories[Category])</f>
        <v>Kids</v>
      </c>
      <c r="H182">
        <v>32745</v>
      </c>
      <c r="I182">
        <v>33699</v>
      </c>
      <c r="J182">
        <v>177</v>
      </c>
      <c r="K182">
        <f>tblSales[[#This Row],[Sales]]-tblSales[[#This Row],[Budget]]</f>
        <v>-954</v>
      </c>
      <c r="L182" s="3">
        <f>(tblSales[[#This Row],[Sales]]-tblSales[[#This Row],[Budget]])/tblSales[[#This Row],[Budget]]</f>
        <v>-2.8309445384136028E-2</v>
      </c>
      <c r="M182" s="2">
        <f>tblSales[[#This Row],[Sales]]/tblSales[[#This Row],[Transactions]]</f>
        <v>185</v>
      </c>
    </row>
    <row r="183" spans="1:13" x14ac:dyDescent="0.25">
      <c r="A183" s="1">
        <v>46032</v>
      </c>
      <c r="B183" t="s">
        <v>8</v>
      </c>
      <c r="C183" t="s">
        <v>9</v>
      </c>
      <c r="D183" t="str">
        <f>_xlfn.XLOOKUP(tblSales[[#This Row],[Store ID]],tblStores[Store ID],tblStores[Store Name])</f>
        <v>Gateway</v>
      </c>
      <c r="E183" t="str">
        <f>_xlfn.XLOOKUP(tblSales[[#This Row],[Store ID]],tblStores[Store ID],tblStores[Province])</f>
        <v>KZN</v>
      </c>
      <c r="F183" t="str">
        <f>_xlfn.XLOOKUP(tblSales[[#This Row],[Store ID]],tblStores[Store ID],tblStores[Manager])</f>
        <v>Michael Jones</v>
      </c>
      <c r="G183" t="str">
        <f>_xlfn.XLOOKUP(tblSales[[#This Row],[Category ID]],tblCategories[Category ID],tblCategories[Category])</f>
        <v>Ladieswear</v>
      </c>
      <c r="H183">
        <v>16968</v>
      </c>
      <c r="I183">
        <v>18325</v>
      </c>
      <c r="J183">
        <v>56</v>
      </c>
      <c r="K183">
        <f>tblSales[[#This Row],[Sales]]-tblSales[[#This Row],[Budget]]</f>
        <v>-1357</v>
      </c>
      <c r="L183" s="3">
        <f>(tblSales[[#This Row],[Sales]]-tblSales[[#This Row],[Budget]])/tblSales[[#This Row],[Budget]]</f>
        <v>-7.4051841746248293E-2</v>
      </c>
      <c r="M183" s="2">
        <f>tblSales[[#This Row],[Sales]]/tblSales[[#This Row],[Transactions]]</f>
        <v>303</v>
      </c>
    </row>
    <row r="184" spans="1:13" x14ac:dyDescent="0.25">
      <c r="A184" s="1">
        <v>46032</v>
      </c>
      <c r="B184" t="s">
        <v>10</v>
      </c>
      <c r="C184" t="s">
        <v>11</v>
      </c>
      <c r="D184" t="str">
        <f>_xlfn.XLOOKUP(tblSales[[#This Row],[Store ID]],tblStores[Store ID],tblStores[Store Name])</f>
        <v>Ballito</v>
      </c>
      <c r="E184" t="str">
        <f>_xlfn.XLOOKUP(tblSales[[#This Row],[Store ID]],tblStores[Store ID],tblStores[Province])</f>
        <v>KZN</v>
      </c>
      <c r="F184" t="str">
        <f>_xlfn.XLOOKUP(tblSales[[#This Row],[Store ID]],tblStores[Store ID],tblStores[Manager])</f>
        <v>Linda Smith</v>
      </c>
      <c r="G184" t="str">
        <f>_xlfn.XLOOKUP(tblSales[[#This Row],[Category ID]],tblCategories[Category ID],tblCategories[Category])</f>
        <v>Footwear</v>
      </c>
      <c r="H184">
        <v>53631</v>
      </c>
      <c r="I184">
        <v>57527</v>
      </c>
      <c r="J184">
        <v>177</v>
      </c>
      <c r="K184">
        <f>tblSales[[#This Row],[Sales]]-tblSales[[#This Row],[Budget]]</f>
        <v>-3896</v>
      </c>
      <c r="L184" s="3">
        <f>(tblSales[[#This Row],[Sales]]-tblSales[[#This Row],[Budget]])/tblSales[[#This Row],[Budget]]</f>
        <v>-6.77247205659951E-2</v>
      </c>
      <c r="M184" s="2">
        <f>tblSales[[#This Row],[Sales]]/tblSales[[#This Row],[Transactions]]</f>
        <v>303</v>
      </c>
    </row>
    <row r="185" spans="1:13" x14ac:dyDescent="0.25">
      <c r="A185" s="1">
        <v>46032</v>
      </c>
      <c r="B185" t="s">
        <v>12</v>
      </c>
      <c r="C185" t="s">
        <v>11</v>
      </c>
      <c r="D185" t="str">
        <f>_xlfn.XLOOKUP(tblSales[[#This Row],[Store ID]],tblStores[Store ID],tblStores[Store Name])</f>
        <v>Pietermaritzburg</v>
      </c>
      <c r="E185" t="str">
        <f>_xlfn.XLOOKUP(tblSales[[#This Row],[Store ID]],tblStores[Store ID],tblStores[Province])</f>
        <v>KZN</v>
      </c>
      <c r="F185" t="str">
        <f>_xlfn.XLOOKUP(tblSales[[#This Row],[Store ID]],tblStores[Store ID],tblStores[Manager])</f>
        <v>Peter Brown</v>
      </c>
      <c r="G185" t="str">
        <f>_xlfn.XLOOKUP(tblSales[[#This Row],[Category ID]],tblCategories[Category ID],tblCategories[Category])</f>
        <v>Footwear</v>
      </c>
      <c r="H185">
        <v>28012</v>
      </c>
      <c r="I185">
        <v>25862</v>
      </c>
      <c r="J185">
        <v>149</v>
      </c>
      <c r="K185">
        <f>tblSales[[#This Row],[Sales]]-tblSales[[#This Row],[Budget]]</f>
        <v>2150</v>
      </c>
      <c r="L185" s="3">
        <f>(tblSales[[#This Row],[Sales]]-tblSales[[#This Row],[Budget]])/tblSales[[#This Row],[Budget]]</f>
        <v>8.3133555022813388E-2</v>
      </c>
      <c r="M185" s="2">
        <f>tblSales[[#This Row],[Sales]]/tblSales[[#This Row],[Transactions]]</f>
        <v>188</v>
      </c>
    </row>
    <row r="186" spans="1:13" x14ac:dyDescent="0.25">
      <c r="A186" s="1">
        <v>46032</v>
      </c>
      <c r="B186" t="s">
        <v>13</v>
      </c>
      <c r="C186" t="s">
        <v>9</v>
      </c>
      <c r="D186" t="str">
        <f>_xlfn.XLOOKUP(tblSales[[#This Row],[Store ID]],tblStores[Store ID],tblStores[Store Name])</f>
        <v>Richards Bay</v>
      </c>
      <c r="E186" t="str">
        <f>_xlfn.XLOOKUP(tblSales[[#This Row],[Store ID]],tblStores[Store ID],tblStores[Province])</f>
        <v>KZN</v>
      </c>
      <c r="F186" t="str">
        <f>_xlfn.XLOOKUP(tblSales[[#This Row],[Store ID]],tblStores[Store ID],tblStores[Manager])</f>
        <v>David Green</v>
      </c>
      <c r="G186" t="str">
        <f>_xlfn.XLOOKUP(tblSales[[#This Row],[Category ID]],tblCategories[Category ID],tblCategories[Category])</f>
        <v>Ladieswear</v>
      </c>
      <c r="H186">
        <v>41952</v>
      </c>
      <c r="I186">
        <v>40968</v>
      </c>
      <c r="J186">
        <v>138</v>
      </c>
      <c r="K186">
        <f>tblSales[[#This Row],[Sales]]-tblSales[[#This Row],[Budget]]</f>
        <v>984</v>
      </c>
      <c r="L186" s="3">
        <f>(tblSales[[#This Row],[Sales]]-tblSales[[#This Row],[Budget]])/tblSales[[#This Row],[Budget]]</f>
        <v>2.4018746338605741E-2</v>
      </c>
      <c r="M186" s="2">
        <f>tblSales[[#This Row],[Sales]]/tblSales[[#This Row],[Transactions]]</f>
        <v>304</v>
      </c>
    </row>
    <row r="187" spans="1:13" x14ac:dyDescent="0.25">
      <c r="A187" s="1">
        <v>46032</v>
      </c>
      <c r="B187" t="s">
        <v>14</v>
      </c>
      <c r="C187" t="s">
        <v>19</v>
      </c>
      <c r="D187" t="str">
        <f>_xlfn.XLOOKUP(tblSales[[#This Row],[Store ID]],tblStores[Store ID],tblStores[Store Name])</f>
        <v>Sandton</v>
      </c>
      <c r="E187" t="str">
        <f>_xlfn.XLOOKUP(tblSales[[#This Row],[Store ID]],tblStores[Store ID],tblStores[Province])</f>
        <v>Gauteng</v>
      </c>
      <c r="F187" t="str">
        <f>_xlfn.XLOOKUP(tblSales[[#This Row],[Store ID]],tblStores[Store ID],tblStores[Manager])</f>
        <v>Karen White</v>
      </c>
      <c r="G187" t="str">
        <f>_xlfn.XLOOKUP(tblSales[[#This Row],[Category ID]],tblCategories[Category ID],tblCategories[Category])</f>
        <v>Accessories</v>
      </c>
      <c r="H187">
        <v>54438</v>
      </c>
      <c r="I187">
        <v>56526</v>
      </c>
      <c r="J187">
        <v>129</v>
      </c>
      <c r="K187">
        <f>tblSales[[#This Row],[Sales]]-tblSales[[#This Row],[Budget]]</f>
        <v>-2088</v>
      </c>
      <c r="L187" s="3">
        <f>(tblSales[[#This Row],[Sales]]-tblSales[[#This Row],[Budget]])/tblSales[[#This Row],[Budget]]</f>
        <v>-3.6938753847786859E-2</v>
      </c>
      <c r="M187" s="2">
        <f>tblSales[[#This Row],[Sales]]/tblSales[[#This Row],[Transactions]]</f>
        <v>422</v>
      </c>
    </row>
    <row r="188" spans="1:13" x14ac:dyDescent="0.25">
      <c r="A188" s="1">
        <v>46032</v>
      </c>
      <c r="B188" t="s">
        <v>15</v>
      </c>
      <c r="C188" t="s">
        <v>22</v>
      </c>
      <c r="D188" t="str">
        <f>_xlfn.XLOOKUP(tblSales[[#This Row],[Store ID]],tblStores[Store ID],tblStores[Store Name])</f>
        <v>Rosebank</v>
      </c>
      <c r="E188" t="str">
        <f>_xlfn.XLOOKUP(tblSales[[#This Row],[Store ID]],tblStores[Store ID],tblStores[Province])</f>
        <v>Gauteng</v>
      </c>
      <c r="F188" t="str">
        <f>_xlfn.XLOOKUP(tblSales[[#This Row],[Store ID]],tblStores[Store ID],tblStores[Manager])</f>
        <v>James Taylor</v>
      </c>
      <c r="G188" t="str">
        <f>_xlfn.XLOOKUP(tblSales[[#This Row],[Category ID]],tblCategories[Category ID],tblCategories[Category])</f>
        <v>Kids</v>
      </c>
      <c r="H188">
        <v>65923</v>
      </c>
      <c r="I188">
        <v>64782</v>
      </c>
      <c r="J188">
        <v>143</v>
      </c>
      <c r="K188">
        <f>tblSales[[#This Row],[Sales]]-tblSales[[#This Row],[Budget]]</f>
        <v>1141</v>
      </c>
      <c r="L188" s="3">
        <f>(tblSales[[#This Row],[Sales]]-tblSales[[#This Row],[Budget]])/tblSales[[#This Row],[Budget]]</f>
        <v>1.7612917168349233E-2</v>
      </c>
      <c r="M188" s="2">
        <f>tblSales[[#This Row],[Sales]]/tblSales[[#This Row],[Transactions]]</f>
        <v>461</v>
      </c>
    </row>
    <row r="189" spans="1:13" x14ac:dyDescent="0.25">
      <c r="A189" s="1">
        <v>46032</v>
      </c>
      <c r="B189" t="s">
        <v>16</v>
      </c>
      <c r="C189" t="s">
        <v>11</v>
      </c>
      <c r="D189" t="str">
        <f>_xlfn.XLOOKUP(tblSales[[#This Row],[Store ID]],tblStores[Store ID],tblStores[Store Name])</f>
        <v>Pretoria</v>
      </c>
      <c r="E189" t="str">
        <f>_xlfn.XLOOKUP(tblSales[[#This Row],[Store ID]],tblStores[Store ID],tblStores[Province])</f>
        <v>Gauteng</v>
      </c>
      <c r="F189" t="str">
        <f>_xlfn.XLOOKUP(tblSales[[#This Row],[Store ID]],tblStores[Store ID],tblStores[Manager])</f>
        <v>Susan Clark</v>
      </c>
      <c r="G189" t="str">
        <f>_xlfn.XLOOKUP(tblSales[[#This Row],[Category ID]],tblCategories[Category ID],tblCategories[Category])</f>
        <v>Footwear</v>
      </c>
      <c r="H189">
        <v>34944</v>
      </c>
      <c r="I189">
        <v>33645</v>
      </c>
      <c r="J189">
        <v>104</v>
      </c>
      <c r="K189">
        <f>tblSales[[#This Row],[Sales]]-tblSales[[#This Row],[Budget]]</f>
        <v>1299</v>
      </c>
      <c r="L189" s="3">
        <f>(tblSales[[#This Row],[Sales]]-tblSales[[#This Row],[Budget]])/tblSales[[#This Row],[Budget]]</f>
        <v>3.8609005795809184E-2</v>
      </c>
      <c r="M189" s="2">
        <f>tblSales[[#This Row],[Sales]]/tblSales[[#This Row],[Transactions]]</f>
        <v>336</v>
      </c>
    </row>
    <row r="190" spans="1:13" x14ac:dyDescent="0.25">
      <c r="A190" s="1">
        <v>46032</v>
      </c>
      <c r="B190" t="s">
        <v>17</v>
      </c>
      <c r="C190" t="s">
        <v>7</v>
      </c>
      <c r="D190" t="str">
        <f>_xlfn.XLOOKUP(tblSales[[#This Row],[Store ID]],tblStores[Store ID],tblStores[Store Name])</f>
        <v>Centurion</v>
      </c>
      <c r="E190" t="str">
        <f>_xlfn.XLOOKUP(tblSales[[#This Row],[Store ID]],tblStores[Store ID],tblStores[Province])</f>
        <v>Gauteng</v>
      </c>
      <c r="F190" t="str">
        <f>_xlfn.XLOOKUP(tblSales[[#This Row],[Store ID]],tblStores[Store ID],tblStores[Manager])</f>
        <v>Mark Wilson</v>
      </c>
      <c r="G190" t="str">
        <f>_xlfn.XLOOKUP(tblSales[[#This Row],[Category ID]],tblCategories[Category ID],tblCategories[Category])</f>
        <v>Menswear</v>
      </c>
      <c r="H190">
        <v>60882</v>
      </c>
      <c r="I190">
        <v>59596</v>
      </c>
      <c r="J190">
        <v>219</v>
      </c>
      <c r="K190">
        <f>tblSales[[#This Row],[Sales]]-tblSales[[#This Row],[Budget]]</f>
        <v>1286</v>
      </c>
      <c r="L190" s="3">
        <f>(tblSales[[#This Row],[Sales]]-tblSales[[#This Row],[Budget]])/tblSales[[#This Row],[Budget]]</f>
        <v>2.1578629438217329E-2</v>
      </c>
      <c r="M190" s="2">
        <f>tblSales[[#This Row],[Sales]]/tblSales[[#This Row],[Transactions]]</f>
        <v>278</v>
      </c>
    </row>
    <row r="191" spans="1:13" x14ac:dyDescent="0.25">
      <c r="A191" s="1">
        <v>46032</v>
      </c>
      <c r="B191" t="s">
        <v>18</v>
      </c>
      <c r="C191" t="s">
        <v>19</v>
      </c>
      <c r="D191" t="str">
        <f>_xlfn.XLOOKUP(tblSales[[#This Row],[Store ID]],tblStores[Store ID],tblStores[Store Name])</f>
        <v>East Rand</v>
      </c>
      <c r="E191" t="str">
        <f>_xlfn.XLOOKUP(tblSales[[#This Row],[Store ID]],tblStores[Store ID],tblStores[Province])</f>
        <v>Gauteng</v>
      </c>
      <c r="F191" t="str">
        <f>_xlfn.XLOOKUP(tblSales[[#This Row],[Store ID]],tblStores[Store ID],tblStores[Manager])</f>
        <v>Lisa Young</v>
      </c>
      <c r="G191" t="str">
        <f>_xlfn.XLOOKUP(tblSales[[#This Row],[Category ID]],tblCategories[Category ID],tblCategories[Category])</f>
        <v>Accessories</v>
      </c>
      <c r="H191">
        <v>57814</v>
      </c>
      <c r="I191">
        <v>54801</v>
      </c>
      <c r="J191">
        <v>211</v>
      </c>
      <c r="K191">
        <f>tblSales[[#This Row],[Sales]]-tblSales[[#This Row],[Budget]]</f>
        <v>3013</v>
      </c>
      <c r="L191" s="3">
        <f>(tblSales[[#This Row],[Sales]]-tblSales[[#This Row],[Budget]])/tblSales[[#This Row],[Budget]]</f>
        <v>5.4980748526486746E-2</v>
      </c>
      <c r="M191" s="2">
        <f>tblSales[[#This Row],[Sales]]/tblSales[[#This Row],[Transactions]]</f>
        <v>274</v>
      </c>
    </row>
    <row r="192" spans="1:13" x14ac:dyDescent="0.25">
      <c r="A192" s="1">
        <v>46032</v>
      </c>
      <c r="B192" t="s">
        <v>20</v>
      </c>
      <c r="C192" t="s">
        <v>11</v>
      </c>
      <c r="D192" t="str">
        <f>_xlfn.XLOOKUP(tblSales[[#This Row],[Store ID]],tblStores[Store ID],tblStores[Store Name])</f>
        <v>Cape Town CBD</v>
      </c>
      <c r="E192" t="str">
        <f>_xlfn.XLOOKUP(tblSales[[#This Row],[Store ID]],tblStores[Store ID],tblStores[Province])</f>
        <v>Western Cape</v>
      </c>
      <c r="F192" t="str">
        <f>_xlfn.XLOOKUP(tblSales[[#This Row],[Store ID]],tblStores[Store ID],tblStores[Manager])</f>
        <v>Brian Hall</v>
      </c>
      <c r="G192" t="str">
        <f>_xlfn.XLOOKUP(tblSales[[#This Row],[Category ID]],tblCategories[Category ID],tblCategories[Category])</f>
        <v>Footwear</v>
      </c>
      <c r="H192">
        <v>50505</v>
      </c>
      <c r="I192">
        <v>57785</v>
      </c>
      <c r="J192">
        <v>105</v>
      </c>
      <c r="K192">
        <f>tblSales[[#This Row],[Sales]]-tblSales[[#This Row],[Budget]]</f>
        <v>-7280</v>
      </c>
      <c r="L192" s="3">
        <f>(tblSales[[#This Row],[Sales]]-tblSales[[#This Row],[Budget]])/tblSales[[#This Row],[Budget]]</f>
        <v>-0.12598425196850394</v>
      </c>
      <c r="M192" s="2">
        <f>tblSales[[#This Row],[Sales]]/tblSales[[#This Row],[Transactions]]</f>
        <v>481</v>
      </c>
    </row>
    <row r="193" spans="1:13" x14ac:dyDescent="0.25">
      <c r="A193" s="1">
        <v>46032</v>
      </c>
      <c r="B193" t="s">
        <v>21</v>
      </c>
      <c r="C193" t="s">
        <v>19</v>
      </c>
      <c r="D193" t="str">
        <f>_xlfn.XLOOKUP(tblSales[[#This Row],[Store ID]],tblStores[Store ID],tblStores[Store Name])</f>
        <v>Canal Walk</v>
      </c>
      <c r="E193" t="str">
        <f>_xlfn.XLOOKUP(tblSales[[#This Row],[Store ID]],tblStores[Store ID],tblStores[Province])</f>
        <v>Western Cape</v>
      </c>
      <c r="F193" t="str">
        <f>_xlfn.XLOOKUP(tblSales[[#This Row],[Store ID]],tblStores[Store ID],tblStores[Manager])</f>
        <v>Megan Scott</v>
      </c>
      <c r="G193" t="str">
        <f>_xlfn.XLOOKUP(tblSales[[#This Row],[Category ID]],tblCategories[Category ID],tblCategories[Category])</f>
        <v>Accessories</v>
      </c>
      <c r="H193">
        <v>60588</v>
      </c>
      <c r="I193">
        <v>69380</v>
      </c>
      <c r="J193">
        <v>187</v>
      </c>
      <c r="K193">
        <f>tblSales[[#This Row],[Sales]]-tblSales[[#This Row],[Budget]]</f>
        <v>-8792</v>
      </c>
      <c r="L193" s="3">
        <f>(tblSales[[#This Row],[Sales]]-tblSales[[#This Row],[Budget]])/tblSales[[#This Row],[Budget]]</f>
        <v>-0.12672239838570193</v>
      </c>
      <c r="M193" s="2">
        <f>tblSales[[#This Row],[Sales]]/tblSales[[#This Row],[Transactions]]</f>
        <v>324</v>
      </c>
    </row>
    <row r="194" spans="1:13" x14ac:dyDescent="0.25">
      <c r="A194" s="1">
        <v>46032</v>
      </c>
      <c r="B194" t="s">
        <v>23</v>
      </c>
      <c r="C194" t="s">
        <v>9</v>
      </c>
      <c r="D194" t="str">
        <f>_xlfn.XLOOKUP(tblSales[[#This Row],[Store ID]],tblStores[Store ID],tblStores[Store Name])</f>
        <v>Stellenbosch</v>
      </c>
      <c r="E194" t="str">
        <f>_xlfn.XLOOKUP(tblSales[[#This Row],[Store ID]],tblStores[Store ID],tblStores[Province])</f>
        <v>Western Cape</v>
      </c>
      <c r="F194" t="str">
        <f>_xlfn.XLOOKUP(tblSales[[#This Row],[Store ID]],tblStores[Store ID],tblStores[Manager])</f>
        <v>Jason King</v>
      </c>
      <c r="G194" t="str">
        <f>_xlfn.XLOOKUP(tblSales[[#This Row],[Category ID]],tblCategories[Category ID],tblCategories[Category])</f>
        <v>Ladieswear</v>
      </c>
      <c r="H194">
        <v>32560</v>
      </c>
      <c r="I194">
        <v>32241</v>
      </c>
      <c r="J194">
        <v>110</v>
      </c>
      <c r="K194">
        <f>tblSales[[#This Row],[Sales]]-tblSales[[#This Row],[Budget]]</f>
        <v>319</v>
      </c>
      <c r="L194" s="3">
        <f>(tblSales[[#This Row],[Sales]]-tblSales[[#This Row],[Budget]])/tblSales[[#This Row],[Budget]]</f>
        <v>9.8942340498123504E-3</v>
      </c>
      <c r="M194" s="2">
        <f>tblSales[[#This Row],[Sales]]/tblSales[[#This Row],[Transactions]]</f>
        <v>296</v>
      </c>
    </row>
    <row r="195" spans="1:13" x14ac:dyDescent="0.25">
      <c r="A195" s="1">
        <v>46032</v>
      </c>
      <c r="B195" t="s">
        <v>24</v>
      </c>
      <c r="C195" t="s">
        <v>22</v>
      </c>
      <c r="D195" t="str">
        <f>_xlfn.XLOOKUP(tblSales[[#This Row],[Store ID]],tblStores[Store ID],tblStores[Store Name])</f>
        <v>George</v>
      </c>
      <c r="E195" t="str">
        <f>_xlfn.XLOOKUP(tblSales[[#This Row],[Store ID]],tblStores[Store ID],tblStores[Province])</f>
        <v>Western Cape</v>
      </c>
      <c r="F195" t="str">
        <f>_xlfn.XLOOKUP(tblSales[[#This Row],[Store ID]],tblStores[Store ID],tblStores[Manager])</f>
        <v>Chloe Hill</v>
      </c>
      <c r="G195" t="str">
        <f>_xlfn.XLOOKUP(tblSales[[#This Row],[Category ID]],tblCategories[Category ID],tblCategories[Category])</f>
        <v>Kids</v>
      </c>
      <c r="H195">
        <v>17214</v>
      </c>
      <c r="I195">
        <v>16037</v>
      </c>
      <c r="J195">
        <v>38</v>
      </c>
      <c r="K195">
        <f>tblSales[[#This Row],[Sales]]-tblSales[[#This Row],[Budget]]</f>
        <v>1177</v>
      </c>
      <c r="L195" s="3">
        <f>(tblSales[[#This Row],[Sales]]-tblSales[[#This Row],[Budget]])/tblSales[[#This Row],[Budget]]</f>
        <v>7.3392779198104385E-2</v>
      </c>
      <c r="M195" s="2">
        <f>tblSales[[#This Row],[Sales]]/tblSales[[#This Row],[Transactions]]</f>
        <v>453</v>
      </c>
    </row>
    <row r="196" spans="1:13" x14ac:dyDescent="0.25">
      <c r="A196" s="1">
        <v>46032</v>
      </c>
      <c r="B196" t="s">
        <v>25</v>
      </c>
      <c r="C196" t="s">
        <v>7</v>
      </c>
      <c r="D196" t="str">
        <f>_xlfn.XLOOKUP(tblSales[[#This Row],[Store ID]],tblStores[Store ID],tblStores[Store Name])</f>
        <v>Paarl</v>
      </c>
      <c r="E196" t="str">
        <f>_xlfn.XLOOKUP(tblSales[[#This Row],[Store ID]],tblStores[Store ID],tblStores[Province])</f>
        <v>Western Cape</v>
      </c>
      <c r="F196" t="str">
        <f>_xlfn.XLOOKUP(tblSales[[#This Row],[Store ID]],tblStores[Store ID],tblStores[Manager])</f>
        <v>Andrew Lee</v>
      </c>
      <c r="G196" t="str">
        <f>_xlfn.XLOOKUP(tblSales[[#This Row],[Category ID]],tblCategories[Category ID],tblCategories[Category])</f>
        <v>Menswear</v>
      </c>
      <c r="H196">
        <v>22224</v>
      </c>
      <c r="I196">
        <v>21624</v>
      </c>
      <c r="J196">
        <v>48</v>
      </c>
      <c r="K196">
        <f>tblSales[[#This Row],[Sales]]-tblSales[[#This Row],[Budget]]</f>
        <v>600</v>
      </c>
      <c r="L196" s="3">
        <f>(tblSales[[#This Row],[Sales]]-tblSales[[#This Row],[Budget]])/tblSales[[#This Row],[Budget]]</f>
        <v>2.774694783573807E-2</v>
      </c>
      <c r="M196" s="2">
        <f>tblSales[[#This Row],[Sales]]/tblSales[[#This Row],[Transactions]]</f>
        <v>463</v>
      </c>
    </row>
    <row r="197" spans="1:13" x14ac:dyDescent="0.25">
      <c r="A197" s="1">
        <v>46032</v>
      </c>
      <c r="B197" t="s">
        <v>26</v>
      </c>
      <c r="C197" t="s">
        <v>9</v>
      </c>
      <c r="D197" t="str">
        <f>_xlfn.XLOOKUP(tblSales[[#This Row],[Store ID]],tblStores[Store ID],tblStores[Store Name])</f>
        <v>Gqeberha</v>
      </c>
      <c r="E197" t="str">
        <f>_xlfn.XLOOKUP(tblSales[[#This Row],[Store ID]],tblStores[Store ID],tblStores[Province])</f>
        <v>Eastern Cape</v>
      </c>
      <c r="F197" t="str">
        <f>_xlfn.XLOOKUP(tblSales[[#This Row],[Store ID]],tblStores[Store ID],tblStores[Manager])</f>
        <v>Emma Baker</v>
      </c>
      <c r="G197" t="str">
        <f>_xlfn.XLOOKUP(tblSales[[#This Row],[Category ID]],tblCategories[Category ID],tblCategories[Category])</f>
        <v>Ladieswear</v>
      </c>
      <c r="H197">
        <v>85338</v>
      </c>
      <c r="I197">
        <v>78992</v>
      </c>
      <c r="J197">
        <v>198</v>
      </c>
      <c r="K197">
        <f>tblSales[[#This Row],[Sales]]-tblSales[[#This Row],[Budget]]</f>
        <v>6346</v>
      </c>
      <c r="L197" s="3">
        <f>(tblSales[[#This Row],[Sales]]-tblSales[[#This Row],[Budget]])/tblSales[[#This Row],[Budget]]</f>
        <v>8.0337249341705483E-2</v>
      </c>
      <c r="M197" s="2">
        <f>tblSales[[#This Row],[Sales]]/tblSales[[#This Row],[Transactions]]</f>
        <v>431</v>
      </c>
    </row>
    <row r="198" spans="1:13" x14ac:dyDescent="0.25">
      <c r="A198" s="1">
        <v>46032</v>
      </c>
      <c r="B198" t="s">
        <v>27</v>
      </c>
      <c r="C198" t="s">
        <v>7</v>
      </c>
      <c r="D198" t="str">
        <f>_xlfn.XLOOKUP(tblSales[[#This Row],[Store ID]],tblStores[Store ID],tblStores[Store Name])</f>
        <v>East London</v>
      </c>
      <c r="E198" t="str">
        <f>_xlfn.XLOOKUP(tblSales[[#This Row],[Store ID]],tblStores[Store ID],tblStores[Province])</f>
        <v>Eastern Cape</v>
      </c>
      <c r="F198" t="str">
        <f>_xlfn.XLOOKUP(tblSales[[#This Row],[Store ID]],tblStores[Store ID],tblStores[Manager])</f>
        <v>Daniel Evans</v>
      </c>
      <c r="G198" t="str">
        <f>_xlfn.XLOOKUP(tblSales[[#This Row],[Category ID]],tblCategories[Category ID],tblCategories[Category])</f>
        <v>Menswear</v>
      </c>
      <c r="H198">
        <v>58825</v>
      </c>
      <c r="I198">
        <v>59845</v>
      </c>
      <c r="J198">
        <v>181</v>
      </c>
      <c r="K198">
        <f>tblSales[[#This Row],[Sales]]-tblSales[[#This Row],[Budget]]</f>
        <v>-1020</v>
      </c>
      <c r="L198" s="3">
        <f>(tblSales[[#This Row],[Sales]]-tblSales[[#This Row],[Budget]])/tblSales[[#This Row],[Budget]]</f>
        <v>-1.7044030411897403E-2</v>
      </c>
      <c r="M198" s="2">
        <f>tblSales[[#This Row],[Sales]]/tblSales[[#This Row],[Transactions]]</f>
        <v>325</v>
      </c>
    </row>
    <row r="199" spans="1:13" x14ac:dyDescent="0.25">
      <c r="A199" s="1">
        <v>46032</v>
      </c>
      <c r="B199" t="s">
        <v>28</v>
      </c>
      <c r="C199" t="s">
        <v>11</v>
      </c>
      <c r="D199" t="str">
        <f>_xlfn.XLOOKUP(tblSales[[#This Row],[Store ID]],tblStores[Store ID],tblStores[Store Name])</f>
        <v>Bloemfontein</v>
      </c>
      <c r="E199" t="str">
        <f>_xlfn.XLOOKUP(tblSales[[#This Row],[Store ID]],tblStores[Store ID],tblStores[Province])</f>
        <v>Free State</v>
      </c>
      <c r="F199" t="str">
        <f>_xlfn.XLOOKUP(tblSales[[#This Row],[Store ID]],tblStores[Store ID],tblStores[Manager])</f>
        <v>Rachel Moore</v>
      </c>
      <c r="G199" t="str">
        <f>_xlfn.XLOOKUP(tblSales[[#This Row],[Category ID]],tblCategories[Category ID],tblCategories[Category])</f>
        <v>Footwear</v>
      </c>
      <c r="H199">
        <v>33428</v>
      </c>
      <c r="I199">
        <v>38153</v>
      </c>
      <c r="J199">
        <v>122</v>
      </c>
      <c r="K199">
        <f>tblSales[[#This Row],[Sales]]-tblSales[[#This Row],[Budget]]</f>
        <v>-4725</v>
      </c>
      <c r="L199" s="3">
        <f>(tblSales[[#This Row],[Sales]]-tblSales[[#This Row],[Budget]])/tblSales[[#This Row],[Budget]]</f>
        <v>-0.12384347233507195</v>
      </c>
      <c r="M199" s="2">
        <f>tblSales[[#This Row],[Sales]]/tblSales[[#This Row],[Transactions]]</f>
        <v>274</v>
      </c>
    </row>
    <row r="200" spans="1:13" x14ac:dyDescent="0.25">
      <c r="A200" s="1">
        <v>46032</v>
      </c>
      <c r="B200" t="s">
        <v>29</v>
      </c>
      <c r="C200" t="s">
        <v>22</v>
      </c>
      <c r="D200" t="str">
        <f>_xlfn.XLOOKUP(tblSales[[#This Row],[Store ID]],tblStores[Store ID],tblStores[Store Name])</f>
        <v>Polokwane</v>
      </c>
      <c r="E200" t="str">
        <f>_xlfn.XLOOKUP(tblSales[[#This Row],[Store ID]],tblStores[Store ID],tblStores[Province])</f>
        <v>Limpopo</v>
      </c>
      <c r="F200" t="str">
        <f>_xlfn.XLOOKUP(tblSales[[#This Row],[Store ID]],tblStores[Store ID],tblStores[Manager])</f>
        <v>Kevin Harris</v>
      </c>
      <c r="G200" t="str">
        <f>_xlfn.XLOOKUP(tblSales[[#This Row],[Category ID]],tblCategories[Category ID],tblCategories[Category])</f>
        <v>Kids</v>
      </c>
      <c r="H200">
        <v>37366</v>
      </c>
      <c r="I200">
        <v>41309</v>
      </c>
      <c r="J200">
        <v>157</v>
      </c>
      <c r="K200">
        <f>tblSales[[#This Row],[Sales]]-tblSales[[#This Row],[Budget]]</f>
        <v>-3943</v>
      </c>
      <c r="L200" s="3">
        <f>(tblSales[[#This Row],[Sales]]-tblSales[[#This Row],[Budget]])/tblSales[[#This Row],[Budget]]</f>
        <v>-9.5451354426396184E-2</v>
      </c>
      <c r="M200" s="2">
        <f>tblSales[[#This Row],[Sales]]/tblSales[[#This Row],[Transactions]]</f>
        <v>238</v>
      </c>
    </row>
    <row r="201" spans="1:13" x14ac:dyDescent="0.25">
      <c r="A201" s="1">
        <v>46032</v>
      </c>
      <c r="B201" t="s">
        <v>30</v>
      </c>
      <c r="C201" t="s">
        <v>11</v>
      </c>
      <c r="D201" t="str">
        <f>_xlfn.XLOOKUP(tblSales[[#This Row],[Store ID]],tblStores[Store ID],tblStores[Store Name])</f>
        <v>Nelspruit</v>
      </c>
      <c r="E201" t="str">
        <f>_xlfn.XLOOKUP(tblSales[[#This Row],[Store ID]],tblStores[Store ID],tblStores[Province])</f>
        <v>Mpumalanga</v>
      </c>
      <c r="F201" t="str">
        <f>_xlfn.XLOOKUP(tblSales[[#This Row],[Store ID]],tblStores[Store ID],tblStores[Manager])</f>
        <v>Olivia Turner</v>
      </c>
      <c r="G201" t="str">
        <f>_xlfn.XLOOKUP(tblSales[[#This Row],[Category ID]],tblCategories[Category ID],tblCategories[Category])</f>
        <v>Footwear</v>
      </c>
      <c r="H201">
        <v>34720</v>
      </c>
      <c r="I201">
        <v>36256</v>
      </c>
      <c r="J201">
        <v>160</v>
      </c>
      <c r="K201">
        <f>tblSales[[#This Row],[Sales]]-tblSales[[#This Row],[Budget]]</f>
        <v>-1536</v>
      </c>
      <c r="L201" s="3">
        <f>(tblSales[[#This Row],[Sales]]-tblSales[[#This Row],[Budget]])/tblSales[[#This Row],[Budget]]</f>
        <v>-4.2365401588702563E-2</v>
      </c>
      <c r="M201" s="2">
        <f>tblSales[[#This Row],[Sales]]/tblSales[[#This Row],[Transactions]]</f>
        <v>217</v>
      </c>
    </row>
    <row r="202" spans="1:13" x14ac:dyDescent="0.25">
      <c r="A202" s="1">
        <v>46033</v>
      </c>
      <c r="B202" t="s">
        <v>6</v>
      </c>
      <c r="C202" t="s">
        <v>7</v>
      </c>
      <c r="D202" t="str">
        <f>_xlfn.XLOOKUP(tblSales[[#This Row],[Store ID]],tblStores[Store ID],tblStores[Store Name])</f>
        <v>Durban CBD</v>
      </c>
      <c r="E202" t="str">
        <f>_xlfn.XLOOKUP(tblSales[[#This Row],[Store ID]],tblStores[Store ID],tblStores[Province])</f>
        <v>KZN</v>
      </c>
      <c r="F202" t="str">
        <f>_xlfn.XLOOKUP(tblSales[[#This Row],[Store ID]],tblStores[Store ID],tblStores[Manager])</f>
        <v>Sarah Adams</v>
      </c>
      <c r="G202" t="str">
        <f>_xlfn.XLOOKUP(tblSales[[#This Row],[Category ID]],tblCategories[Category ID],tblCategories[Category])</f>
        <v>Menswear</v>
      </c>
      <c r="H202">
        <v>18688</v>
      </c>
      <c r="I202">
        <v>20608</v>
      </c>
      <c r="J202">
        <v>73</v>
      </c>
      <c r="K202">
        <f>tblSales[[#This Row],[Sales]]-tblSales[[#This Row],[Budget]]</f>
        <v>-1920</v>
      </c>
      <c r="L202" s="3">
        <f>(tblSales[[#This Row],[Sales]]-tblSales[[#This Row],[Budget]])/tblSales[[#This Row],[Budget]]</f>
        <v>-9.3167701863354033E-2</v>
      </c>
      <c r="M202" s="2">
        <f>tblSales[[#This Row],[Sales]]/tblSales[[#This Row],[Transactions]]</f>
        <v>256</v>
      </c>
    </row>
    <row r="203" spans="1:13" x14ac:dyDescent="0.25">
      <c r="A203" s="1">
        <v>46033</v>
      </c>
      <c r="B203" t="s">
        <v>8</v>
      </c>
      <c r="C203" t="s">
        <v>22</v>
      </c>
      <c r="D203" t="str">
        <f>_xlfn.XLOOKUP(tblSales[[#This Row],[Store ID]],tblStores[Store ID],tblStores[Store Name])</f>
        <v>Gateway</v>
      </c>
      <c r="E203" t="str">
        <f>_xlfn.XLOOKUP(tblSales[[#This Row],[Store ID]],tblStores[Store ID],tblStores[Province])</f>
        <v>KZN</v>
      </c>
      <c r="F203" t="str">
        <f>_xlfn.XLOOKUP(tblSales[[#This Row],[Store ID]],tblStores[Store ID],tblStores[Manager])</f>
        <v>Michael Jones</v>
      </c>
      <c r="G203" t="str">
        <f>_xlfn.XLOOKUP(tblSales[[#This Row],[Category ID]],tblCategories[Category ID],tblCategories[Category])</f>
        <v>Kids</v>
      </c>
      <c r="H203">
        <v>17192</v>
      </c>
      <c r="I203">
        <v>15981</v>
      </c>
      <c r="J203">
        <v>56</v>
      </c>
      <c r="K203">
        <f>tblSales[[#This Row],[Sales]]-tblSales[[#This Row],[Budget]]</f>
        <v>1211</v>
      </c>
      <c r="L203" s="3">
        <f>(tblSales[[#This Row],[Sales]]-tblSales[[#This Row],[Budget]])/tblSales[[#This Row],[Budget]]</f>
        <v>7.5777485764345162E-2</v>
      </c>
      <c r="M203" s="2">
        <f>tblSales[[#This Row],[Sales]]/tblSales[[#This Row],[Transactions]]</f>
        <v>307</v>
      </c>
    </row>
    <row r="204" spans="1:13" x14ac:dyDescent="0.25">
      <c r="A204" s="1">
        <v>46033</v>
      </c>
      <c r="B204" t="s">
        <v>10</v>
      </c>
      <c r="C204" t="s">
        <v>11</v>
      </c>
      <c r="D204" t="str">
        <f>_xlfn.XLOOKUP(tblSales[[#This Row],[Store ID]],tblStores[Store ID],tblStores[Store Name])</f>
        <v>Ballito</v>
      </c>
      <c r="E204" t="str">
        <f>_xlfn.XLOOKUP(tblSales[[#This Row],[Store ID]],tblStores[Store ID],tblStores[Province])</f>
        <v>KZN</v>
      </c>
      <c r="F204" t="str">
        <f>_xlfn.XLOOKUP(tblSales[[#This Row],[Store ID]],tblStores[Store ID],tblStores[Manager])</f>
        <v>Linda Smith</v>
      </c>
      <c r="G204" t="str">
        <f>_xlfn.XLOOKUP(tblSales[[#This Row],[Category ID]],tblCategories[Category ID],tblCategories[Category])</f>
        <v>Footwear</v>
      </c>
      <c r="H204">
        <v>92150</v>
      </c>
      <c r="I204">
        <v>101151</v>
      </c>
      <c r="J204">
        <v>190</v>
      </c>
      <c r="K204">
        <f>tblSales[[#This Row],[Sales]]-tblSales[[#This Row],[Budget]]</f>
        <v>-9001</v>
      </c>
      <c r="L204" s="3">
        <f>(tblSales[[#This Row],[Sales]]-tblSales[[#This Row],[Budget]])/tblSales[[#This Row],[Budget]]</f>
        <v>-8.8985773744204216E-2</v>
      </c>
      <c r="M204" s="2">
        <f>tblSales[[#This Row],[Sales]]/tblSales[[#This Row],[Transactions]]</f>
        <v>485</v>
      </c>
    </row>
    <row r="205" spans="1:13" x14ac:dyDescent="0.25">
      <c r="A205" s="1">
        <v>46033</v>
      </c>
      <c r="B205" t="s">
        <v>12</v>
      </c>
      <c r="C205" t="s">
        <v>9</v>
      </c>
      <c r="D205" t="str">
        <f>_xlfn.XLOOKUP(tblSales[[#This Row],[Store ID]],tblStores[Store ID],tblStores[Store Name])</f>
        <v>Pietermaritzburg</v>
      </c>
      <c r="E205" t="str">
        <f>_xlfn.XLOOKUP(tblSales[[#This Row],[Store ID]],tblStores[Store ID],tblStores[Province])</f>
        <v>KZN</v>
      </c>
      <c r="F205" t="str">
        <f>_xlfn.XLOOKUP(tblSales[[#This Row],[Store ID]],tblStores[Store ID],tblStores[Manager])</f>
        <v>Peter Brown</v>
      </c>
      <c r="G205" t="str">
        <f>_xlfn.XLOOKUP(tblSales[[#This Row],[Category ID]],tblCategories[Category ID],tblCategories[Category])</f>
        <v>Ladieswear</v>
      </c>
      <c r="H205">
        <v>62832</v>
      </c>
      <c r="I205">
        <v>63625</v>
      </c>
      <c r="J205">
        <v>168</v>
      </c>
      <c r="K205">
        <f>tblSales[[#This Row],[Sales]]-tblSales[[#This Row],[Budget]]</f>
        <v>-793</v>
      </c>
      <c r="L205" s="3">
        <f>(tblSales[[#This Row],[Sales]]-tblSales[[#This Row],[Budget]])/tblSales[[#This Row],[Budget]]</f>
        <v>-1.2463654223968565E-2</v>
      </c>
      <c r="M205" s="2">
        <f>tblSales[[#This Row],[Sales]]/tblSales[[#This Row],[Transactions]]</f>
        <v>374</v>
      </c>
    </row>
    <row r="206" spans="1:13" x14ac:dyDescent="0.25">
      <c r="A206" s="1">
        <v>46033</v>
      </c>
      <c r="B206" t="s">
        <v>13</v>
      </c>
      <c r="C206" t="s">
        <v>11</v>
      </c>
      <c r="D206" t="str">
        <f>_xlfn.XLOOKUP(tblSales[[#This Row],[Store ID]],tblStores[Store ID],tblStores[Store Name])</f>
        <v>Richards Bay</v>
      </c>
      <c r="E206" t="str">
        <f>_xlfn.XLOOKUP(tblSales[[#This Row],[Store ID]],tblStores[Store ID],tblStores[Province])</f>
        <v>KZN</v>
      </c>
      <c r="F206" t="str">
        <f>_xlfn.XLOOKUP(tblSales[[#This Row],[Store ID]],tblStores[Store ID],tblStores[Manager])</f>
        <v>David Green</v>
      </c>
      <c r="G206" t="str">
        <f>_xlfn.XLOOKUP(tblSales[[#This Row],[Category ID]],tblCategories[Category ID],tblCategories[Category])</f>
        <v>Footwear</v>
      </c>
      <c r="H206">
        <v>53391</v>
      </c>
      <c r="I206">
        <v>61266</v>
      </c>
      <c r="J206">
        <v>111</v>
      </c>
      <c r="K206">
        <f>tblSales[[#This Row],[Sales]]-tblSales[[#This Row],[Budget]]</f>
        <v>-7875</v>
      </c>
      <c r="L206" s="3">
        <f>(tblSales[[#This Row],[Sales]]-tblSales[[#This Row],[Budget]])/tblSales[[#This Row],[Budget]]</f>
        <v>-0.12853785133679366</v>
      </c>
      <c r="M206" s="2">
        <f>tblSales[[#This Row],[Sales]]/tblSales[[#This Row],[Transactions]]</f>
        <v>481</v>
      </c>
    </row>
    <row r="207" spans="1:13" x14ac:dyDescent="0.25">
      <c r="A207" s="1">
        <v>46033</v>
      </c>
      <c r="B207" t="s">
        <v>14</v>
      </c>
      <c r="C207" t="s">
        <v>22</v>
      </c>
      <c r="D207" t="str">
        <f>_xlfn.XLOOKUP(tblSales[[#This Row],[Store ID]],tblStores[Store ID],tblStores[Store Name])</f>
        <v>Sandton</v>
      </c>
      <c r="E207" t="str">
        <f>_xlfn.XLOOKUP(tblSales[[#This Row],[Store ID]],tblStores[Store ID],tblStores[Province])</f>
        <v>Gauteng</v>
      </c>
      <c r="F207" t="str">
        <f>_xlfn.XLOOKUP(tblSales[[#This Row],[Store ID]],tblStores[Store ID],tblStores[Manager])</f>
        <v>Karen White</v>
      </c>
      <c r="G207" t="str">
        <f>_xlfn.XLOOKUP(tblSales[[#This Row],[Category ID]],tblCategories[Category ID],tblCategories[Category])</f>
        <v>Kids</v>
      </c>
      <c r="H207">
        <v>89460</v>
      </c>
      <c r="I207">
        <v>81861</v>
      </c>
      <c r="J207">
        <v>180</v>
      </c>
      <c r="K207">
        <f>tblSales[[#This Row],[Sales]]-tblSales[[#This Row],[Budget]]</f>
        <v>7599</v>
      </c>
      <c r="L207" s="3">
        <f>(tblSales[[#This Row],[Sales]]-tblSales[[#This Row],[Budget]])/tblSales[[#This Row],[Budget]]</f>
        <v>9.2828086634661189E-2</v>
      </c>
      <c r="M207" s="2">
        <f>tblSales[[#This Row],[Sales]]/tblSales[[#This Row],[Transactions]]</f>
        <v>497</v>
      </c>
    </row>
    <row r="208" spans="1:13" x14ac:dyDescent="0.25">
      <c r="A208" s="1">
        <v>46033</v>
      </c>
      <c r="B208" t="s">
        <v>15</v>
      </c>
      <c r="C208" t="s">
        <v>7</v>
      </c>
      <c r="D208" t="str">
        <f>_xlfn.XLOOKUP(tblSales[[#This Row],[Store ID]],tblStores[Store ID],tblStores[Store Name])</f>
        <v>Rosebank</v>
      </c>
      <c r="E208" t="str">
        <f>_xlfn.XLOOKUP(tblSales[[#This Row],[Store ID]],tblStores[Store ID],tblStores[Province])</f>
        <v>Gauteng</v>
      </c>
      <c r="F208" t="str">
        <f>_xlfn.XLOOKUP(tblSales[[#This Row],[Store ID]],tblStores[Store ID],tblStores[Manager])</f>
        <v>James Taylor</v>
      </c>
      <c r="G208" t="str">
        <f>_xlfn.XLOOKUP(tblSales[[#This Row],[Category ID]],tblCategories[Category ID],tblCategories[Category])</f>
        <v>Menswear</v>
      </c>
      <c r="H208">
        <v>44000</v>
      </c>
      <c r="I208">
        <v>41921</v>
      </c>
      <c r="J208">
        <v>88</v>
      </c>
      <c r="K208">
        <f>tblSales[[#This Row],[Sales]]-tblSales[[#This Row],[Budget]]</f>
        <v>2079</v>
      </c>
      <c r="L208" s="3">
        <f>(tblSales[[#This Row],[Sales]]-tblSales[[#This Row],[Budget]])/tblSales[[#This Row],[Budget]]</f>
        <v>4.959328260299134E-2</v>
      </c>
      <c r="M208" s="2">
        <f>tblSales[[#This Row],[Sales]]/tblSales[[#This Row],[Transactions]]</f>
        <v>500</v>
      </c>
    </row>
    <row r="209" spans="1:13" x14ac:dyDescent="0.25">
      <c r="A209" s="1">
        <v>46033</v>
      </c>
      <c r="B209" t="s">
        <v>16</v>
      </c>
      <c r="C209" t="s">
        <v>7</v>
      </c>
      <c r="D209" t="str">
        <f>_xlfn.XLOOKUP(tblSales[[#This Row],[Store ID]],tblStores[Store ID],tblStores[Store Name])</f>
        <v>Pretoria</v>
      </c>
      <c r="E209" t="str">
        <f>_xlfn.XLOOKUP(tblSales[[#This Row],[Store ID]],tblStores[Store ID],tblStores[Province])</f>
        <v>Gauteng</v>
      </c>
      <c r="F209" t="str">
        <f>_xlfn.XLOOKUP(tblSales[[#This Row],[Store ID]],tblStores[Store ID],tblStores[Manager])</f>
        <v>Susan Clark</v>
      </c>
      <c r="G209" t="str">
        <f>_xlfn.XLOOKUP(tblSales[[#This Row],[Category ID]],tblCategories[Category ID],tblCategories[Category])</f>
        <v>Menswear</v>
      </c>
      <c r="H209">
        <v>22650</v>
      </c>
      <c r="I209">
        <v>21369</v>
      </c>
      <c r="J209">
        <v>75</v>
      </c>
      <c r="K209">
        <f>tblSales[[#This Row],[Sales]]-tblSales[[#This Row],[Budget]]</f>
        <v>1281</v>
      </c>
      <c r="L209" s="3">
        <f>(tblSales[[#This Row],[Sales]]-tblSales[[#This Row],[Budget]])/tblSales[[#This Row],[Budget]]</f>
        <v>5.9946651691702935E-2</v>
      </c>
      <c r="M209" s="2">
        <f>tblSales[[#This Row],[Sales]]/tblSales[[#This Row],[Transactions]]</f>
        <v>302</v>
      </c>
    </row>
    <row r="210" spans="1:13" x14ac:dyDescent="0.25">
      <c r="A210" s="1">
        <v>46033</v>
      </c>
      <c r="B210" t="s">
        <v>17</v>
      </c>
      <c r="C210" t="s">
        <v>7</v>
      </c>
      <c r="D210" t="str">
        <f>_xlfn.XLOOKUP(tblSales[[#This Row],[Store ID]],tblStores[Store ID],tblStores[Store Name])</f>
        <v>Centurion</v>
      </c>
      <c r="E210" t="str">
        <f>_xlfn.XLOOKUP(tblSales[[#This Row],[Store ID]],tblStores[Store ID],tblStores[Province])</f>
        <v>Gauteng</v>
      </c>
      <c r="F210" t="str">
        <f>_xlfn.XLOOKUP(tblSales[[#This Row],[Store ID]],tblStores[Store ID],tblStores[Manager])</f>
        <v>Mark Wilson</v>
      </c>
      <c r="G210" t="str">
        <f>_xlfn.XLOOKUP(tblSales[[#This Row],[Category ID]],tblCategories[Category ID],tblCategories[Category])</f>
        <v>Menswear</v>
      </c>
      <c r="H210">
        <v>13575</v>
      </c>
      <c r="I210">
        <v>13603</v>
      </c>
      <c r="J210">
        <v>75</v>
      </c>
      <c r="K210">
        <f>tblSales[[#This Row],[Sales]]-tblSales[[#This Row],[Budget]]</f>
        <v>-28</v>
      </c>
      <c r="L210" s="3">
        <f>(tblSales[[#This Row],[Sales]]-tblSales[[#This Row],[Budget]])/tblSales[[#This Row],[Budget]]</f>
        <v>-2.0583694773211791E-3</v>
      </c>
      <c r="M210" s="2">
        <f>tblSales[[#This Row],[Sales]]/tblSales[[#This Row],[Transactions]]</f>
        <v>181</v>
      </c>
    </row>
    <row r="211" spans="1:13" x14ac:dyDescent="0.25">
      <c r="A211" s="1">
        <v>46033</v>
      </c>
      <c r="B211" t="s">
        <v>18</v>
      </c>
      <c r="C211" t="s">
        <v>19</v>
      </c>
      <c r="D211" t="str">
        <f>_xlfn.XLOOKUP(tblSales[[#This Row],[Store ID]],tblStores[Store ID],tblStores[Store Name])</f>
        <v>East Rand</v>
      </c>
      <c r="E211" t="str">
        <f>_xlfn.XLOOKUP(tblSales[[#This Row],[Store ID]],tblStores[Store ID],tblStores[Province])</f>
        <v>Gauteng</v>
      </c>
      <c r="F211" t="str">
        <f>_xlfn.XLOOKUP(tblSales[[#This Row],[Store ID]],tblStores[Store ID],tblStores[Manager])</f>
        <v>Lisa Young</v>
      </c>
      <c r="G211" t="str">
        <f>_xlfn.XLOOKUP(tblSales[[#This Row],[Category ID]],tblCategories[Category ID],tblCategories[Category])</f>
        <v>Accessories</v>
      </c>
      <c r="H211">
        <v>50995</v>
      </c>
      <c r="I211">
        <v>46311</v>
      </c>
      <c r="J211">
        <v>155</v>
      </c>
      <c r="K211">
        <f>tblSales[[#This Row],[Sales]]-tblSales[[#This Row],[Budget]]</f>
        <v>4684</v>
      </c>
      <c r="L211" s="3">
        <f>(tblSales[[#This Row],[Sales]]-tblSales[[#This Row],[Budget]])/tblSales[[#This Row],[Budget]]</f>
        <v>0.10114227721275723</v>
      </c>
      <c r="M211" s="2">
        <f>tblSales[[#This Row],[Sales]]/tblSales[[#This Row],[Transactions]]</f>
        <v>329</v>
      </c>
    </row>
    <row r="212" spans="1:13" x14ac:dyDescent="0.25">
      <c r="A212" s="1">
        <v>46033</v>
      </c>
      <c r="B212" t="s">
        <v>20</v>
      </c>
      <c r="C212" t="s">
        <v>22</v>
      </c>
      <c r="D212" t="str">
        <f>_xlfn.XLOOKUP(tblSales[[#This Row],[Store ID]],tblStores[Store ID],tblStores[Store Name])</f>
        <v>Cape Town CBD</v>
      </c>
      <c r="E212" t="str">
        <f>_xlfn.XLOOKUP(tblSales[[#This Row],[Store ID]],tblStores[Store ID],tblStores[Province])</f>
        <v>Western Cape</v>
      </c>
      <c r="F212" t="str">
        <f>_xlfn.XLOOKUP(tblSales[[#This Row],[Store ID]],tblStores[Store ID],tblStores[Manager])</f>
        <v>Brian Hall</v>
      </c>
      <c r="G212" t="str">
        <f>_xlfn.XLOOKUP(tblSales[[#This Row],[Category ID]],tblCategories[Category ID],tblCategories[Category])</f>
        <v>Kids</v>
      </c>
      <c r="H212">
        <v>69660</v>
      </c>
      <c r="I212">
        <v>74936</v>
      </c>
      <c r="J212">
        <v>215</v>
      </c>
      <c r="K212">
        <f>tblSales[[#This Row],[Sales]]-tblSales[[#This Row],[Budget]]</f>
        <v>-5276</v>
      </c>
      <c r="L212" s="3">
        <f>(tblSales[[#This Row],[Sales]]-tblSales[[#This Row],[Budget]])/tblSales[[#This Row],[Budget]]</f>
        <v>-7.040674709085086E-2</v>
      </c>
      <c r="M212" s="2">
        <f>tblSales[[#This Row],[Sales]]/tblSales[[#This Row],[Transactions]]</f>
        <v>324</v>
      </c>
    </row>
    <row r="213" spans="1:13" x14ac:dyDescent="0.25">
      <c r="A213" s="1">
        <v>46033</v>
      </c>
      <c r="B213" t="s">
        <v>21</v>
      </c>
      <c r="C213" t="s">
        <v>11</v>
      </c>
      <c r="D213" t="str">
        <f>_xlfn.XLOOKUP(tblSales[[#This Row],[Store ID]],tblStores[Store ID],tblStores[Store Name])</f>
        <v>Canal Walk</v>
      </c>
      <c r="E213" t="str">
        <f>_xlfn.XLOOKUP(tblSales[[#This Row],[Store ID]],tblStores[Store ID],tblStores[Province])</f>
        <v>Western Cape</v>
      </c>
      <c r="F213" t="str">
        <f>_xlfn.XLOOKUP(tblSales[[#This Row],[Store ID]],tblStores[Store ID],tblStores[Manager])</f>
        <v>Megan Scott</v>
      </c>
      <c r="G213" t="str">
        <f>_xlfn.XLOOKUP(tblSales[[#This Row],[Category ID]],tblCategories[Category ID],tblCategories[Category])</f>
        <v>Footwear</v>
      </c>
      <c r="H213">
        <v>15847</v>
      </c>
      <c r="I213">
        <v>17922</v>
      </c>
      <c r="J213">
        <v>53</v>
      </c>
      <c r="K213">
        <f>tblSales[[#This Row],[Sales]]-tblSales[[#This Row],[Budget]]</f>
        <v>-2075</v>
      </c>
      <c r="L213" s="3">
        <f>(tblSales[[#This Row],[Sales]]-tblSales[[#This Row],[Budget]])/tblSales[[#This Row],[Budget]]</f>
        <v>-0.11577948889632854</v>
      </c>
      <c r="M213" s="2">
        <f>tblSales[[#This Row],[Sales]]/tblSales[[#This Row],[Transactions]]</f>
        <v>299</v>
      </c>
    </row>
    <row r="214" spans="1:13" x14ac:dyDescent="0.25">
      <c r="A214" s="1">
        <v>46033</v>
      </c>
      <c r="B214" t="s">
        <v>23</v>
      </c>
      <c r="C214" t="s">
        <v>19</v>
      </c>
      <c r="D214" t="str">
        <f>_xlfn.XLOOKUP(tblSales[[#This Row],[Store ID]],tblStores[Store ID],tblStores[Store Name])</f>
        <v>Stellenbosch</v>
      </c>
      <c r="E214" t="str">
        <f>_xlfn.XLOOKUP(tblSales[[#This Row],[Store ID]],tblStores[Store ID],tblStores[Province])</f>
        <v>Western Cape</v>
      </c>
      <c r="F214" t="str">
        <f>_xlfn.XLOOKUP(tblSales[[#This Row],[Store ID]],tblStores[Store ID],tblStores[Manager])</f>
        <v>Jason King</v>
      </c>
      <c r="G214" t="str">
        <f>_xlfn.XLOOKUP(tblSales[[#This Row],[Category ID]],tblCategories[Category ID],tblCategories[Category])</f>
        <v>Accessories</v>
      </c>
      <c r="H214">
        <v>57324</v>
      </c>
      <c r="I214">
        <v>57684</v>
      </c>
      <c r="J214">
        <v>204</v>
      </c>
      <c r="K214">
        <f>tblSales[[#This Row],[Sales]]-tblSales[[#This Row],[Budget]]</f>
        <v>-360</v>
      </c>
      <c r="L214" s="3">
        <f>(tblSales[[#This Row],[Sales]]-tblSales[[#This Row],[Budget]])/tblSales[[#This Row],[Budget]]</f>
        <v>-6.2408986894112754E-3</v>
      </c>
      <c r="M214" s="2">
        <f>tblSales[[#This Row],[Sales]]/tblSales[[#This Row],[Transactions]]</f>
        <v>281</v>
      </c>
    </row>
    <row r="215" spans="1:13" x14ac:dyDescent="0.25">
      <c r="A215" s="1">
        <v>46033</v>
      </c>
      <c r="B215" t="s">
        <v>24</v>
      </c>
      <c r="C215" t="s">
        <v>19</v>
      </c>
      <c r="D215" t="str">
        <f>_xlfn.XLOOKUP(tblSales[[#This Row],[Store ID]],tblStores[Store ID],tblStores[Store Name])</f>
        <v>George</v>
      </c>
      <c r="E215" t="str">
        <f>_xlfn.XLOOKUP(tblSales[[#This Row],[Store ID]],tblStores[Store ID],tblStores[Province])</f>
        <v>Western Cape</v>
      </c>
      <c r="F215" t="str">
        <f>_xlfn.XLOOKUP(tblSales[[#This Row],[Store ID]],tblStores[Store ID],tblStores[Manager])</f>
        <v>Chloe Hill</v>
      </c>
      <c r="G215" t="str">
        <f>_xlfn.XLOOKUP(tblSales[[#This Row],[Category ID]],tblCategories[Category ID],tblCategories[Category])</f>
        <v>Accessories</v>
      </c>
      <c r="H215">
        <v>47012</v>
      </c>
      <c r="I215">
        <v>44061</v>
      </c>
      <c r="J215">
        <v>92</v>
      </c>
      <c r="K215">
        <f>tblSales[[#This Row],[Sales]]-tblSales[[#This Row],[Budget]]</f>
        <v>2951</v>
      </c>
      <c r="L215" s="3">
        <f>(tblSales[[#This Row],[Sales]]-tblSales[[#This Row],[Budget]])/tblSales[[#This Row],[Budget]]</f>
        <v>6.6975329656612417E-2</v>
      </c>
      <c r="M215" s="2">
        <f>tblSales[[#This Row],[Sales]]/tblSales[[#This Row],[Transactions]]</f>
        <v>511</v>
      </c>
    </row>
    <row r="216" spans="1:13" x14ac:dyDescent="0.25">
      <c r="A216" s="1">
        <v>46033</v>
      </c>
      <c r="B216" t="s">
        <v>25</v>
      </c>
      <c r="C216" t="s">
        <v>22</v>
      </c>
      <c r="D216" t="str">
        <f>_xlfn.XLOOKUP(tblSales[[#This Row],[Store ID]],tblStores[Store ID],tblStores[Store Name])</f>
        <v>Paarl</v>
      </c>
      <c r="E216" t="str">
        <f>_xlfn.XLOOKUP(tblSales[[#This Row],[Store ID]],tblStores[Store ID],tblStores[Province])</f>
        <v>Western Cape</v>
      </c>
      <c r="F216" t="str">
        <f>_xlfn.XLOOKUP(tblSales[[#This Row],[Store ID]],tblStores[Store ID],tblStores[Manager])</f>
        <v>Andrew Lee</v>
      </c>
      <c r="G216" t="str">
        <f>_xlfn.XLOOKUP(tblSales[[#This Row],[Category ID]],tblCategories[Category ID],tblCategories[Category])</f>
        <v>Kids</v>
      </c>
      <c r="H216">
        <v>15336</v>
      </c>
      <c r="I216">
        <v>14031</v>
      </c>
      <c r="J216">
        <v>71</v>
      </c>
      <c r="K216">
        <f>tblSales[[#This Row],[Sales]]-tblSales[[#This Row],[Budget]]</f>
        <v>1305</v>
      </c>
      <c r="L216" s="3">
        <f>(tblSales[[#This Row],[Sales]]-tblSales[[#This Row],[Budget]])/tblSales[[#This Row],[Budget]]</f>
        <v>9.3008338678640154E-2</v>
      </c>
      <c r="M216" s="2">
        <f>tblSales[[#This Row],[Sales]]/tblSales[[#This Row],[Transactions]]</f>
        <v>216</v>
      </c>
    </row>
    <row r="217" spans="1:13" x14ac:dyDescent="0.25">
      <c r="A217" s="1">
        <v>46033</v>
      </c>
      <c r="B217" t="s">
        <v>26</v>
      </c>
      <c r="C217" t="s">
        <v>22</v>
      </c>
      <c r="D217" t="str">
        <f>_xlfn.XLOOKUP(tblSales[[#This Row],[Store ID]],tblStores[Store ID],tblStores[Store Name])</f>
        <v>Gqeberha</v>
      </c>
      <c r="E217" t="str">
        <f>_xlfn.XLOOKUP(tblSales[[#This Row],[Store ID]],tblStores[Store ID],tblStores[Province])</f>
        <v>Eastern Cape</v>
      </c>
      <c r="F217" t="str">
        <f>_xlfn.XLOOKUP(tblSales[[#This Row],[Store ID]],tblStores[Store ID],tblStores[Manager])</f>
        <v>Emma Baker</v>
      </c>
      <c r="G217" t="str">
        <f>_xlfn.XLOOKUP(tblSales[[#This Row],[Category ID]],tblCategories[Category ID],tblCategories[Category])</f>
        <v>Kids</v>
      </c>
      <c r="H217">
        <v>88077</v>
      </c>
      <c r="I217">
        <v>99553</v>
      </c>
      <c r="J217">
        <v>187</v>
      </c>
      <c r="K217">
        <f>tblSales[[#This Row],[Sales]]-tblSales[[#This Row],[Budget]]</f>
        <v>-11476</v>
      </c>
      <c r="L217" s="3">
        <f>(tblSales[[#This Row],[Sales]]-tblSales[[#This Row],[Budget]])/tblSales[[#This Row],[Budget]]</f>
        <v>-0.11527528050385222</v>
      </c>
      <c r="M217" s="2">
        <f>tblSales[[#This Row],[Sales]]/tblSales[[#This Row],[Transactions]]</f>
        <v>471</v>
      </c>
    </row>
    <row r="218" spans="1:13" x14ac:dyDescent="0.25">
      <c r="A218" s="1">
        <v>46033</v>
      </c>
      <c r="B218" t="s">
        <v>27</v>
      </c>
      <c r="C218" t="s">
        <v>11</v>
      </c>
      <c r="D218" t="str">
        <f>_xlfn.XLOOKUP(tblSales[[#This Row],[Store ID]],tblStores[Store ID],tblStores[Store Name])</f>
        <v>East London</v>
      </c>
      <c r="E218" t="str">
        <f>_xlfn.XLOOKUP(tblSales[[#This Row],[Store ID]],tblStores[Store ID],tblStores[Province])</f>
        <v>Eastern Cape</v>
      </c>
      <c r="F218" t="str">
        <f>_xlfn.XLOOKUP(tblSales[[#This Row],[Store ID]],tblStores[Store ID],tblStores[Manager])</f>
        <v>Daniel Evans</v>
      </c>
      <c r="G218" t="str">
        <f>_xlfn.XLOOKUP(tblSales[[#This Row],[Category ID]],tblCategories[Category ID],tblCategories[Category])</f>
        <v>Footwear</v>
      </c>
      <c r="H218">
        <v>27654</v>
      </c>
      <c r="I218">
        <v>29649</v>
      </c>
      <c r="J218">
        <v>66</v>
      </c>
      <c r="K218">
        <f>tblSales[[#This Row],[Sales]]-tblSales[[#This Row],[Budget]]</f>
        <v>-1995</v>
      </c>
      <c r="L218" s="3">
        <f>(tblSales[[#This Row],[Sales]]-tblSales[[#This Row],[Budget]])/tblSales[[#This Row],[Budget]]</f>
        <v>-6.7287260953151878E-2</v>
      </c>
      <c r="M218" s="2">
        <f>tblSales[[#This Row],[Sales]]/tblSales[[#This Row],[Transactions]]</f>
        <v>419</v>
      </c>
    </row>
    <row r="219" spans="1:13" x14ac:dyDescent="0.25">
      <c r="A219" s="1">
        <v>46033</v>
      </c>
      <c r="B219" t="s">
        <v>28</v>
      </c>
      <c r="C219" t="s">
        <v>11</v>
      </c>
      <c r="D219" t="str">
        <f>_xlfn.XLOOKUP(tblSales[[#This Row],[Store ID]],tblStores[Store ID],tblStores[Store Name])</f>
        <v>Bloemfontein</v>
      </c>
      <c r="E219" t="str">
        <f>_xlfn.XLOOKUP(tblSales[[#This Row],[Store ID]],tblStores[Store ID],tblStores[Province])</f>
        <v>Free State</v>
      </c>
      <c r="F219" t="str">
        <f>_xlfn.XLOOKUP(tblSales[[#This Row],[Store ID]],tblStores[Store ID],tblStores[Manager])</f>
        <v>Rachel Moore</v>
      </c>
      <c r="G219" t="str">
        <f>_xlfn.XLOOKUP(tblSales[[#This Row],[Category ID]],tblCategories[Category ID],tblCategories[Category])</f>
        <v>Footwear</v>
      </c>
      <c r="H219">
        <v>45344</v>
      </c>
      <c r="I219">
        <v>46930</v>
      </c>
      <c r="J219">
        <v>104</v>
      </c>
      <c r="K219">
        <f>tblSales[[#This Row],[Sales]]-tblSales[[#This Row],[Budget]]</f>
        <v>-1586</v>
      </c>
      <c r="L219" s="3">
        <f>(tblSales[[#This Row],[Sales]]-tblSales[[#This Row],[Budget]])/tblSales[[#This Row],[Budget]]</f>
        <v>-3.3795013850415515E-2</v>
      </c>
      <c r="M219" s="2">
        <f>tblSales[[#This Row],[Sales]]/tblSales[[#This Row],[Transactions]]</f>
        <v>436</v>
      </c>
    </row>
    <row r="220" spans="1:13" x14ac:dyDescent="0.25">
      <c r="A220" s="1">
        <v>46033</v>
      </c>
      <c r="B220" t="s">
        <v>29</v>
      </c>
      <c r="C220" t="s">
        <v>11</v>
      </c>
      <c r="D220" t="str">
        <f>_xlfn.XLOOKUP(tblSales[[#This Row],[Store ID]],tblStores[Store ID],tblStores[Store Name])</f>
        <v>Polokwane</v>
      </c>
      <c r="E220" t="str">
        <f>_xlfn.XLOOKUP(tblSales[[#This Row],[Store ID]],tblStores[Store ID],tblStores[Province])</f>
        <v>Limpopo</v>
      </c>
      <c r="F220" t="str">
        <f>_xlfn.XLOOKUP(tblSales[[#This Row],[Store ID]],tblStores[Store ID],tblStores[Manager])</f>
        <v>Kevin Harris</v>
      </c>
      <c r="G220" t="str">
        <f>_xlfn.XLOOKUP(tblSales[[#This Row],[Category ID]],tblCategories[Category ID],tblCategories[Category])</f>
        <v>Footwear</v>
      </c>
      <c r="H220">
        <v>26730</v>
      </c>
      <c r="I220">
        <v>24323</v>
      </c>
      <c r="J220">
        <v>55</v>
      </c>
      <c r="K220">
        <f>tblSales[[#This Row],[Sales]]-tblSales[[#This Row],[Budget]]</f>
        <v>2407</v>
      </c>
      <c r="L220" s="3">
        <f>(tblSales[[#This Row],[Sales]]-tblSales[[#This Row],[Budget]])/tblSales[[#This Row],[Budget]]</f>
        <v>9.8959832257534019E-2</v>
      </c>
      <c r="M220" s="2">
        <f>tblSales[[#This Row],[Sales]]/tblSales[[#This Row],[Transactions]]</f>
        <v>486</v>
      </c>
    </row>
    <row r="221" spans="1:13" x14ac:dyDescent="0.25">
      <c r="A221" s="1">
        <v>46033</v>
      </c>
      <c r="B221" t="s">
        <v>30</v>
      </c>
      <c r="C221" t="s">
        <v>11</v>
      </c>
      <c r="D221" t="str">
        <f>_xlfn.XLOOKUP(tblSales[[#This Row],[Store ID]],tblStores[Store ID],tblStores[Store Name])</f>
        <v>Nelspruit</v>
      </c>
      <c r="E221" t="str">
        <f>_xlfn.XLOOKUP(tblSales[[#This Row],[Store ID]],tblStores[Store ID],tblStores[Province])</f>
        <v>Mpumalanga</v>
      </c>
      <c r="F221" t="str">
        <f>_xlfn.XLOOKUP(tblSales[[#This Row],[Store ID]],tblStores[Store ID],tblStores[Manager])</f>
        <v>Olivia Turner</v>
      </c>
      <c r="G221" t="str">
        <f>_xlfn.XLOOKUP(tblSales[[#This Row],[Category ID]],tblCategories[Category ID],tblCategories[Category])</f>
        <v>Footwear</v>
      </c>
      <c r="H221">
        <v>57213</v>
      </c>
      <c r="I221">
        <v>55072</v>
      </c>
      <c r="J221">
        <v>117</v>
      </c>
      <c r="K221">
        <f>tblSales[[#This Row],[Sales]]-tblSales[[#This Row],[Budget]]</f>
        <v>2141</v>
      </c>
      <c r="L221" s="3">
        <f>(tblSales[[#This Row],[Sales]]-tblSales[[#This Row],[Budget]])/tblSales[[#This Row],[Budget]]</f>
        <v>3.8876380011621151E-2</v>
      </c>
      <c r="M221" s="2">
        <f>tblSales[[#This Row],[Sales]]/tblSales[[#This Row],[Transactions]]</f>
        <v>489</v>
      </c>
    </row>
    <row r="222" spans="1:13" x14ac:dyDescent="0.25">
      <c r="A222" s="1">
        <v>46034</v>
      </c>
      <c r="B222" t="s">
        <v>6</v>
      </c>
      <c r="C222" t="s">
        <v>7</v>
      </c>
      <c r="D222" t="str">
        <f>_xlfn.XLOOKUP(tblSales[[#This Row],[Store ID]],tblStores[Store ID],tblStores[Store Name])</f>
        <v>Durban CBD</v>
      </c>
      <c r="E222" t="str">
        <f>_xlfn.XLOOKUP(tblSales[[#This Row],[Store ID]],tblStores[Store ID],tblStores[Province])</f>
        <v>KZN</v>
      </c>
      <c r="F222" t="str">
        <f>_xlfn.XLOOKUP(tblSales[[#This Row],[Store ID]],tblStores[Store ID],tblStores[Manager])</f>
        <v>Sarah Adams</v>
      </c>
      <c r="G222" t="str">
        <f>_xlfn.XLOOKUP(tblSales[[#This Row],[Category ID]],tblCategories[Category ID],tblCategories[Category])</f>
        <v>Menswear</v>
      </c>
      <c r="H222">
        <v>44082</v>
      </c>
      <c r="I222">
        <v>46144</v>
      </c>
      <c r="J222">
        <v>93</v>
      </c>
      <c r="K222">
        <f>tblSales[[#This Row],[Sales]]-tblSales[[#This Row],[Budget]]</f>
        <v>-2062</v>
      </c>
      <c r="L222" s="3">
        <f>(tblSales[[#This Row],[Sales]]-tblSales[[#This Row],[Budget]])/tblSales[[#This Row],[Budget]]</f>
        <v>-4.4686199722607491E-2</v>
      </c>
      <c r="M222" s="2">
        <f>tblSales[[#This Row],[Sales]]/tblSales[[#This Row],[Transactions]]</f>
        <v>474</v>
      </c>
    </row>
    <row r="223" spans="1:13" x14ac:dyDescent="0.25">
      <c r="A223" s="1">
        <v>46034</v>
      </c>
      <c r="B223" t="s">
        <v>8</v>
      </c>
      <c r="C223" t="s">
        <v>7</v>
      </c>
      <c r="D223" t="str">
        <f>_xlfn.XLOOKUP(tblSales[[#This Row],[Store ID]],tblStores[Store ID],tblStores[Store Name])</f>
        <v>Gateway</v>
      </c>
      <c r="E223" t="str">
        <f>_xlfn.XLOOKUP(tblSales[[#This Row],[Store ID]],tblStores[Store ID],tblStores[Province])</f>
        <v>KZN</v>
      </c>
      <c r="F223" t="str">
        <f>_xlfn.XLOOKUP(tblSales[[#This Row],[Store ID]],tblStores[Store ID],tblStores[Manager])</f>
        <v>Michael Jones</v>
      </c>
      <c r="G223" t="str">
        <f>_xlfn.XLOOKUP(tblSales[[#This Row],[Category ID]],tblCategories[Category ID],tblCategories[Category])</f>
        <v>Menswear</v>
      </c>
      <c r="H223">
        <v>65619</v>
      </c>
      <c r="I223">
        <v>68510</v>
      </c>
      <c r="J223">
        <v>207</v>
      </c>
      <c r="K223">
        <f>tblSales[[#This Row],[Sales]]-tblSales[[#This Row],[Budget]]</f>
        <v>-2891</v>
      </c>
      <c r="L223" s="3">
        <f>(tblSales[[#This Row],[Sales]]-tblSales[[#This Row],[Budget]])/tblSales[[#This Row],[Budget]]</f>
        <v>-4.2198219238067436E-2</v>
      </c>
      <c r="M223" s="2">
        <f>tblSales[[#This Row],[Sales]]/tblSales[[#This Row],[Transactions]]</f>
        <v>317</v>
      </c>
    </row>
    <row r="224" spans="1:13" x14ac:dyDescent="0.25">
      <c r="A224" s="1">
        <v>46034</v>
      </c>
      <c r="B224" t="s">
        <v>10</v>
      </c>
      <c r="C224" t="s">
        <v>9</v>
      </c>
      <c r="D224" t="str">
        <f>_xlfn.XLOOKUP(tblSales[[#This Row],[Store ID]],tblStores[Store ID],tblStores[Store Name])</f>
        <v>Ballito</v>
      </c>
      <c r="E224" t="str">
        <f>_xlfn.XLOOKUP(tblSales[[#This Row],[Store ID]],tblStores[Store ID],tblStores[Province])</f>
        <v>KZN</v>
      </c>
      <c r="F224" t="str">
        <f>_xlfn.XLOOKUP(tblSales[[#This Row],[Store ID]],tblStores[Store ID],tblStores[Manager])</f>
        <v>Linda Smith</v>
      </c>
      <c r="G224" t="str">
        <f>_xlfn.XLOOKUP(tblSales[[#This Row],[Category ID]],tblCategories[Category ID],tblCategories[Category])</f>
        <v>Ladieswear</v>
      </c>
      <c r="H224">
        <v>68975</v>
      </c>
      <c r="I224">
        <v>73311</v>
      </c>
      <c r="J224">
        <v>155</v>
      </c>
      <c r="K224">
        <f>tblSales[[#This Row],[Sales]]-tblSales[[#This Row],[Budget]]</f>
        <v>-4336</v>
      </c>
      <c r="L224" s="3">
        <f>(tblSales[[#This Row],[Sales]]-tblSales[[#This Row],[Budget]])/tblSales[[#This Row],[Budget]]</f>
        <v>-5.9145285155024485E-2</v>
      </c>
      <c r="M224" s="2">
        <f>tblSales[[#This Row],[Sales]]/tblSales[[#This Row],[Transactions]]</f>
        <v>445</v>
      </c>
    </row>
    <row r="225" spans="1:13" x14ac:dyDescent="0.25">
      <c r="A225" s="1">
        <v>46034</v>
      </c>
      <c r="B225" t="s">
        <v>12</v>
      </c>
      <c r="C225" t="s">
        <v>22</v>
      </c>
      <c r="D225" t="str">
        <f>_xlfn.XLOOKUP(tblSales[[#This Row],[Store ID]],tblStores[Store ID],tblStores[Store Name])</f>
        <v>Pietermaritzburg</v>
      </c>
      <c r="E225" t="str">
        <f>_xlfn.XLOOKUP(tblSales[[#This Row],[Store ID]],tblStores[Store ID],tblStores[Province])</f>
        <v>KZN</v>
      </c>
      <c r="F225" t="str">
        <f>_xlfn.XLOOKUP(tblSales[[#This Row],[Store ID]],tblStores[Store ID],tblStores[Manager])</f>
        <v>Peter Brown</v>
      </c>
      <c r="G225" t="str">
        <f>_xlfn.XLOOKUP(tblSales[[#This Row],[Category ID]],tblCategories[Category ID],tblCategories[Category])</f>
        <v>Kids</v>
      </c>
      <c r="H225">
        <v>38799</v>
      </c>
      <c r="I225">
        <v>39147</v>
      </c>
      <c r="J225">
        <v>81</v>
      </c>
      <c r="K225">
        <f>tblSales[[#This Row],[Sales]]-tblSales[[#This Row],[Budget]]</f>
        <v>-348</v>
      </c>
      <c r="L225" s="3">
        <f>(tblSales[[#This Row],[Sales]]-tblSales[[#This Row],[Budget]])/tblSales[[#This Row],[Budget]]</f>
        <v>-8.8895700819986209E-3</v>
      </c>
      <c r="M225" s="2">
        <f>tblSales[[#This Row],[Sales]]/tblSales[[#This Row],[Transactions]]</f>
        <v>479</v>
      </c>
    </row>
    <row r="226" spans="1:13" x14ac:dyDescent="0.25">
      <c r="A226" s="1">
        <v>46034</v>
      </c>
      <c r="B226" t="s">
        <v>13</v>
      </c>
      <c r="C226" t="s">
        <v>11</v>
      </c>
      <c r="D226" t="str">
        <f>_xlfn.XLOOKUP(tblSales[[#This Row],[Store ID]],tblStores[Store ID],tblStores[Store Name])</f>
        <v>Richards Bay</v>
      </c>
      <c r="E226" t="str">
        <f>_xlfn.XLOOKUP(tblSales[[#This Row],[Store ID]],tblStores[Store ID],tblStores[Province])</f>
        <v>KZN</v>
      </c>
      <c r="F226" t="str">
        <f>_xlfn.XLOOKUP(tblSales[[#This Row],[Store ID]],tblStores[Store ID],tblStores[Manager])</f>
        <v>David Green</v>
      </c>
      <c r="G226" t="str">
        <f>_xlfn.XLOOKUP(tblSales[[#This Row],[Category ID]],tblCategories[Category ID],tblCategories[Category])</f>
        <v>Footwear</v>
      </c>
      <c r="H226">
        <v>24360</v>
      </c>
      <c r="I226">
        <v>24043</v>
      </c>
      <c r="J226">
        <v>58</v>
      </c>
      <c r="K226">
        <f>tblSales[[#This Row],[Sales]]-tblSales[[#This Row],[Budget]]</f>
        <v>317</v>
      </c>
      <c r="L226" s="3">
        <f>(tblSales[[#This Row],[Sales]]-tblSales[[#This Row],[Budget]])/tblSales[[#This Row],[Budget]]</f>
        <v>1.3184710726614816E-2</v>
      </c>
      <c r="M226" s="2">
        <f>tblSales[[#This Row],[Sales]]/tblSales[[#This Row],[Transactions]]</f>
        <v>420</v>
      </c>
    </row>
    <row r="227" spans="1:13" x14ac:dyDescent="0.25">
      <c r="A227" s="1">
        <v>46034</v>
      </c>
      <c r="B227" t="s">
        <v>14</v>
      </c>
      <c r="C227" t="s">
        <v>22</v>
      </c>
      <c r="D227" t="str">
        <f>_xlfn.XLOOKUP(tblSales[[#This Row],[Store ID]],tblStores[Store ID],tblStores[Store Name])</f>
        <v>Sandton</v>
      </c>
      <c r="E227" t="str">
        <f>_xlfn.XLOOKUP(tblSales[[#This Row],[Store ID]],tblStores[Store ID],tblStores[Province])</f>
        <v>Gauteng</v>
      </c>
      <c r="F227" t="str">
        <f>_xlfn.XLOOKUP(tblSales[[#This Row],[Store ID]],tblStores[Store ID],tblStores[Manager])</f>
        <v>Karen White</v>
      </c>
      <c r="G227" t="str">
        <f>_xlfn.XLOOKUP(tblSales[[#This Row],[Category ID]],tblCategories[Category ID],tblCategories[Category])</f>
        <v>Kids</v>
      </c>
      <c r="H227">
        <v>27261</v>
      </c>
      <c r="I227">
        <v>30380</v>
      </c>
      <c r="J227">
        <v>117</v>
      </c>
      <c r="K227">
        <f>tblSales[[#This Row],[Sales]]-tblSales[[#This Row],[Budget]]</f>
        <v>-3119</v>
      </c>
      <c r="L227" s="3">
        <f>(tblSales[[#This Row],[Sales]]-tblSales[[#This Row],[Budget]])/tblSales[[#This Row],[Budget]]</f>
        <v>-0.10266622778143515</v>
      </c>
      <c r="M227" s="2">
        <f>tblSales[[#This Row],[Sales]]/tblSales[[#This Row],[Transactions]]</f>
        <v>233</v>
      </c>
    </row>
    <row r="228" spans="1:13" x14ac:dyDescent="0.25">
      <c r="A228" s="1">
        <v>46034</v>
      </c>
      <c r="B228" t="s">
        <v>15</v>
      </c>
      <c r="C228" t="s">
        <v>22</v>
      </c>
      <c r="D228" t="str">
        <f>_xlfn.XLOOKUP(tblSales[[#This Row],[Store ID]],tblStores[Store ID],tblStores[Store Name])</f>
        <v>Rosebank</v>
      </c>
      <c r="E228" t="str">
        <f>_xlfn.XLOOKUP(tblSales[[#This Row],[Store ID]],tblStores[Store ID],tblStores[Province])</f>
        <v>Gauteng</v>
      </c>
      <c r="F228" t="str">
        <f>_xlfn.XLOOKUP(tblSales[[#This Row],[Store ID]],tblStores[Store ID],tblStores[Manager])</f>
        <v>James Taylor</v>
      </c>
      <c r="G228" t="str">
        <f>_xlfn.XLOOKUP(tblSales[[#This Row],[Category ID]],tblCategories[Category ID],tblCategories[Category])</f>
        <v>Kids</v>
      </c>
      <c r="H228">
        <v>60620</v>
      </c>
      <c r="I228">
        <v>58925</v>
      </c>
      <c r="J228">
        <v>140</v>
      </c>
      <c r="K228">
        <f>tblSales[[#This Row],[Sales]]-tblSales[[#This Row],[Budget]]</f>
        <v>1695</v>
      </c>
      <c r="L228" s="3">
        <f>(tblSales[[#This Row],[Sales]]-tblSales[[#This Row],[Budget]])/tblSales[[#This Row],[Budget]]</f>
        <v>2.8765379719983029E-2</v>
      </c>
      <c r="M228" s="2">
        <f>tblSales[[#This Row],[Sales]]/tblSales[[#This Row],[Transactions]]</f>
        <v>433</v>
      </c>
    </row>
    <row r="229" spans="1:13" x14ac:dyDescent="0.25">
      <c r="A229" s="1">
        <v>46034</v>
      </c>
      <c r="B229" t="s">
        <v>16</v>
      </c>
      <c r="C229" t="s">
        <v>11</v>
      </c>
      <c r="D229" t="str">
        <f>_xlfn.XLOOKUP(tblSales[[#This Row],[Store ID]],tblStores[Store ID],tblStores[Store Name])</f>
        <v>Pretoria</v>
      </c>
      <c r="E229" t="str">
        <f>_xlfn.XLOOKUP(tblSales[[#This Row],[Store ID]],tblStores[Store ID],tblStores[Province])</f>
        <v>Gauteng</v>
      </c>
      <c r="F229" t="str">
        <f>_xlfn.XLOOKUP(tblSales[[#This Row],[Store ID]],tblStores[Store ID],tblStores[Manager])</f>
        <v>Susan Clark</v>
      </c>
      <c r="G229" t="str">
        <f>_xlfn.XLOOKUP(tblSales[[#This Row],[Category ID]],tblCategories[Category ID],tblCategories[Category])</f>
        <v>Footwear</v>
      </c>
      <c r="H229">
        <v>34650</v>
      </c>
      <c r="I229">
        <v>35124</v>
      </c>
      <c r="J229">
        <v>175</v>
      </c>
      <c r="K229">
        <f>tblSales[[#This Row],[Sales]]-tblSales[[#This Row],[Budget]]</f>
        <v>-474</v>
      </c>
      <c r="L229" s="3">
        <f>(tblSales[[#This Row],[Sales]]-tblSales[[#This Row],[Budget]])/tblSales[[#This Row],[Budget]]</f>
        <v>-1.3495046122309532E-2</v>
      </c>
      <c r="M229" s="2">
        <f>tblSales[[#This Row],[Sales]]/tblSales[[#This Row],[Transactions]]</f>
        <v>198</v>
      </c>
    </row>
    <row r="230" spans="1:13" x14ac:dyDescent="0.25">
      <c r="A230" s="1">
        <v>46034</v>
      </c>
      <c r="B230" t="s">
        <v>17</v>
      </c>
      <c r="C230" t="s">
        <v>22</v>
      </c>
      <c r="D230" t="str">
        <f>_xlfn.XLOOKUP(tblSales[[#This Row],[Store ID]],tblStores[Store ID],tblStores[Store Name])</f>
        <v>Centurion</v>
      </c>
      <c r="E230" t="str">
        <f>_xlfn.XLOOKUP(tblSales[[#This Row],[Store ID]],tblStores[Store ID],tblStores[Province])</f>
        <v>Gauteng</v>
      </c>
      <c r="F230" t="str">
        <f>_xlfn.XLOOKUP(tblSales[[#This Row],[Store ID]],tblStores[Store ID],tblStores[Manager])</f>
        <v>Mark Wilson</v>
      </c>
      <c r="G230" t="str">
        <f>_xlfn.XLOOKUP(tblSales[[#This Row],[Category ID]],tblCategories[Category ID],tblCategories[Category])</f>
        <v>Kids</v>
      </c>
      <c r="H230">
        <v>34155</v>
      </c>
      <c r="I230">
        <v>31729</v>
      </c>
      <c r="J230">
        <v>99</v>
      </c>
      <c r="K230">
        <f>tblSales[[#This Row],[Sales]]-tblSales[[#This Row],[Budget]]</f>
        <v>2426</v>
      </c>
      <c r="L230" s="3">
        <f>(tblSales[[#This Row],[Sales]]-tblSales[[#This Row],[Budget]])/tblSales[[#This Row],[Budget]]</f>
        <v>7.6460020801159823E-2</v>
      </c>
      <c r="M230" s="2">
        <f>tblSales[[#This Row],[Sales]]/tblSales[[#This Row],[Transactions]]</f>
        <v>345</v>
      </c>
    </row>
    <row r="231" spans="1:13" x14ac:dyDescent="0.25">
      <c r="A231" s="1">
        <v>46034</v>
      </c>
      <c r="B231" t="s">
        <v>18</v>
      </c>
      <c r="C231" t="s">
        <v>11</v>
      </c>
      <c r="D231" t="str">
        <f>_xlfn.XLOOKUP(tblSales[[#This Row],[Store ID]],tblStores[Store ID],tblStores[Store Name])</f>
        <v>East Rand</v>
      </c>
      <c r="E231" t="str">
        <f>_xlfn.XLOOKUP(tblSales[[#This Row],[Store ID]],tblStores[Store ID],tblStores[Province])</f>
        <v>Gauteng</v>
      </c>
      <c r="F231" t="str">
        <f>_xlfn.XLOOKUP(tblSales[[#This Row],[Store ID]],tblStores[Store ID],tblStores[Manager])</f>
        <v>Lisa Young</v>
      </c>
      <c r="G231" t="str">
        <f>_xlfn.XLOOKUP(tblSales[[#This Row],[Category ID]],tblCategories[Category ID],tblCategories[Category])</f>
        <v>Footwear</v>
      </c>
      <c r="H231">
        <v>29880</v>
      </c>
      <c r="I231">
        <v>31804</v>
      </c>
      <c r="J231">
        <v>166</v>
      </c>
      <c r="K231">
        <f>tblSales[[#This Row],[Sales]]-tblSales[[#This Row],[Budget]]</f>
        <v>-1924</v>
      </c>
      <c r="L231" s="3">
        <f>(tblSales[[#This Row],[Sales]]-tblSales[[#This Row],[Budget]])/tblSales[[#This Row],[Budget]]</f>
        <v>-6.0495535152810968E-2</v>
      </c>
      <c r="M231" s="2">
        <f>tblSales[[#This Row],[Sales]]/tblSales[[#This Row],[Transactions]]</f>
        <v>180</v>
      </c>
    </row>
    <row r="232" spans="1:13" x14ac:dyDescent="0.25">
      <c r="A232" s="1">
        <v>46034</v>
      </c>
      <c r="B232" t="s">
        <v>20</v>
      </c>
      <c r="C232" t="s">
        <v>19</v>
      </c>
      <c r="D232" t="str">
        <f>_xlfn.XLOOKUP(tblSales[[#This Row],[Store ID]],tblStores[Store ID],tblStores[Store Name])</f>
        <v>Cape Town CBD</v>
      </c>
      <c r="E232" t="str">
        <f>_xlfn.XLOOKUP(tblSales[[#This Row],[Store ID]],tblStores[Store ID],tblStores[Province])</f>
        <v>Western Cape</v>
      </c>
      <c r="F232" t="str">
        <f>_xlfn.XLOOKUP(tblSales[[#This Row],[Store ID]],tblStores[Store ID],tblStores[Manager])</f>
        <v>Brian Hall</v>
      </c>
      <c r="G232" t="str">
        <f>_xlfn.XLOOKUP(tblSales[[#This Row],[Category ID]],tblCategories[Category ID],tblCategories[Category])</f>
        <v>Accessories</v>
      </c>
      <c r="H232">
        <v>59823</v>
      </c>
      <c r="I232">
        <v>54651</v>
      </c>
      <c r="J232">
        <v>153</v>
      </c>
      <c r="K232">
        <f>tblSales[[#This Row],[Sales]]-tblSales[[#This Row],[Budget]]</f>
        <v>5172</v>
      </c>
      <c r="L232" s="3">
        <f>(tblSales[[#This Row],[Sales]]-tblSales[[#This Row],[Budget]])/tblSales[[#This Row],[Budget]]</f>
        <v>9.4636877641763192E-2</v>
      </c>
      <c r="M232" s="2">
        <f>tblSales[[#This Row],[Sales]]/tblSales[[#This Row],[Transactions]]</f>
        <v>391</v>
      </c>
    </row>
    <row r="233" spans="1:13" x14ac:dyDescent="0.25">
      <c r="A233" s="1">
        <v>46034</v>
      </c>
      <c r="B233" t="s">
        <v>21</v>
      </c>
      <c r="C233" t="s">
        <v>19</v>
      </c>
      <c r="D233" t="str">
        <f>_xlfn.XLOOKUP(tblSales[[#This Row],[Store ID]],tblStores[Store ID],tblStores[Store Name])</f>
        <v>Canal Walk</v>
      </c>
      <c r="E233" t="str">
        <f>_xlfn.XLOOKUP(tblSales[[#This Row],[Store ID]],tblStores[Store ID],tblStores[Province])</f>
        <v>Western Cape</v>
      </c>
      <c r="F233" t="str">
        <f>_xlfn.XLOOKUP(tblSales[[#This Row],[Store ID]],tblStores[Store ID],tblStores[Manager])</f>
        <v>Megan Scott</v>
      </c>
      <c r="G233" t="str">
        <f>_xlfn.XLOOKUP(tblSales[[#This Row],[Category ID]],tblCategories[Category ID],tblCategories[Category])</f>
        <v>Accessories</v>
      </c>
      <c r="H233">
        <v>63246</v>
      </c>
      <c r="I233">
        <v>68881</v>
      </c>
      <c r="J233">
        <v>127</v>
      </c>
      <c r="K233">
        <f>tblSales[[#This Row],[Sales]]-tblSales[[#This Row],[Budget]]</f>
        <v>-5635</v>
      </c>
      <c r="L233" s="3">
        <f>(tblSales[[#This Row],[Sales]]-tblSales[[#This Row],[Budget]])/tblSales[[#This Row],[Budget]]</f>
        <v>-8.1807755404247909E-2</v>
      </c>
      <c r="M233" s="2">
        <f>tblSales[[#This Row],[Sales]]/tblSales[[#This Row],[Transactions]]</f>
        <v>498</v>
      </c>
    </row>
    <row r="234" spans="1:13" x14ac:dyDescent="0.25">
      <c r="A234" s="1">
        <v>46034</v>
      </c>
      <c r="B234" t="s">
        <v>23</v>
      </c>
      <c r="C234" t="s">
        <v>11</v>
      </c>
      <c r="D234" t="str">
        <f>_xlfn.XLOOKUP(tblSales[[#This Row],[Store ID]],tblStores[Store ID],tblStores[Store Name])</f>
        <v>Stellenbosch</v>
      </c>
      <c r="E234" t="str">
        <f>_xlfn.XLOOKUP(tblSales[[#This Row],[Store ID]],tblStores[Store ID],tblStores[Province])</f>
        <v>Western Cape</v>
      </c>
      <c r="F234" t="str">
        <f>_xlfn.XLOOKUP(tblSales[[#This Row],[Store ID]],tblStores[Store ID],tblStores[Manager])</f>
        <v>Jason King</v>
      </c>
      <c r="G234" t="str">
        <f>_xlfn.XLOOKUP(tblSales[[#This Row],[Category ID]],tblCategories[Category ID],tblCategories[Category])</f>
        <v>Footwear</v>
      </c>
      <c r="H234">
        <v>13632</v>
      </c>
      <c r="I234">
        <v>13178</v>
      </c>
      <c r="J234">
        <v>48</v>
      </c>
      <c r="K234">
        <f>tblSales[[#This Row],[Sales]]-tblSales[[#This Row],[Budget]]</f>
        <v>454</v>
      </c>
      <c r="L234" s="3">
        <f>(tblSales[[#This Row],[Sales]]-tblSales[[#This Row],[Budget]])/tblSales[[#This Row],[Budget]]</f>
        <v>3.4451358324480194E-2</v>
      </c>
      <c r="M234" s="2">
        <f>tblSales[[#This Row],[Sales]]/tblSales[[#This Row],[Transactions]]</f>
        <v>284</v>
      </c>
    </row>
    <row r="235" spans="1:13" x14ac:dyDescent="0.25">
      <c r="A235" s="1">
        <v>46034</v>
      </c>
      <c r="B235" t="s">
        <v>24</v>
      </c>
      <c r="C235" t="s">
        <v>9</v>
      </c>
      <c r="D235" t="str">
        <f>_xlfn.XLOOKUP(tblSales[[#This Row],[Store ID]],tblStores[Store ID],tblStores[Store Name])</f>
        <v>George</v>
      </c>
      <c r="E235" t="str">
        <f>_xlfn.XLOOKUP(tblSales[[#This Row],[Store ID]],tblStores[Store ID],tblStores[Province])</f>
        <v>Western Cape</v>
      </c>
      <c r="F235" t="str">
        <f>_xlfn.XLOOKUP(tblSales[[#This Row],[Store ID]],tblStores[Store ID],tblStores[Manager])</f>
        <v>Chloe Hill</v>
      </c>
      <c r="G235" t="str">
        <f>_xlfn.XLOOKUP(tblSales[[#This Row],[Category ID]],tblCategories[Category ID],tblCategories[Category])</f>
        <v>Ladieswear</v>
      </c>
      <c r="H235">
        <v>43632</v>
      </c>
      <c r="I235">
        <v>48877</v>
      </c>
      <c r="J235">
        <v>108</v>
      </c>
      <c r="K235">
        <f>tblSales[[#This Row],[Sales]]-tblSales[[#This Row],[Budget]]</f>
        <v>-5245</v>
      </c>
      <c r="L235" s="3">
        <f>(tblSales[[#This Row],[Sales]]-tblSales[[#This Row],[Budget]])/tblSales[[#This Row],[Budget]]</f>
        <v>-0.10731018679542526</v>
      </c>
      <c r="M235" s="2">
        <f>tblSales[[#This Row],[Sales]]/tblSales[[#This Row],[Transactions]]</f>
        <v>404</v>
      </c>
    </row>
    <row r="236" spans="1:13" x14ac:dyDescent="0.25">
      <c r="A236" s="1">
        <v>46034</v>
      </c>
      <c r="B236" t="s">
        <v>25</v>
      </c>
      <c r="C236" t="s">
        <v>11</v>
      </c>
      <c r="D236" t="str">
        <f>_xlfn.XLOOKUP(tblSales[[#This Row],[Store ID]],tblStores[Store ID],tblStores[Store Name])</f>
        <v>Paarl</v>
      </c>
      <c r="E236" t="str">
        <f>_xlfn.XLOOKUP(tblSales[[#This Row],[Store ID]],tblStores[Store ID],tblStores[Province])</f>
        <v>Western Cape</v>
      </c>
      <c r="F236" t="str">
        <f>_xlfn.XLOOKUP(tblSales[[#This Row],[Store ID]],tblStores[Store ID],tblStores[Manager])</f>
        <v>Andrew Lee</v>
      </c>
      <c r="G236" t="str">
        <f>_xlfn.XLOOKUP(tblSales[[#This Row],[Category ID]],tblCategories[Category ID],tblCategories[Category])</f>
        <v>Footwear</v>
      </c>
      <c r="H236">
        <v>12804</v>
      </c>
      <c r="I236">
        <v>14638</v>
      </c>
      <c r="J236">
        <v>66</v>
      </c>
      <c r="K236">
        <f>tblSales[[#This Row],[Sales]]-tblSales[[#This Row],[Budget]]</f>
        <v>-1834</v>
      </c>
      <c r="L236" s="3">
        <f>(tblSales[[#This Row],[Sales]]-tblSales[[#This Row],[Budget]])/tblSales[[#This Row],[Budget]]</f>
        <v>-0.12529034021041127</v>
      </c>
      <c r="M236" s="2">
        <f>tblSales[[#This Row],[Sales]]/tblSales[[#This Row],[Transactions]]</f>
        <v>194</v>
      </c>
    </row>
    <row r="237" spans="1:13" x14ac:dyDescent="0.25">
      <c r="A237" s="1">
        <v>46034</v>
      </c>
      <c r="B237" t="s">
        <v>26</v>
      </c>
      <c r="C237" t="s">
        <v>19</v>
      </c>
      <c r="D237" t="str">
        <f>_xlfn.XLOOKUP(tblSales[[#This Row],[Store ID]],tblStores[Store ID],tblStores[Store Name])</f>
        <v>Gqeberha</v>
      </c>
      <c r="E237" t="str">
        <f>_xlfn.XLOOKUP(tblSales[[#This Row],[Store ID]],tblStores[Store ID],tblStores[Province])</f>
        <v>Eastern Cape</v>
      </c>
      <c r="F237" t="str">
        <f>_xlfn.XLOOKUP(tblSales[[#This Row],[Store ID]],tblStores[Store ID],tblStores[Manager])</f>
        <v>Emma Baker</v>
      </c>
      <c r="G237" t="str">
        <f>_xlfn.XLOOKUP(tblSales[[#This Row],[Category ID]],tblCategories[Category ID],tblCategories[Category])</f>
        <v>Accessories</v>
      </c>
      <c r="H237">
        <v>25056</v>
      </c>
      <c r="I237">
        <v>24496</v>
      </c>
      <c r="J237">
        <v>96</v>
      </c>
      <c r="K237">
        <f>tblSales[[#This Row],[Sales]]-tblSales[[#This Row],[Budget]]</f>
        <v>560</v>
      </c>
      <c r="L237" s="3">
        <f>(tblSales[[#This Row],[Sales]]-tblSales[[#This Row],[Budget]])/tblSales[[#This Row],[Budget]]</f>
        <v>2.2860875244937948E-2</v>
      </c>
      <c r="M237" s="2">
        <f>tblSales[[#This Row],[Sales]]/tblSales[[#This Row],[Transactions]]</f>
        <v>261</v>
      </c>
    </row>
    <row r="238" spans="1:13" x14ac:dyDescent="0.25">
      <c r="A238" s="1">
        <v>46034</v>
      </c>
      <c r="B238" t="s">
        <v>27</v>
      </c>
      <c r="C238" t="s">
        <v>7</v>
      </c>
      <c r="D238" t="str">
        <f>_xlfn.XLOOKUP(tblSales[[#This Row],[Store ID]],tblStores[Store ID],tblStores[Store Name])</f>
        <v>East London</v>
      </c>
      <c r="E238" t="str">
        <f>_xlfn.XLOOKUP(tblSales[[#This Row],[Store ID]],tblStores[Store ID],tblStores[Province])</f>
        <v>Eastern Cape</v>
      </c>
      <c r="F238" t="str">
        <f>_xlfn.XLOOKUP(tblSales[[#This Row],[Store ID]],tblStores[Store ID],tblStores[Manager])</f>
        <v>Daniel Evans</v>
      </c>
      <c r="G238" t="str">
        <f>_xlfn.XLOOKUP(tblSales[[#This Row],[Category ID]],tblCategories[Category ID],tblCategories[Category])</f>
        <v>Menswear</v>
      </c>
      <c r="H238">
        <v>68288</v>
      </c>
      <c r="I238">
        <v>63050</v>
      </c>
      <c r="J238">
        <v>176</v>
      </c>
      <c r="K238">
        <f>tblSales[[#This Row],[Sales]]-tblSales[[#This Row],[Budget]]</f>
        <v>5238</v>
      </c>
      <c r="L238" s="3">
        <f>(tblSales[[#This Row],[Sales]]-tblSales[[#This Row],[Budget]])/tblSales[[#This Row],[Budget]]</f>
        <v>8.3076923076923076E-2</v>
      </c>
      <c r="M238" s="2">
        <f>tblSales[[#This Row],[Sales]]/tblSales[[#This Row],[Transactions]]</f>
        <v>388</v>
      </c>
    </row>
    <row r="239" spans="1:13" x14ac:dyDescent="0.25">
      <c r="A239" s="1">
        <v>46034</v>
      </c>
      <c r="B239" t="s">
        <v>28</v>
      </c>
      <c r="C239" t="s">
        <v>7</v>
      </c>
      <c r="D239" t="str">
        <f>_xlfn.XLOOKUP(tblSales[[#This Row],[Store ID]],tblStores[Store ID],tblStores[Store Name])</f>
        <v>Bloemfontein</v>
      </c>
      <c r="E239" t="str">
        <f>_xlfn.XLOOKUP(tblSales[[#This Row],[Store ID]],tblStores[Store ID],tblStores[Province])</f>
        <v>Free State</v>
      </c>
      <c r="F239" t="str">
        <f>_xlfn.XLOOKUP(tblSales[[#This Row],[Store ID]],tblStores[Store ID],tblStores[Manager])</f>
        <v>Rachel Moore</v>
      </c>
      <c r="G239" t="str">
        <f>_xlfn.XLOOKUP(tblSales[[#This Row],[Category ID]],tblCategories[Category ID],tblCategories[Category])</f>
        <v>Menswear</v>
      </c>
      <c r="H239">
        <v>36720</v>
      </c>
      <c r="I239">
        <v>38993</v>
      </c>
      <c r="J239">
        <v>153</v>
      </c>
      <c r="K239">
        <f>tblSales[[#This Row],[Sales]]-tblSales[[#This Row],[Budget]]</f>
        <v>-2273</v>
      </c>
      <c r="L239" s="3">
        <f>(tblSales[[#This Row],[Sales]]-tblSales[[#This Row],[Budget]])/tblSales[[#This Row],[Budget]]</f>
        <v>-5.8292514040981715E-2</v>
      </c>
      <c r="M239" s="2">
        <f>tblSales[[#This Row],[Sales]]/tblSales[[#This Row],[Transactions]]</f>
        <v>240</v>
      </c>
    </row>
    <row r="240" spans="1:13" x14ac:dyDescent="0.25">
      <c r="A240" s="1">
        <v>46034</v>
      </c>
      <c r="B240" t="s">
        <v>29</v>
      </c>
      <c r="C240" t="s">
        <v>9</v>
      </c>
      <c r="D240" t="str">
        <f>_xlfn.XLOOKUP(tblSales[[#This Row],[Store ID]],tblStores[Store ID],tblStores[Store Name])</f>
        <v>Polokwane</v>
      </c>
      <c r="E240" t="str">
        <f>_xlfn.XLOOKUP(tblSales[[#This Row],[Store ID]],tblStores[Store ID],tblStores[Province])</f>
        <v>Limpopo</v>
      </c>
      <c r="F240" t="str">
        <f>_xlfn.XLOOKUP(tblSales[[#This Row],[Store ID]],tblStores[Store ID],tblStores[Manager])</f>
        <v>Kevin Harris</v>
      </c>
      <c r="G240" t="str">
        <f>_xlfn.XLOOKUP(tblSales[[#This Row],[Category ID]],tblCategories[Category ID],tblCategories[Category])</f>
        <v>Ladieswear</v>
      </c>
      <c r="H240">
        <v>53298</v>
      </c>
      <c r="I240">
        <v>54748</v>
      </c>
      <c r="J240">
        <v>162</v>
      </c>
      <c r="K240">
        <f>tblSales[[#This Row],[Sales]]-tblSales[[#This Row],[Budget]]</f>
        <v>-1450</v>
      </c>
      <c r="L240" s="3">
        <f>(tblSales[[#This Row],[Sales]]-tblSales[[#This Row],[Budget]])/tblSales[[#This Row],[Budget]]</f>
        <v>-2.6484985752904217E-2</v>
      </c>
      <c r="M240" s="2">
        <f>tblSales[[#This Row],[Sales]]/tblSales[[#This Row],[Transactions]]</f>
        <v>329</v>
      </c>
    </row>
    <row r="241" spans="1:13" x14ac:dyDescent="0.25">
      <c r="A241" s="1">
        <v>46034</v>
      </c>
      <c r="B241" t="s">
        <v>30</v>
      </c>
      <c r="C241" t="s">
        <v>22</v>
      </c>
      <c r="D241" t="str">
        <f>_xlfn.XLOOKUP(tblSales[[#This Row],[Store ID]],tblStores[Store ID],tblStores[Store Name])</f>
        <v>Nelspruit</v>
      </c>
      <c r="E241" t="str">
        <f>_xlfn.XLOOKUP(tblSales[[#This Row],[Store ID]],tblStores[Store ID],tblStores[Province])</f>
        <v>Mpumalanga</v>
      </c>
      <c r="F241" t="str">
        <f>_xlfn.XLOOKUP(tblSales[[#This Row],[Store ID]],tblStores[Store ID],tblStores[Manager])</f>
        <v>Olivia Turner</v>
      </c>
      <c r="G241" t="str">
        <f>_xlfn.XLOOKUP(tblSales[[#This Row],[Category ID]],tblCategories[Category ID],tblCategories[Category])</f>
        <v>Kids</v>
      </c>
      <c r="H241">
        <v>60207</v>
      </c>
      <c r="I241">
        <v>68940</v>
      </c>
      <c r="J241">
        <v>141</v>
      </c>
      <c r="K241">
        <f>tblSales[[#This Row],[Sales]]-tblSales[[#This Row],[Budget]]</f>
        <v>-8733</v>
      </c>
      <c r="L241" s="3">
        <f>(tblSales[[#This Row],[Sales]]-tblSales[[#This Row],[Budget]])/tblSales[[#This Row],[Budget]]</f>
        <v>-0.12667536988685812</v>
      </c>
      <c r="M241" s="2">
        <f>tblSales[[#This Row],[Sales]]/tblSales[[#This Row],[Transactions]]</f>
        <v>427</v>
      </c>
    </row>
    <row r="242" spans="1:13" x14ac:dyDescent="0.25">
      <c r="A242" s="1">
        <v>46035</v>
      </c>
      <c r="B242" t="s">
        <v>6</v>
      </c>
      <c r="C242" t="s">
        <v>9</v>
      </c>
      <c r="D242" t="str">
        <f>_xlfn.XLOOKUP(tblSales[[#This Row],[Store ID]],tblStores[Store ID],tblStores[Store Name])</f>
        <v>Durban CBD</v>
      </c>
      <c r="E242" t="str">
        <f>_xlfn.XLOOKUP(tblSales[[#This Row],[Store ID]],tblStores[Store ID],tblStores[Province])</f>
        <v>KZN</v>
      </c>
      <c r="F242" t="str">
        <f>_xlfn.XLOOKUP(tblSales[[#This Row],[Store ID]],tblStores[Store ID],tblStores[Manager])</f>
        <v>Sarah Adams</v>
      </c>
      <c r="G242" t="str">
        <f>_xlfn.XLOOKUP(tblSales[[#This Row],[Category ID]],tblCategories[Category ID],tblCategories[Category])</f>
        <v>Ladieswear</v>
      </c>
      <c r="H242">
        <v>69762</v>
      </c>
      <c r="I242">
        <v>65308</v>
      </c>
      <c r="J242">
        <v>151</v>
      </c>
      <c r="K242">
        <f>tblSales[[#This Row],[Sales]]-tblSales[[#This Row],[Budget]]</f>
        <v>4454</v>
      </c>
      <c r="L242" s="3">
        <f>(tblSales[[#This Row],[Sales]]-tblSales[[#This Row],[Budget]])/tblSales[[#This Row],[Budget]]</f>
        <v>6.8199914252465244E-2</v>
      </c>
      <c r="M242" s="2">
        <f>tblSales[[#This Row],[Sales]]/tblSales[[#This Row],[Transactions]]</f>
        <v>462</v>
      </c>
    </row>
    <row r="243" spans="1:13" x14ac:dyDescent="0.25">
      <c r="A243" s="1">
        <v>46035</v>
      </c>
      <c r="B243" t="s">
        <v>8</v>
      </c>
      <c r="C243" t="s">
        <v>9</v>
      </c>
      <c r="D243" t="str">
        <f>_xlfn.XLOOKUP(tblSales[[#This Row],[Store ID]],tblStores[Store ID],tblStores[Store Name])</f>
        <v>Gateway</v>
      </c>
      <c r="E243" t="str">
        <f>_xlfn.XLOOKUP(tblSales[[#This Row],[Store ID]],tblStores[Store ID],tblStores[Province])</f>
        <v>KZN</v>
      </c>
      <c r="F243" t="str">
        <f>_xlfn.XLOOKUP(tblSales[[#This Row],[Store ID]],tblStores[Store ID],tblStores[Manager])</f>
        <v>Michael Jones</v>
      </c>
      <c r="G243" t="str">
        <f>_xlfn.XLOOKUP(tblSales[[#This Row],[Category ID]],tblCategories[Category ID],tblCategories[Category])</f>
        <v>Ladieswear</v>
      </c>
      <c r="H243">
        <v>82720</v>
      </c>
      <c r="I243">
        <v>89881</v>
      </c>
      <c r="J243">
        <v>188</v>
      </c>
      <c r="K243">
        <f>tblSales[[#This Row],[Sales]]-tblSales[[#This Row],[Budget]]</f>
        <v>-7161</v>
      </c>
      <c r="L243" s="3">
        <f>(tblSales[[#This Row],[Sales]]-tblSales[[#This Row],[Budget]])/tblSales[[#This Row],[Budget]]</f>
        <v>-7.9672010769795618E-2</v>
      </c>
      <c r="M243" s="2">
        <f>tblSales[[#This Row],[Sales]]/tblSales[[#This Row],[Transactions]]</f>
        <v>440</v>
      </c>
    </row>
    <row r="244" spans="1:13" x14ac:dyDescent="0.25">
      <c r="A244" s="1">
        <v>46035</v>
      </c>
      <c r="B244" t="s">
        <v>10</v>
      </c>
      <c r="C244" t="s">
        <v>9</v>
      </c>
      <c r="D244" t="str">
        <f>_xlfn.XLOOKUP(tblSales[[#This Row],[Store ID]],tblStores[Store ID],tblStores[Store Name])</f>
        <v>Ballito</v>
      </c>
      <c r="E244" t="str">
        <f>_xlfn.XLOOKUP(tblSales[[#This Row],[Store ID]],tblStores[Store ID],tblStores[Province])</f>
        <v>KZN</v>
      </c>
      <c r="F244" t="str">
        <f>_xlfn.XLOOKUP(tblSales[[#This Row],[Store ID]],tblStores[Store ID],tblStores[Manager])</f>
        <v>Linda Smith</v>
      </c>
      <c r="G244" t="str">
        <f>_xlfn.XLOOKUP(tblSales[[#This Row],[Category ID]],tblCategories[Category ID],tblCategories[Category])</f>
        <v>Ladieswear</v>
      </c>
      <c r="H244">
        <v>16692</v>
      </c>
      <c r="I244">
        <v>18247</v>
      </c>
      <c r="J244">
        <v>52</v>
      </c>
      <c r="K244">
        <f>tblSales[[#This Row],[Sales]]-tblSales[[#This Row],[Budget]]</f>
        <v>-1555</v>
      </c>
      <c r="L244" s="3">
        <f>(tblSales[[#This Row],[Sales]]-tblSales[[#This Row],[Budget]])/tblSales[[#This Row],[Budget]]</f>
        <v>-8.5219488135035895E-2</v>
      </c>
      <c r="M244" s="2">
        <f>tblSales[[#This Row],[Sales]]/tblSales[[#This Row],[Transactions]]</f>
        <v>321</v>
      </c>
    </row>
    <row r="245" spans="1:13" x14ac:dyDescent="0.25">
      <c r="A245" s="1">
        <v>46035</v>
      </c>
      <c r="B245" t="s">
        <v>12</v>
      </c>
      <c r="C245" t="s">
        <v>11</v>
      </c>
      <c r="D245" t="str">
        <f>_xlfn.XLOOKUP(tblSales[[#This Row],[Store ID]],tblStores[Store ID],tblStores[Store Name])</f>
        <v>Pietermaritzburg</v>
      </c>
      <c r="E245" t="str">
        <f>_xlfn.XLOOKUP(tblSales[[#This Row],[Store ID]],tblStores[Store ID],tblStores[Province])</f>
        <v>KZN</v>
      </c>
      <c r="F245" t="str">
        <f>_xlfn.XLOOKUP(tblSales[[#This Row],[Store ID]],tblStores[Store ID],tblStores[Manager])</f>
        <v>Peter Brown</v>
      </c>
      <c r="G245" t="str">
        <f>_xlfn.XLOOKUP(tblSales[[#This Row],[Category ID]],tblCategories[Category ID],tblCategories[Category])</f>
        <v>Footwear</v>
      </c>
      <c r="H245">
        <v>53558</v>
      </c>
      <c r="I245">
        <v>51779</v>
      </c>
      <c r="J245">
        <v>122</v>
      </c>
      <c r="K245">
        <f>tblSales[[#This Row],[Sales]]-tblSales[[#This Row],[Budget]]</f>
        <v>1779</v>
      </c>
      <c r="L245" s="3">
        <f>(tblSales[[#This Row],[Sales]]-tblSales[[#This Row],[Budget]])/tblSales[[#This Row],[Budget]]</f>
        <v>3.4357558083392879E-2</v>
      </c>
      <c r="M245" s="2">
        <f>tblSales[[#This Row],[Sales]]/tblSales[[#This Row],[Transactions]]</f>
        <v>439</v>
      </c>
    </row>
    <row r="246" spans="1:13" x14ac:dyDescent="0.25">
      <c r="A246" s="1">
        <v>46035</v>
      </c>
      <c r="B246" t="s">
        <v>13</v>
      </c>
      <c r="C246" t="s">
        <v>7</v>
      </c>
      <c r="D246" t="str">
        <f>_xlfn.XLOOKUP(tblSales[[#This Row],[Store ID]],tblStores[Store ID],tblStores[Store Name])</f>
        <v>Richards Bay</v>
      </c>
      <c r="E246" t="str">
        <f>_xlfn.XLOOKUP(tblSales[[#This Row],[Store ID]],tblStores[Store ID],tblStores[Province])</f>
        <v>KZN</v>
      </c>
      <c r="F246" t="str">
        <f>_xlfn.XLOOKUP(tblSales[[#This Row],[Store ID]],tblStores[Store ID],tblStores[Manager])</f>
        <v>David Green</v>
      </c>
      <c r="G246" t="str">
        <f>_xlfn.XLOOKUP(tblSales[[#This Row],[Category ID]],tblCategories[Category ID],tblCategories[Category])</f>
        <v>Menswear</v>
      </c>
      <c r="H246">
        <v>35524</v>
      </c>
      <c r="I246">
        <v>39409</v>
      </c>
      <c r="J246">
        <v>107</v>
      </c>
      <c r="K246">
        <f>tblSales[[#This Row],[Sales]]-tblSales[[#This Row],[Budget]]</f>
        <v>-3885</v>
      </c>
      <c r="L246" s="3">
        <f>(tblSales[[#This Row],[Sales]]-tblSales[[#This Row],[Budget]])/tblSales[[#This Row],[Budget]]</f>
        <v>-9.8581542287294779E-2</v>
      </c>
      <c r="M246" s="2">
        <f>tblSales[[#This Row],[Sales]]/tblSales[[#This Row],[Transactions]]</f>
        <v>332</v>
      </c>
    </row>
    <row r="247" spans="1:13" x14ac:dyDescent="0.25">
      <c r="A247" s="1">
        <v>46035</v>
      </c>
      <c r="B247" t="s">
        <v>14</v>
      </c>
      <c r="C247" t="s">
        <v>19</v>
      </c>
      <c r="D247" t="str">
        <f>_xlfn.XLOOKUP(tblSales[[#This Row],[Store ID]],tblStores[Store ID],tblStores[Store Name])</f>
        <v>Sandton</v>
      </c>
      <c r="E247" t="str">
        <f>_xlfn.XLOOKUP(tblSales[[#This Row],[Store ID]],tblStores[Store ID],tblStores[Province])</f>
        <v>Gauteng</v>
      </c>
      <c r="F247" t="str">
        <f>_xlfn.XLOOKUP(tblSales[[#This Row],[Store ID]],tblStores[Store ID],tblStores[Manager])</f>
        <v>Karen White</v>
      </c>
      <c r="G247" t="str">
        <f>_xlfn.XLOOKUP(tblSales[[#This Row],[Category ID]],tblCategories[Category ID],tblCategories[Category])</f>
        <v>Accessories</v>
      </c>
      <c r="H247">
        <v>87290</v>
      </c>
      <c r="I247">
        <v>97443</v>
      </c>
      <c r="J247">
        <v>203</v>
      </c>
      <c r="K247">
        <f>tblSales[[#This Row],[Sales]]-tblSales[[#This Row],[Budget]]</f>
        <v>-10153</v>
      </c>
      <c r="L247" s="3">
        <f>(tblSales[[#This Row],[Sales]]-tblSales[[#This Row],[Budget]])/tblSales[[#This Row],[Budget]]</f>
        <v>-0.10419424689305543</v>
      </c>
      <c r="M247" s="2">
        <f>tblSales[[#This Row],[Sales]]/tblSales[[#This Row],[Transactions]]</f>
        <v>430</v>
      </c>
    </row>
    <row r="248" spans="1:13" x14ac:dyDescent="0.25">
      <c r="A248" s="1">
        <v>46035</v>
      </c>
      <c r="B248" t="s">
        <v>15</v>
      </c>
      <c r="C248" t="s">
        <v>11</v>
      </c>
      <c r="D248" t="str">
        <f>_xlfn.XLOOKUP(tblSales[[#This Row],[Store ID]],tblStores[Store ID],tblStores[Store Name])</f>
        <v>Rosebank</v>
      </c>
      <c r="E248" t="str">
        <f>_xlfn.XLOOKUP(tblSales[[#This Row],[Store ID]],tblStores[Store ID],tblStores[Province])</f>
        <v>Gauteng</v>
      </c>
      <c r="F248" t="str">
        <f>_xlfn.XLOOKUP(tblSales[[#This Row],[Store ID]],tblStores[Store ID],tblStores[Manager])</f>
        <v>James Taylor</v>
      </c>
      <c r="G248" t="str">
        <f>_xlfn.XLOOKUP(tblSales[[#This Row],[Category ID]],tblCategories[Category ID],tblCategories[Category])</f>
        <v>Footwear</v>
      </c>
      <c r="H248">
        <v>73444</v>
      </c>
      <c r="I248">
        <v>72436</v>
      </c>
      <c r="J248">
        <v>172</v>
      </c>
      <c r="K248">
        <f>tblSales[[#This Row],[Sales]]-tblSales[[#This Row],[Budget]]</f>
        <v>1008</v>
      </c>
      <c r="L248" s="3">
        <f>(tblSales[[#This Row],[Sales]]-tblSales[[#This Row],[Budget]])/tblSales[[#This Row],[Budget]]</f>
        <v>1.3915732508697333E-2</v>
      </c>
      <c r="M248" s="2">
        <f>tblSales[[#This Row],[Sales]]/tblSales[[#This Row],[Transactions]]</f>
        <v>427</v>
      </c>
    </row>
    <row r="249" spans="1:13" x14ac:dyDescent="0.25">
      <c r="A249" s="1">
        <v>46035</v>
      </c>
      <c r="B249" t="s">
        <v>16</v>
      </c>
      <c r="C249" t="s">
        <v>19</v>
      </c>
      <c r="D249" t="str">
        <f>_xlfn.XLOOKUP(tblSales[[#This Row],[Store ID]],tblStores[Store ID],tblStores[Store Name])</f>
        <v>Pretoria</v>
      </c>
      <c r="E249" t="str">
        <f>_xlfn.XLOOKUP(tblSales[[#This Row],[Store ID]],tblStores[Store ID],tblStores[Province])</f>
        <v>Gauteng</v>
      </c>
      <c r="F249" t="str">
        <f>_xlfn.XLOOKUP(tblSales[[#This Row],[Store ID]],tblStores[Store ID],tblStores[Manager])</f>
        <v>Susan Clark</v>
      </c>
      <c r="G249" t="str">
        <f>_xlfn.XLOOKUP(tblSales[[#This Row],[Category ID]],tblCategories[Category ID],tblCategories[Category])</f>
        <v>Accessories</v>
      </c>
      <c r="H249">
        <v>64902</v>
      </c>
      <c r="I249">
        <v>65799</v>
      </c>
      <c r="J249">
        <v>174</v>
      </c>
      <c r="K249">
        <f>tblSales[[#This Row],[Sales]]-tblSales[[#This Row],[Budget]]</f>
        <v>-897</v>
      </c>
      <c r="L249" s="3">
        <f>(tblSales[[#This Row],[Sales]]-tblSales[[#This Row],[Budget]])/tblSales[[#This Row],[Budget]]</f>
        <v>-1.3632426024711621E-2</v>
      </c>
      <c r="M249" s="2">
        <f>tblSales[[#This Row],[Sales]]/tblSales[[#This Row],[Transactions]]</f>
        <v>373</v>
      </c>
    </row>
    <row r="250" spans="1:13" x14ac:dyDescent="0.25">
      <c r="A250" s="1">
        <v>46035</v>
      </c>
      <c r="B250" t="s">
        <v>17</v>
      </c>
      <c r="C250" t="s">
        <v>22</v>
      </c>
      <c r="D250" t="str">
        <f>_xlfn.XLOOKUP(tblSales[[#This Row],[Store ID]],tblStores[Store ID],tblStores[Store Name])</f>
        <v>Centurion</v>
      </c>
      <c r="E250" t="str">
        <f>_xlfn.XLOOKUP(tblSales[[#This Row],[Store ID]],tblStores[Store ID],tblStores[Province])</f>
        <v>Gauteng</v>
      </c>
      <c r="F250" t="str">
        <f>_xlfn.XLOOKUP(tblSales[[#This Row],[Store ID]],tblStores[Store ID],tblStores[Manager])</f>
        <v>Mark Wilson</v>
      </c>
      <c r="G250" t="str">
        <f>_xlfn.XLOOKUP(tblSales[[#This Row],[Category ID]],tblCategories[Category ID],tblCategories[Category])</f>
        <v>Kids</v>
      </c>
      <c r="H250">
        <v>25066</v>
      </c>
      <c r="I250">
        <v>26142</v>
      </c>
      <c r="J250">
        <v>83</v>
      </c>
      <c r="K250">
        <f>tblSales[[#This Row],[Sales]]-tblSales[[#This Row],[Budget]]</f>
        <v>-1076</v>
      </c>
      <c r="L250" s="3">
        <f>(tblSales[[#This Row],[Sales]]-tblSales[[#This Row],[Budget]])/tblSales[[#This Row],[Budget]]</f>
        <v>-4.1159819447632161E-2</v>
      </c>
      <c r="M250" s="2">
        <f>tblSales[[#This Row],[Sales]]/tblSales[[#This Row],[Transactions]]</f>
        <v>302</v>
      </c>
    </row>
    <row r="251" spans="1:13" x14ac:dyDescent="0.25">
      <c r="A251" s="1">
        <v>46035</v>
      </c>
      <c r="B251" t="s">
        <v>18</v>
      </c>
      <c r="C251" t="s">
        <v>9</v>
      </c>
      <c r="D251" t="str">
        <f>_xlfn.XLOOKUP(tblSales[[#This Row],[Store ID]],tblStores[Store ID],tblStores[Store Name])</f>
        <v>East Rand</v>
      </c>
      <c r="E251" t="str">
        <f>_xlfn.XLOOKUP(tblSales[[#This Row],[Store ID]],tblStores[Store ID],tblStores[Province])</f>
        <v>Gauteng</v>
      </c>
      <c r="F251" t="str">
        <f>_xlfn.XLOOKUP(tblSales[[#This Row],[Store ID]],tblStores[Store ID],tblStores[Manager])</f>
        <v>Lisa Young</v>
      </c>
      <c r="G251" t="str">
        <f>_xlfn.XLOOKUP(tblSales[[#This Row],[Category ID]],tblCategories[Category ID],tblCategories[Category])</f>
        <v>Ladieswear</v>
      </c>
      <c r="H251">
        <v>28280</v>
      </c>
      <c r="I251">
        <v>27701</v>
      </c>
      <c r="J251">
        <v>140</v>
      </c>
      <c r="K251">
        <f>tblSales[[#This Row],[Sales]]-tblSales[[#This Row],[Budget]]</f>
        <v>579</v>
      </c>
      <c r="L251" s="3">
        <f>(tblSales[[#This Row],[Sales]]-tblSales[[#This Row],[Budget]])/tblSales[[#This Row],[Budget]]</f>
        <v>2.0901772499187756E-2</v>
      </c>
      <c r="M251" s="2">
        <f>tblSales[[#This Row],[Sales]]/tblSales[[#This Row],[Transactions]]</f>
        <v>202</v>
      </c>
    </row>
    <row r="252" spans="1:13" x14ac:dyDescent="0.25">
      <c r="A252" s="1">
        <v>46035</v>
      </c>
      <c r="B252" t="s">
        <v>20</v>
      </c>
      <c r="C252" t="s">
        <v>11</v>
      </c>
      <c r="D252" t="str">
        <f>_xlfn.XLOOKUP(tblSales[[#This Row],[Store ID]],tblStores[Store ID],tblStores[Store Name])</f>
        <v>Cape Town CBD</v>
      </c>
      <c r="E252" t="str">
        <f>_xlfn.XLOOKUP(tblSales[[#This Row],[Store ID]],tblStores[Store ID],tblStores[Province])</f>
        <v>Western Cape</v>
      </c>
      <c r="F252" t="str">
        <f>_xlfn.XLOOKUP(tblSales[[#This Row],[Store ID]],tblStores[Store ID],tblStores[Manager])</f>
        <v>Brian Hall</v>
      </c>
      <c r="G252" t="str">
        <f>_xlfn.XLOOKUP(tblSales[[#This Row],[Category ID]],tblCategories[Category ID],tblCategories[Category])</f>
        <v>Footwear</v>
      </c>
      <c r="H252">
        <v>80625</v>
      </c>
      <c r="I252">
        <v>80344</v>
      </c>
      <c r="J252">
        <v>215</v>
      </c>
      <c r="K252">
        <f>tblSales[[#This Row],[Sales]]-tblSales[[#This Row],[Budget]]</f>
        <v>281</v>
      </c>
      <c r="L252" s="3">
        <f>(tblSales[[#This Row],[Sales]]-tblSales[[#This Row],[Budget]])/tblSales[[#This Row],[Budget]]</f>
        <v>3.497460918052375E-3</v>
      </c>
      <c r="M252" s="2">
        <f>tblSales[[#This Row],[Sales]]/tblSales[[#This Row],[Transactions]]</f>
        <v>375</v>
      </c>
    </row>
    <row r="253" spans="1:13" x14ac:dyDescent="0.25">
      <c r="A253" s="1">
        <v>46035</v>
      </c>
      <c r="B253" t="s">
        <v>21</v>
      </c>
      <c r="C253" t="s">
        <v>9</v>
      </c>
      <c r="D253" t="str">
        <f>_xlfn.XLOOKUP(tblSales[[#This Row],[Store ID]],tblStores[Store ID],tblStores[Store Name])</f>
        <v>Canal Walk</v>
      </c>
      <c r="E253" t="str">
        <f>_xlfn.XLOOKUP(tblSales[[#This Row],[Store ID]],tblStores[Store ID],tblStores[Province])</f>
        <v>Western Cape</v>
      </c>
      <c r="F253" t="str">
        <f>_xlfn.XLOOKUP(tblSales[[#This Row],[Store ID]],tblStores[Store ID],tblStores[Manager])</f>
        <v>Megan Scott</v>
      </c>
      <c r="G253" t="str">
        <f>_xlfn.XLOOKUP(tblSales[[#This Row],[Category ID]],tblCategories[Category ID],tblCategories[Category])</f>
        <v>Ladieswear</v>
      </c>
      <c r="H253">
        <v>31878</v>
      </c>
      <c r="I253">
        <v>29696</v>
      </c>
      <c r="J253">
        <v>161</v>
      </c>
      <c r="K253">
        <f>tblSales[[#This Row],[Sales]]-tblSales[[#This Row],[Budget]]</f>
        <v>2182</v>
      </c>
      <c r="L253" s="3">
        <f>(tblSales[[#This Row],[Sales]]-tblSales[[#This Row],[Budget]])/tblSales[[#This Row],[Budget]]</f>
        <v>7.3477909482758619E-2</v>
      </c>
      <c r="M253" s="2">
        <f>tblSales[[#This Row],[Sales]]/tblSales[[#This Row],[Transactions]]</f>
        <v>198</v>
      </c>
    </row>
    <row r="254" spans="1:13" x14ac:dyDescent="0.25">
      <c r="A254" s="1">
        <v>46035</v>
      </c>
      <c r="B254" t="s">
        <v>23</v>
      </c>
      <c r="C254" t="s">
        <v>19</v>
      </c>
      <c r="D254" t="str">
        <f>_xlfn.XLOOKUP(tblSales[[#This Row],[Store ID]],tblStores[Store ID],tblStores[Store Name])</f>
        <v>Stellenbosch</v>
      </c>
      <c r="E254" t="str">
        <f>_xlfn.XLOOKUP(tblSales[[#This Row],[Store ID]],tblStores[Store ID],tblStores[Province])</f>
        <v>Western Cape</v>
      </c>
      <c r="F254" t="str">
        <f>_xlfn.XLOOKUP(tblSales[[#This Row],[Store ID]],tblStores[Store ID],tblStores[Manager])</f>
        <v>Jason King</v>
      </c>
      <c r="G254" t="str">
        <f>_xlfn.XLOOKUP(tblSales[[#This Row],[Category ID]],tblCategories[Category ID],tblCategories[Category])</f>
        <v>Accessories</v>
      </c>
      <c r="H254">
        <v>27489</v>
      </c>
      <c r="I254">
        <v>30747</v>
      </c>
      <c r="J254">
        <v>119</v>
      </c>
      <c r="K254">
        <f>tblSales[[#This Row],[Sales]]-tblSales[[#This Row],[Budget]]</f>
        <v>-3258</v>
      </c>
      <c r="L254" s="3">
        <f>(tblSales[[#This Row],[Sales]]-tblSales[[#This Row],[Budget]])/tblSales[[#This Row],[Budget]]</f>
        <v>-0.10596155722509513</v>
      </c>
      <c r="M254" s="2">
        <f>tblSales[[#This Row],[Sales]]/tblSales[[#This Row],[Transactions]]</f>
        <v>231</v>
      </c>
    </row>
    <row r="255" spans="1:13" x14ac:dyDescent="0.25">
      <c r="A255" s="1">
        <v>46035</v>
      </c>
      <c r="B255" t="s">
        <v>24</v>
      </c>
      <c r="C255" t="s">
        <v>11</v>
      </c>
      <c r="D255" t="str">
        <f>_xlfn.XLOOKUP(tblSales[[#This Row],[Store ID]],tblStores[Store ID],tblStores[Store Name])</f>
        <v>George</v>
      </c>
      <c r="E255" t="str">
        <f>_xlfn.XLOOKUP(tblSales[[#This Row],[Store ID]],tblStores[Store ID],tblStores[Province])</f>
        <v>Western Cape</v>
      </c>
      <c r="F255" t="str">
        <f>_xlfn.XLOOKUP(tblSales[[#This Row],[Store ID]],tblStores[Store ID],tblStores[Manager])</f>
        <v>Chloe Hill</v>
      </c>
      <c r="G255" t="str">
        <f>_xlfn.XLOOKUP(tblSales[[#This Row],[Category ID]],tblCategories[Category ID],tblCategories[Category])</f>
        <v>Footwear</v>
      </c>
      <c r="H255">
        <v>26940</v>
      </c>
      <c r="I255">
        <v>30377</v>
      </c>
      <c r="J255">
        <v>60</v>
      </c>
      <c r="K255">
        <f>tblSales[[#This Row],[Sales]]-tblSales[[#This Row],[Budget]]</f>
        <v>-3437</v>
      </c>
      <c r="L255" s="3">
        <f>(tblSales[[#This Row],[Sales]]-tblSales[[#This Row],[Budget]])/tblSales[[#This Row],[Budget]]</f>
        <v>-0.11314481351022154</v>
      </c>
      <c r="M255" s="2">
        <f>tblSales[[#This Row],[Sales]]/tblSales[[#This Row],[Transactions]]</f>
        <v>449</v>
      </c>
    </row>
    <row r="256" spans="1:13" x14ac:dyDescent="0.25">
      <c r="A256" s="1">
        <v>46035</v>
      </c>
      <c r="B256" t="s">
        <v>25</v>
      </c>
      <c r="C256" t="s">
        <v>7</v>
      </c>
      <c r="D256" t="str">
        <f>_xlfn.XLOOKUP(tblSales[[#This Row],[Store ID]],tblStores[Store ID],tblStores[Store Name])</f>
        <v>Paarl</v>
      </c>
      <c r="E256" t="str">
        <f>_xlfn.XLOOKUP(tblSales[[#This Row],[Store ID]],tblStores[Store ID],tblStores[Province])</f>
        <v>Western Cape</v>
      </c>
      <c r="F256" t="str">
        <f>_xlfn.XLOOKUP(tblSales[[#This Row],[Store ID]],tblStores[Store ID],tblStores[Manager])</f>
        <v>Andrew Lee</v>
      </c>
      <c r="G256" t="str">
        <f>_xlfn.XLOOKUP(tblSales[[#This Row],[Category ID]],tblCategories[Category ID],tblCategories[Category])</f>
        <v>Menswear</v>
      </c>
      <c r="H256">
        <v>55407</v>
      </c>
      <c r="I256">
        <v>55545</v>
      </c>
      <c r="J256">
        <v>219</v>
      </c>
      <c r="K256">
        <f>tblSales[[#This Row],[Sales]]-tblSales[[#This Row],[Budget]]</f>
        <v>-138</v>
      </c>
      <c r="L256" s="3">
        <f>(tblSales[[#This Row],[Sales]]-tblSales[[#This Row],[Budget]])/tblSales[[#This Row],[Budget]]</f>
        <v>-2.4844720496894411E-3</v>
      </c>
      <c r="M256" s="2">
        <f>tblSales[[#This Row],[Sales]]/tblSales[[#This Row],[Transactions]]</f>
        <v>253</v>
      </c>
    </row>
    <row r="257" spans="1:13" x14ac:dyDescent="0.25">
      <c r="A257" s="1">
        <v>46035</v>
      </c>
      <c r="B257" t="s">
        <v>26</v>
      </c>
      <c r="C257" t="s">
        <v>9</v>
      </c>
      <c r="D257" t="str">
        <f>_xlfn.XLOOKUP(tblSales[[#This Row],[Store ID]],tblStores[Store ID],tblStores[Store Name])</f>
        <v>Gqeberha</v>
      </c>
      <c r="E257" t="str">
        <f>_xlfn.XLOOKUP(tblSales[[#This Row],[Store ID]],tblStores[Store ID],tblStores[Province])</f>
        <v>Eastern Cape</v>
      </c>
      <c r="F257" t="str">
        <f>_xlfn.XLOOKUP(tblSales[[#This Row],[Store ID]],tblStores[Store ID],tblStores[Manager])</f>
        <v>Emma Baker</v>
      </c>
      <c r="G257" t="str">
        <f>_xlfn.XLOOKUP(tblSales[[#This Row],[Category ID]],tblCategories[Category ID],tblCategories[Category])</f>
        <v>Ladieswear</v>
      </c>
      <c r="H257">
        <v>22680</v>
      </c>
      <c r="I257">
        <v>24843</v>
      </c>
      <c r="J257">
        <v>54</v>
      </c>
      <c r="K257">
        <f>tblSales[[#This Row],[Sales]]-tblSales[[#This Row],[Budget]]</f>
        <v>-2163</v>
      </c>
      <c r="L257" s="3">
        <f>(tblSales[[#This Row],[Sales]]-tblSales[[#This Row],[Budget]])/tblSales[[#This Row],[Budget]]</f>
        <v>-8.7066779374471687E-2</v>
      </c>
      <c r="M257" s="2">
        <f>tblSales[[#This Row],[Sales]]/tblSales[[#This Row],[Transactions]]</f>
        <v>420</v>
      </c>
    </row>
    <row r="258" spans="1:13" x14ac:dyDescent="0.25">
      <c r="A258" s="1">
        <v>46035</v>
      </c>
      <c r="B258" t="s">
        <v>27</v>
      </c>
      <c r="C258" t="s">
        <v>22</v>
      </c>
      <c r="D258" t="str">
        <f>_xlfn.XLOOKUP(tblSales[[#This Row],[Store ID]],tblStores[Store ID],tblStores[Store Name])</f>
        <v>East London</v>
      </c>
      <c r="E258" t="str">
        <f>_xlfn.XLOOKUP(tblSales[[#This Row],[Store ID]],tblStores[Store ID],tblStores[Province])</f>
        <v>Eastern Cape</v>
      </c>
      <c r="F258" t="str">
        <f>_xlfn.XLOOKUP(tblSales[[#This Row],[Store ID]],tblStores[Store ID],tblStores[Manager])</f>
        <v>Daniel Evans</v>
      </c>
      <c r="G258" t="str">
        <f>_xlfn.XLOOKUP(tblSales[[#This Row],[Category ID]],tblCategories[Category ID],tblCategories[Category])</f>
        <v>Kids</v>
      </c>
      <c r="H258">
        <v>60379</v>
      </c>
      <c r="I258">
        <v>64797</v>
      </c>
      <c r="J258">
        <v>121</v>
      </c>
      <c r="K258">
        <f>tblSales[[#This Row],[Sales]]-tblSales[[#This Row],[Budget]]</f>
        <v>-4418</v>
      </c>
      <c r="L258" s="3">
        <f>(tblSales[[#This Row],[Sales]]-tblSales[[#This Row],[Budget]])/tblSales[[#This Row],[Budget]]</f>
        <v>-6.8182168927573811E-2</v>
      </c>
      <c r="M258" s="2">
        <f>tblSales[[#This Row],[Sales]]/tblSales[[#This Row],[Transactions]]</f>
        <v>499</v>
      </c>
    </row>
    <row r="259" spans="1:13" x14ac:dyDescent="0.25">
      <c r="A259" s="1">
        <v>46035</v>
      </c>
      <c r="B259" t="s">
        <v>28</v>
      </c>
      <c r="C259" t="s">
        <v>7</v>
      </c>
      <c r="D259" t="str">
        <f>_xlfn.XLOOKUP(tblSales[[#This Row],[Store ID]],tblStores[Store ID],tblStores[Store Name])</f>
        <v>Bloemfontein</v>
      </c>
      <c r="E259" t="str">
        <f>_xlfn.XLOOKUP(tblSales[[#This Row],[Store ID]],tblStores[Store ID],tblStores[Province])</f>
        <v>Free State</v>
      </c>
      <c r="F259" t="str">
        <f>_xlfn.XLOOKUP(tblSales[[#This Row],[Store ID]],tblStores[Store ID],tblStores[Manager])</f>
        <v>Rachel Moore</v>
      </c>
      <c r="G259" t="str">
        <f>_xlfn.XLOOKUP(tblSales[[#This Row],[Category ID]],tblCategories[Category ID],tblCategories[Category])</f>
        <v>Menswear</v>
      </c>
      <c r="H259">
        <v>53907</v>
      </c>
      <c r="I259">
        <v>53637</v>
      </c>
      <c r="J259">
        <v>119</v>
      </c>
      <c r="K259">
        <f>tblSales[[#This Row],[Sales]]-tblSales[[#This Row],[Budget]]</f>
        <v>270</v>
      </c>
      <c r="L259" s="3">
        <f>(tblSales[[#This Row],[Sales]]-tblSales[[#This Row],[Budget]])/tblSales[[#This Row],[Budget]]</f>
        <v>5.0338385815761506E-3</v>
      </c>
      <c r="M259" s="2">
        <f>tblSales[[#This Row],[Sales]]/tblSales[[#This Row],[Transactions]]</f>
        <v>453</v>
      </c>
    </row>
    <row r="260" spans="1:13" x14ac:dyDescent="0.25">
      <c r="A260" s="1">
        <v>46035</v>
      </c>
      <c r="B260" t="s">
        <v>29</v>
      </c>
      <c r="C260" t="s">
        <v>22</v>
      </c>
      <c r="D260" t="str">
        <f>_xlfn.XLOOKUP(tblSales[[#This Row],[Store ID]],tblStores[Store ID],tblStores[Store Name])</f>
        <v>Polokwane</v>
      </c>
      <c r="E260" t="str">
        <f>_xlfn.XLOOKUP(tblSales[[#This Row],[Store ID]],tblStores[Store ID],tblStores[Province])</f>
        <v>Limpopo</v>
      </c>
      <c r="F260" t="str">
        <f>_xlfn.XLOOKUP(tblSales[[#This Row],[Store ID]],tblStores[Store ID],tblStores[Manager])</f>
        <v>Kevin Harris</v>
      </c>
      <c r="G260" t="str">
        <f>_xlfn.XLOOKUP(tblSales[[#This Row],[Category ID]],tblCategories[Category ID],tblCategories[Category])</f>
        <v>Kids</v>
      </c>
      <c r="H260">
        <v>83655</v>
      </c>
      <c r="I260">
        <v>93534</v>
      </c>
      <c r="J260">
        <v>195</v>
      </c>
      <c r="K260">
        <f>tblSales[[#This Row],[Sales]]-tblSales[[#This Row],[Budget]]</f>
        <v>-9879</v>
      </c>
      <c r="L260" s="3">
        <f>(tblSales[[#This Row],[Sales]]-tblSales[[#This Row],[Budget]])/tblSales[[#This Row],[Budget]]</f>
        <v>-0.10561934697543139</v>
      </c>
      <c r="M260" s="2">
        <f>tblSales[[#This Row],[Sales]]/tblSales[[#This Row],[Transactions]]</f>
        <v>429</v>
      </c>
    </row>
    <row r="261" spans="1:13" x14ac:dyDescent="0.25">
      <c r="A261" s="1">
        <v>46035</v>
      </c>
      <c r="B261" t="s">
        <v>30</v>
      </c>
      <c r="C261" t="s">
        <v>7</v>
      </c>
      <c r="D261" t="str">
        <f>_xlfn.XLOOKUP(tblSales[[#This Row],[Store ID]],tblStores[Store ID],tblStores[Store Name])</f>
        <v>Nelspruit</v>
      </c>
      <c r="E261" t="str">
        <f>_xlfn.XLOOKUP(tblSales[[#This Row],[Store ID]],tblStores[Store ID],tblStores[Province])</f>
        <v>Mpumalanga</v>
      </c>
      <c r="F261" t="str">
        <f>_xlfn.XLOOKUP(tblSales[[#This Row],[Store ID]],tblStores[Store ID],tblStores[Manager])</f>
        <v>Olivia Turner</v>
      </c>
      <c r="G261" t="str">
        <f>_xlfn.XLOOKUP(tblSales[[#This Row],[Category ID]],tblCategories[Category ID],tblCategories[Category])</f>
        <v>Menswear</v>
      </c>
      <c r="H261">
        <v>41495</v>
      </c>
      <c r="I261">
        <v>39780</v>
      </c>
      <c r="J261">
        <v>193</v>
      </c>
      <c r="K261">
        <f>tblSales[[#This Row],[Sales]]-tblSales[[#This Row],[Budget]]</f>
        <v>1715</v>
      </c>
      <c r="L261" s="3">
        <f>(tblSales[[#This Row],[Sales]]-tblSales[[#This Row],[Budget]])/tblSales[[#This Row],[Budget]]</f>
        <v>4.3112116641528406E-2</v>
      </c>
      <c r="M261" s="2">
        <f>tblSales[[#This Row],[Sales]]/tblSales[[#This Row],[Transactions]]</f>
        <v>215</v>
      </c>
    </row>
    <row r="262" spans="1:13" x14ac:dyDescent="0.25">
      <c r="A262" s="1">
        <v>46036</v>
      </c>
      <c r="B262" t="s">
        <v>6</v>
      </c>
      <c r="C262" t="s">
        <v>22</v>
      </c>
      <c r="D262" t="str">
        <f>_xlfn.XLOOKUP(tblSales[[#This Row],[Store ID]],tblStores[Store ID],tblStores[Store Name])</f>
        <v>Durban CBD</v>
      </c>
      <c r="E262" t="str">
        <f>_xlfn.XLOOKUP(tblSales[[#This Row],[Store ID]],tblStores[Store ID],tblStores[Province])</f>
        <v>KZN</v>
      </c>
      <c r="F262" t="str">
        <f>_xlfn.XLOOKUP(tblSales[[#This Row],[Store ID]],tblStores[Store ID],tblStores[Manager])</f>
        <v>Sarah Adams</v>
      </c>
      <c r="G262" t="str">
        <f>_xlfn.XLOOKUP(tblSales[[#This Row],[Category ID]],tblCategories[Category ID],tblCategories[Category])</f>
        <v>Kids</v>
      </c>
      <c r="H262">
        <v>21018</v>
      </c>
      <c r="I262">
        <v>21196</v>
      </c>
      <c r="J262">
        <v>93</v>
      </c>
      <c r="K262">
        <f>tblSales[[#This Row],[Sales]]-tblSales[[#This Row],[Budget]]</f>
        <v>-178</v>
      </c>
      <c r="L262" s="3">
        <f>(tblSales[[#This Row],[Sales]]-tblSales[[#This Row],[Budget]])/tblSales[[#This Row],[Budget]]</f>
        <v>-8.3978109077184372E-3</v>
      </c>
      <c r="M262" s="2">
        <f>tblSales[[#This Row],[Sales]]/tblSales[[#This Row],[Transactions]]</f>
        <v>226</v>
      </c>
    </row>
    <row r="263" spans="1:13" x14ac:dyDescent="0.25">
      <c r="A263" s="1">
        <v>46036</v>
      </c>
      <c r="B263" t="s">
        <v>8</v>
      </c>
      <c r="C263" t="s">
        <v>7</v>
      </c>
      <c r="D263" t="str">
        <f>_xlfn.XLOOKUP(tblSales[[#This Row],[Store ID]],tblStores[Store ID],tblStores[Store Name])</f>
        <v>Gateway</v>
      </c>
      <c r="E263" t="str">
        <f>_xlfn.XLOOKUP(tblSales[[#This Row],[Store ID]],tblStores[Store ID],tblStores[Province])</f>
        <v>KZN</v>
      </c>
      <c r="F263" t="str">
        <f>_xlfn.XLOOKUP(tblSales[[#This Row],[Store ID]],tblStores[Store ID],tblStores[Manager])</f>
        <v>Michael Jones</v>
      </c>
      <c r="G263" t="str">
        <f>_xlfn.XLOOKUP(tblSales[[#This Row],[Category ID]],tblCategories[Category ID],tblCategories[Category])</f>
        <v>Menswear</v>
      </c>
      <c r="H263">
        <v>45507</v>
      </c>
      <c r="I263">
        <v>46003</v>
      </c>
      <c r="J263">
        <v>197</v>
      </c>
      <c r="K263">
        <f>tblSales[[#This Row],[Sales]]-tblSales[[#This Row],[Budget]]</f>
        <v>-496</v>
      </c>
      <c r="L263" s="3">
        <f>(tblSales[[#This Row],[Sales]]-tblSales[[#This Row],[Budget]])/tblSales[[#This Row],[Budget]]</f>
        <v>-1.0781905527900355E-2</v>
      </c>
      <c r="M263" s="2">
        <f>tblSales[[#This Row],[Sales]]/tblSales[[#This Row],[Transactions]]</f>
        <v>231</v>
      </c>
    </row>
    <row r="264" spans="1:13" x14ac:dyDescent="0.25">
      <c r="A264" s="1">
        <v>46036</v>
      </c>
      <c r="B264" t="s">
        <v>10</v>
      </c>
      <c r="C264" t="s">
        <v>22</v>
      </c>
      <c r="D264" t="str">
        <f>_xlfn.XLOOKUP(tblSales[[#This Row],[Store ID]],tblStores[Store ID],tblStores[Store Name])</f>
        <v>Ballito</v>
      </c>
      <c r="E264" t="str">
        <f>_xlfn.XLOOKUP(tblSales[[#This Row],[Store ID]],tblStores[Store ID],tblStores[Province])</f>
        <v>KZN</v>
      </c>
      <c r="F264" t="str">
        <f>_xlfn.XLOOKUP(tblSales[[#This Row],[Store ID]],tblStores[Store ID],tblStores[Manager])</f>
        <v>Linda Smith</v>
      </c>
      <c r="G264" t="str">
        <f>_xlfn.XLOOKUP(tblSales[[#This Row],[Category ID]],tblCategories[Category ID],tblCategories[Category])</f>
        <v>Kids</v>
      </c>
      <c r="H264">
        <v>8526</v>
      </c>
      <c r="I264">
        <v>8364</v>
      </c>
      <c r="J264">
        <v>42</v>
      </c>
      <c r="K264">
        <f>tblSales[[#This Row],[Sales]]-tblSales[[#This Row],[Budget]]</f>
        <v>162</v>
      </c>
      <c r="L264" s="3">
        <f>(tblSales[[#This Row],[Sales]]-tblSales[[#This Row],[Budget]])/tblSales[[#This Row],[Budget]]</f>
        <v>1.9368723098995694E-2</v>
      </c>
      <c r="M264" s="2">
        <f>tblSales[[#This Row],[Sales]]/tblSales[[#This Row],[Transactions]]</f>
        <v>203</v>
      </c>
    </row>
    <row r="265" spans="1:13" x14ac:dyDescent="0.25">
      <c r="A265" s="1">
        <v>46036</v>
      </c>
      <c r="B265" t="s">
        <v>12</v>
      </c>
      <c r="C265" t="s">
        <v>7</v>
      </c>
      <c r="D265" t="str">
        <f>_xlfn.XLOOKUP(tblSales[[#This Row],[Store ID]],tblStores[Store ID],tblStores[Store Name])</f>
        <v>Pietermaritzburg</v>
      </c>
      <c r="E265" t="str">
        <f>_xlfn.XLOOKUP(tblSales[[#This Row],[Store ID]],tblStores[Store ID],tblStores[Province])</f>
        <v>KZN</v>
      </c>
      <c r="F265" t="str">
        <f>_xlfn.XLOOKUP(tblSales[[#This Row],[Store ID]],tblStores[Store ID],tblStores[Manager])</f>
        <v>Peter Brown</v>
      </c>
      <c r="G265" t="str">
        <f>_xlfn.XLOOKUP(tblSales[[#This Row],[Category ID]],tblCategories[Category ID],tblCategories[Category])</f>
        <v>Menswear</v>
      </c>
      <c r="H265">
        <v>39930</v>
      </c>
      <c r="I265">
        <v>39678</v>
      </c>
      <c r="J265">
        <v>110</v>
      </c>
      <c r="K265">
        <f>tblSales[[#This Row],[Sales]]-tblSales[[#This Row],[Budget]]</f>
        <v>252</v>
      </c>
      <c r="L265" s="3">
        <f>(tblSales[[#This Row],[Sales]]-tblSales[[#This Row],[Budget]])/tblSales[[#This Row],[Budget]]</f>
        <v>6.3511265688794795E-3</v>
      </c>
      <c r="M265" s="2">
        <f>tblSales[[#This Row],[Sales]]/tblSales[[#This Row],[Transactions]]</f>
        <v>363</v>
      </c>
    </row>
    <row r="266" spans="1:13" x14ac:dyDescent="0.25">
      <c r="A266" s="1">
        <v>46036</v>
      </c>
      <c r="B266" t="s">
        <v>13</v>
      </c>
      <c r="C266" t="s">
        <v>9</v>
      </c>
      <c r="D266" t="str">
        <f>_xlfn.XLOOKUP(tblSales[[#This Row],[Store ID]],tblStores[Store ID],tblStores[Store Name])</f>
        <v>Richards Bay</v>
      </c>
      <c r="E266" t="str">
        <f>_xlfn.XLOOKUP(tblSales[[#This Row],[Store ID]],tblStores[Store ID],tblStores[Province])</f>
        <v>KZN</v>
      </c>
      <c r="F266" t="str">
        <f>_xlfn.XLOOKUP(tblSales[[#This Row],[Store ID]],tblStores[Store ID],tblStores[Manager])</f>
        <v>David Green</v>
      </c>
      <c r="G266" t="str">
        <f>_xlfn.XLOOKUP(tblSales[[#This Row],[Category ID]],tblCategories[Category ID],tblCategories[Category])</f>
        <v>Ladieswear</v>
      </c>
      <c r="H266">
        <v>43747</v>
      </c>
      <c r="I266">
        <v>43878</v>
      </c>
      <c r="J266">
        <v>97</v>
      </c>
      <c r="K266">
        <f>tblSales[[#This Row],[Sales]]-tblSales[[#This Row],[Budget]]</f>
        <v>-131</v>
      </c>
      <c r="L266" s="3">
        <f>(tblSales[[#This Row],[Sales]]-tblSales[[#This Row],[Budget]])/tblSales[[#This Row],[Budget]]</f>
        <v>-2.9855508455262319E-3</v>
      </c>
      <c r="M266" s="2">
        <f>tblSales[[#This Row],[Sales]]/tblSales[[#This Row],[Transactions]]</f>
        <v>451</v>
      </c>
    </row>
    <row r="267" spans="1:13" x14ac:dyDescent="0.25">
      <c r="A267" s="1">
        <v>46036</v>
      </c>
      <c r="B267" t="s">
        <v>14</v>
      </c>
      <c r="C267" t="s">
        <v>9</v>
      </c>
      <c r="D267" t="str">
        <f>_xlfn.XLOOKUP(tblSales[[#This Row],[Store ID]],tblStores[Store ID],tblStores[Store Name])</f>
        <v>Sandton</v>
      </c>
      <c r="E267" t="str">
        <f>_xlfn.XLOOKUP(tblSales[[#This Row],[Store ID]],tblStores[Store ID],tblStores[Province])</f>
        <v>Gauteng</v>
      </c>
      <c r="F267" t="str">
        <f>_xlfn.XLOOKUP(tblSales[[#This Row],[Store ID]],tblStores[Store ID],tblStores[Manager])</f>
        <v>Karen White</v>
      </c>
      <c r="G267" t="str">
        <f>_xlfn.XLOOKUP(tblSales[[#This Row],[Category ID]],tblCategories[Category ID],tblCategories[Category])</f>
        <v>Ladieswear</v>
      </c>
      <c r="H267">
        <v>20982</v>
      </c>
      <c r="I267">
        <v>19298</v>
      </c>
      <c r="J267">
        <v>78</v>
      </c>
      <c r="K267">
        <f>tblSales[[#This Row],[Sales]]-tblSales[[#This Row],[Budget]]</f>
        <v>1684</v>
      </c>
      <c r="L267" s="3">
        <f>(tblSales[[#This Row],[Sales]]-tblSales[[#This Row],[Budget]])/tblSales[[#This Row],[Budget]]</f>
        <v>8.7262928800912007E-2</v>
      </c>
      <c r="M267" s="2">
        <f>tblSales[[#This Row],[Sales]]/tblSales[[#This Row],[Transactions]]</f>
        <v>269</v>
      </c>
    </row>
    <row r="268" spans="1:13" x14ac:dyDescent="0.25">
      <c r="A268" s="1">
        <v>46036</v>
      </c>
      <c r="B268" t="s">
        <v>15</v>
      </c>
      <c r="C268" t="s">
        <v>11</v>
      </c>
      <c r="D268" t="str">
        <f>_xlfn.XLOOKUP(tblSales[[#This Row],[Store ID]],tblStores[Store ID],tblStores[Store Name])</f>
        <v>Rosebank</v>
      </c>
      <c r="E268" t="str">
        <f>_xlfn.XLOOKUP(tblSales[[#This Row],[Store ID]],tblStores[Store ID],tblStores[Province])</f>
        <v>Gauteng</v>
      </c>
      <c r="F268" t="str">
        <f>_xlfn.XLOOKUP(tblSales[[#This Row],[Store ID]],tblStores[Store ID],tblStores[Manager])</f>
        <v>James Taylor</v>
      </c>
      <c r="G268" t="str">
        <f>_xlfn.XLOOKUP(tblSales[[#This Row],[Category ID]],tblCategories[Category ID],tblCategories[Category])</f>
        <v>Footwear</v>
      </c>
      <c r="H268">
        <v>58479</v>
      </c>
      <c r="I268">
        <v>59906</v>
      </c>
      <c r="J268">
        <v>193</v>
      </c>
      <c r="K268">
        <f>tblSales[[#This Row],[Sales]]-tblSales[[#This Row],[Budget]]</f>
        <v>-1427</v>
      </c>
      <c r="L268" s="3">
        <f>(tblSales[[#This Row],[Sales]]-tblSales[[#This Row],[Budget]])/tblSales[[#This Row],[Budget]]</f>
        <v>-2.3820652355356724E-2</v>
      </c>
      <c r="M268" s="2">
        <f>tblSales[[#This Row],[Sales]]/tblSales[[#This Row],[Transactions]]</f>
        <v>303</v>
      </c>
    </row>
    <row r="269" spans="1:13" x14ac:dyDescent="0.25">
      <c r="A269" s="1">
        <v>46036</v>
      </c>
      <c r="B269" t="s">
        <v>16</v>
      </c>
      <c r="C269" t="s">
        <v>19</v>
      </c>
      <c r="D269" t="str">
        <f>_xlfn.XLOOKUP(tblSales[[#This Row],[Store ID]],tblStores[Store ID],tblStores[Store Name])</f>
        <v>Pretoria</v>
      </c>
      <c r="E269" t="str">
        <f>_xlfn.XLOOKUP(tblSales[[#This Row],[Store ID]],tblStores[Store ID],tblStores[Province])</f>
        <v>Gauteng</v>
      </c>
      <c r="F269" t="str">
        <f>_xlfn.XLOOKUP(tblSales[[#This Row],[Store ID]],tblStores[Store ID],tblStores[Manager])</f>
        <v>Susan Clark</v>
      </c>
      <c r="G269" t="str">
        <f>_xlfn.XLOOKUP(tblSales[[#This Row],[Category ID]],tblCategories[Category ID],tblCategories[Category])</f>
        <v>Accessories</v>
      </c>
      <c r="H269">
        <v>21158</v>
      </c>
      <c r="I269">
        <v>21481</v>
      </c>
      <c r="J269">
        <v>71</v>
      </c>
      <c r="K269">
        <f>tblSales[[#This Row],[Sales]]-tblSales[[#This Row],[Budget]]</f>
        <v>-323</v>
      </c>
      <c r="L269" s="3">
        <f>(tblSales[[#This Row],[Sales]]-tblSales[[#This Row],[Budget]])/tblSales[[#This Row],[Budget]]</f>
        <v>-1.5036543922536194E-2</v>
      </c>
      <c r="M269" s="2">
        <f>tblSales[[#This Row],[Sales]]/tblSales[[#This Row],[Transactions]]</f>
        <v>298</v>
      </c>
    </row>
    <row r="270" spans="1:13" x14ac:dyDescent="0.25">
      <c r="A270" s="1">
        <v>46036</v>
      </c>
      <c r="B270" t="s">
        <v>17</v>
      </c>
      <c r="C270" t="s">
        <v>22</v>
      </c>
      <c r="D270" t="str">
        <f>_xlfn.XLOOKUP(tblSales[[#This Row],[Store ID]],tblStores[Store ID],tblStores[Store Name])</f>
        <v>Centurion</v>
      </c>
      <c r="E270" t="str">
        <f>_xlfn.XLOOKUP(tblSales[[#This Row],[Store ID]],tblStores[Store ID],tblStores[Province])</f>
        <v>Gauteng</v>
      </c>
      <c r="F270" t="str">
        <f>_xlfn.XLOOKUP(tblSales[[#This Row],[Store ID]],tblStores[Store ID],tblStores[Manager])</f>
        <v>Mark Wilson</v>
      </c>
      <c r="G270" t="str">
        <f>_xlfn.XLOOKUP(tblSales[[#This Row],[Category ID]],tblCategories[Category ID],tblCategories[Category])</f>
        <v>Kids</v>
      </c>
      <c r="H270">
        <v>47120</v>
      </c>
      <c r="I270">
        <v>50263</v>
      </c>
      <c r="J270">
        <v>152</v>
      </c>
      <c r="K270">
        <f>tblSales[[#This Row],[Sales]]-tblSales[[#This Row],[Budget]]</f>
        <v>-3143</v>
      </c>
      <c r="L270" s="3">
        <f>(tblSales[[#This Row],[Sales]]-tblSales[[#This Row],[Budget]])/tblSales[[#This Row],[Budget]]</f>
        <v>-6.2531086485088441E-2</v>
      </c>
      <c r="M270" s="2">
        <f>tblSales[[#This Row],[Sales]]/tblSales[[#This Row],[Transactions]]</f>
        <v>310</v>
      </c>
    </row>
    <row r="271" spans="1:13" x14ac:dyDescent="0.25">
      <c r="A271" s="1">
        <v>46036</v>
      </c>
      <c r="B271" t="s">
        <v>18</v>
      </c>
      <c r="C271" t="s">
        <v>11</v>
      </c>
      <c r="D271" t="str">
        <f>_xlfn.XLOOKUP(tblSales[[#This Row],[Store ID]],tblStores[Store ID],tblStores[Store Name])</f>
        <v>East Rand</v>
      </c>
      <c r="E271" t="str">
        <f>_xlfn.XLOOKUP(tblSales[[#This Row],[Store ID]],tblStores[Store ID],tblStores[Province])</f>
        <v>Gauteng</v>
      </c>
      <c r="F271" t="str">
        <f>_xlfn.XLOOKUP(tblSales[[#This Row],[Store ID]],tblStores[Store ID],tblStores[Manager])</f>
        <v>Lisa Young</v>
      </c>
      <c r="G271" t="str">
        <f>_xlfn.XLOOKUP(tblSales[[#This Row],[Category ID]],tblCategories[Category ID],tblCategories[Category])</f>
        <v>Footwear</v>
      </c>
      <c r="H271">
        <v>49572</v>
      </c>
      <c r="I271">
        <v>46572</v>
      </c>
      <c r="J271">
        <v>108</v>
      </c>
      <c r="K271">
        <f>tblSales[[#This Row],[Sales]]-tblSales[[#This Row],[Budget]]</f>
        <v>3000</v>
      </c>
      <c r="L271" s="3">
        <f>(tblSales[[#This Row],[Sales]]-tblSales[[#This Row],[Budget]])/tblSales[[#This Row],[Budget]]</f>
        <v>6.4416387528987373E-2</v>
      </c>
      <c r="M271" s="2">
        <f>tblSales[[#This Row],[Sales]]/tblSales[[#This Row],[Transactions]]</f>
        <v>459</v>
      </c>
    </row>
    <row r="272" spans="1:13" x14ac:dyDescent="0.25">
      <c r="A272" s="1">
        <v>46036</v>
      </c>
      <c r="B272" t="s">
        <v>20</v>
      </c>
      <c r="C272" t="s">
        <v>11</v>
      </c>
      <c r="D272" t="str">
        <f>_xlfn.XLOOKUP(tblSales[[#This Row],[Store ID]],tblStores[Store ID],tblStores[Store Name])</f>
        <v>Cape Town CBD</v>
      </c>
      <c r="E272" t="str">
        <f>_xlfn.XLOOKUP(tblSales[[#This Row],[Store ID]],tblStores[Store ID],tblStores[Province])</f>
        <v>Western Cape</v>
      </c>
      <c r="F272" t="str">
        <f>_xlfn.XLOOKUP(tblSales[[#This Row],[Store ID]],tblStores[Store ID],tblStores[Manager])</f>
        <v>Brian Hall</v>
      </c>
      <c r="G272" t="str">
        <f>_xlfn.XLOOKUP(tblSales[[#This Row],[Category ID]],tblCategories[Category ID],tblCategories[Category])</f>
        <v>Footwear</v>
      </c>
      <c r="H272">
        <v>59040</v>
      </c>
      <c r="I272">
        <v>57551</v>
      </c>
      <c r="J272">
        <v>123</v>
      </c>
      <c r="K272">
        <f>tblSales[[#This Row],[Sales]]-tblSales[[#This Row],[Budget]]</f>
        <v>1489</v>
      </c>
      <c r="L272" s="3">
        <f>(tblSales[[#This Row],[Sales]]-tblSales[[#This Row],[Budget]])/tblSales[[#This Row],[Budget]]</f>
        <v>2.5872704210178798E-2</v>
      </c>
      <c r="M272" s="2">
        <f>tblSales[[#This Row],[Sales]]/tblSales[[#This Row],[Transactions]]</f>
        <v>480</v>
      </c>
    </row>
    <row r="273" spans="1:13" x14ac:dyDescent="0.25">
      <c r="A273" s="1">
        <v>46036</v>
      </c>
      <c r="B273" t="s">
        <v>21</v>
      </c>
      <c r="C273" t="s">
        <v>11</v>
      </c>
      <c r="D273" t="str">
        <f>_xlfn.XLOOKUP(tblSales[[#This Row],[Store ID]],tblStores[Store ID],tblStores[Store Name])</f>
        <v>Canal Walk</v>
      </c>
      <c r="E273" t="str">
        <f>_xlfn.XLOOKUP(tblSales[[#This Row],[Store ID]],tblStores[Store ID],tblStores[Province])</f>
        <v>Western Cape</v>
      </c>
      <c r="F273" t="str">
        <f>_xlfn.XLOOKUP(tblSales[[#This Row],[Store ID]],tblStores[Store ID],tblStores[Manager])</f>
        <v>Megan Scott</v>
      </c>
      <c r="G273" t="str">
        <f>_xlfn.XLOOKUP(tblSales[[#This Row],[Category ID]],tblCategories[Category ID],tblCategories[Category])</f>
        <v>Footwear</v>
      </c>
      <c r="H273">
        <v>64988</v>
      </c>
      <c r="I273">
        <v>65911</v>
      </c>
      <c r="J273">
        <v>211</v>
      </c>
      <c r="K273">
        <f>tblSales[[#This Row],[Sales]]-tblSales[[#This Row],[Budget]]</f>
        <v>-923</v>
      </c>
      <c r="L273" s="3">
        <f>(tblSales[[#This Row],[Sales]]-tblSales[[#This Row],[Budget]])/tblSales[[#This Row],[Budget]]</f>
        <v>-1.4003732305684939E-2</v>
      </c>
      <c r="M273" s="2">
        <f>tblSales[[#This Row],[Sales]]/tblSales[[#This Row],[Transactions]]</f>
        <v>308</v>
      </c>
    </row>
    <row r="274" spans="1:13" x14ac:dyDescent="0.25">
      <c r="A274" s="1">
        <v>46036</v>
      </c>
      <c r="B274" t="s">
        <v>23</v>
      </c>
      <c r="C274" t="s">
        <v>22</v>
      </c>
      <c r="D274" t="str">
        <f>_xlfn.XLOOKUP(tblSales[[#This Row],[Store ID]],tblStores[Store ID],tblStores[Store Name])</f>
        <v>Stellenbosch</v>
      </c>
      <c r="E274" t="str">
        <f>_xlfn.XLOOKUP(tblSales[[#This Row],[Store ID]],tblStores[Store ID],tblStores[Province])</f>
        <v>Western Cape</v>
      </c>
      <c r="F274" t="str">
        <f>_xlfn.XLOOKUP(tblSales[[#This Row],[Store ID]],tblStores[Store ID],tblStores[Manager])</f>
        <v>Jason King</v>
      </c>
      <c r="G274" t="str">
        <f>_xlfn.XLOOKUP(tblSales[[#This Row],[Category ID]],tblCategories[Category ID],tblCategories[Category])</f>
        <v>Kids</v>
      </c>
      <c r="H274">
        <v>31960</v>
      </c>
      <c r="I274">
        <v>35582</v>
      </c>
      <c r="J274">
        <v>85</v>
      </c>
      <c r="K274">
        <f>tblSales[[#This Row],[Sales]]-tblSales[[#This Row],[Budget]]</f>
        <v>-3622</v>
      </c>
      <c r="L274" s="3">
        <f>(tblSales[[#This Row],[Sales]]-tblSales[[#This Row],[Budget]])/tblSales[[#This Row],[Budget]]</f>
        <v>-0.10179304142543982</v>
      </c>
      <c r="M274" s="2">
        <f>tblSales[[#This Row],[Sales]]/tblSales[[#This Row],[Transactions]]</f>
        <v>376</v>
      </c>
    </row>
    <row r="275" spans="1:13" x14ac:dyDescent="0.25">
      <c r="A275" s="1">
        <v>46036</v>
      </c>
      <c r="B275" t="s">
        <v>24</v>
      </c>
      <c r="C275" t="s">
        <v>7</v>
      </c>
      <c r="D275" t="str">
        <f>_xlfn.XLOOKUP(tblSales[[#This Row],[Store ID]],tblStores[Store ID],tblStores[Store Name])</f>
        <v>George</v>
      </c>
      <c r="E275" t="str">
        <f>_xlfn.XLOOKUP(tblSales[[#This Row],[Store ID]],tblStores[Store ID],tblStores[Province])</f>
        <v>Western Cape</v>
      </c>
      <c r="F275" t="str">
        <f>_xlfn.XLOOKUP(tblSales[[#This Row],[Store ID]],tblStores[Store ID],tblStores[Manager])</f>
        <v>Chloe Hill</v>
      </c>
      <c r="G275" t="str">
        <f>_xlfn.XLOOKUP(tblSales[[#This Row],[Category ID]],tblCategories[Category ID],tblCategories[Category])</f>
        <v>Menswear</v>
      </c>
      <c r="H275">
        <v>35625</v>
      </c>
      <c r="I275">
        <v>37156</v>
      </c>
      <c r="J275">
        <v>95</v>
      </c>
      <c r="K275">
        <f>tblSales[[#This Row],[Sales]]-tblSales[[#This Row],[Budget]]</f>
        <v>-1531</v>
      </c>
      <c r="L275" s="3">
        <f>(tblSales[[#This Row],[Sales]]-tblSales[[#This Row],[Budget]])/tblSales[[#This Row],[Budget]]</f>
        <v>-4.1204650662073419E-2</v>
      </c>
      <c r="M275" s="2">
        <f>tblSales[[#This Row],[Sales]]/tblSales[[#This Row],[Transactions]]</f>
        <v>375</v>
      </c>
    </row>
    <row r="276" spans="1:13" x14ac:dyDescent="0.25">
      <c r="A276" s="1">
        <v>46036</v>
      </c>
      <c r="B276" t="s">
        <v>25</v>
      </c>
      <c r="C276" t="s">
        <v>19</v>
      </c>
      <c r="D276" t="str">
        <f>_xlfn.XLOOKUP(tblSales[[#This Row],[Store ID]],tblStores[Store ID],tblStores[Store Name])</f>
        <v>Paarl</v>
      </c>
      <c r="E276" t="str">
        <f>_xlfn.XLOOKUP(tblSales[[#This Row],[Store ID]],tblStores[Store ID],tblStores[Province])</f>
        <v>Western Cape</v>
      </c>
      <c r="F276" t="str">
        <f>_xlfn.XLOOKUP(tblSales[[#This Row],[Store ID]],tblStores[Store ID],tblStores[Manager])</f>
        <v>Andrew Lee</v>
      </c>
      <c r="G276" t="str">
        <f>_xlfn.XLOOKUP(tblSales[[#This Row],[Category ID]],tblCategories[Category ID],tblCategories[Category])</f>
        <v>Accessories</v>
      </c>
      <c r="H276">
        <v>36410</v>
      </c>
      <c r="I276">
        <v>32968</v>
      </c>
      <c r="J276">
        <v>110</v>
      </c>
      <c r="K276">
        <f>tblSales[[#This Row],[Sales]]-tblSales[[#This Row],[Budget]]</f>
        <v>3442</v>
      </c>
      <c r="L276" s="3">
        <f>(tblSales[[#This Row],[Sales]]-tblSales[[#This Row],[Budget]])/tblSales[[#This Row],[Budget]]</f>
        <v>0.1044042708080563</v>
      </c>
      <c r="M276" s="2">
        <f>tblSales[[#This Row],[Sales]]/tblSales[[#This Row],[Transactions]]</f>
        <v>331</v>
      </c>
    </row>
    <row r="277" spans="1:13" x14ac:dyDescent="0.25">
      <c r="A277" s="1">
        <v>46036</v>
      </c>
      <c r="B277" t="s">
        <v>26</v>
      </c>
      <c r="C277" t="s">
        <v>11</v>
      </c>
      <c r="D277" t="str">
        <f>_xlfn.XLOOKUP(tblSales[[#This Row],[Store ID]],tblStores[Store ID],tblStores[Store Name])</f>
        <v>Gqeberha</v>
      </c>
      <c r="E277" t="str">
        <f>_xlfn.XLOOKUP(tblSales[[#This Row],[Store ID]],tblStores[Store ID],tblStores[Province])</f>
        <v>Eastern Cape</v>
      </c>
      <c r="F277" t="str">
        <f>_xlfn.XLOOKUP(tblSales[[#This Row],[Store ID]],tblStores[Store ID],tblStores[Manager])</f>
        <v>Emma Baker</v>
      </c>
      <c r="G277" t="str">
        <f>_xlfn.XLOOKUP(tblSales[[#This Row],[Category ID]],tblCategories[Category ID],tblCategories[Category])</f>
        <v>Footwear</v>
      </c>
      <c r="H277">
        <v>19320</v>
      </c>
      <c r="I277">
        <v>20121</v>
      </c>
      <c r="J277">
        <v>105</v>
      </c>
      <c r="K277">
        <f>tblSales[[#This Row],[Sales]]-tblSales[[#This Row],[Budget]]</f>
        <v>-801</v>
      </c>
      <c r="L277" s="3">
        <f>(tblSales[[#This Row],[Sales]]-tblSales[[#This Row],[Budget]])/tblSales[[#This Row],[Budget]]</f>
        <v>-3.9809154614581781E-2</v>
      </c>
      <c r="M277" s="2">
        <f>tblSales[[#This Row],[Sales]]/tblSales[[#This Row],[Transactions]]</f>
        <v>184</v>
      </c>
    </row>
    <row r="278" spans="1:13" x14ac:dyDescent="0.25">
      <c r="A278" s="1">
        <v>46036</v>
      </c>
      <c r="B278" t="s">
        <v>27</v>
      </c>
      <c r="C278" t="s">
        <v>7</v>
      </c>
      <c r="D278" t="str">
        <f>_xlfn.XLOOKUP(tblSales[[#This Row],[Store ID]],tblStores[Store ID],tblStores[Store Name])</f>
        <v>East London</v>
      </c>
      <c r="E278" t="str">
        <f>_xlfn.XLOOKUP(tblSales[[#This Row],[Store ID]],tblStores[Store ID],tblStores[Province])</f>
        <v>Eastern Cape</v>
      </c>
      <c r="F278" t="str">
        <f>_xlfn.XLOOKUP(tblSales[[#This Row],[Store ID]],tblStores[Store ID],tblStores[Manager])</f>
        <v>Daniel Evans</v>
      </c>
      <c r="G278" t="str">
        <f>_xlfn.XLOOKUP(tblSales[[#This Row],[Category ID]],tblCategories[Category ID],tblCategories[Category])</f>
        <v>Menswear</v>
      </c>
      <c r="H278">
        <v>82460</v>
      </c>
      <c r="I278">
        <v>91382</v>
      </c>
      <c r="J278">
        <v>190</v>
      </c>
      <c r="K278">
        <f>tblSales[[#This Row],[Sales]]-tblSales[[#This Row],[Budget]]</f>
        <v>-8922</v>
      </c>
      <c r="L278" s="3">
        <f>(tblSales[[#This Row],[Sales]]-tblSales[[#This Row],[Budget]])/tblSales[[#This Row],[Budget]]</f>
        <v>-9.7634107373443343E-2</v>
      </c>
      <c r="M278" s="2">
        <f>tblSales[[#This Row],[Sales]]/tblSales[[#This Row],[Transactions]]</f>
        <v>434</v>
      </c>
    </row>
    <row r="279" spans="1:13" x14ac:dyDescent="0.25">
      <c r="A279" s="1">
        <v>46036</v>
      </c>
      <c r="B279" t="s">
        <v>28</v>
      </c>
      <c r="C279" t="s">
        <v>22</v>
      </c>
      <c r="D279" t="str">
        <f>_xlfn.XLOOKUP(tblSales[[#This Row],[Store ID]],tblStores[Store ID],tblStores[Store Name])</f>
        <v>Bloemfontein</v>
      </c>
      <c r="E279" t="str">
        <f>_xlfn.XLOOKUP(tblSales[[#This Row],[Store ID]],tblStores[Store ID],tblStores[Province])</f>
        <v>Free State</v>
      </c>
      <c r="F279" t="str">
        <f>_xlfn.XLOOKUP(tblSales[[#This Row],[Store ID]],tblStores[Store ID],tblStores[Manager])</f>
        <v>Rachel Moore</v>
      </c>
      <c r="G279" t="str">
        <f>_xlfn.XLOOKUP(tblSales[[#This Row],[Category ID]],tblCategories[Category ID],tblCategories[Category])</f>
        <v>Kids</v>
      </c>
      <c r="H279">
        <v>45570</v>
      </c>
      <c r="I279">
        <v>50149</v>
      </c>
      <c r="J279">
        <v>93</v>
      </c>
      <c r="K279">
        <f>tblSales[[#This Row],[Sales]]-tblSales[[#This Row],[Budget]]</f>
        <v>-4579</v>
      </c>
      <c r="L279" s="3">
        <f>(tblSales[[#This Row],[Sales]]-tblSales[[#This Row],[Budget]])/tblSales[[#This Row],[Budget]]</f>
        <v>-9.1307902450696921E-2</v>
      </c>
      <c r="M279" s="2">
        <f>tblSales[[#This Row],[Sales]]/tblSales[[#This Row],[Transactions]]</f>
        <v>490</v>
      </c>
    </row>
    <row r="280" spans="1:13" x14ac:dyDescent="0.25">
      <c r="A280" s="1">
        <v>46036</v>
      </c>
      <c r="B280" t="s">
        <v>29</v>
      </c>
      <c r="C280" t="s">
        <v>9</v>
      </c>
      <c r="D280" t="str">
        <f>_xlfn.XLOOKUP(tblSales[[#This Row],[Store ID]],tblStores[Store ID],tblStores[Store Name])</f>
        <v>Polokwane</v>
      </c>
      <c r="E280" t="str">
        <f>_xlfn.XLOOKUP(tblSales[[#This Row],[Store ID]],tblStores[Store ID],tblStores[Province])</f>
        <v>Limpopo</v>
      </c>
      <c r="F280" t="str">
        <f>_xlfn.XLOOKUP(tblSales[[#This Row],[Store ID]],tblStores[Store ID],tblStores[Manager])</f>
        <v>Kevin Harris</v>
      </c>
      <c r="G280" t="str">
        <f>_xlfn.XLOOKUP(tblSales[[#This Row],[Category ID]],tblCategories[Category ID],tblCategories[Category])</f>
        <v>Ladieswear</v>
      </c>
      <c r="H280">
        <v>54569</v>
      </c>
      <c r="I280">
        <v>57582</v>
      </c>
      <c r="J280">
        <v>197</v>
      </c>
      <c r="K280">
        <f>tblSales[[#This Row],[Sales]]-tblSales[[#This Row],[Budget]]</f>
        <v>-3013</v>
      </c>
      <c r="L280" s="3">
        <f>(tblSales[[#This Row],[Sales]]-tblSales[[#This Row],[Budget]])/tblSales[[#This Row],[Budget]]</f>
        <v>-5.2325379458858672E-2</v>
      </c>
      <c r="M280" s="2">
        <f>tblSales[[#This Row],[Sales]]/tblSales[[#This Row],[Transactions]]</f>
        <v>277</v>
      </c>
    </row>
    <row r="281" spans="1:13" x14ac:dyDescent="0.25">
      <c r="A281" s="1">
        <v>46036</v>
      </c>
      <c r="B281" t="s">
        <v>30</v>
      </c>
      <c r="C281" t="s">
        <v>9</v>
      </c>
      <c r="D281" t="str">
        <f>_xlfn.XLOOKUP(tblSales[[#This Row],[Store ID]],tblStores[Store ID],tblStores[Store Name])</f>
        <v>Nelspruit</v>
      </c>
      <c r="E281" t="str">
        <f>_xlfn.XLOOKUP(tblSales[[#This Row],[Store ID]],tblStores[Store ID],tblStores[Province])</f>
        <v>Mpumalanga</v>
      </c>
      <c r="F281" t="str">
        <f>_xlfn.XLOOKUP(tblSales[[#This Row],[Store ID]],tblStores[Store ID],tblStores[Manager])</f>
        <v>Olivia Turner</v>
      </c>
      <c r="G281" t="str">
        <f>_xlfn.XLOOKUP(tblSales[[#This Row],[Category ID]],tblCategories[Category ID],tblCategories[Category])</f>
        <v>Ladieswear</v>
      </c>
      <c r="H281">
        <v>44655</v>
      </c>
      <c r="I281">
        <v>50274</v>
      </c>
      <c r="J281">
        <v>195</v>
      </c>
      <c r="K281">
        <f>tblSales[[#This Row],[Sales]]-tblSales[[#This Row],[Budget]]</f>
        <v>-5619</v>
      </c>
      <c r="L281" s="3">
        <f>(tblSales[[#This Row],[Sales]]-tblSales[[#This Row],[Budget]])/tblSales[[#This Row],[Budget]]</f>
        <v>-0.11176751402315312</v>
      </c>
      <c r="M281" s="2">
        <f>tblSales[[#This Row],[Sales]]/tblSales[[#This Row],[Transactions]]</f>
        <v>229</v>
      </c>
    </row>
    <row r="282" spans="1:13" x14ac:dyDescent="0.25">
      <c r="A282" s="1">
        <v>46037</v>
      </c>
      <c r="B282" t="s">
        <v>6</v>
      </c>
      <c r="C282" t="s">
        <v>7</v>
      </c>
      <c r="D282" t="str">
        <f>_xlfn.XLOOKUP(tblSales[[#This Row],[Store ID]],tblStores[Store ID],tblStores[Store Name])</f>
        <v>Durban CBD</v>
      </c>
      <c r="E282" t="str">
        <f>_xlfn.XLOOKUP(tblSales[[#This Row],[Store ID]],tblStores[Store ID],tblStores[Province])</f>
        <v>KZN</v>
      </c>
      <c r="F282" t="str">
        <f>_xlfn.XLOOKUP(tblSales[[#This Row],[Store ID]],tblStores[Store ID],tblStores[Manager])</f>
        <v>Sarah Adams</v>
      </c>
      <c r="G282" t="str">
        <f>_xlfn.XLOOKUP(tblSales[[#This Row],[Category ID]],tblCategories[Category ID],tblCategories[Category])</f>
        <v>Menswear</v>
      </c>
      <c r="H282">
        <v>46170</v>
      </c>
      <c r="I282">
        <v>41938</v>
      </c>
      <c r="J282">
        <v>114</v>
      </c>
      <c r="K282">
        <f>tblSales[[#This Row],[Sales]]-tblSales[[#This Row],[Budget]]</f>
        <v>4232</v>
      </c>
      <c r="L282" s="3">
        <f>(tblSales[[#This Row],[Sales]]-tblSales[[#This Row],[Budget]])/tblSales[[#This Row],[Budget]]</f>
        <v>0.10091086842481758</v>
      </c>
      <c r="M282" s="2">
        <f>tblSales[[#This Row],[Sales]]/tblSales[[#This Row],[Transactions]]</f>
        <v>405</v>
      </c>
    </row>
    <row r="283" spans="1:13" x14ac:dyDescent="0.25">
      <c r="A283" s="1">
        <v>46037</v>
      </c>
      <c r="B283" t="s">
        <v>8</v>
      </c>
      <c r="C283" t="s">
        <v>22</v>
      </c>
      <c r="D283" t="str">
        <f>_xlfn.XLOOKUP(tblSales[[#This Row],[Store ID]],tblStores[Store ID],tblStores[Store Name])</f>
        <v>Gateway</v>
      </c>
      <c r="E283" t="str">
        <f>_xlfn.XLOOKUP(tblSales[[#This Row],[Store ID]],tblStores[Store ID],tblStores[Province])</f>
        <v>KZN</v>
      </c>
      <c r="F283" t="str">
        <f>_xlfn.XLOOKUP(tblSales[[#This Row],[Store ID]],tblStores[Store ID],tblStores[Manager])</f>
        <v>Michael Jones</v>
      </c>
      <c r="G283" t="str">
        <f>_xlfn.XLOOKUP(tblSales[[#This Row],[Category ID]],tblCategories[Category ID],tblCategories[Category])</f>
        <v>Kids</v>
      </c>
      <c r="H283">
        <v>15368</v>
      </c>
      <c r="I283">
        <v>17325</v>
      </c>
      <c r="J283">
        <v>68</v>
      </c>
      <c r="K283">
        <f>tblSales[[#This Row],[Sales]]-tblSales[[#This Row],[Budget]]</f>
        <v>-1957</v>
      </c>
      <c r="L283" s="3">
        <f>(tblSales[[#This Row],[Sales]]-tblSales[[#This Row],[Budget]])/tblSales[[#This Row],[Budget]]</f>
        <v>-0.11295815295815295</v>
      </c>
      <c r="M283" s="2">
        <f>tblSales[[#This Row],[Sales]]/tblSales[[#This Row],[Transactions]]</f>
        <v>226</v>
      </c>
    </row>
    <row r="284" spans="1:13" x14ac:dyDescent="0.25">
      <c r="A284" s="1">
        <v>46037</v>
      </c>
      <c r="B284" t="s">
        <v>10</v>
      </c>
      <c r="C284" t="s">
        <v>22</v>
      </c>
      <c r="D284" t="str">
        <f>_xlfn.XLOOKUP(tblSales[[#This Row],[Store ID]],tblStores[Store ID],tblStores[Store Name])</f>
        <v>Ballito</v>
      </c>
      <c r="E284" t="str">
        <f>_xlfn.XLOOKUP(tblSales[[#This Row],[Store ID]],tblStores[Store ID],tblStores[Province])</f>
        <v>KZN</v>
      </c>
      <c r="F284" t="str">
        <f>_xlfn.XLOOKUP(tblSales[[#This Row],[Store ID]],tblStores[Store ID],tblStores[Manager])</f>
        <v>Linda Smith</v>
      </c>
      <c r="G284" t="str">
        <f>_xlfn.XLOOKUP(tblSales[[#This Row],[Category ID]],tblCategories[Category ID],tblCategories[Category])</f>
        <v>Kids</v>
      </c>
      <c r="H284">
        <v>37929</v>
      </c>
      <c r="I284">
        <v>36040</v>
      </c>
      <c r="J284">
        <v>141</v>
      </c>
      <c r="K284">
        <f>tblSales[[#This Row],[Sales]]-tblSales[[#This Row],[Budget]]</f>
        <v>1889</v>
      </c>
      <c r="L284" s="3">
        <f>(tblSales[[#This Row],[Sales]]-tblSales[[#This Row],[Budget]])/tblSales[[#This Row],[Budget]]</f>
        <v>5.2413984461709209E-2</v>
      </c>
      <c r="M284" s="2">
        <f>tblSales[[#This Row],[Sales]]/tblSales[[#This Row],[Transactions]]</f>
        <v>269</v>
      </c>
    </row>
    <row r="285" spans="1:13" x14ac:dyDescent="0.25">
      <c r="A285" s="1">
        <v>46037</v>
      </c>
      <c r="B285" t="s">
        <v>12</v>
      </c>
      <c r="C285" t="s">
        <v>19</v>
      </c>
      <c r="D285" t="str">
        <f>_xlfn.XLOOKUP(tblSales[[#This Row],[Store ID]],tblStores[Store ID],tblStores[Store Name])</f>
        <v>Pietermaritzburg</v>
      </c>
      <c r="E285" t="str">
        <f>_xlfn.XLOOKUP(tblSales[[#This Row],[Store ID]],tblStores[Store ID],tblStores[Province])</f>
        <v>KZN</v>
      </c>
      <c r="F285" t="str">
        <f>_xlfn.XLOOKUP(tblSales[[#This Row],[Store ID]],tblStores[Store ID],tblStores[Manager])</f>
        <v>Peter Brown</v>
      </c>
      <c r="G285" t="str">
        <f>_xlfn.XLOOKUP(tblSales[[#This Row],[Category ID]],tblCategories[Category ID],tblCategories[Category])</f>
        <v>Accessories</v>
      </c>
      <c r="H285">
        <v>57728</v>
      </c>
      <c r="I285">
        <v>59197</v>
      </c>
      <c r="J285">
        <v>128</v>
      </c>
      <c r="K285">
        <f>tblSales[[#This Row],[Sales]]-tblSales[[#This Row],[Budget]]</f>
        <v>-1469</v>
      </c>
      <c r="L285" s="3">
        <f>(tblSales[[#This Row],[Sales]]-tblSales[[#This Row],[Budget]])/tblSales[[#This Row],[Budget]]</f>
        <v>-2.4815446728719361E-2</v>
      </c>
      <c r="M285" s="2">
        <f>tblSales[[#This Row],[Sales]]/tblSales[[#This Row],[Transactions]]</f>
        <v>451</v>
      </c>
    </row>
    <row r="286" spans="1:13" x14ac:dyDescent="0.25">
      <c r="A286" s="1">
        <v>46037</v>
      </c>
      <c r="B286" t="s">
        <v>13</v>
      </c>
      <c r="C286" t="s">
        <v>22</v>
      </c>
      <c r="D286" t="str">
        <f>_xlfn.XLOOKUP(tblSales[[#This Row],[Store ID]],tblStores[Store ID],tblStores[Store Name])</f>
        <v>Richards Bay</v>
      </c>
      <c r="E286" t="str">
        <f>_xlfn.XLOOKUP(tblSales[[#This Row],[Store ID]],tblStores[Store ID],tblStores[Province])</f>
        <v>KZN</v>
      </c>
      <c r="F286" t="str">
        <f>_xlfn.XLOOKUP(tblSales[[#This Row],[Store ID]],tblStores[Store ID],tblStores[Manager])</f>
        <v>David Green</v>
      </c>
      <c r="G286" t="str">
        <f>_xlfn.XLOOKUP(tblSales[[#This Row],[Category ID]],tblCategories[Category ID],tblCategories[Category])</f>
        <v>Kids</v>
      </c>
      <c r="H286">
        <v>23947</v>
      </c>
      <c r="I286">
        <v>27024</v>
      </c>
      <c r="J286">
        <v>77</v>
      </c>
      <c r="K286">
        <f>tblSales[[#This Row],[Sales]]-tblSales[[#This Row],[Budget]]</f>
        <v>-3077</v>
      </c>
      <c r="L286" s="3">
        <f>(tblSales[[#This Row],[Sales]]-tblSales[[#This Row],[Budget]])/tblSales[[#This Row],[Budget]]</f>
        <v>-0.11386175251628182</v>
      </c>
      <c r="M286" s="2">
        <f>tblSales[[#This Row],[Sales]]/tblSales[[#This Row],[Transactions]]</f>
        <v>311</v>
      </c>
    </row>
    <row r="287" spans="1:13" x14ac:dyDescent="0.25">
      <c r="A287" s="1">
        <v>46037</v>
      </c>
      <c r="B287" t="s">
        <v>14</v>
      </c>
      <c r="C287" t="s">
        <v>11</v>
      </c>
      <c r="D287" t="str">
        <f>_xlfn.XLOOKUP(tblSales[[#This Row],[Store ID]],tblStores[Store ID],tblStores[Store Name])</f>
        <v>Sandton</v>
      </c>
      <c r="E287" t="str">
        <f>_xlfn.XLOOKUP(tblSales[[#This Row],[Store ID]],tblStores[Store ID],tblStores[Province])</f>
        <v>Gauteng</v>
      </c>
      <c r="F287" t="str">
        <f>_xlfn.XLOOKUP(tblSales[[#This Row],[Store ID]],tblStores[Store ID],tblStores[Manager])</f>
        <v>Karen White</v>
      </c>
      <c r="G287" t="str">
        <f>_xlfn.XLOOKUP(tblSales[[#This Row],[Category ID]],tblCategories[Category ID],tblCategories[Category])</f>
        <v>Footwear</v>
      </c>
      <c r="H287">
        <v>38830</v>
      </c>
      <c r="I287">
        <v>42754</v>
      </c>
      <c r="J287">
        <v>110</v>
      </c>
      <c r="K287">
        <f>tblSales[[#This Row],[Sales]]-tblSales[[#This Row],[Budget]]</f>
        <v>-3924</v>
      </c>
      <c r="L287" s="3">
        <f>(tblSales[[#This Row],[Sales]]-tblSales[[#This Row],[Budget]])/tblSales[[#This Row],[Budget]]</f>
        <v>-9.1780885998970857E-2</v>
      </c>
      <c r="M287" s="2">
        <f>tblSales[[#This Row],[Sales]]/tblSales[[#This Row],[Transactions]]</f>
        <v>353</v>
      </c>
    </row>
    <row r="288" spans="1:13" x14ac:dyDescent="0.25">
      <c r="A288" s="1">
        <v>46037</v>
      </c>
      <c r="B288" t="s">
        <v>15</v>
      </c>
      <c r="C288" t="s">
        <v>11</v>
      </c>
      <c r="D288" t="str">
        <f>_xlfn.XLOOKUP(tblSales[[#This Row],[Store ID]],tblStores[Store ID],tblStores[Store Name])</f>
        <v>Rosebank</v>
      </c>
      <c r="E288" t="str">
        <f>_xlfn.XLOOKUP(tblSales[[#This Row],[Store ID]],tblStores[Store ID],tblStores[Province])</f>
        <v>Gauteng</v>
      </c>
      <c r="F288" t="str">
        <f>_xlfn.XLOOKUP(tblSales[[#This Row],[Store ID]],tblStores[Store ID],tblStores[Manager])</f>
        <v>James Taylor</v>
      </c>
      <c r="G288" t="str">
        <f>_xlfn.XLOOKUP(tblSales[[#This Row],[Category ID]],tblCategories[Category ID],tblCategories[Category])</f>
        <v>Footwear</v>
      </c>
      <c r="H288">
        <v>13608</v>
      </c>
      <c r="I288">
        <v>14812</v>
      </c>
      <c r="J288">
        <v>54</v>
      </c>
      <c r="K288">
        <f>tblSales[[#This Row],[Sales]]-tblSales[[#This Row],[Budget]]</f>
        <v>-1204</v>
      </c>
      <c r="L288" s="3">
        <f>(tblSales[[#This Row],[Sales]]-tblSales[[#This Row],[Budget]])/tblSales[[#This Row],[Budget]]</f>
        <v>-8.1285444234404536E-2</v>
      </c>
      <c r="M288" s="2">
        <f>tblSales[[#This Row],[Sales]]/tblSales[[#This Row],[Transactions]]</f>
        <v>252</v>
      </c>
    </row>
    <row r="289" spans="1:13" x14ac:dyDescent="0.25">
      <c r="A289" s="1">
        <v>46037</v>
      </c>
      <c r="B289" t="s">
        <v>16</v>
      </c>
      <c r="C289" t="s">
        <v>9</v>
      </c>
      <c r="D289" t="str">
        <f>_xlfn.XLOOKUP(tblSales[[#This Row],[Store ID]],tblStores[Store ID],tblStores[Store Name])</f>
        <v>Pretoria</v>
      </c>
      <c r="E289" t="str">
        <f>_xlfn.XLOOKUP(tblSales[[#This Row],[Store ID]],tblStores[Store ID],tblStores[Province])</f>
        <v>Gauteng</v>
      </c>
      <c r="F289" t="str">
        <f>_xlfn.XLOOKUP(tblSales[[#This Row],[Store ID]],tblStores[Store ID],tblStores[Manager])</f>
        <v>Susan Clark</v>
      </c>
      <c r="G289" t="str">
        <f>_xlfn.XLOOKUP(tblSales[[#This Row],[Category ID]],tblCategories[Category ID],tblCategories[Category])</f>
        <v>Ladieswear</v>
      </c>
      <c r="H289">
        <v>79664</v>
      </c>
      <c r="I289">
        <v>90961</v>
      </c>
      <c r="J289">
        <v>208</v>
      </c>
      <c r="K289">
        <f>tblSales[[#This Row],[Sales]]-tblSales[[#This Row],[Budget]]</f>
        <v>-11297</v>
      </c>
      <c r="L289" s="3">
        <f>(tblSales[[#This Row],[Sales]]-tblSales[[#This Row],[Budget]])/tblSales[[#This Row],[Budget]]</f>
        <v>-0.12419608403601544</v>
      </c>
      <c r="M289" s="2">
        <f>tblSales[[#This Row],[Sales]]/tblSales[[#This Row],[Transactions]]</f>
        <v>383</v>
      </c>
    </row>
    <row r="290" spans="1:13" x14ac:dyDescent="0.25">
      <c r="A290" s="1">
        <v>46037</v>
      </c>
      <c r="B290" t="s">
        <v>17</v>
      </c>
      <c r="C290" t="s">
        <v>19</v>
      </c>
      <c r="D290" t="str">
        <f>_xlfn.XLOOKUP(tblSales[[#This Row],[Store ID]],tblStores[Store ID],tblStores[Store Name])</f>
        <v>Centurion</v>
      </c>
      <c r="E290" t="str">
        <f>_xlfn.XLOOKUP(tblSales[[#This Row],[Store ID]],tblStores[Store ID],tblStores[Province])</f>
        <v>Gauteng</v>
      </c>
      <c r="F290" t="str">
        <f>_xlfn.XLOOKUP(tblSales[[#This Row],[Store ID]],tblStores[Store ID],tblStores[Manager])</f>
        <v>Mark Wilson</v>
      </c>
      <c r="G290" t="str">
        <f>_xlfn.XLOOKUP(tblSales[[#This Row],[Category ID]],tblCategories[Category ID],tblCategories[Category])</f>
        <v>Accessories</v>
      </c>
      <c r="H290">
        <v>28928</v>
      </c>
      <c r="I290">
        <v>31753</v>
      </c>
      <c r="J290">
        <v>128</v>
      </c>
      <c r="K290">
        <f>tblSales[[#This Row],[Sales]]-tblSales[[#This Row],[Budget]]</f>
        <v>-2825</v>
      </c>
      <c r="L290" s="3">
        <f>(tblSales[[#This Row],[Sales]]-tblSales[[#This Row],[Budget]])/tblSales[[#This Row],[Budget]]</f>
        <v>-8.8967971530249115E-2</v>
      </c>
      <c r="M290" s="2">
        <f>tblSales[[#This Row],[Sales]]/tblSales[[#This Row],[Transactions]]</f>
        <v>226</v>
      </c>
    </row>
    <row r="291" spans="1:13" x14ac:dyDescent="0.25">
      <c r="A291" s="1">
        <v>46037</v>
      </c>
      <c r="B291" t="s">
        <v>18</v>
      </c>
      <c r="C291" t="s">
        <v>7</v>
      </c>
      <c r="D291" t="str">
        <f>_xlfn.XLOOKUP(tblSales[[#This Row],[Store ID]],tblStores[Store ID],tblStores[Store Name])</f>
        <v>East Rand</v>
      </c>
      <c r="E291" t="str">
        <f>_xlfn.XLOOKUP(tblSales[[#This Row],[Store ID]],tblStores[Store ID],tblStores[Province])</f>
        <v>Gauteng</v>
      </c>
      <c r="F291" t="str">
        <f>_xlfn.XLOOKUP(tblSales[[#This Row],[Store ID]],tblStores[Store ID],tblStores[Manager])</f>
        <v>Lisa Young</v>
      </c>
      <c r="G291" t="str">
        <f>_xlfn.XLOOKUP(tblSales[[#This Row],[Category ID]],tblCategories[Category ID],tblCategories[Category])</f>
        <v>Menswear</v>
      </c>
      <c r="H291">
        <v>46308</v>
      </c>
      <c r="I291">
        <v>43107</v>
      </c>
      <c r="J291">
        <v>102</v>
      </c>
      <c r="K291">
        <f>tblSales[[#This Row],[Sales]]-tblSales[[#This Row],[Budget]]</f>
        <v>3201</v>
      </c>
      <c r="L291" s="3">
        <f>(tblSales[[#This Row],[Sales]]-tblSales[[#This Row],[Budget]])/tblSales[[#This Row],[Budget]]</f>
        <v>7.4257081216507759E-2</v>
      </c>
      <c r="M291" s="2">
        <f>tblSales[[#This Row],[Sales]]/tblSales[[#This Row],[Transactions]]</f>
        <v>454</v>
      </c>
    </row>
    <row r="292" spans="1:13" x14ac:dyDescent="0.25">
      <c r="A292" s="1">
        <v>46037</v>
      </c>
      <c r="B292" t="s">
        <v>20</v>
      </c>
      <c r="C292" t="s">
        <v>22</v>
      </c>
      <c r="D292" t="str">
        <f>_xlfn.XLOOKUP(tblSales[[#This Row],[Store ID]],tblStores[Store ID],tblStores[Store Name])</f>
        <v>Cape Town CBD</v>
      </c>
      <c r="E292" t="str">
        <f>_xlfn.XLOOKUP(tblSales[[#This Row],[Store ID]],tblStores[Store ID],tblStores[Province])</f>
        <v>Western Cape</v>
      </c>
      <c r="F292" t="str">
        <f>_xlfn.XLOOKUP(tblSales[[#This Row],[Store ID]],tblStores[Store ID],tblStores[Manager])</f>
        <v>Brian Hall</v>
      </c>
      <c r="G292" t="str">
        <f>_xlfn.XLOOKUP(tblSales[[#This Row],[Category ID]],tblCategories[Category ID],tblCategories[Category])</f>
        <v>Kids</v>
      </c>
      <c r="H292">
        <v>64998</v>
      </c>
      <c r="I292">
        <v>67997</v>
      </c>
      <c r="J292">
        <v>207</v>
      </c>
      <c r="K292">
        <f>tblSales[[#This Row],[Sales]]-tblSales[[#This Row],[Budget]]</f>
        <v>-2999</v>
      </c>
      <c r="L292" s="3">
        <f>(tblSales[[#This Row],[Sales]]-tblSales[[#This Row],[Budget]])/tblSales[[#This Row],[Budget]]</f>
        <v>-4.4104886980307956E-2</v>
      </c>
      <c r="M292" s="2">
        <f>tblSales[[#This Row],[Sales]]/tblSales[[#This Row],[Transactions]]</f>
        <v>314</v>
      </c>
    </row>
    <row r="293" spans="1:13" x14ac:dyDescent="0.25">
      <c r="A293" s="1">
        <v>46037</v>
      </c>
      <c r="B293" t="s">
        <v>21</v>
      </c>
      <c r="C293" t="s">
        <v>22</v>
      </c>
      <c r="D293" t="str">
        <f>_xlfn.XLOOKUP(tblSales[[#This Row],[Store ID]],tblStores[Store ID],tblStores[Store Name])</f>
        <v>Canal Walk</v>
      </c>
      <c r="E293" t="str">
        <f>_xlfn.XLOOKUP(tblSales[[#This Row],[Store ID]],tblStores[Store ID],tblStores[Province])</f>
        <v>Western Cape</v>
      </c>
      <c r="F293" t="str">
        <f>_xlfn.XLOOKUP(tblSales[[#This Row],[Store ID]],tblStores[Store ID],tblStores[Manager])</f>
        <v>Megan Scott</v>
      </c>
      <c r="G293" t="str">
        <f>_xlfn.XLOOKUP(tblSales[[#This Row],[Category ID]],tblCategories[Category ID],tblCategories[Category])</f>
        <v>Kids</v>
      </c>
      <c r="H293">
        <v>18538</v>
      </c>
      <c r="I293">
        <v>18869</v>
      </c>
      <c r="J293">
        <v>62</v>
      </c>
      <c r="K293">
        <f>tblSales[[#This Row],[Sales]]-tblSales[[#This Row],[Budget]]</f>
        <v>-331</v>
      </c>
      <c r="L293" s="3">
        <f>(tblSales[[#This Row],[Sales]]-tblSales[[#This Row],[Budget]])/tblSales[[#This Row],[Budget]]</f>
        <v>-1.7542000105993959E-2</v>
      </c>
      <c r="M293" s="2">
        <f>tblSales[[#This Row],[Sales]]/tblSales[[#This Row],[Transactions]]</f>
        <v>299</v>
      </c>
    </row>
    <row r="294" spans="1:13" x14ac:dyDescent="0.25">
      <c r="A294" s="1">
        <v>46037</v>
      </c>
      <c r="B294" t="s">
        <v>23</v>
      </c>
      <c r="C294" t="s">
        <v>19</v>
      </c>
      <c r="D294" t="str">
        <f>_xlfn.XLOOKUP(tblSales[[#This Row],[Store ID]],tblStores[Store ID],tblStores[Store Name])</f>
        <v>Stellenbosch</v>
      </c>
      <c r="E294" t="str">
        <f>_xlfn.XLOOKUP(tblSales[[#This Row],[Store ID]],tblStores[Store ID],tblStores[Province])</f>
        <v>Western Cape</v>
      </c>
      <c r="F294" t="str">
        <f>_xlfn.XLOOKUP(tblSales[[#This Row],[Store ID]],tblStores[Store ID],tblStores[Manager])</f>
        <v>Jason King</v>
      </c>
      <c r="G294" t="str">
        <f>_xlfn.XLOOKUP(tblSales[[#This Row],[Category ID]],tblCategories[Category ID],tblCategories[Category])</f>
        <v>Accessories</v>
      </c>
      <c r="H294">
        <v>61766</v>
      </c>
      <c r="I294">
        <v>69722</v>
      </c>
      <c r="J294">
        <v>178</v>
      </c>
      <c r="K294">
        <f>tblSales[[#This Row],[Sales]]-tblSales[[#This Row],[Budget]]</f>
        <v>-7956</v>
      </c>
      <c r="L294" s="3">
        <f>(tblSales[[#This Row],[Sales]]-tblSales[[#This Row],[Budget]])/tblSales[[#This Row],[Budget]]</f>
        <v>-0.11411032385760592</v>
      </c>
      <c r="M294" s="2">
        <f>tblSales[[#This Row],[Sales]]/tblSales[[#This Row],[Transactions]]</f>
        <v>347</v>
      </c>
    </row>
    <row r="295" spans="1:13" x14ac:dyDescent="0.25">
      <c r="A295" s="1">
        <v>46037</v>
      </c>
      <c r="B295" t="s">
        <v>24</v>
      </c>
      <c r="C295" t="s">
        <v>9</v>
      </c>
      <c r="D295" t="str">
        <f>_xlfn.XLOOKUP(tblSales[[#This Row],[Store ID]],tblStores[Store ID],tblStores[Store Name])</f>
        <v>George</v>
      </c>
      <c r="E295" t="str">
        <f>_xlfn.XLOOKUP(tblSales[[#This Row],[Store ID]],tblStores[Store ID],tblStores[Province])</f>
        <v>Western Cape</v>
      </c>
      <c r="F295" t="str">
        <f>_xlfn.XLOOKUP(tblSales[[#This Row],[Store ID]],tblStores[Store ID],tblStores[Manager])</f>
        <v>Chloe Hill</v>
      </c>
      <c r="G295" t="str">
        <f>_xlfn.XLOOKUP(tblSales[[#This Row],[Category ID]],tblCategories[Category ID],tblCategories[Category])</f>
        <v>Ladieswear</v>
      </c>
      <c r="H295">
        <v>42400</v>
      </c>
      <c r="I295">
        <v>44895</v>
      </c>
      <c r="J295">
        <v>200</v>
      </c>
      <c r="K295">
        <f>tblSales[[#This Row],[Sales]]-tblSales[[#This Row],[Budget]]</f>
        <v>-2495</v>
      </c>
      <c r="L295" s="3">
        <f>(tblSales[[#This Row],[Sales]]-tblSales[[#This Row],[Budget]])/tblSales[[#This Row],[Budget]]</f>
        <v>-5.5574117385009468E-2</v>
      </c>
      <c r="M295" s="2">
        <f>tblSales[[#This Row],[Sales]]/tblSales[[#This Row],[Transactions]]</f>
        <v>212</v>
      </c>
    </row>
    <row r="296" spans="1:13" x14ac:dyDescent="0.25">
      <c r="A296" s="1">
        <v>46037</v>
      </c>
      <c r="B296" t="s">
        <v>25</v>
      </c>
      <c r="C296" t="s">
        <v>11</v>
      </c>
      <c r="D296" t="str">
        <f>_xlfn.XLOOKUP(tblSales[[#This Row],[Store ID]],tblStores[Store ID],tblStores[Store Name])</f>
        <v>Paarl</v>
      </c>
      <c r="E296" t="str">
        <f>_xlfn.XLOOKUP(tblSales[[#This Row],[Store ID]],tblStores[Store ID],tblStores[Province])</f>
        <v>Western Cape</v>
      </c>
      <c r="F296" t="str">
        <f>_xlfn.XLOOKUP(tblSales[[#This Row],[Store ID]],tblStores[Store ID],tblStores[Manager])</f>
        <v>Andrew Lee</v>
      </c>
      <c r="G296" t="str">
        <f>_xlfn.XLOOKUP(tblSales[[#This Row],[Category ID]],tblCategories[Category ID],tblCategories[Category])</f>
        <v>Footwear</v>
      </c>
      <c r="H296">
        <v>71476</v>
      </c>
      <c r="I296">
        <v>75929</v>
      </c>
      <c r="J296">
        <v>214</v>
      </c>
      <c r="K296">
        <f>tblSales[[#This Row],[Sales]]-tblSales[[#This Row],[Budget]]</f>
        <v>-4453</v>
      </c>
      <c r="L296" s="3">
        <f>(tblSales[[#This Row],[Sales]]-tblSales[[#This Row],[Budget]])/tblSales[[#This Row],[Budget]]</f>
        <v>-5.8646893808689697E-2</v>
      </c>
      <c r="M296" s="2">
        <f>tblSales[[#This Row],[Sales]]/tblSales[[#This Row],[Transactions]]</f>
        <v>334</v>
      </c>
    </row>
    <row r="297" spans="1:13" x14ac:dyDescent="0.25">
      <c r="A297" s="1">
        <v>46037</v>
      </c>
      <c r="B297" t="s">
        <v>26</v>
      </c>
      <c r="C297" t="s">
        <v>7</v>
      </c>
      <c r="D297" t="str">
        <f>_xlfn.XLOOKUP(tblSales[[#This Row],[Store ID]],tblStores[Store ID],tblStores[Store Name])</f>
        <v>Gqeberha</v>
      </c>
      <c r="E297" t="str">
        <f>_xlfn.XLOOKUP(tblSales[[#This Row],[Store ID]],tblStores[Store ID],tblStores[Province])</f>
        <v>Eastern Cape</v>
      </c>
      <c r="F297" t="str">
        <f>_xlfn.XLOOKUP(tblSales[[#This Row],[Store ID]],tblStores[Store ID],tblStores[Manager])</f>
        <v>Emma Baker</v>
      </c>
      <c r="G297" t="str">
        <f>_xlfn.XLOOKUP(tblSales[[#This Row],[Category ID]],tblCategories[Category ID],tblCategories[Category])</f>
        <v>Menswear</v>
      </c>
      <c r="H297">
        <v>14210</v>
      </c>
      <c r="I297">
        <v>16150</v>
      </c>
      <c r="J297">
        <v>70</v>
      </c>
      <c r="K297">
        <f>tblSales[[#This Row],[Sales]]-tblSales[[#This Row],[Budget]]</f>
        <v>-1940</v>
      </c>
      <c r="L297" s="3">
        <f>(tblSales[[#This Row],[Sales]]-tblSales[[#This Row],[Budget]])/tblSales[[#This Row],[Budget]]</f>
        <v>-0.12012383900928793</v>
      </c>
      <c r="M297" s="2">
        <f>tblSales[[#This Row],[Sales]]/tblSales[[#This Row],[Transactions]]</f>
        <v>203</v>
      </c>
    </row>
    <row r="298" spans="1:13" x14ac:dyDescent="0.25">
      <c r="A298" s="1">
        <v>46037</v>
      </c>
      <c r="B298" t="s">
        <v>27</v>
      </c>
      <c r="C298" t="s">
        <v>22</v>
      </c>
      <c r="D298" t="str">
        <f>_xlfn.XLOOKUP(tblSales[[#This Row],[Store ID]],tblStores[Store ID],tblStores[Store Name])</f>
        <v>East London</v>
      </c>
      <c r="E298" t="str">
        <f>_xlfn.XLOOKUP(tblSales[[#This Row],[Store ID]],tblStores[Store ID],tblStores[Province])</f>
        <v>Eastern Cape</v>
      </c>
      <c r="F298" t="str">
        <f>_xlfn.XLOOKUP(tblSales[[#This Row],[Store ID]],tblStores[Store ID],tblStores[Manager])</f>
        <v>Daniel Evans</v>
      </c>
      <c r="G298" t="str">
        <f>_xlfn.XLOOKUP(tblSales[[#This Row],[Category ID]],tblCategories[Category ID],tblCategories[Category])</f>
        <v>Kids</v>
      </c>
      <c r="H298">
        <v>38479</v>
      </c>
      <c r="I298">
        <v>35566</v>
      </c>
      <c r="J298">
        <v>161</v>
      </c>
      <c r="K298">
        <f>tblSales[[#This Row],[Sales]]-tblSales[[#This Row],[Budget]]</f>
        <v>2913</v>
      </c>
      <c r="L298" s="3">
        <f>(tblSales[[#This Row],[Sales]]-tblSales[[#This Row],[Budget]])/tblSales[[#This Row],[Budget]]</f>
        <v>8.1904065680706295E-2</v>
      </c>
      <c r="M298" s="2">
        <f>tblSales[[#This Row],[Sales]]/tblSales[[#This Row],[Transactions]]</f>
        <v>239</v>
      </c>
    </row>
    <row r="299" spans="1:13" x14ac:dyDescent="0.25">
      <c r="A299" s="1">
        <v>46037</v>
      </c>
      <c r="B299" t="s">
        <v>28</v>
      </c>
      <c r="C299" t="s">
        <v>19</v>
      </c>
      <c r="D299" t="str">
        <f>_xlfn.XLOOKUP(tblSales[[#This Row],[Store ID]],tblStores[Store ID],tblStores[Store Name])</f>
        <v>Bloemfontein</v>
      </c>
      <c r="E299" t="str">
        <f>_xlfn.XLOOKUP(tblSales[[#This Row],[Store ID]],tblStores[Store ID],tblStores[Province])</f>
        <v>Free State</v>
      </c>
      <c r="F299" t="str">
        <f>_xlfn.XLOOKUP(tblSales[[#This Row],[Store ID]],tblStores[Store ID],tblStores[Manager])</f>
        <v>Rachel Moore</v>
      </c>
      <c r="G299" t="str">
        <f>_xlfn.XLOOKUP(tblSales[[#This Row],[Category ID]],tblCategories[Category ID],tblCategories[Category])</f>
        <v>Accessories</v>
      </c>
      <c r="H299">
        <v>26082</v>
      </c>
      <c r="I299">
        <v>26431</v>
      </c>
      <c r="J299">
        <v>69</v>
      </c>
      <c r="K299">
        <f>tblSales[[#This Row],[Sales]]-tblSales[[#This Row],[Budget]]</f>
        <v>-349</v>
      </c>
      <c r="L299" s="3">
        <f>(tblSales[[#This Row],[Sales]]-tblSales[[#This Row],[Budget]])/tblSales[[#This Row],[Budget]]</f>
        <v>-1.3204192047217282E-2</v>
      </c>
      <c r="M299" s="2">
        <f>tblSales[[#This Row],[Sales]]/tblSales[[#This Row],[Transactions]]</f>
        <v>378</v>
      </c>
    </row>
    <row r="300" spans="1:13" x14ac:dyDescent="0.25">
      <c r="A300" s="1">
        <v>46037</v>
      </c>
      <c r="B300" t="s">
        <v>29</v>
      </c>
      <c r="C300" t="s">
        <v>19</v>
      </c>
      <c r="D300" t="str">
        <f>_xlfn.XLOOKUP(tblSales[[#This Row],[Store ID]],tblStores[Store ID],tblStores[Store Name])</f>
        <v>Polokwane</v>
      </c>
      <c r="E300" t="str">
        <f>_xlfn.XLOOKUP(tblSales[[#This Row],[Store ID]],tblStores[Store ID],tblStores[Province])</f>
        <v>Limpopo</v>
      </c>
      <c r="F300" t="str">
        <f>_xlfn.XLOOKUP(tblSales[[#This Row],[Store ID]],tblStores[Store ID],tblStores[Manager])</f>
        <v>Kevin Harris</v>
      </c>
      <c r="G300" t="str">
        <f>_xlfn.XLOOKUP(tblSales[[#This Row],[Category ID]],tblCategories[Category ID],tblCategories[Category])</f>
        <v>Accessories</v>
      </c>
      <c r="H300">
        <v>68160</v>
      </c>
      <c r="I300">
        <v>73992</v>
      </c>
      <c r="J300">
        <v>142</v>
      </c>
      <c r="K300">
        <f>tblSales[[#This Row],[Sales]]-tblSales[[#This Row],[Budget]]</f>
        <v>-5832</v>
      </c>
      <c r="L300" s="3">
        <f>(tblSales[[#This Row],[Sales]]-tblSales[[#This Row],[Budget]])/tblSales[[#This Row],[Budget]]</f>
        <v>-7.8819331819656183E-2</v>
      </c>
      <c r="M300" s="2">
        <f>tblSales[[#This Row],[Sales]]/tblSales[[#This Row],[Transactions]]</f>
        <v>480</v>
      </c>
    </row>
    <row r="301" spans="1:13" x14ac:dyDescent="0.25">
      <c r="A301" s="1">
        <v>46037</v>
      </c>
      <c r="B301" t="s">
        <v>30</v>
      </c>
      <c r="C301" t="s">
        <v>9</v>
      </c>
      <c r="D301" t="str">
        <f>_xlfn.XLOOKUP(tblSales[[#This Row],[Store ID]],tblStores[Store ID],tblStores[Store Name])</f>
        <v>Nelspruit</v>
      </c>
      <c r="E301" t="str">
        <f>_xlfn.XLOOKUP(tblSales[[#This Row],[Store ID]],tblStores[Store ID],tblStores[Province])</f>
        <v>Mpumalanga</v>
      </c>
      <c r="F301" t="str">
        <f>_xlfn.XLOOKUP(tblSales[[#This Row],[Store ID]],tblStores[Store ID],tblStores[Manager])</f>
        <v>Olivia Turner</v>
      </c>
      <c r="G301" t="str">
        <f>_xlfn.XLOOKUP(tblSales[[#This Row],[Category ID]],tblCategories[Category ID],tblCategories[Category])</f>
        <v>Ladieswear</v>
      </c>
      <c r="H301">
        <v>72615</v>
      </c>
      <c r="I301">
        <v>67151</v>
      </c>
      <c r="J301">
        <v>141</v>
      </c>
      <c r="K301">
        <f>tblSales[[#This Row],[Sales]]-tblSales[[#This Row],[Budget]]</f>
        <v>5464</v>
      </c>
      <c r="L301" s="3">
        <f>(tblSales[[#This Row],[Sales]]-tblSales[[#This Row],[Budget]])/tblSales[[#This Row],[Budget]]</f>
        <v>8.136885526648896E-2</v>
      </c>
      <c r="M301" s="2">
        <f>tblSales[[#This Row],[Sales]]/tblSales[[#This Row],[Transactions]]</f>
        <v>515</v>
      </c>
    </row>
    <row r="302" spans="1:13" x14ac:dyDescent="0.25">
      <c r="A302" s="1">
        <v>46038</v>
      </c>
      <c r="B302" t="s">
        <v>6</v>
      </c>
      <c r="C302" t="s">
        <v>11</v>
      </c>
      <c r="D302" t="str">
        <f>_xlfn.XLOOKUP(tblSales[[#This Row],[Store ID]],tblStores[Store ID],tblStores[Store Name])</f>
        <v>Durban CBD</v>
      </c>
      <c r="E302" t="str">
        <f>_xlfn.XLOOKUP(tblSales[[#This Row],[Store ID]],tblStores[Store ID],tblStores[Province])</f>
        <v>KZN</v>
      </c>
      <c r="F302" t="str">
        <f>_xlfn.XLOOKUP(tblSales[[#This Row],[Store ID]],tblStores[Store ID],tblStores[Manager])</f>
        <v>Sarah Adams</v>
      </c>
      <c r="G302" t="str">
        <f>_xlfn.XLOOKUP(tblSales[[#This Row],[Category ID]],tblCategories[Category ID],tblCategories[Category])</f>
        <v>Footwear</v>
      </c>
      <c r="H302">
        <v>74496</v>
      </c>
      <c r="I302">
        <v>84535</v>
      </c>
      <c r="J302">
        <v>192</v>
      </c>
      <c r="K302">
        <f>tblSales[[#This Row],[Sales]]-tblSales[[#This Row],[Budget]]</f>
        <v>-10039</v>
      </c>
      <c r="L302" s="3">
        <f>(tblSales[[#This Row],[Sales]]-tblSales[[#This Row],[Budget]])/tblSales[[#This Row],[Budget]]</f>
        <v>-0.11875554504051576</v>
      </c>
      <c r="M302" s="2">
        <f>tblSales[[#This Row],[Sales]]/tblSales[[#This Row],[Transactions]]</f>
        <v>388</v>
      </c>
    </row>
    <row r="303" spans="1:13" x14ac:dyDescent="0.25">
      <c r="A303" s="1">
        <v>46038</v>
      </c>
      <c r="B303" t="s">
        <v>8</v>
      </c>
      <c r="C303" t="s">
        <v>22</v>
      </c>
      <c r="D303" t="str">
        <f>_xlfn.XLOOKUP(tblSales[[#This Row],[Store ID]],tblStores[Store ID],tblStores[Store Name])</f>
        <v>Gateway</v>
      </c>
      <c r="E303" t="str">
        <f>_xlfn.XLOOKUP(tblSales[[#This Row],[Store ID]],tblStores[Store ID],tblStores[Province])</f>
        <v>KZN</v>
      </c>
      <c r="F303" t="str">
        <f>_xlfn.XLOOKUP(tblSales[[#This Row],[Store ID]],tblStores[Store ID],tblStores[Manager])</f>
        <v>Michael Jones</v>
      </c>
      <c r="G303" t="str">
        <f>_xlfn.XLOOKUP(tblSales[[#This Row],[Category ID]],tblCategories[Category ID],tblCategories[Category])</f>
        <v>Kids</v>
      </c>
      <c r="H303">
        <v>15867</v>
      </c>
      <c r="I303">
        <v>15142</v>
      </c>
      <c r="J303">
        <v>43</v>
      </c>
      <c r="K303">
        <f>tblSales[[#This Row],[Sales]]-tblSales[[#This Row],[Budget]]</f>
        <v>725</v>
      </c>
      <c r="L303" s="3">
        <f>(tblSales[[#This Row],[Sales]]-tblSales[[#This Row],[Budget]])/tblSales[[#This Row],[Budget]]</f>
        <v>4.7880068683133006E-2</v>
      </c>
      <c r="M303" s="2">
        <f>tblSales[[#This Row],[Sales]]/tblSales[[#This Row],[Transactions]]</f>
        <v>369</v>
      </c>
    </row>
    <row r="304" spans="1:13" x14ac:dyDescent="0.25">
      <c r="A304" s="1">
        <v>46038</v>
      </c>
      <c r="B304" t="s">
        <v>10</v>
      </c>
      <c r="C304" t="s">
        <v>11</v>
      </c>
      <c r="D304" t="str">
        <f>_xlfn.XLOOKUP(tblSales[[#This Row],[Store ID]],tblStores[Store ID],tblStores[Store Name])</f>
        <v>Ballito</v>
      </c>
      <c r="E304" t="str">
        <f>_xlfn.XLOOKUP(tblSales[[#This Row],[Store ID]],tblStores[Store ID],tblStores[Province])</f>
        <v>KZN</v>
      </c>
      <c r="F304" t="str">
        <f>_xlfn.XLOOKUP(tblSales[[#This Row],[Store ID]],tblStores[Store ID],tblStores[Manager])</f>
        <v>Linda Smith</v>
      </c>
      <c r="G304" t="str">
        <f>_xlfn.XLOOKUP(tblSales[[#This Row],[Category ID]],tblCategories[Category ID],tblCategories[Category])</f>
        <v>Footwear</v>
      </c>
      <c r="H304">
        <v>34675</v>
      </c>
      <c r="I304">
        <v>32068</v>
      </c>
      <c r="J304">
        <v>95</v>
      </c>
      <c r="K304">
        <f>tblSales[[#This Row],[Sales]]-tblSales[[#This Row],[Budget]]</f>
        <v>2607</v>
      </c>
      <c r="L304" s="3">
        <f>(tblSales[[#This Row],[Sales]]-tblSales[[#This Row],[Budget]])/tblSales[[#This Row],[Budget]]</f>
        <v>8.1295996008481974E-2</v>
      </c>
      <c r="M304" s="2">
        <f>tblSales[[#This Row],[Sales]]/tblSales[[#This Row],[Transactions]]</f>
        <v>365</v>
      </c>
    </row>
    <row r="305" spans="1:13" x14ac:dyDescent="0.25">
      <c r="A305" s="1">
        <v>46038</v>
      </c>
      <c r="B305" t="s">
        <v>12</v>
      </c>
      <c r="C305" t="s">
        <v>22</v>
      </c>
      <c r="D305" t="str">
        <f>_xlfn.XLOOKUP(tblSales[[#This Row],[Store ID]],tblStores[Store ID],tblStores[Store Name])</f>
        <v>Pietermaritzburg</v>
      </c>
      <c r="E305" t="str">
        <f>_xlfn.XLOOKUP(tblSales[[#This Row],[Store ID]],tblStores[Store ID],tblStores[Province])</f>
        <v>KZN</v>
      </c>
      <c r="F305" t="str">
        <f>_xlfn.XLOOKUP(tblSales[[#This Row],[Store ID]],tblStores[Store ID],tblStores[Manager])</f>
        <v>Peter Brown</v>
      </c>
      <c r="G305" t="str">
        <f>_xlfn.XLOOKUP(tblSales[[#This Row],[Category ID]],tblCategories[Category ID],tblCategories[Category])</f>
        <v>Kids</v>
      </c>
      <c r="H305">
        <v>88740</v>
      </c>
      <c r="I305">
        <v>87823</v>
      </c>
      <c r="J305">
        <v>174</v>
      </c>
      <c r="K305">
        <f>tblSales[[#This Row],[Sales]]-tblSales[[#This Row],[Budget]]</f>
        <v>917</v>
      </c>
      <c r="L305" s="3">
        <f>(tblSales[[#This Row],[Sales]]-tblSales[[#This Row],[Budget]])/tblSales[[#This Row],[Budget]]</f>
        <v>1.0441456110586065E-2</v>
      </c>
      <c r="M305" s="2">
        <f>tblSales[[#This Row],[Sales]]/tblSales[[#This Row],[Transactions]]</f>
        <v>510</v>
      </c>
    </row>
    <row r="306" spans="1:13" x14ac:dyDescent="0.25">
      <c r="A306" s="1">
        <v>46038</v>
      </c>
      <c r="B306" t="s">
        <v>13</v>
      </c>
      <c r="C306" t="s">
        <v>11</v>
      </c>
      <c r="D306" t="str">
        <f>_xlfn.XLOOKUP(tblSales[[#This Row],[Store ID]],tblStores[Store ID],tblStores[Store Name])</f>
        <v>Richards Bay</v>
      </c>
      <c r="E306" t="str">
        <f>_xlfn.XLOOKUP(tblSales[[#This Row],[Store ID]],tblStores[Store ID],tblStores[Province])</f>
        <v>KZN</v>
      </c>
      <c r="F306" t="str">
        <f>_xlfn.XLOOKUP(tblSales[[#This Row],[Store ID]],tblStores[Store ID],tblStores[Manager])</f>
        <v>David Green</v>
      </c>
      <c r="G306" t="str">
        <f>_xlfn.XLOOKUP(tblSales[[#This Row],[Category ID]],tblCategories[Category ID],tblCategories[Category])</f>
        <v>Footwear</v>
      </c>
      <c r="H306">
        <v>29085</v>
      </c>
      <c r="I306">
        <v>33216</v>
      </c>
      <c r="J306">
        <v>105</v>
      </c>
      <c r="K306">
        <f>tblSales[[#This Row],[Sales]]-tblSales[[#This Row],[Budget]]</f>
        <v>-4131</v>
      </c>
      <c r="L306" s="3">
        <f>(tblSales[[#This Row],[Sales]]-tblSales[[#This Row],[Budget]])/tblSales[[#This Row],[Budget]]</f>
        <v>-0.12436777456647399</v>
      </c>
      <c r="M306" s="2">
        <f>tblSales[[#This Row],[Sales]]/tblSales[[#This Row],[Transactions]]</f>
        <v>277</v>
      </c>
    </row>
    <row r="307" spans="1:13" x14ac:dyDescent="0.25">
      <c r="A307" s="1">
        <v>46038</v>
      </c>
      <c r="B307" t="s">
        <v>14</v>
      </c>
      <c r="C307" t="s">
        <v>11</v>
      </c>
      <c r="D307" t="str">
        <f>_xlfn.XLOOKUP(tblSales[[#This Row],[Store ID]],tblStores[Store ID],tblStores[Store Name])</f>
        <v>Sandton</v>
      </c>
      <c r="E307" t="str">
        <f>_xlfn.XLOOKUP(tblSales[[#This Row],[Store ID]],tblStores[Store ID],tblStores[Province])</f>
        <v>Gauteng</v>
      </c>
      <c r="F307" t="str">
        <f>_xlfn.XLOOKUP(tblSales[[#This Row],[Store ID]],tblStores[Store ID],tblStores[Manager])</f>
        <v>Karen White</v>
      </c>
      <c r="G307" t="str">
        <f>_xlfn.XLOOKUP(tblSales[[#This Row],[Category ID]],tblCategories[Category ID],tblCategories[Category])</f>
        <v>Footwear</v>
      </c>
      <c r="H307">
        <v>30102</v>
      </c>
      <c r="I307">
        <v>28688</v>
      </c>
      <c r="J307">
        <v>58</v>
      </c>
      <c r="K307">
        <f>tblSales[[#This Row],[Sales]]-tblSales[[#This Row],[Budget]]</f>
        <v>1414</v>
      </c>
      <c r="L307" s="3">
        <f>(tblSales[[#This Row],[Sales]]-tblSales[[#This Row],[Budget]])/tblSales[[#This Row],[Budget]]</f>
        <v>4.9288901282766313E-2</v>
      </c>
      <c r="M307" s="2">
        <f>tblSales[[#This Row],[Sales]]/tblSales[[#This Row],[Transactions]]</f>
        <v>519</v>
      </c>
    </row>
    <row r="308" spans="1:13" x14ac:dyDescent="0.25">
      <c r="A308" s="1">
        <v>46038</v>
      </c>
      <c r="B308" t="s">
        <v>15</v>
      </c>
      <c r="C308" t="s">
        <v>19</v>
      </c>
      <c r="D308" t="str">
        <f>_xlfn.XLOOKUP(tblSales[[#This Row],[Store ID]],tblStores[Store ID],tblStores[Store Name])</f>
        <v>Rosebank</v>
      </c>
      <c r="E308" t="str">
        <f>_xlfn.XLOOKUP(tblSales[[#This Row],[Store ID]],tblStores[Store ID],tblStores[Province])</f>
        <v>Gauteng</v>
      </c>
      <c r="F308" t="str">
        <f>_xlfn.XLOOKUP(tblSales[[#This Row],[Store ID]],tblStores[Store ID],tblStores[Manager])</f>
        <v>James Taylor</v>
      </c>
      <c r="G308" t="str">
        <f>_xlfn.XLOOKUP(tblSales[[#This Row],[Category ID]],tblCategories[Category ID],tblCategories[Category])</f>
        <v>Accessories</v>
      </c>
      <c r="H308">
        <v>8200</v>
      </c>
      <c r="I308">
        <v>8992</v>
      </c>
      <c r="J308">
        <v>40</v>
      </c>
      <c r="K308">
        <f>tblSales[[#This Row],[Sales]]-tblSales[[#This Row],[Budget]]</f>
        <v>-792</v>
      </c>
      <c r="L308" s="3">
        <f>(tblSales[[#This Row],[Sales]]-tblSales[[#This Row],[Budget]])/tblSales[[#This Row],[Budget]]</f>
        <v>-8.8078291814946613E-2</v>
      </c>
      <c r="M308" s="2">
        <f>tblSales[[#This Row],[Sales]]/tblSales[[#This Row],[Transactions]]</f>
        <v>205</v>
      </c>
    </row>
    <row r="309" spans="1:13" x14ac:dyDescent="0.25">
      <c r="A309" s="1">
        <v>46038</v>
      </c>
      <c r="B309" t="s">
        <v>16</v>
      </c>
      <c r="C309" t="s">
        <v>9</v>
      </c>
      <c r="D309" t="str">
        <f>_xlfn.XLOOKUP(tblSales[[#This Row],[Store ID]],tblStores[Store ID],tblStores[Store Name])</f>
        <v>Pretoria</v>
      </c>
      <c r="E309" t="str">
        <f>_xlfn.XLOOKUP(tblSales[[#This Row],[Store ID]],tblStores[Store ID],tblStores[Province])</f>
        <v>Gauteng</v>
      </c>
      <c r="F309" t="str">
        <f>_xlfn.XLOOKUP(tblSales[[#This Row],[Store ID]],tblStores[Store ID],tblStores[Manager])</f>
        <v>Susan Clark</v>
      </c>
      <c r="G309" t="str">
        <f>_xlfn.XLOOKUP(tblSales[[#This Row],[Category ID]],tblCategories[Category ID],tblCategories[Category])</f>
        <v>Ladieswear</v>
      </c>
      <c r="H309">
        <v>31423</v>
      </c>
      <c r="I309">
        <v>29892</v>
      </c>
      <c r="J309">
        <v>67</v>
      </c>
      <c r="K309">
        <f>tblSales[[#This Row],[Sales]]-tblSales[[#This Row],[Budget]]</f>
        <v>1531</v>
      </c>
      <c r="L309" s="3">
        <f>(tblSales[[#This Row],[Sales]]-tblSales[[#This Row],[Budget]])/tblSales[[#This Row],[Budget]]</f>
        <v>5.1217717114947145E-2</v>
      </c>
      <c r="M309" s="2">
        <f>tblSales[[#This Row],[Sales]]/tblSales[[#This Row],[Transactions]]</f>
        <v>469</v>
      </c>
    </row>
    <row r="310" spans="1:13" x14ac:dyDescent="0.25">
      <c r="A310" s="1">
        <v>46038</v>
      </c>
      <c r="B310" t="s">
        <v>17</v>
      </c>
      <c r="C310" t="s">
        <v>19</v>
      </c>
      <c r="D310" t="str">
        <f>_xlfn.XLOOKUP(tblSales[[#This Row],[Store ID]],tblStores[Store ID],tblStores[Store Name])</f>
        <v>Centurion</v>
      </c>
      <c r="E310" t="str">
        <f>_xlfn.XLOOKUP(tblSales[[#This Row],[Store ID]],tblStores[Store ID],tblStores[Province])</f>
        <v>Gauteng</v>
      </c>
      <c r="F310" t="str">
        <f>_xlfn.XLOOKUP(tblSales[[#This Row],[Store ID]],tblStores[Store ID],tblStores[Manager])</f>
        <v>Mark Wilson</v>
      </c>
      <c r="G310" t="str">
        <f>_xlfn.XLOOKUP(tblSales[[#This Row],[Category ID]],tblCategories[Category ID],tblCategories[Category])</f>
        <v>Accessories</v>
      </c>
      <c r="H310">
        <v>42240</v>
      </c>
      <c r="I310">
        <v>40296</v>
      </c>
      <c r="J310">
        <v>88</v>
      </c>
      <c r="K310">
        <f>tblSales[[#This Row],[Sales]]-tblSales[[#This Row],[Budget]]</f>
        <v>1944</v>
      </c>
      <c r="L310" s="3">
        <f>(tblSales[[#This Row],[Sales]]-tblSales[[#This Row],[Budget]])/tblSales[[#This Row],[Budget]]</f>
        <v>4.8243001786777845E-2</v>
      </c>
      <c r="M310" s="2">
        <f>tblSales[[#This Row],[Sales]]/tblSales[[#This Row],[Transactions]]</f>
        <v>480</v>
      </c>
    </row>
    <row r="311" spans="1:13" x14ac:dyDescent="0.25">
      <c r="A311" s="1">
        <v>46038</v>
      </c>
      <c r="B311" t="s">
        <v>18</v>
      </c>
      <c r="C311" t="s">
        <v>9</v>
      </c>
      <c r="D311" t="str">
        <f>_xlfn.XLOOKUP(tblSales[[#This Row],[Store ID]],tblStores[Store ID],tblStores[Store Name])</f>
        <v>East Rand</v>
      </c>
      <c r="E311" t="str">
        <f>_xlfn.XLOOKUP(tblSales[[#This Row],[Store ID]],tblStores[Store ID],tblStores[Province])</f>
        <v>Gauteng</v>
      </c>
      <c r="F311" t="str">
        <f>_xlfn.XLOOKUP(tblSales[[#This Row],[Store ID]],tblStores[Store ID],tblStores[Manager])</f>
        <v>Lisa Young</v>
      </c>
      <c r="G311" t="str">
        <f>_xlfn.XLOOKUP(tblSales[[#This Row],[Category ID]],tblCategories[Category ID],tblCategories[Category])</f>
        <v>Ladieswear</v>
      </c>
      <c r="H311">
        <v>30345</v>
      </c>
      <c r="I311">
        <v>33293</v>
      </c>
      <c r="J311">
        <v>119</v>
      </c>
      <c r="K311">
        <f>tblSales[[#This Row],[Sales]]-tblSales[[#This Row],[Budget]]</f>
        <v>-2948</v>
      </c>
      <c r="L311" s="3">
        <f>(tblSales[[#This Row],[Sales]]-tblSales[[#This Row],[Budget]])/tblSales[[#This Row],[Budget]]</f>
        <v>-8.8547142041870669E-2</v>
      </c>
      <c r="M311" s="2">
        <f>tblSales[[#This Row],[Sales]]/tblSales[[#This Row],[Transactions]]</f>
        <v>255</v>
      </c>
    </row>
    <row r="312" spans="1:13" x14ac:dyDescent="0.25">
      <c r="A312" s="1">
        <v>46038</v>
      </c>
      <c r="B312" t="s">
        <v>20</v>
      </c>
      <c r="C312" t="s">
        <v>19</v>
      </c>
      <c r="D312" t="str">
        <f>_xlfn.XLOOKUP(tblSales[[#This Row],[Store ID]],tblStores[Store ID],tblStores[Store Name])</f>
        <v>Cape Town CBD</v>
      </c>
      <c r="E312" t="str">
        <f>_xlfn.XLOOKUP(tblSales[[#This Row],[Store ID]],tblStores[Store ID],tblStores[Province])</f>
        <v>Western Cape</v>
      </c>
      <c r="F312" t="str">
        <f>_xlfn.XLOOKUP(tblSales[[#This Row],[Store ID]],tblStores[Store ID],tblStores[Manager])</f>
        <v>Brian Hall</v>
      </c>
      <c r="G312" t="str">
        <f>_xlfn.XLOOKUP(tblSales[[#This Row],[Category ID]],tblCategories[Category ID],tblCategories[Category])</f>
        <v>Accessories</v>
      </c>
      <c r="H312">
        <v>11235</v>
      </c>
      <c r="I312">
        <v>12522</v>
      </c>
      <c r="J312">
        <v>35</v>
      </c>
      <c r="K312">
        <f>tblSales[[#This Row],[Sales]]-tblSales[[#This Row],[Budget]]</f>
        <v>-1287</v>
      </c>
      <c r="L312" s="3">
        <f>(tblSales[[#This Row],[Sales]]-tblSales[[#This Row],[Budget]])/tblSales[[#This Row],[Budget]]</f>
        <v>-0.10277910876856731</v>
      </c>
      <c r="M312" s="2">
        <f>tblSales[[#This Row],[Sales]]/tblSales[[#This Row],[Transactions]]</f>
        <v>321</v>
      </c>
    </row>
    <row r="313" spans="1:13" x14ac:dyDescent="0.25">
      <c r="A313" s="1">
        <v>46038</v>
      </c>
      <c r="B313" t="s">
        <v>21</v>
      </c>
      <c r="C313" t="s">
        <v>9</v>
      </c>
      <c r="D313" t="str">
        <f>_xlfn.XLOOKUP(tblSales[[#This Row],[Store ID]],tblStores[Store ID],tblStores[Store Name])</f>
        <v>Canal Walk</v>
      </c>
      <c r="E313" t="str">
        <f>_xlfn.XLOOKUP(tblSales[[#This Row],[Store ID]],tblStores[Store ID],tblStores[Province])</f>
        <v>Western Cape</v>
      </c>
      <c r="F313" t="str">
        <f>_xlfn.XLOOKUP(tblSales[[#This Row],[Store ID]],tblStores[Store ID],tblStores[Manager])</f>
        <v>Megan Scott</v>
      </c>
      <c r="G313" t="str">
        <f>_xlfn.XLOOKUP(tblSales[[#This Row],[Category ID]],tblCategories[Category ID],tblCategories[Category])</f>
        <v>Ladieswear</v>
      </c>
      <c r="H313">
        <v>31008</v>
      </c>
      <c r="I313">
        <v>29850</v>
      </c>
      <c r="J313">
        <v>68</v>
      </c>
      <c r="K313">
        <f>tblSales[[#This Row],[Sales]]-tblSales[[#This Row],[Budget]]</f>
        <v>1158</v>
      </c>
      <c r="L313" s="3">
        <f>(tblSales[[#This Row],[Sales]]-tblSales[[#This Row],[Budget]])/tblSales[[#This Row],[Budget]]</f>
        <v>3.8793969849246233E-2</v>
      </c>
      <c r="M313" s="2">
        <f>tblSales[[#This Row],[Sales]]/tblSales[[#This Row],[Transactions]]</f>
        <v>456</v>
      </c>
    </row>
    <row r="314" spans="1:13" x14ac:dyDescent="0.25">
      <c r="A314" s="1">
        <v>46038</v>
      </c>
      <c r="B314" t="s">
        <v>23</v>
      </c>
      <c r="C314" t="s">
        <v>9</v>
      </c>
      <c r="D314" t="str">
        <f>_xlfn.XLOOKUP(tblSales[[#This Row],[Store ID]],tblStores[Store ID],tblStores[Store Name])</f>
        <v>Stellenbosch</v>
      </c>
      <c r="E314" t="str">
        <f>_xlfn.XLOOKUP(tblSales[[#This Row],[Store ID]],tblStores[Store ID],tblStores[Province])</f>
        <v>Western Cape</v>
      </c>
      <c r="F314" t="str">
        <f>_xlfn.XLOOKUP(tblSales[[#This Row],[Store ID]],tblStores[Store ID],tblStores[Manager])</f>
        <v>Jason King</v>
      </c>
      <c r="G314" t="str">
        <f>_xlfn.XLOOKUP(tblSales[[#This Row],[Category ID]],tblCategories[Category ID],tblCategories[Category])</f>
        <v>Ladieswear</v>
      </c>
      <c r="H314">
        <v>32634</v>
      </c>
      <c r="I314">
        <v>36439</v>
      </c>
      <c r="J314">
        <v>63</v>
      </c>
      <c r="K314">
        <f>tblSales[[#This Row],[Sales]]-tblSales[[#This Row],[Budget]]</f>
        <v>-3805</v>
      </c>
      <c r="L314" s="3">
        <f>(tblSales[[#This Row],[Sales]]-tblSales[[#This Row],[Budget]])/tblSales[[#This Row],[Budget]]</f>
        <v>-0.10442108729657784</v>
      </c>
      <c r="M314" s="2">
        <f>tblSales[[#This Row],[Sales]]/tblSales[[#This Row],[Transactions]]</f>
        <v>518</v>
      </c>
    </row>
    <row r="315" spans="1:13" x14ac:dyDescent="0.25">
      <c r="A315" s="1">
        <v>46038</v>
      </c>
      <c r="B315" t="s">
        <v>24</v>
      </c>
      <c r="C315" t="s">
        <v>9</v>
      </c>
      <c r="D315" t="str">
        <f>_xlfn.XLOOKUP(tblSales[[#This Row],[Store ID]],tblStores[Store ID],tblStores[Store Name])</f>
        <v>George</v>
      </c>
      <c r="E315" t="str">
        <f>_xlfn.XLOOKUP(tblSales[[#This Row],[Store ID]],tblStores[Store ID],tblStores[Province])</f>
        <v>Western Cape</v>
      </c>
      <c r="F315" t="str">
        <f>_xlfn.XLOOKUP(tblSales[[#This Row],[Store ID]],tblStores[Store ID],tblStores[Manager])</f>
        <v>Chloe Hill</v>
      </c>
      <c r="G315" t="str">
        <f>_xlfn.XLOOKUP(tblSales[[#This Row],[Category ID]],tblCategories[Category ID],tblCategories[Category])</f>
        <v>Ladieswear</v>
      </c>
      <c r="H315">
        <v>13794</v>
      </c>
      <c r="I315">
        <v>15138</v>
      </c>
      <c r="J315">
        <v>38</v>
      </c>
      <c r="K315">
        <f>tblSales[[#This Row],[Sales]]-tblSales[[#This Row],[Budget]]</f>
        <v>-1344</v>
      </c>
      <c r="L315" s="3">
        <f>(tblSales[[#This Row],[Sales]]-tblSales[[#This Row],[Budget]])/tblSales[[#This Row],[Budget]]</f>
        <v>-8.8783194609591762E-2</v>
      </c>
      <c r="M315" s="2">
        <f>tblSales[[#This Row],[Sales]]/tblSales[[#This Row],[Transactions]]</f>
        <v>363</v>
      </c>
    </row>
    <row r="316" spans="1:13" x14ac:dyDescent="0.25">
      <c r="A316" s="1">
        <v>46038</v>
      </c>
      <c r="B316" t="s">
        <v>25</v>
      </c>
      <c r="C316" t="s">
        <v>9</v>
      </c>
      <c r="D316" t="str">
        <f>_xlfn.XLOOKUP(tblSales[[#This Row],[Store ID]],tblStores[Store ID],tblStores[Store Name])</f>
        <v>Paarl</v>
      </c>
      <c r="E316" t="str">
        <f>_xlfn.XLOOKUP(tblSales[[#This Row],[Store ID]],tblStores[Store ID],tblStores[Province])</f>
        <v>Western Cape</v>
      </c>
      <c r="F316" t="str">
        <f>_xlfn.XLOOKUP(tblSales[[#This Row],[Store ID]],tblStores[Store ID],tblStores[Manager])</f>
        <v>Andrew Lee</v>
      </c>
      <c r="G316" t="str">
        <f>_xlfn.XLOOKUP(tblSales[[#This Row],[Category ID]],tblCategories[Category ID],tblCategories[Category])</f>
        <v>Ladieswear</v>
      </c>
      <c r="H316">
        <v>63825</v>
      </c>
      <c r="I316">
        <v>57694</v>
      </c>
      <c r="J316">
        <v>185</v>
      </c>
      <c r="K316">
        <f>tblSales[[#This Row],[Sales]]-tblSales[[#This Row],[Budget]]</f>
        <v>6131</v>
      </c>
      <c r="L316" s="3">
        <f>(tblSales[[#This Row],[Sales]]-tblSales[[#This Row],[Budget]])/tblSales[[#This Row],[Budget]]</f>
        <v>0.10626754948521511</v>
      </c>
      <c r="M316" s="2">
        <f>tblSales[[#This Row],[Sales]]/tblSales[[#This Row],[Transactions]]</f>
        <v>345</v>
      </c>
    </row>
    <row r="317" spans="1:13" x14ac:dyDescent="0.25">
      <c r="A317" s="1">
        <v>46038</v>
      </c>
      <c r="B317" t="s">
        <v>26</v>
      </c>
      <c r="C317" t="s">
        <v>22</v>
      </c>
      <c r="D317" t="str">
        <f>_xlfn.XLOOKUP(tblSales[[#This Row],[Store ID]],tblStores[Store ID],tblStores[Store Name])</f>
        <v>Gqeberha</v>
      </c>
      <c r="E317" t="str">
        <f>_xlfn.XLOOKUP(tblSales[[#This Row],[Store ID]],tblStores[Store ID],tblStores[Province])</f>
        <v>Eastern Cape</v>
      </c>
      <c r="F317" t="str">
        <f>_xlfn.XLOOKUP(tblSales[[#This Row],[Store ID]],tblStores[Store ID],tblStores[Manager])</f>
        <v>Emma Baker</v>
      </c>
      <c r="G317" t="str">
        <f>_xlfn.XLOOKUP(tblSales[[#This Row],[Category ID]],tblCategories[Category ID],tblCategories[Category])</f>
        <v>Kids</v>
      </c>
      <c r="H317">
        <v>11712</v>
      </c>
      <c r="I317">
        <v>12712</v>
      </c>
      <c r="J317">
        <v>48</v>
      </c>
      <c r="K317">
        <f>tblSales[[#This Row],[Sales]]-tblSales[[#This Row],[Budget]]</f>
        <v>-1000</v>
      </c>
      <c r="L317" s="3">
        <f>(tblSales[[#This Row],[Sales]]-tblSales[[#This Row],[Budget]])/tblSales[[#This Row],[Budget]]</f>
        <v>-7.8665827564505977E-2</v>
      </c>
      <c r="M317" s="2">
        <f>tblSales[[#This Row],[Sales]]/tblSales[[#This Row],[Transactions]]</f>
        <v>244</v>
      </c>
    </row>
    <row r="318" spans="1:13" x14ac:dyDescent="0.25">
      <c r="A318" s="1">
        <v>46038</v>
      </c>
      <c r="B318" t="s">
        <v>27</v>
      </c>
      <c r="C318" t="s">
        <v>19</v>
      </c>
      <c r="D318" t="str">
        <f>_xlfn.XLOOKUP(tblSales[[#This Row],[Store ID]],tblStores[Store ID],tblStores[Store Name])</f>
        <v>East London</v>
      </c>
      <c r="E318" t="str">
        <f>_xlfn.XLOOKUP(tblSales[[#This Row],[Store ID]],tblStores[Store ID],tblStores[Province])</f>
        <v>Eastern Cape</v>
      </c>
      <c r="F318" t="str">
        <f>_xlfn.XLOOKUP(tblSales[[#This Row],[Store ID]],tblStores[Store ID],tblStores[Manager])</f>
        <v>Daniel Evans</v>
      </c>
      <c r="G318" t="str">
        <f>_xlfn.XLOOKUP(tblSales[[#This Row],[Category ID]],tblCategories[Category ID],tblCategories[Category])</f>
        <v>Accessories</v>
      </c>
      <c r="H318">
        <v>13568</v>
      </c>
      <c r="I318">
        <v>13826</v>
      </c>
      <c r="J318">
        <v>64</v>
      </c>
      <c r="K318">
        <f>tblSales[[#This Row],[Sales]]-tblSales[[#This Row],[Budget]]</f>
        <v>-258</v>
      </c>
      <c r="L318" s="3">
        <f>(tblSales[[#This Row],[Sales]]-tblSales[[#This Row],[Budget]])/tblSales[[#This Row],[Budget]]</f>
        <v>-1.8660494720092579E-2</v>
      </c>
      <c r="M318" s="2">
        <f>tblSales[[#This Row],[Sales]]/tblSales[[#This Row],[Transactions]]</f>
        <v>212</v>
      </c>
    </row>
    <row r="319" spans="1:13" x14ac:dyDescent="0.25">
      <c r="A319" s="1">
        <v>46038</v>
      </c>
      <c r="B319" t="s">
        <v>28</v>
      </c>
      <c r="C319" t="s">
        <v>22</v>
      </c>
      <c r="D319" t="str">
        <f>_xlfn.XLOOKUP(tblSales[[#This Row],[Store ID]],tblStores[Store ID],tblStores[Store Name])</f>
        <v>Bloemfontein</v>
      </c>
      <c r="E319" t="str">
        <f>_xlfn.XLOOKUP(tblSales[[#This Row],[Store ID]],tblStores[Store ID],tblStores[Province])</f>
        <v>Free State</v>
      </c>
      <c r="F319" t="str">
        <f>_xlfn.XLOOKUP(tblSales[[#This Row],[Store ID]],tblStores[Store ID],tblStores[Manager])</f>
        <v>Rachel Moore</v>
      </c>
      <c r="G319" t="str">
        <f>_xlfn.XLOOKUP(tblSales[[#This Row],[Category ID]],tblCategories[Category ID],tblCategories[Category])</f>
        <v>Kids</v>
      </c>
      <c r="H319">
        <v>80178</v>
      </c>
      <c r="I319">
        <v>74346</v>
      </c>
      <c r="J319">
        <v>166</v>
      </c>
      <c r="K319">
        <f>tblSales[[#This Row],[Sales]]-tblSales[[#This Row],[Budget]]</f>
        <v>5832</v>
      </c>
      <c r="L319" s="3">
        <f>(tblSales[[#This Row],[Sales]]-tblSales[[#This Row],[Budget]])/tblSales[[#This Row],[Budget]]</f>
        <v>7.8444031958679689E-2</v>
      </c>
      <c r="M319" s="2">
        <f>tblSales[[#This Row],[Sales]]/tblSales[[#This Row],[Transactions]]</f>
        <v>483</v>
      </c>
    </row>
    <row r="320" spans="1:13" x14ac:dyDescent="0.25">
      <c r="A320" s="1">
        <v>46038</v>
      </c>
      <c r="B320" t="s">
        <v>29</v>
      </c>
      <c r="C320" t="s">
        <v>19</v>
      </c>
      <c r="D320" t="str">
        <f>_xlfn.XLOOKUP(tblSales[[#This Row],[Store ID]],tblStores[Store ID],tblStores[Store Name])</f>
        <v>Polokwane</v>
      </c>
      <c r="E320" t="str">
        <f>_xlfn.XLOOKUP(tblSales[[#This Row],[Store ID]],tblStores[Store ID],tblStores[Province])</f>
        <v>Limpopo</v>
      </c>
      <c r="F320" t="str">
        <f>_xlfn.XLOOKUP(tblSales[[#This Row],[Store ID]],tblStores[Store ID],tblStores[Manager])</f>
        <v>Kevin Harris</v>
      </c>
      <c r="G320" t="str">
        <f>_xlfn.XLOOKUP(tblSales[[#This Row],[Category ID]],tblCategories[Category ID],tblCategories[Category])</f>
        <v>Accessories</v>
      </c>
      <c r="H320">
        <v>44954</v>
      </c>
      <c r="I320">
        <v>40945</v>
      </c>
      <c r="J320">
        <v>91</v>
      </c>
      <c r="K320">
        <f>tblSales[[#This Row],[Sales]]-tblSales[[#This Row],[Budget]]</f>
        <v>4009</v>
      </c>
      <c r="L320" s="3">
        <f>(tblSales[[#This Row],[Sales]]-tblSales[[#This Row],[Budget]])/tblSales[[#This Row],[Budget]]</f>
        <v>9.7911832946635732E-2</v>
      </c>
      <c r="M320" s="2">
        <f>tblSales[[#This Row],[Sales]]/tblSales[[#This Row],[Transactions]]</f>
        <v>494</v>
      </c>
    </row>
    <row r="321" spans="1:13" x14ac:dyDescent="0.25">
      <c r="A321" s="1">
        <v>46038</v>
      </c>
      <c r="B321" t="s">
        <v>30</v>
      </c>
      <c r="C321" t="s">
        <v>19</v>
      </c>
      <c r="D321" t="str">
        <f>_xlfn.XLOOKUP(tblSales[[#This Row],[Store ID]],tblStores[Store ID],tblStores[Store Name])</f>
        <v>Nelspruit</v>
      </c>
      <c r="E321" t="str">
        <f>_xlfn.XLOOKUP(tblSales[[#This Row],[Store ID]],tblStores[Store ID],tblStores[Province])</f>
        <v>Mpumalanga</v>
      </c>
      <c r="F321" t="str">
        <f>_xlfn.XLOOKUP(tblSales[[#This Row],[Store ID]],tblStores[Store ID],tblStores[Manager])</f>
        <v>Olivia Turner</v>
      </c>
      <c r="G321" t="str">
        <f>_xlfn.XLOOKUP(tblSales[[#This Row],[Category ID]],tblCategories[Category ID],tblCategories[Category])</f>
        <v>Accessories</v>
      </c>
      <c r="H321">
        <v>46368</v>
      </c>
      <c r="I321">
        <v>49188</v>
      </c>
      <c r="J321">
        <v>112</v>
      </c>
      <c r="K321">
        <f>tblSales[[#This Row],[Sales]]-tblSales[[#This Row],[Budget]]</f>
        <v>-2820</v>
      </c>
      <c r="L321" s="3">
        <f>(tblSales[[#This Row],[Sales]]-tblSales[[#This Row],[Budget]])/tblSales[[#This Row],[Budget]]</f>
        <v>-5.733105635520859E-2</v>
      </c>
      <c r="M321" s="2">
        <f>tblSales[[#This Row],[Sales]]/tblSales[[#This Row],[Transactions]]</f>
        <v>414</v>
      </c>
    </row>
    <row r="322" spans="1:13" x14ac:dyDescent="0.25">
      <c r="A322" s="1">
        <v>46039</v>
      </c>
      <c r="B322" t="s">
        <v>6</v>
      </c>
      <c r="C322" t="s">
        <v>7</v>
      </c>
      <c r="D322" t="str">
        <f>_xlfn.XLOOKUP(tblSales[[#This Row],[Store ID]],tblStores[Store ID],tblStores[Store Name])</f>
        <v>Durban CBD</v>
      </c>
      <c r="E322" t="str">
        <f>_xlfn.XLOOKUP(tblSales[[#This Row],[Store ID]],tblStores[Store ID],tblStores[Province])</f>
        <v>KZN</v>
      </c>
      <c r="F322" t="str">
        <f>_xlfn.XLOOKUP(tblSales[[#This Row],[Store ID]],tblStores[Store ID],tblStores[Manager])</f>
        <v>Sarah Adams</v>
      </c>
      <c r="G322" t="str">
        <f>_xlfn.XLOOKUP(tblSales[[#This Row],[Category ID]],tblCategories[Category ID],tblCategories[Category])</f>
        <v>Menswear</v>
      </c>
      <c r="H322">
        <v>21250</v>
      </c>
      <c r="I322">
        <v>23626</v>
      </c>
      <c r="J322">
        <v>50</v>
      </c>
      <c r="K322">
        <f>tblSales[[#This Row],[Sales]]-tblSales[[#This Row],[Budget]]</f>
        <v>-2376</v>
      </c>
      <c r="L322" s="3">
        <f>(tblSales[[#This Row],[Sales]]-tblSales[[#This Row],[Budget]])/tblSales[[#This Row],[Budget]]</f>
        <v>-0.10056717175992551</v>
      </c>
      <c r="M322" s="2">
        <f>tblSales[[#This Row],[Sales]]/tblSales[[#This Row],[Transactions]]</f>
        <v>425</v>
      </c>
    </row>
    <row r="323" spans="1:13" x14ac:dyDescent="0.25">
      <c r="A323" s="1">
        <v>46039</v>
      </c>
      <c r="B323" t="s">
        <v>8</v>
      </c>
      <c r="C323" t="s">
        <v>11</v>
      </c>
      <c r="D323" t="str">
        <f>_xlfn.XLOOKUP(tblSales[[#This Row],[Store ID]],tblStores[Store ID],tblStores[Store Name])</f>
        <v>Gateway</v>
      </c>
      <c r="E323" t="str">
        <f>_xlfn.XLOOKUP(tblSales[[#This Row],[Store ID]],tblStores[Store ID],tblStores[Province])</f>
        <v>KZN</v>
      </c>
      <c r="F323" t="str">
        <f>_xlfn.XLOOKUP(tblSales[[#This Row],[Store ID]],tblStores[Store ID],tblStores[Manager])</f>
        <v>Michael Jones</v>
      </c>
      <c r="G323" t="str">
        <f>_xlfn.XLOOKUP(tblSales[[#This Row],[Category ID]],tblCategories[Category ID],tblCategories[Category])</f>
        <v>Footwear</v>
      </c>
      <c r="H323">
        <v>49350</v>
      </c>
      <c r="I323">
        <v>50463</v>
      </c>
      <c r="J323">
        <v>210</v>
      </c>
      <c r="K323">
        <f>tblSales[[#This Row],[Sales]]-tblSales[[#This Row],[Budget]]</f>
        <v>-1113</v>
      </c>
      <c r="L323" s="3">
        <f>(tblSales[[#This Row],[Sales]]-tblSales[[#This Row],[Budget]])/tblSales[[#This Row],[Budget]]</f>
        <v>-2.2055763628797336E-2</v>
      </c>
      <c r="M323" s="2">
        <f>tblSales[[#This Row],[Sales]]/tblSales[[#This Row],[Transactions]]</f>
        <v>235</v>
      </c>
    </row>
    <row r="324" spans="1:13" x14ac:dyDescent="0.25">
      <c r="A324" s="1">
        <v>46039</v>
      </c>
      <c r="B324" t="s">
        <v>10</v>
      </c>
      <c r="C324" t="s">
        <v>11</v>
      </c>
      <c r="D324" t="str">
        <f>_xlfn.XLOOKUP(tblSales[[#This Row],[Store ID]],tblStores[Store ID],tblStores[Store Name])</f>
        <v>Ballito</v>
      </c>
      <c r="E324" t="str">
        <f>_xlfn.XLOOKUP(tblSales[[#This Row],[Store ID]],tblStores[Store ID],tblStores[Province])</f>
        <v>KZN</v>
      </c>
      <c r="F324" t="str">
        <f>_xlfn.XLOOKUP(tblSales[[#This Row],[Store ID]],tblStores[Store ID],tblStores[Manager])</f>
        <v>Linda Smith</v>
      </c>
      <c r="G324" t="str">
        <f>_xlfn.XLOOKUP(tblSales[[#This Row],[Category ID]],tblCategories[Category ID],tblCategories[Category])</f>
        <v>Footwear</v>
      </c>
      <c r="H324">
        <v>11713</v>
      </c>
      <c r="I324">
        <v>11484</v>
      </c>
      <c r="J324">
        <v>53</v>
      </c>
      <c r="K324">
        <f>tblSales[[#This Row],[Sales]]-tblSales[[#This Row],[Budget]]</f>
        <v>229</v>
      </c>
      <c r="L324" s="3">
        <f>(tblSales[[#This Row],[Sales]]-tblSales[[#This Row],[Budget]])/tblSales[[#This Row],[Budget]]</f>
        <v>1.9940787182166492E-2</v>
      </c>
      <c r="M324" s="2">
        <f>tblSales[[#This Row],[Sales]]/tblSales[[#This Row],[Transactions]]</f>
        <v>221</v>
      </c>
    </row>
    <row r="325" spans="1:13" x14ac:dyDescent="0.25">
      <c r="A325" s="1">
        <v>46039</v>
      </c>
      <c r="B325" t="s">
        <v>12</v>
      </c>
      <c r="C325" t="s">
        <v>9</v>
      </c>
      <c r="D325" t="str">
        <f>_xlfn.XLOOKUP(tblSales[[#This Row],[Store ID]],tblStores[Store ID],tblStores[Store Name])</f>
        <v>Pietermaritzburg</v>
      </c>
      <c r="E325" t="str">
        <f>_xlfn.XLOOKUP(tblSales[[#This Row],[Store ID]],tblStores[Store ID],tblStores[Province])</f>
        <v>KZN</v>
      </c>
      <c r="F325" t="str">
        <f>_xlfn.XLOOKUP(tblSales[[#This Row],[Store ID]],tblStores[Store ID],tblStores[Manager])</f>
        <v>Peter Brown</v>
      </c>
      <c r="G325" t="str">
        <f>_xlfn.XLOOKUP(tblSales[[#This Row],[Category ID]],tblCategories[Category ID],tblCategories[Category])</f>
        <v>Ladieswear</v>
      </c>
      <c r="H325">
        <v>12444</v>
      </c>
      <c r="I325">
        <v>12055</v>
      </c>
      <c r="J325">
        <v>51</v>
      </c>
      <c r="K325">
        <f>tblSales[[#This Row],[Sales]]-tblSales[[#This Row],[Budget]]</f>
        <v>389</v>
      </c>
      <c r="L325" s="3">
        <f>(tblSales[[#This Row],[Sales]]-tblSales[[#This Row],[Budget]])/tblSales[[#This Row],[Budget]]</f>
        <v>3.2268768145997509E-2</v>
      </c>
      <c r="M325" s="2">
        <f>tblSales[[#This Row],[Sales]]/tblSales[[#This Row],[Transactions]]</f>
        <v>244</v>
      </c>
    </row>
    <row r="326" spans="1:13" x14ac:dyDescent="0.25">
      <c r="A326" s="1">
        <v>46039</v>
      </c>
      <c r="B326" t="s">
        <v>13</v>
      </c>
      <c r="C326" t="s">
        <v>19</v>
      </c>
      <c r="D326" t="str">
        <f>_xlfn.XLOOKUP(tblSales[[#This Row],[Store ID]],tblStores[Store ID],tblStores[Store Name])</f>
        <v>Richards Bay</v>
      </c>
      <c r="E326" t="str">
        <f>_xlfn.XLOOKUP(tblSales[[#This Row],[Store ID]],tblStores[Store ID],tblStores[Province])</f>
        <v>KZN</v>
      </c>
      <c r="F326" t="str">
        <f>_xlfn.XLOOKUP(tblSales[[#This Row],[Store ID]],tblStores[Store ID],tblStores[Manager])</f>
        <v>David Green</v>
      </c>
      <c r="G326" t="str">
        <f>_xlfn.XLOOKUP(tblSales[[#This Row],[Category ID]],tblCategories[Category ID],tblCategories[Category])</f>
        <v>Accessories</v>
      </c>
      <c r="H326">
        <v>60550</v>
      </c>
      <c r="I326">
        <v>60260</v>
      </c>
      <c r="J326">
        <v>175</v>
      </c>
      <c r="K326">
        <f>tblSales[[#This Row],[Sales]]-tblSales[[#This Row],[Budget]]</f>
        <v>290</v>
      </c>
      <c r="L326" s="3">
        <f>(tblSales[[#This Row],[Sales]]-tblSales[[#This Row],[Budget]])/tblSales[[#This Row],[Budget]]</f>
        <v>4.8124792565549289E-3</v>
      </c>
      <c r="M326" s="2">
        <f>tblSales[[#This Row],[Sales]]/tblSales[[#This Row],[Transactions]]</f>
        <v>346</v>
      </c>
    </row>
    <row r="327" spans="1:13" x14ac:dyDescent="0.25">
      <c r="A327" s="1">
        <v>46039</v>
      </c>
      <c r="B327" t="s">
        <v>14</v>
      </c>
      <c r="C327" t="s">
        <v>19</v>
      </c>
      <c r="D327" t="str">
        <f>_xlfn.XLOOKUP(tblSales[[#This Row],[Store ID]],tblStores[Store ID],tblStores[Store Name])</f>
        <v>Sandton</v>
      </c>
      <c r="E327" t="str">
        <f>_xlfn.XLOOKUP(tblSales[[#This Row],[Store ID]],tblStores[Store ID],tblStores[Province])</f>
        <v>Gauteng</v>
      </c>
      <c r="F327" t="str">
        <f>_xlfn.XLOOKUP(tblSales[[#This Row],[Store ID]],tblStores[Store ID],tblStores[Manager])</f>
        <v>Karen White</v>
      </c>
      <c r="G327" t="str">
        <f>_xlfn.XLOOKUP(tblSales[[#This Row],[Category ID]],tblCategories[Category ID],tblCategories[Category])</f>
        <v>Accessories</v>
      </c>
      <c r="H327">
        <v>56100</v>
      </c>
      <c r="I327">
        <v>56853</v>
      </c>
      <c r="J327">
        <v>170</v>
      </c>
      <c r="K327">
        <f>tblSales[[#This Row],[Sales]]-tblSales[[#This Row],[Budget]]</f>
        <v>-753</v>
      </c>
      <c r="L327" s="3">
        <f>(tblSales[[#This Row],[Sales]]-tblSales[[#This Row],[Budget]])/tblSales[[#This Row],[Budget]]</f>
        <v>-1.3244683657854467E-2</v>
      </c>
      <c r="M327" s="2">
        <f>tblSales[[#This Row],[Sales]]/tblSales[[#This Row],[Transactions]]</f>
        <v>330</v>
      </c>
    </row>
    <row r="328" spans="1:13" x14ac:dyDescent="0.25">
      <c r="A328" s="1">
        <v>46039</v>
      </c>
      <c r="B328" t="s">
        <v>15</v>
      </c>
      <c r="C328" t="s">
        <v>19</v>
      </c>
      <c r="D328" t="str">
        <f>_xlfn.XLOOKUP(tblSales[[#This Row],[Store ID]],tblStores[Store ID],tblStores[Store Name])</f>
        <v>Rosebank</v>
      </c>
      <c r="E328" t="str">
        <f>_xlfn.XLOOKUP(tblSales[[#This Row],[Store ID]],tblStores[Store ID],tblStores[Province])</f>
        <v>Gauteng</v>
      </c>
      <c r="F328" t="str">
        <f>_xlfn.XLOOKUP(tblSales[[#This Row],[Store ID]],tblStores[Store ID],tblStores[Manager])</f>
        <v>James Taylor</v>
      </c>
      <c r="G328" t="str">
        <f>_xlfn.XLOOKUP(tblSales[[#This Row],[Category ID]],tblCategories[Category ID],tblCategories[Category])</f>
        <v>Accessories</v>
      </c>
      <c r="H328">
        <v>33350</v>
      </c>
      <c r="I328">
        <v>36627</v>
      </c>
      <c r="J328">
        <v>145</v>
      </c>
      <c r="K328">
        <f>tblSales[[#This Row],[Sales]]-tblSales[[#This Row],[Budget]]</f>
        <v>-3277</v>
      </c>
      <c r="L328" s="3">
        <f>(tblSales[[#This Row],[Sales]]-tblSales[[#This Row],[Budget]])/tblSales[[#This Row],[Budget]]</f>
        <v>-8.9469517022961201E-2</v>
      </c>
      <c r="M328" s="2">
        <f>tblSales[[#This Row],[Sales]]/tblSales[[#This Row],[Transactions]]</f>
        <v>230</v>
      </c>
    </row>
    <row r="329" spans="1:13" x14ac:dyDescent="0.25">
      <c r="A329" s="1">
        <v>46039</v>
      </c>
      <c r="B329" t="s">
        <v>16</v>
      </c>
      <c r="C329" t="s">
        <v>7</v>
      </c>
      <c r="D329" t="str">
        <f>_xlfn.XLOOKUP(tblSales[[#This Row],[Store ID]],tblStores[Store ID],tblStores[Store Name])</f>
        <v>Pretoria</v>
      </c>
      <c r="E329" t="str">
        <f>_xlfn.XLOOKUP(tblSales[[#This Row],[Store ID]],tblStores[Store ID],tblStores[Province])</f>
        <v>Gauteng</v>
      </c>
      <c r="F329" t="str">
        <f>_xlfn.XLOOKUP(tblSales[[#This Row],[Store ID]],tblStores[Store ID],tblStores[Manager])</f>
        <v>Susan Clark</v>
      </c>
      <c r="G329" t="str">
        <f>_xlfn.XLOOKUP(tblSales[[#This Row],[Category ID]],tblCategories[Category ID],tblCategories[Category])</f>
        <v>Menswear</v>
      </c>
      <c r="H329">
        <v>103626</v>
      </c>
      <c r="I329">
        <v>116001</v>
      </c>
      <c r="J329">
        <v>202</v>
      </c>
      <c r="K329">
        <f>tblSales[[#This Row],[Sales]]-tblSales[[#This Row],[Budget]]</f>
        <v>-12375</v>
      </c>
      <c r="L329" s="3">
        <f>(tblSales[[#This Row],[Sales]]-tblSales[[#This Row],[Budget]])/tblSales[[#This Row],[Budget]]</f>
        <v>-0.10668011482659633</v>
      </c>
      <c r="M329" s="2">
        <f>tblSales[[#This Row],[Sales]]/tblSales[[#This Row],[Transactions]]</f>
        <v>513</v>
      </c>
    </row>
    <row r="330" spans="1:13" x14ac:dyDescent="0.25">
      <c r="A330" s="1">
        <v>46039</v>
      </c>
      <c r="B330" t="s">
        <v>17</v>
      </c>
      <c r="C330" t="s">
        <v>19</v>
      </c>
      <c r="D330" t="str">
        <f>_xlfn.XLOOKUP(tblSales[[#This Row],[Store ID]],tblStores[Store ID],tblStores[Store Name])</f>
        <v>Centurion</v>
      </c>
      <c r="E330" t="str">
        <f>_xlfn.XLOOKUP(tblSales[[#This Row],[Store ID]],tblStores[Store ID],tblStores[Province])</f>
        <v>Gauteng</v>
      </c>
      <c r="F330" t="str">
        <f>_xlfn.XLOOKUP(tblSales[[#This Row],[Store ID]],tblStores[Store ID],tblStores[Manager])</f>
        <v>Mark Wilson</v>
      </c>
      <c r="G330" t="str">
        <f>_xlfn.XLOOKUP(tblSales[[#This Row],[Category ID]],tblCategories[Category ID],tblCategories[Category])</f>
        <v>Accessories</v>
      </c>
      <c r="H330">
        <v>63510</v>
      </c>
      <c r="I330">
        <v>63987</v>
      </c>
      <c r="J330">
        <v>219</v>
      </c>
      <c r="K330">
        <f>tblSales[[#This Row],[Sales]]-tblSales[[#This Row],[Budget]]</f>
        <v>-477</v>
      </c>
      <c r="L330" s="3">
        <f>(tblSales[[#This Row],[Sales]]-tblSales[[#This Row],[Budget]])/tblSales[[#This Row],[Budget]]</f>
        <v>-7.4546392235922921E-3</v>
      </c>
      <c r="M330" s="2">
        <f>tblSales[[#This Row],[Sales]]/tblSales[[#This Row],[Transactions]]</f>
        <v>290</v>
      </c>
    </row>
    <row r="331" spans="1:13" x14ac:dyDescent="0.25">
      <c r="A331" s="1">
        <v>46039</v>
      </c>
      <c r="B331" t="s">
        <v>18</v>
      </c>
      <c r="C331" t="s">
        <v>9</v>
      </c>
      <c r="D331" t="str">
        <f>_xlfn.XLOOKUP(tblSales[[#This Row],[Store ID]],tblStores[Store ID],tblStores[Store Name])</f>
        <v>East Rand</v>
      </c>
      <c r="E331" t="str">
        <f>_xlfn.XLOOKUP(tblSales[[#This Row],[Store ID]],tblStores[Store ID],tblStores[Province])</f>
        <v>Gauteng</v>
      </c>
      <c r="F331" t="str">
        <f>_xlfn.XLOOKUP(tblSales[[#This Row],[Store ID]],tblStores[Store ID],tblStores[Manager])</f>
        <v>Lisa Young</v>
      </c>
      <c r="G331" t="str">
        <f>_xlfn.XLOOKUP(tblSales[[#This Row],[Category ID]],tblCategories[Category ID],tblCategories[Category])</f>
        <v>Ladieswear</v>
      </c>
      <c r="H331">
        <v>49420</v>
      </c>
      <c r="I331">
        <v>54700</v>
      </c>
      <c r="J331">
        <v>140</v>
      </c>
      <c r="K331">
        <f>tblSales[[#This Row],[Sales]]-tblSales[[#This Row],[Budget]]</f>
        <v>-5280</v>
      </c>
      <c r="L331" s="3">
        <f>(tblSales[[#This Row],[Sales]]-tblSales[[#This Row],[Budget]])/tblSales[[#This Row],[Budget]]</f>
        <v>-9.6526508226691038E-2</v>
      </c>
      <c r="M331" s="2">
        <f>tblSales[[#This Row],[Sales]]/tblSales[[#This Row],[Transactions]]</f>
        <v>353</v>
      </c>
    </row>
    <row r="332" spans="1:13" x14ac:dyDescent="0.25">
      <c r="A332" s="1">
        <v>46039</v>
      </c>
      <c r="B332" t="s">
        <v>20</v>
      </c>
      <c r="C332" t="s">
        <v>11</v>
      </c>
      <c r="D332" t="str">
        <f>_xlfn.XLOOKUP(tblSales[[#This Row],[Store ID]],tblStores[Store ID],tblStores[Store Name])</f>
        <v>Cape Town CBD</v>
      </c>
      <c r="E332" t="str">
        <f>_xlfn.XLOOKUP(tblSales[[#This Row],[Store ID]],tblStores[Store ID],tblStores[Province])</f>
        <v>Western Cape</v>
      </c>
      <c r="F332" t="str">
        <f>_xlfn.XLOOKUP(tblSales[[#This Row],[Store ID]],tblStores[Store ID],tblStores[Manager])</f>
        <v>Brian Hall</v>
      </c>
      <c r="G332" t="str">
        <f>_xlfn.XLOOKUP(tblSales[[#This Row],[Category ID]],tblCategories[Category ID],tblCategories[Category])</f>
        <v>Footwear</v>
      </c>
      <c r="H332">
        <v>32148</v>
      </c>
      <c r="I332">
        <v>31445</v>
      </c>
      <c r="J332">
        <v>141</v>
      </c>
      <c r="K332">
        <f>tblSales[[#This Row],[Sales]]-tblSales[[#This Row],[Budget]]</f>
        <v>703</v>
      </c>
      <c r="L332" s="3">
        <f>(tblSales[[#This Row],[Sales]]-tblSales[[#This Row],[Budget]])/tblSales[[#This Row],[Budget]]</f>
        <v>2.2356495468277945E-2</v>
      </c>
      <c r="M332" s="2">
        <f>tblSales[[#This Row],[Sales]]/tblSales[[#This Row],[Transactions]]</f>
        <v>228</v>
      </c>
    </row>
    <row r="333" spans="1:13" x14ac:dyDescent="0.25">
      <c r="A333" s="1">
        <v>46039</v>
      </c>
      <c r="B333" t="s">
        <v>21</v>
      </c>
      <c r="C333" t="s">
        <v>22</v>
      </c>
      <c r="D333" t="str">
        <f>_xlfn.XLOOKUP(tblSales[[#This Row],[Store ID]],tblStores[Store ID],tblStores[Store Name])</f>
        <v>Canal Walk</v>
      </c>
      <c r="E333" t="str">
        <f>_xlfn.XLOOKUP(tblSales[[#This Row],[Store ID]],tblStores[Store ID],tblStores[Province])</f>
        <v>Western Cape</v>
      </c>
      <c r="F333" t="str">
        <f>_xlfn.XLOOKUP(tblSales[[#This Row],[Store ID]],tblStores[Store ID],tblStores[Manager])</f>
        <v>Megan Scott</v>
      </c>
      <c r="G333" t="str">
        <f>_xlfn.XLOOKUP(tblSales[[#This Row],[Category ID]],tblCategories[Category ID],tblCategories[Category])</f>
        <v>Kids</v>
      </c>
      <c r="H333">
        <v>63550</v>
      </c>
      <c r="I333">
        <v>63141</v>
      </c>
      <c r="J333">
        <v>205</v>
      </c>
      <c r="K333">
        <f>tblSales[[#This Row],[Sales]]-tblSales[[#This Row],[Budget]]</f>
        <v>409</v>
      </c>
      <c r="L333" s="3">
        <f>(tblSales[[#This Row],[Sales]]-tblSales[[#This Row],[Budget]])/tblSales[[#This Row],[Budget]]</f>
        <v>6.477566082260338E-3</v>
      </c>
      <c r="M333" s="2">
        <f>tblSales[[#This Row],[Sales]]/tblSales[[#This Row],[Transactions]]</f>
        <v>310</v>
      </c>
    </row>
    <row r="334" spans="1:13" x14ac:dyDescent="0.25">
      <c r="A334" s="1">
        <v>46039</v>
      </c>
      <c r="B334" t="s">
        <v>23</v>
      </c>
      <c r="C334" t="s">
        <v>9</v>
      </c>
      <c r="D334" t="str">
        <f>_xlfn.XLOOKUP(tblSales[[#This Row],[Store ID]],tblStores[Store ID],tblStores[Store Name])</f>
        <v>Stellenbosch</v>
      </c>
      <c r="E334" t="str">
        <f>_xlfn.XLOOKUP(tblSales[[#This Row],[Store ID]],tblStores[Store ID],tblStores[Province])</f>
        <v>Western Cape</v>
      </c>
      <c r="F334" t="str">
        <f>_xlfn.XLOOKUP(tblSales[[#This Row],[Store ID]],tblStores[Store ID],tblStores[Manager])</f>
        <v>Jason King</v>
      </c>
      <c r="G334" t="str">
        <f>_xlfn.XLOOKUP(tblSales[[#This Row],[Category ID]],tblCategories[Category ID],tblCategories[Category])</f>
        <v>Ladieswear</v>
      </c>
      <c r="H334">
        <v>88620</v>
      </c>
      <c r="I334">
        <v>81245</v>
      </c>
      <c r="J334">
        <v>210</v>
      </c>
      <c r="K334">
        <f>tblSales[[#This Row],[Sales]]-tblSales[[#This Row],[Budget]]</f>
        <v>7375</v>
      </c>
      <c r="L334" s="3">
        <f>(tblSales[[#This Row],[Sales]]-tblSales[[#This Row],[Budget]])/tblSales[[#This Row],[Budget]]</f>
        <v>9.0774816911809955E-2</v>
      </c>
      <c r="M334" s="2">
        <f>tblSales[[#This Row],[Sales]]/tblSales[[#This Row],[Transactions]]</f>
        <v>422</v>
      </c>
    </row>
    <row r="335" spans="1:13" x14ac:dyDescent="0.25">
      <c r="A335" s="1">
        <v>46039</v>
      </c>
      <c r="B335" t="s">
        <v>24</v>
      </c>
      <c r="C335" t="s">
        <v>7</v>
      </c>
      <c r="D335" t="str">
        <f>_xlfn.XLOOKUP(tblSales[[#This Row],[Store ID]],tblStores[Store ID],tblStores[Store Name])</f>
        <v>George</v>
      </c>
      <c r="E335" t="str">
        <f>_xlfn.XLOOKUP(tblSales[[#This Row],[Store ID]],tblStores[Store ID],tblStores[Province])</f>
        <v>Western Cape</v>
      </c>
      <c r="F335" t="str">
        <f>_xlfn.XLOOKUP(tblSales[[#This Row],[Store ID]],tblStores[Store ID],tblStores[Manager])</f>
        <v>Chloe Hill</v>
      </c>
      <c r="G335" t="str">
        <f>_xlfn.XLOOKUP(tblSales[[#This Row],[Category ID]],tblCategories[Category ID],tblCategories[Category])</f>
        <v>Menswear</v>
      </c>
      <c r="H335">
        <v>23258</v>
      </c>
      <c r="I335">
        <v>21493</v>
      </c>
      <c r="J335">
        <v>58</v>
      </c>
      <c r="K335">
        <f>tblSales[[#This Row],[Sales]]-tblSales[[#This Row],[Budget]]</f>
        <v>1765</v>
      </c>
      <c r="L335" s="3">
        <f>(tblSales[[#This Row],[Sales]]-tblSales[[#This Row],[Budget]])/tblSales[[#This Row],[Budget]]</f>
        <v>8.2119759921835012E-2</v>
      </c>
      <c r="M335" s="2">
        <f>tblSales[[#This Row],[Sales]]/tblSales[[#This Row],[Transactions]]</f>
        <v>401</v>
      </c>
    </row>
    <row r="336" spans="1:13" x14ac:dyDescent="0.25">
      <c r="A336" s="1">
        <v>46039</v>
      </c>
      <c r="B336" t="s">
        <v>25</v>
      </c>
      <c r="C336" t="s">
        <v>22</v>
      </c>
      <c r="D336" t="str">
        <f>_xlfn.XLOOKUP(tblSales[[#This Row],[Store ID]],tblStores[Store ID],tblStores[Store Name])</f>
        <v>Paarl</v>
      </c>
      <c r="E336" t="str">
        <f>_xlfn.XLOOKUP(tblSales[[#This Row],[Store ID]],tblStores[Store ID],tblStores[Province])</f>
        <v>Western Cape</v>
      </c>
      <c r="F336" t="str">
        <f>_xlfn.XLOOKUP(tblSales[[#This Row],[Store ID]],tblStores[Store ID],tblStores[Manager])</f>
        <v>Andrew Lee</v>
      </c>
      <c r="G336" t="str">
        <f>_xlfn.XLOOKUP(tblSales[[#This Row],[Category ID]],tblCategories[Category ID],tblCategories[Category])</f>
        <v>Kids</v>
      </c>
      <c r="H336">
        <v>31552</v>
      </c>
      <c r="I336">
        <v>28869</v>
      </c>
      <c r="J336">
        <v>68</v>
      </c>
      <c r="K336">
        <f>tblSales[[#This Row],[Sales]]-tblSales[[#This Row],[Budget]]</f>
        <v>2683</v>
      </c>
      <c r="L336" s="3">
        <f>(tblSales[[#This Row],[Sales]]-tblSales[[#This Row],[Budget]])/tblSales[[#This Row],[Budget]]</f>
        <v>9.2937060514738989E-2</v>
      </c>
      <c r="M336" s="2">
        <f>tblSales[[#This Row],[Sales]]/tblSales[[#This Row],[Transactions]]</f>
        <v>464</v>
      </c>
    </row>
    <row r="337" spans="1:13" x14ac:dyDescent="0.25">
      <c r="A337" s="1">
        <v>46039</v>
      </c>
      <c r="B337" t="s">
        <v>26</v>
      </c>
      <c r="C337" t="s">
        <v>19</v>
      </c>
      <c r="D337" t="str">
        <f>_xlfn.XLOOKUP(tblSales[[#This Row],[Store ID]],tblStores[Store ID],tblStores[Store Name])</f>
        <v>Gqeberha</v>
      </c>
      <c r="E337" t="str">
        <f>_xlfn.XLOOKUP(tblSales[[#This Row],[Store ID]],tblStores[Store ID],tblStores[Province])</f>
        <v>Eastern Cape</v>
      </c>
      <c r="F337" t="str">
        <f>_xlfn.XLOOKUP(tblSales[[#This Row],[Store ID]],tblStores[Store ID],tblStores[Manager])</f>
        <v>Emma Baker</v>
      </c>
      <c r="G337" t="str">
        <f>_xlfn.XLOOKUP(tblSales[[#This Row],[Category ID]],tblCategories[Category ID],tblCategories[Category])</f>
        <v>Accessories</v>
      </c>
      <c r="H337">
        <v>61944</v>
      </c>
      <c r="I337">
        <v>66125</v>
      </c>
      <c r="J337">
        <v>178</v>
      </c>
      <c r="K337">
        <f>tblSales[[#This Row],[Sales]]-tblSales[[#This Row],[Budget]]</f>
        <v>-4181</v>
      </c>
      <c r="L337" s="3">
        <f>(tblSales[[#This Row],[Sales]]-tblSales[[#This Row],[Budget]])/tblSales[[#This Row],[Budget]]</f>
        <v>-6.3228733459357284E-2</v>
      </c>
      <c r="M337" s="2">
        <f>tblSales[[#This Row],[Sales]]/tblSales[[#This Row],[Transactions]]</f>
        <v>348</v>
      </c>
    </row>
    <row r="338" spans="1:13" x14ac:dyDescent="0.25">
      <c r="A338" s="1">
        <v>46039</v>
      </c>
      <c r="B338" t="s">
        <v>27</v>
      </c>
      <c r="C338" t="s">
        <v>11</v>
      </c>
      <c r="D338" t="str">
        <f>_xlfn.XLOOKUP(tblSales[[#This Row],[Store ID]],tblStores[Store ID],tblStores[Store Name])</f>
        <v>East London</v>
      </c>
      <c r="E338" t="str">
        <f>_xlfn.XLOOKUP(tblSales[[#This Row],[Store ID]],tblStores[Store ID],tblStores[Province])</f>
        <v>Eastern Cape</v>
      </c>
      <c r="F338" t="str">
        <f>_xlfn.XLOOKUP(tblSales[[#This Row],[Store ID]],tblStores[Store ID],tblStores[Manager])</f>
        <v>Daniel Evans</v>
      </c>
      <c r="G338" t="str">
        <f>_xlfn.XLOOKUP(tblSales[[#This Row],[Category ID]],tblCategories[Category ID],tblCategories[Category])</f>
        <v>Footwear</v>
      </c>
      <c r="H338">
        <v>65000</v>
      </c>
      <c r="I338">
        <v>73793</v>
      </c>
      <c r="J338">
        <v>125</v>
      </c>
      <c r="K338">
        <f>tblSales[[#This Row],[Sales]]-tblSales[[#This Row],[Budget]]</f>
        <v>-8793</v>
      </c>
      <c r="L338" s="3">
        <f>(tblSales[[#This Row],[Sales]]-tblSales[[#This Row],[Budget]])/tblSales[[#This Row],[Budget]]</f>
        <v>-0.11915764367893973</v>
      </c>
      <c r="M338" s="2">
        <f>tblSales[[#This Row],[Sales]]/tblSales[[#This Row],[Transactions]]</f>
        <v>520</v>
      </c>
    </row>
    <row r="339" spans="1:13" x14ac:dyDescent="0.25">
      <c r="A339" s="1">
        <v>46039</v>
      </c>
      <c r="B339" t="s">
        <v>28</v>
      </c>
      <c r="C339" t="s">
        <v>11</v>
      </c>
      <c r="D339" t="str">
        <f>_xlfn.XLOOKUP(tblSales[[#This Row],[Store ID]],tblStores[Store ID],tblStores[Store Name])</f>
        <v>Bloemfontein</v>
      </c>
      <c r="E339" t="str">
        <f>_xlfn.XLOOKUP(tblSales[[#This Row],[Store ID]],tblStores[Store ID],tblStores[Province])</f>
        <v>Free State</v>
      </c>
      <c r="F339" t="str">
        <f>_xlfn.XLOOKUP(tblSales[[#This Row],[Store ID]],tblStores[Store ID],tblStores[Manager])</f>
        <v>Rachel Moore</v>
      </c>
      <c r="G339" t="str">
        <f>_xlfn.XLOOKUP(tblSales[[#This Row],[Category ID]],tblCategories[Category ID],tblCategories[Category])</f>
        <v>Footwear</v>
      </c>
      <c r="H339">
        <v>45114</v>
      </c>
      <c r="I339">
        <v>51524</v>
      </c>
      <c r="J339">
        <v>219</v>
      </c>
      <c r="K339">
        <f>tblSales[[#This Row],[Sales]]-tblSales[[#This Row],[Budget]]</f>
        <v>-6410</v>
      </c>
      <c r="L339" s="3">
        <f>(tblSales[[#This Row],[Sales]]-tblSales[[#This Row],[Budget]])/tblSales[[#This Row],[Budget]]</f>
        <v>-0.1244080428538157</v>
      </c>
      <c r="M339" s="2">
        <f>tblSales[[#This Row],[Sales]]/tblSales[[#This Row],[Transactions]]</f>
        <v>206</v>
      </c>
    </row>
    <row r="340" spans="1:13" x14ac:dyDescent="0.25">
      <c r="A340" s="1">
        <v>46039</v>
      </c>
      <c r="B340" t="s">
        <v>29</v>
      </c>
      <c r="C340" t="s">
        <v>19</v>
      </c>
      <c r="D340" t="str">
        <f>_xlfn.XLOOKUP(tblSales[[#This Row],[Store ID]],tblStores[Store ID],tblStores[Store Name])</f>
        <v>Polokwane</v>
      </c>
      <c r="E340" t="str">
        <f>_xlfn.XLOOKUP(tblSales[[#This Row],[Store ID]],tblStores[Store ID],tblStores[Province])</f>
        <v>Limpopo</v>
      </c>
      <c r="F340" t="str">
        <f>_xlfn.XLOOKUP(tblSales[[#This Row],[Store ID]],tblStores[Store ID],tblStores[Manager])</f>
        <v>Kevin Harris</v>
      </c>
      <c r="G340" t="str">
        <f>_xlfn.XLOOKUP(tblSales[[#This Row],[Category ID]],tblCategories[Category ID],tblCategories[Category])</f>
        <v>Accessories</v>
      </c>
      <c r="H340">
        <v>41040</v>
      </c>
      <c r="I340">
        <v>37998</v>
      </c>
      <c r="J340">
        <v>114</v>
      </c>
      <c r="K340">
        <f>tblSales[[#This Row],[Sales]]-tblSales[[#This Row],[Budget]]</f>
        <v>3042</v>
      </c>
      <c r="L340" s="3">
        <f>(tblSales[[#This Row],[Sales]]-tblSales[[#This Row],[Budget]])/tblSales[[#This Row],[Budget]]</f>
        <v>8.0056845097110377E-2</v>
      </c>
      <c r="M340" s="2">
        <f>tblSales[[#This Row],[Sales]]/tblSales[[#This Row],[Transactions]]</f>
        <v>360</v>
      </c>
    </row>
    <row r="341" spans="1:13" x14ac:dyDescent="0.25">
      <c r="A341" s="1">
        <v>46039</v>
      </c>
      <c r="B341" t="s">
        <v>30</v>
      </c>
      <c r="C341" t="s">
        <v>19</v>
      </c>
      <c r="D341" t="str">
        <f>_xlfn.XLOOKUP(tblSales[[#This Row],[Store ID]],tblStores[Store ID],tblStores[Store Name])</f>
        <v>Nelspruit</v>
      </c>
      <c r="E341" t="str">
        <f>_xlfn.XLOOKUP(tblSales[[#This Row],[Store ID]],tblStores[Store ID],tblStores[Province])</f>
        <v>Mpumalanga</v>
      </c>
      <c r="F341" t="str">
        <f>_xlfn.XLOOKUP(tblSales[[#This Row],[Store ID]],tblStores[Store ID],tblStores[Manager])</f>
        <v>Olivia Turner</v>
      </c>
      <c r="G341" t="str">
        <f>_xlfn.XLOOKUP(tblSales[[#This Row],[Category ID]],tblCategories[Category ID],tblCategories[Category])</f>
        <v>Accessories</v>
      </c>
      <c r="H341">
        <v>23051</v>
      </c>
      <c r="I341">
        <v>24530</v>
      </c>
      <c r="J341">
        <v>89</v>
      </c>
      <c r="K341">
        <f>tblSales[[#This Row],[Sales]]-tblSales[[#This Row],[Budget]]</f>
        <v>-1479</v>
      </c>
      <c r="L341" s="3">
        <f>(tblSales[[#This Row],[Sales]]-tblSales[[#This Row],[Budget]])/tblSales[[#This Row],[Budget]]</f>
        <v>-6.0293518141051772E-2</v>
      </c>
      <c r="M341" s="2">
        <f>tblSales[[#This Row],[Sales]]/tblSales[[#This Row],[Transactions]]</f>
        <v>259</v>
      </c>
    </row>
    <row r="342" spans="1:13" x14ac:dyDescent="0.25">
      <c r="A342" s="1">
        <v>46040</v>
      </c>
      <c r="B342" t="s">
        <v>6</v>
      </c>
      <c r="C342" t="s">
        <v>9</v>
      </c>
      <c r="D342" t="str">
        <f>_xlfn.XLOOKUP(tblSales[[#This Row],[Store ID]],tblStores[Store ID],tblStores[Store Name])</f>
        <v>Durban CBD</v>
      </c>
      <c r="E342" t="str">
        <f>_xlfn.XLOOKUP(tblSales[[#This Row],[Store ID]],tblStores[Store ID],tblStores[Province])</f>
        <v>KZN</v>
      </c>
      <c r="F342" t="str">
        <f>_xlfn.XLOOKUP(tblSales[[#This Row],[Store ID]],tblStores[Store ID],tblStores[Manager])</f>
        <v>Sarah Adams</v>
      </c>
      <c r="G342" t="str">
        <f>_xlfn.XLOOKUP(tblSales[[#This Row],[Category ID]],tblCategories[Category ID],tblCategories[Category])</f>
        <v>Ladieswear</v>
      </c>
      <c r="H342">
        <v>22258</v>
      </c>
      <c r="I342">
        <v>24736</v>
      </c>
      <c r="J342">
        <v>62</v>
      </c>
      <c r="K342">
        <f>tblSales[[#This Row],[Sales]]-tblSales[[#This Row],[Budget]]</f>
        <v>-2478</v>
      </c>
      <c r="L342" s="3">
        <f>(tblSales[[#This Row],[Sales]]-tblSales[[#This Row],[Budget]])/tblSales[[#This Row],[Budget]]</f>
        <v>-0.10017787839586029</v>
      </c>
      <c r="M342" s="2">
        <f>tblSales[[#This Row],[Sales]]/tblSales[[#This Row],[Transactions]]</f>
        <v>359</v>
      </c>
    </row>
    <row r="343" spans="1:13" x14ac:dyDescent="0.25">
      <c r="A343" s="1">
        <v>46040</v>
      </c>
      <c r="B343" t="s">
        <v>8</v>
      </c>
      <c r="C343" t="s">
        <v>22</v>
      </c>
      <c r="D343" t="str">
        <f>_xlfn.XLOOKUP(tblSales[[#This Row],[Store ID]],tblStores[Store ID],tblStores[Store Name])</f>
        <v>Gateway</v>
      </c>
      <c r="E343" t="str">
        <f>_xlfn.XLOOKUP(tblSales[[#This Row],[Store ID]],tblStores[Store ID],tblStores[Province])</f>
        <v>KZN</v>
      </c>
      <c r="F343" t="str">
        <f>_xlfn.XLOOKUP(tblSales[[#This Row],[Store ID]],tblStores[Store ID],tblStores[Manager])</f>
        <v>Michael Jones</v>
      </c>
      <c r="G343" t="str">
        <f>_xlfn.XLOOKUP(tblSales[[#This Row],[Category ID]],tblCategories[Category ID],tblCategories[Category])</f>
        <v>Kids</v>
      </c>
      <c r="H343">
        <v>20608</v>
      </c>
      <c r="I343">
        <v>21504</v>
      </c>
      <c r="J343">
        <v>64</v>
      </c>
      <c r="K343">
        <f>tblSales[[#This Row],[Sales]]-tblSales[[#This Row],[Budget]]</f>
        <v>-896</v>
      </c>
      <c r="L343" s="3">
        <f>(tblSales[[#This Row],[Sales]]-tblSales[[#This Row],[Budget]])/tblSales[[#This Row],[Budget]]</f>
        <v>-4.1666666666666664E-2</v>
      </c>
      <c r="M343" s="2">
        <f>tblSales[[#This Row],[Sales]]/tblSales[[#This Row],[Transactions]]</f>
        <v>322</v>
      </c>
    </row>
    <row r="344" spans="1:13" x14ac:dyDescent="0.25">
      <c r="A344" s="1">
        <v>46040</v>
      </c>
      <c r="B344" t="s">
        <v>10</v>
      </c>
      <c r="C344" t="s">
        <v>11</v>
      </c>
      <c r="D344" t="str">
        <f>_xlfn.XLOOKUP(tblSales[[#This Row],[Store ID]],tblStores[Store ID],tblStores[Store Name])</f>
        <v>Ballito</v>
      </c>
      <c r="E344" t="str">
        <f>_xlfn.XLOOKUP(tblSales[[#This Row],[Store ID]],tblStores[Store ID],tblStores[Province])</f>
        <v>KZN</v>
      </c>
      <c r="F344" t="str">
        <f>_xlfn.XLOOKUP(tblSales[[#This Row],[Store ID]],tblStores[Store ID],tblStores[Manager])</f>
        <v>Linda Smith</v>
      </c>
      <c r="G344" t="str">
        <f>_xlfn.XLOOKUP(tblSales[[#This Row],[Category ID]],tblCategories[Category ID],tblCategories[Category])</f>
        <v>Footwear</v>
      </c>
      <c r="H344">
        <v>88644</v>
      </c>
      <c r="I344">
        <v>93376</v>
      </c>
      <c r="J344">
        <v>178</v>
      </c>
      <c r="K344">
        <f>tblSales[[#This Row],[Sales]]-tblSales[[#This Row],[Budget]]</f>
        <v>-4732</v>
      </c>
      <c r="L344" s="3">
        <f>(tblSales[[#This Row],[Sales]]-tblSales[[#This Row],[Budget]])/tblSales[[#This Row],[Budget]]</f>
        <v>-5.0676833447566828E-2</v>
      </c>
      <c r="M344" s="2">
        <f>tblSales[[#This Row],[Sales]]/tblSales[[#This Row],[Transactions]]</f>
        <v>498</v>
      </c>
    </row>
    <row r="345" spans="1:13" x14ac:dyDescent="0.25">
      <c r="A345" s="1">
        <v>46040</v>
      </c>
      <c r="B345" t="s">
        <v>12</v>
      </c>
      <c r="C345" t="s">
        <v>19</v>
      </c>
      <c r="D345" t="str">
        <f>_xlfn.XLOOKUP(tblSales[[#This Row],[Store ID]],tblStores[Store ID],tblStores[Store Name])</f>
        <v>Pietermaritzburg</v>
      </c>
      <c r="E345" t="str">
        <f>_xlfn.XLOOKUP(tblSales[[#This Row],[Store ID]],tblStores[Store ID],tblStores[Province])</f>
        <v>KZN</v>
      </c>
      <c r="F345" t="str">
        <f>_xlfn.XLOOKUP(tblSales[[#This Row],[Store ID]],tblStores[Store ID],tblStores[Manager])</f>
        <v>Peter Brown</v>
      </c>
      <c r="G345" t="str">
        <f>_xlfn.XLOOKUP(tblSales[[#This Row],[Category ID]],tblCategories[Category ID],tblCategories[Category])</f>
        <v>Accessories</v>
      </c>
      <c r="H345">
        <v>20131</v>
      </c>
      <c r="I345">
        <v>22793</v>
      </c>
      <c r="J345">
        <v>41</v>
      </c>
      <c r="K345">
        <f>tblSales[[#This Row],[Sales]]-tblSales[[#This Row],[Budget]]</f>
        <v>-2662</v>
      </c>
      <c r="L345" s="3">
        <f>(tblSales[[#This Row],[Sales]]-tblSales[[#This Row],[Budget]])/tblSales[[#This Row],[Budget]]</f>
        <v>-0.11679024261834774</v>
      </c>
      <c r="M345" s="2">
        <f>tblSales[[#This Row],[Sales]]/tblSales[[#This Row],[Transactions]]</f>
        <v>491</v>
      </c>
    </row>
    <row r="346" spans="1:13" x14ac:dyDescent="0.25">
      <c r="A346" s="1">
        <v>46040</v>
      </c>
      <c r="B346" t="s">
        <v>13</v>
      </c>
      <c r="C346" t="s">
        <v>22</v>
      </c>
      <c r="D346" t="str">
        <f>_xlfn.XLOOKUP(tblSales[[#This Row],[Store ID]],tblStores[Store ID],tblStores[Store Name])</f>
        <v>Richards Bay</v>
      </c>
      <c r="E346" t="str">
        <f>_xlfn.XLOOKUP(tblSales[[#This Row],[Store ID]],tblStores[Store ID],tblStores[Province])</f>
        <v>KZN</v>
      </c>
      <c r="F346" t="str">
        <f>_xlfn.XLOOKUP(tblSales[[#This Row],[Store ID]],tblStores[Store ID],tblStores[Manager])</f>
        <v>David Green</v>
      </c>
      <c r="G346" t="str">
        <f>_xlfn.XLOOKUP(tblSales[[#This Row],[Category ID]],tblCategories[Category ID],tblCategories[Category])</f>
        <v>Kids</v>
      </c>
      <c r="H346">
        <v>11424</v>
      </c>
      <c r="I346">
        <v>11062</v>
      </c>
      <c r="J346">
        <v>42</v>
      </c>
      <c r="K346">
        <f>tblSales[[#This Row],[Sales]]-tblSales[[#This Row],[Budget]]</f>
        <v>362</v>
      </c>
      <c r="L346" s="3">
        <f>(tblSales[[#This Row],[Sales]]-tblSales[[#This Row],[Budget]])/tblSales[[#This Row],[Budget]]</f>
        <v>3.2724642921713974E-2</v>
      </c>
      <c r="M346" s="2">
        <f>tblSales[[#This Row],[Sales]]/tblSales[[#This Row],[Transactions]]</f>
        <v>272</v>
      </c>
    </row>
    <row r="347" spans="1:13" x14ac:dyDescent="0.25">
      <c r="A347" s="1">
        <v>46040</v>
      </c>
      <c r="B347" t="s">
        <v>14</v>
      </c>
      <c r="C347" t="s">
        <v>22</v>
      </c>
      <c r="D347" t="str">
        <f>_xlfn.XLOOKUP(tblSales[[#This Row],[Store ID]],tblStores[Store ID],tblStores[Store Name])</f>
        <v>Sandton</v>
      </c>
      <c r="E347" t="str">
        <f>_xlfn.XLOOKUP(tblSales[[#This Row],[Store ID]],tblStores[Store ID],tblStores[Province])</f>
        <v>Gauteng</v>
      </c>
      <c r="F347" t="str">
        <f>_xlfn.XLOOKUP(tblSales[[#This Row],[Store ID]],tblStores[Store ID],tblStores[Manager])</f>
        <v>Karen White</v>
      </c>
      <c r="G347" t="str">
        <f>_xlfn.XLOOKUP(tblSales[[#This Row],[Category ID]],tblCategories[Category ID],tblCategories[Category])</f>
        <v>Kids</v>
      </c>
      <c r="H347">
        <v>43439</v>
      </c>
      <c r="I347">
        <v>39161</v>
      </c>
      <c r="J347">
        <v>121</v>
      </c>
      <c r="K347">
        <f>tblSales[[#This Row],[Sales]]-tblSales[[#This Row],[Budget]]</f>
        <v>4278</v>
      </c>
      <c r="L347" s="3">
        <f>(tblSales[[#This Row],[Sales]]-tblSales[[#This Row],[Budget]])/tblSales[[#This Row],[Budget]]</f>
        <v>0.10924133704450857</v>
      </c>
      <c r="M347" s="2">
        <f>tblSales[[#This Row],[Sales]]/tblSales[[#This Row],[Transactions]]</f>
        <v>359</v>
      </c>
    </row>
    <row r="348" spans="1:13" x14ac:dyDescent="0.25">
      <c r="A348" s="1">
        <v>46040</v>
      </c>
      <c r="B348" t="s">
        <v>15</v>
      </c>
      <c r="C348" t="s">
        <v>9</v>
      </c>
      <c r="D348" t="str">
        <f>_xlfn.XLOOKUP(tblSales[[#This Row],[Store ID]],tblStores[Store ID],tblStores[Store Name])</f>
        <v>Rosebank</v>
      </c>
      <c r="E348" t="str">
        <f>_xlfn.XLOOKUP(tblSales[[#This Row],[Store ID]],tblStores[Store ID],tblStores[Province])</f>
        <v>Gauteng</v>
      </c>
      <c r="F348" t="str">
        <f>_xlfn.XLOOKUP(tblSales[[#This Row],[Store ID]],tblStores[Store ID],tblStores[Manager])</f>
        <v>James Taylor</v>
      </c>
      <c r="G348" t="str">
        <f>_xlfn.XLOOKUP(tblSales[[#This Row],[Category ID]],tblCategories[Category ID],tblCategories[Category])</f>
        <v>Ladieswear</v>
      </c>
      <c r="H348">
        <v>92364</v>
      </c>
      <c r="I348">
        <v>92382</v>
      </c>
      <c r="J348">
        <v>179</v>
      </c>
      <c r="K348">
        <f>tblSales[[#This Row],[Sales]]-tblSales[[#This Row],[Budget]]</f>
        <v>-18</v>
      </c>
      <c r="L348" s="3">
        <f>(tblSales[[#This Row],[Sales]]-tblSales[[#This Row],[Budget]])/tblSales[[#This Row],[Budget]]</f>
        <v>-1.948431512632331E-4</v>
      </c>
      <c r="M348" s="2">
        <f>tblSales[[#This Row],[Sales]]/tblSales[[#This Row],[Transactions]]</f>
        <v>516</v>
      </c>
    </row>
    <row r="349" spans="1:13" x14ac:dyDescent="0.25">
      <c r="A349" s="1">
        <v>46040</v>
      </c>
      <c r="B349" t="s">
        <v>16</v>
      </c>
      <c r="C349" t="s">
        <v>9</v>
      </c>
      <c r="D349" t="str">
        <f>_xlfn.XLOOKUP(tblSales[[#This Row],[Store ID]],tblStores[Store ID],tblStores[Store Name])</f>
        <v>Pretoria</v>
      </c>
      <c r="E349" t="str">
        <f>_xlfn.XLOOKUP(tblSales[[#This Row],[Store ID]],tblStores[Store ID],tblStores[Province])</f>
        <v>Gauteng</v>
      </c>
      <c r="F349" t="str">
        <f>_xlfn.XLOOKUP(tblSales[[#This Row],[Store ID]],tblStores[Store ID],tblStores[Manager])</f>
        <v>Susan Clark</v>
      </c>
      <c r="G349" t="str">
        <f>_xlfn.XLOOKUP(tblSales[[#This Row],[Category ID]],tblCategories[Category ID],tblCategories[Category])</f>
        <v>Ladieswear</v>
      </c>
      <c r="H349">
        <v>38415</v>
      </c>
      <c r="I349">
        <v>35454</v>
      </c>
      <c r="J349">
        <v>197</v>
      </c>
      <c r="K349">
        <f>tblSales[[#This Row],[Sales]]-tblSales[[#This Row],[Budget]]</f>
        <v>2961</v>
      </c>
      <c r="L349" s="3">
        <f>(tblSales[[#This Row],[Sales]]-tblSales[[#This Row],[Budget]])/tblSales[[#This Row],[Budget]]</f>
        <v>8.3516669487222875E-2</v>
      </c>
      <c r="M349" s="2">
        <f>tblSales[[#This Row],[Sales]]/tblSales[[#This Row],[Transactions]]</f>
        <v>195</v>
      </c>
    </row>
    <row r="350" spans="1:13" x14ac:dyDescent="0.25">
      <c r="A350" s="1">
        <v>46040</v>
      </c>
      <c r="B350" t="s">
        <v>17</v>
      </c>
      <c r="C350" t="s">
        <v>19</v>
      </c>
      <c r="D350" t="str">
        <f>_xlfn.XLOOKUP(tblSales[[#This Row],[Store ID]],tblStores[Store ID],tblStores[Store Name])</f>
        <v>Centurion</v>
      </c>
      <c r="E350" t="str">
        <f>_xlfn.XLOOKUP(tblSales[[#This Row],[Store ID]],tblStores[Store ID],tblStores[Province])</f>
        <v>Gauteng</v>
      </c>
      <c r="F350" t="str">
        <f>_xlfn.XLOOKUP(tblSales[[#This Row],[Store ID]],tblStores[Store ID],tblStores[Manager])</f>
        <v>Mark Wilson</v>
      </c>
      <c r="G350" t="str">
        <f>_xlfn.XLOOKUP(tblSales[[#This Row],[Category ID]],tblCategories[Category ID],tblCategories[Category])</f>
        <v>Accessories</v>
      </c>
      <c r="H350">
        <v>33480</v>
      </c>
      <c r="I350">
        <v>33645</v>
      </c>
      <c r="J350">
        <v>90</v>
      </c>
      <c r="K350">
        <f>tblSales[[#This Row],[Sales]]-tblSales[[#This Row],[Budget]]</f>
        <v>-165</v>
      </c>
      <c r="L350" s="3">
        <f>(tblSales[[#This Row],[Sales]]-tblSales[[#This Row],[Budget]])/tblSales[[#This Row],[Budget]]</f>
        <v>-4.90414623272403E-3</v>
      </c>
      <c r="M350" s="2">
        <f>tblSales[[#This Row],[Sales]]/tblSales[[#This Row],[Transactions]]</f>
        <v>372</v>
      </c>
    </row>
    <row r="351" spans="1:13" x14ac:dyDescent="0.25">
      <c r="A351" s="1">
        <v>46040</v>
      </c>
      <c r="B351" t="s">
        <v>18</v>
      </c>
      <c r="C351" t="s">
        <v>22</v>
      </c>
      <c r="D351" t="str">
        <f>_xlfn.XLOOKUP(tblSales[[#This Row],[Store ID]],tblStores[Store ID],tblStores[Store Name])</f>
        <v>East Rand</v>
      </c>
      <c r="E351" t="str">
        <f>_xlfn.XLOOKUP(tblSales[[#This Row],[Store ID]],tblStores[Store ID],tblStores[Province])</f>
        <v>Gauteng</v>
      </c>
      <c r="F351" t="str">
        <f>_xlfn.XLOOKUP(tblSales[[#This Row],[Store ID]],tblStores[Store ID],tblStores[Manager])</f>
        <v>Lisa Young</v>
      </c>
      <c r="G351" t="str">
        <f>_xlfn.XLOOKUP(tblSales[[#This Row],[Category ID]],tblCategories[Category ID],tblCategories[Category])</f>
        <v>Kids</v>
      </c>
      <c r="H351">
        <v>27675</v>
      </c>
      <c r="I351">
        <v>27063</v>
      </c>
      <c r="J351">
        <v>75</v>
      </c>
      <c r="K351">
        <f>tblSales[[#This Row],[Sales]]-tblSales[[#This Row],[Budget]]</f>
        <v>612</v>
      </c>
      <c r="L351" s="3">
        <f>(tblSales[[#This Row],[Sales]]-tblSales[[#This Row],[Budget]])/tblSales[[#This Row],[Budget]]</f>
        <v>2.2613900897904889E-2</v>
      </c>
      <c r="M351" s="2">
        <f>tblSales[[#This Row],[Sales]]/tblSales[[#This Row],[Transactions]]</f>
        <v>369</v>
      </c>
    </row>
    <row r="352" spans="1:13" x14ac:dyDescent="0.25">
      <c r="A352" s="1">
        <v>46040</v>
      </c>
      <c r="B352" t="s">
        <v>20</v>
      </c>
      <c r="C352" t="s">
        <v>22</v>
      </c>
      <c r="D352" t="str">
        <f>_xlfn.XLOOKUP(tblSales[[#This Row],[Store ID]],tblStores[Store ID],tblStores[Store Name])</f>
        <v>Cape Town CBD</v>
      </c>
      <c r="E352" t="str">
        <f>_xlfn.XLOOKUP(tblSales[[#This Row],[Store ID]],tblStores[Store ID],tblStores[Province])</f>
        <v>Western Cape</v>
      </c>
      <c r="F352" t="str">
        <f>_xlfn.XLOOKUP(tblSales[[#This Row],[Store ID]],tblStores[Store ID],tblStores[Manager])</f>
        <v>Brian Hall</v>
      </c>
      <c r="G352" t="str">
        <f>_xlfn.XLOOKUP(tblSales[[#This Row],[Category ID]],tblCategories[Category ID],tblCategories[Category])</f>
        <v>Kids</v>
      </c>
      <c r="H352">
        <v>87300</v>
      </c>
      <c r="I352">
        <v>80424</v>
      </c>
      <c r="J352">
        <v>180</v>
      </c>
      <c r="K352">
        <f>tblSales[[#This Row],[Sales]]-tblSales[[#This Row],[Budget]]</f>
        <v>6876</v>
      </c>
      <c r="L352" s="3">
        <f>(tblSales[[#This Row],[Sales]]-tblSales[[#This Row],[Budget]])/tblSales[[#This Row],[Budget]]</f>
        <v>8.5496866606982996E-2</v>
      </c>
      <c r="M352" s="2">
        <f>tblSales[[#This Row],[Sales]]/tblSales[[#This Row],[Transactions]]</f>
        <v>485</v>
      </c>
    </row>
    <row r="353" spans="1:13" x14ac:dyDescent="0.25">
      <c r="A353" s="1">
        <v>46040</v>
      </c>
      <c r="B353" t="s">
        <v>21</v>
      </c>
      <c r="C353" t="s">
        <v>7</v>
      </c>
      <c r="D353" t="str">
        <f>_xlfn.XLOOKUP(tblSales[[#This Row],[Store ID]],tblStores[Store ID],tblStores[Store Name])</f>
        <v>Canal Walk</v>
      </c>
      <c r="E353" t="str">
        <f>_xlfn.XLOOKUP(tblSales[[#This Row],[Store ID]],tblStores[Store ID],tblStores[Province])</f>
        <v>Western Cape</v>
      </c>
      <c r="F353" t="str">
        <f>_xlfn.XLOOKUP(tblSales[[#This Row],[Store ID]],tblStores[Store ID],tblStores[Manager])</f>
        <v>Megan Scott</v>
      </c>
      <c r="G353" t="str">
        <f>_xlfn.XLOOKUP(tblSales[[#This Row],[Category ID]],tblCategories[Category ID],tblCategories[Category])</f>
        <v>Menswear</v>
      </c>
      <c r="H353">
        <v>19240</v>
      </c>
      <c r="I353">
        <v>20944</v>
      </c>
      <c r="J353">
        <v>74</v>
      </c>
      <c r="K353">
        <f>tblSales[[#This Row],[Sales]]-tblSales[[#This Row],[Budget]]</f>
        <v>-1704</v>
      </c>
      <c r="L353" s="3">
        <f>(tblSales[[#This Row],[Sales]]-tblSales[[#This Row],[Budget]])/tblSales[[#This Row],[Budget]]</f>
        <v>-8.1359816653934297E-2</v>
      </c>
      <c r="M353" s="2">
        <f>tblSales[[#This Row],[Sales]]/tblSales[[#This Row],[Transactions]]</f>
        <v>260</v>
      </c>
    </row>
    <row r="354" spans="1:13" x14ac:dyDescent="0.25">
      <c r="A354" s="1">
        <v>46040</v>
      </c>
      <c r="B354" t="s">
        <v>23</v>
      </c>
      <c r="C354" t="s">
        <v>7</v>
      </c>
      <c r="D354" t="str">
        <f>_xlfn.XLOOKUP(tblSales[[#This Row],[Store ID]],tblStores[Store ID],tblStores[Store Name])</f>
        <v>Stellenbosch</v>
      </c>
      <c r="E354" t="str">
        <f>_xlfn.XLOOKUP(tblSales[[#This Row],[Store ID]],tblStores[Store ID],tblStores[Province])</f>
        <v>Western Cape</v>
      </c>
      <c r="F354" t="str">
        <f>_xlfn.XLOOKUP(tblSales[[#This Row],[Store ID]],tblStores[Store ID],tblStores[Manager])</f>
        <v>Jason King</v>
      </c>
      <c r="G354" t="str">
        <f>_xlfn.XLOOKUP(tblSales[[#This Row],[Category ID]],tblCategories[Category ID],tblCategories[Category])</f>
        <v>Menswear</v>
      </c>
      <c r="H354">
        <v>45747</v>
      </c>
      <c r="I354">
        <v>44284</v>
      </c>
      <c r="J354">
        <v>207</v>
      </c>
      <c r="K354">
        <f>tblSales[[#This Row],[Sales]]-tblSales[[#This Row],[Budget]]</f>
        <v>1463</v>
      </c>
      <c r="L354" s="3">
        <f>(tblSales[[#This Row],[Sales]]-tblSales[[#This Row],[Budget]])/tblSales[[#This Row],[Budget]]</f>
        <v>3.3036762713395354E-2</v>
      </c>
      <c r="M354" s="2">
        <f>tblSales[[#This Row],[Sales]]/tblSales[[#This Row],[Transactions]]</f>
        <v>221</v>
      </c>
    </row>
    <row r="355" spans="1:13" x14ac:dyDescent="0.25">
      <c r="A355" s="1">
        <v>46040</v>
      </c>
      <c r="B355" t="s">
        <v>24</v>
      </c>
      <c r="C355" t="s">
        <v>11</v>
      </c>
      <c r="D355" t="str">
        <f>_xlfn.XLOOKUP(tblSales[[#This Row],[Store ID]],tblStores[Store ID],tblStores[Store Name])</f>
        <v>George</v>
      </c>
      <c r="E355" t="str">
        <f>_xlfn.XLOOKUP(tblSales[[#This Row],[Store ID]],tblStores[Store ID],tblStores[Province])</f>
        <v>Western Cape</v>
      </c>
      <c r="F355" t="str">
        <f>_xlfn.XLOOKUP(tblSales[[#This Row],[Store ID]],tblStores[Store ID],tblStores[Manager])</f>
        <v>Chloe Hill</v>
      </c>
      <c r="G355" t="str">
        <f>_xlfn.XLOOKUP(tblSales[[#This Row],[Category ID]],tblCategories[Category ID],tblCategories[Category])</f>
        <v>Footwear</v>
      </c>
      <c r="H355">
        <v>77910</v>
      </c>
      <c r="I355">
        <v>78728</v>
      </c>
      <c r="J355">
        <v>159</v>
      </c>
      <c r="K355">
        <f>tblSales[[#This Row],[Sales]]-tblSales[[#This Row],[Budget]]</f>
        <v>-818</v>
      </c>
      <c r="L355" s="3">
        <f>(tblSales[[#This Row],[Sales]]-tblSales[[#This Row],[Budget]])/tblSales[[#This Row],[Budget]]</f>
        <v>-1.039020424753582E-2</v>
      </c>
      <c r="M355" s="2">
        <f>tblSales[[#This Row],[Sales]]/tblSales[[#This Row],[Transactions]]</f>
        <v>490</v>
      </c>
    </row>
    <row r="356" spans="1:13" x14ac:dyDescent="0.25">
      <c r="A356" s="1">
        <v>46040</v>
      </c>
      <c r="B356" t="s">
        <v>25</v>
      </c>
      <c r="C356" t="s">
        <v>22</v>
      </c>
      <c r="D356" t="str">
        <f>_xlfn.XLOOKUP(tblSales[[#This Row],[Store ID]],tblStores[Store ID],tblStores[Store Name])</f>
        <v>Paarl</v>
      </c>
      <c r="E356" t="str">
        <f>_xlfn.XLOOKUP(tblSales[[#This Row],[Store ID]],tblStores[Store ID],tblStores[Province])</f>
        <v>Western Cape</v>
      </c>
      <c r="F356" t="str">
        <f>_xlfn.XLOOKUP(tblSales[[#This Row],[Store ID]],tblStores[Store ID],tblStores[Manager])</f>
        <v>Andrew Lee</v>
      </c>
      <c r="G356" t="str">
        <f>_xlfn.XLOOKUP(tblSales[[#This Row],[Category ID]],tblCategories[Category ID],tblCategories[Category])</f>
        <v>Kids</v>
      </c>
      <c r="H356">
        <v>39780</v>
      </c>
      <c r="I356">
        <v>36933</v>
      </c>
      <c r="J356">
        <v>90</v>
      </c>
      <c r="K356">
        <f>tblSales[[#This Row],[Sales]]-tblSales[[#This Row],[Budget]]</f>
        <v>2847</v>
      </c>
      <c r="L356" s="3">
        <f>(tblSales[[#This Row],[Sales]]-tblSales[[#This Row],[Budget]])/tblSales[[#This Row],[Budget]]</f>
        <v>7.7085533262935588E-2</v>
      </c>
      <c r="M356" s="2">
        <f>tblSales[[#This Row],[Sales]]/tblSales[[#This Row],[Transactions]]</f>
        <v>442</v>
      </c>
    </row>
    <row r="357" spans="1:13" x14ac:dyDescent="0.25">
      <c r="A357" s="1">
        <v>46040</v>
      </c>
      <c r="B357" t="s">
        <v>26</v>
      </c>
      <c r="C357" t="s">
        <v>11</v>
      </c>
      <c r="D357" t="str">
        <f>_xlfn.XLOOKUP(tblSales[[#This Row],[Store ID]],tblStores[Store ID],tblStores[Store Name])</f>
        <v>Gqeberha</v>
      </c>
      <c r="E357" t="str">
        <f>_xlfn.XLOOKUP(tblSales[[#This Row],[Store ID]],tblStores[Store ID],tblStores[Province])</f>
        <v>Eastern Cape</v>
      </c>
      <c r="F357" t="str">
        <f>_xlfn.XLOOKUP(tblSales[[#This Row],[Store ID]],tblStores[Store ID],tblStores[Manager])</f>
        <v>Emma Baker</v>
      </c>
      <c r="G357" t="str">
        <f>_xlfn.XLOOKUP(tblSales[[#This Row],[Category ID]],tblCategories[Category ID],tblCategories[Category])</f>
        <v>Footwear</v>
      </c>
      <c r="H357">
        <v>20475</v>
      </c>
      <c r="I357">
        <v>21899</v>
      </c>
      <c r="J357">
        <v>63</v>
      </c>
      <c r="K357">
        <f>tblSales[[#This Row],[Sales]]-tblSales[[#This Row],[Budget]]</f>
        <v>-1424</v>
      </c>
      <c r="L357" s="3">
        <f>(tblSales[[#This Row],[Sales]]-tblSales[[#This Row],[Budget]])/tblSales[[#This Row],[Budget]]</f>
        <v>-6.5025800264852274E-2</v>
      </c>
      <c r="M357" s="2">
        <f>tblSales[[#This Row],[Sales]]/tblSales[[#This Row],[Transactions]]</f>
        <v>325</v>
      </c>
    </row>
    <row r="358" spans="1:13" x14ac:dyDescent="0.25">
      <c r="A358" s="1">
        <v>46040</v>
      </c>
      <c r="B358" t="s">
        <v>27</v>
      </c>
      <c r="C358" t="s">
        <v>19</v>
      </c>
      <c r="D358" t="str">
        <f>_xlfn.XLOOKUP(tblSales[[#This Row],[Store ID]],tblStores[Store ID],tblStores[Store Name])</f>
        <v>East London</v>
      </c>
      <c r="E358" t="str">
        <f>_xlfn.XLOOKUP(tblSales[[#This Row],[Store ID]],tblStores[Store ID],tblStores[Province])</f>
        <v>Eastern Cape</v>
      </c>
      <c r="F358" t="str">
        <f>_xlfn.XLOOKUP(tblSales[[#This Row],[Store ID]],tblStores[Store ID],tblStores[Manager])</f>
        <v>Daniel Evans</v>
      </c>
      <c r="G358" t="str">
        <f>_xlfn.XLOOKUP(tblSales[[#This Row],[Category ID]],tblCategories[Category ID],tblCategories[Category])</f>
        <v>Accessories</v>
      </c>
      <c r="H358">
        <v>71391</v>
      </c>
      <c r="I358">
        <v>76158</v>
      </c>
      <c r="J358">
        <v>159</v>
      </c>
      <c r="K358">
        <f>tblSales[[#This Row],[Sales]]-tblSales[[#This Row],[Budget]]</f>
        <v>-4767</v>
      </c>
      <c r="L358" s="3">
        <f>(tblSales[[#This Row],[Sales]]-tblSales[[#This Row],[Budget]])/tblSales[[#This Row],[Budget]]</f>
        <v>-6.2593555503033166E-2</v>
      </c>
      <c r="M358" s="2">
        <f>tblSales[[#This Row],[Sales]]/tblSales[[#This Row],[Transactions]]</f>
        <v>449</v>
      </c>
    </row>
    <row r="359" spans="1:13" x14ac:dyDescent="0.25">
      <c r="A359" s="1">
        <v>46040</v>
      </c>
      <c r="B359" t="s">
        <v>28</v>
      </c>
      <c r="C359" t="s">
        <v>7</v>
      </c>
      <c r="D359" t="str">
        <f>_xlfn.XLOOKUP(tblSales[[#This Row],[Store ID]],tblStores[Store ID],tblStores[Store Name])</f>
        <v>Bloemfontein</v>
      </c>
      <c r="E359" t="str">
        <f>_xlfn.XLOOKUP(tblSales[[#This Row],[Store ID]],tblStores[Store ID],tblStores[Province])</f>
        <v>Free State</v>
      </c>
      <c r="F359" t="str">
        <f>_xlfn.XLOOKUP(tblSales[[#This Row],[Store ID]],tblStores[Store ID],tblStores[Manager])</f>
        <v>Rachel Moore</v>
      </c>
      <c r="G359" t="str">
        <f>_xlfn.XLOOKUP(tblSales[[#This Row],[Category ID]],tblCategories[Category ID],tblCategories[Category])</f>
        <v>Menswear</v>
      </c>
      <c r="H359">
        <v>34762</v>
      </c>
      <c r="I359">
        <v>39841</v>
      </c>
      <c r="J359">
        <v>91</v>
      </c>
      <c r="K359">
        <f>tblSales[[#This Row],[Sales]]-tblSales[[#This Row],[Budget]]</f>
        <v>-5079</v>
      </c>
      <c r="L359" s="3">
        <f>(tblSales[[#This Row],[Sales]]-tblSales[[#This Row],[Budget]])/tblSales[[#This Row],[Budget]]</f>
        <v>-0.12748173991616676</v>
      </c>
      <c r="M359" s="2">
        <f>tblSales[[#This Row],[Sales]]/tblSales[[#This Row],[Transactions]]</f>
        <v>382</v>
      </c>
    </row>
    <row r="360" spans="1:13" x14ac:dyDescent="0.25">
      <c r="A360" s="1">
        <v>46040</v>
      </c>
      <c r="B360" t="s">
        <v>29</v>
      </c>
      <c r="C360" t="s">
        <v>7</v>
      </c>
      <c r="D360" t="str">
        <f>_xlfn.XLOOKUP(tblSales[[#This Row],[Store ID]],tblStores[Store ID],tblStores[Store Name])</f>
        <v>Polokwane</v>
      </c>
      <c r="E360" t="str">
        <f>_xlfn.XLOOKUP(tblSales[[#This Row],[Store ID]],tblStores[Store ID],tblStores[Province])</f>
        <v>Limpopo</v>
      </c>
      <c r="F360" t="str">
        <f>_xlfn.XLOOKUP(tblSales[[#This Row],[Store ID]],tblStores[Store ID],tblStores[Manager])</f>
        <v>Kevin Harris</v>
      </c>
      <c r="G360" t="str">
        <f>_xlfn.XLOOKUP(tblSales[[#This Row],[Category ID]],tblCategories[Category ID],tblCategories[Category])</f>
        <v>Menswear</v>
      </c>
      <c r="H360">
        <v>10224</v>
      </c>
      <c r="I360">
        <v>9972</v>
      </c>
      <c r="J360">
        <v>36</v>
      </c>
      <c r="K360">
        <f>tblSales[[#This Row],[Sales]]-tblSales[[#This Row],[Budget]]</f>
        <v>252</v>
      </c>
      <c r="L360" s="3">
        <f>(tblSales[[#This Row],[Sales]]-tblSales[[#This Row],[Budget]])/tblSales[[#This Row],[Budget]]</f>
        <v>2.5270758122743681E-2</v>
      </c>
      <c r="M360" s="2">
        <f>tblSales[[#This Row],[Sales]]/tblSales[[#This Row],[Transactions]]</f>
        <v>284</v>
      </c>
    </row>
    <row r="361" spans="1:13" x14ac:dyDescent="0.25">
      <c r="A361" s="1">
        <v>46040</v>
      </c>
      <c r="B361" t="s">
        <v>30</v>
      </c>
      <c r="C361" t="s">
        <v>9</v>
      </c>
      <c r="D361" t="str">
        <f>_xlfn.XLOOKUP(tblSales[[#This Row],[Store ID]],tblStores[Store ID],tblStores[Store Name])</f>
        <v>Nelspruit</v>
      </c>
      <c r="E361" t="str">
        <f>_xlfn.XLOOKUP(tblSales[[#This Row],[Store ID]],tblStores[Store ID],tblStores[Province])</f>
        <v>Mpumalanga</v>
      </c>
      <c r="F361" t="str">
        <f>_xlfn.XLOOKUP(tblSales[[#This Row],[Store ID]],tblStores[Store ID],tblStores[Manager])</f>
        <v>Olivia Turner</v>
      </c>
      <c r="G361" t="str">
        <f>_xlfn.XLOOKUP(tblSales[[#This Row],[Category ID]],tblCategories[Category ID],tblCategories[Category])</f>
        <v>Ladieswear</v>
      </c>
      <c r="H361">
        <v>21700</v>
      </c>
      <c r="I361">
        <v>21100</v>
      </c>
      <c r="J361">
        <v>70</v>
      </c>
      <c r="K361">
        <f>tblSales[[#This Row],[Sales]]-tblSales[[#This Row],[Budget]]</f>
        <v>600</v>
      </c>
      <c r="L361" s="3">
        <f>(tblSales[[#This Row],[Sales]]-tblSales[[#This Row],[Budget]])/tblSales[[#This Row],[Budget]]</f>
        <v>2.843601895734597E-2</v>
      </c>
      <c r="M361" s="2">
        <f>tblSales[[#This Row],[Sales]]/tblSales[[#This Row],[Transactions]]</f>
        <v>310</v>
      </c>
    </row>
    <row r="362" spans="1:13" x14ac:dyDescent="0.25">
      <c r="A362" s="1">
        <v>46041</v>
      </c>
      <c r="B362" t="s">
        <v>6</v>
      </c>
      <c r="C362" t="s">
        <v>7</v>
      </c>
      <c r="D362" t="str">
        <f>_xlfn.XLOOKUP(tblSales[[#This Row],[Store ID]],tblStores[Store ID],tblStores[Store Name])</f>
        <v>Durban CBD</v>
      </c>
      <c r="E362" t="str">
        <f>_xlfn.XLOOKUP(tblSales[[#This Row],[Store ID]],tblStores[Store ID],tblStores[Province])</f>
        <v>KZN</v>
      </c>
      <c r="F362" t="str">
        <f>_xlfn.XLOOKUP(tblSales[[#This Row],[Store ID]],tblStores[Store ID],tblStores[Manager])</f>
        <v>Sarah Adams</v>
      </c>
      <c r="G362" t="str">
        <f>_xlfn.XLOOKUP(tblSales[[#This Row],[Category ID]],tblCategories[Category ID],tblCategories[Category])</f>
        <v>Menswear</v>
      </c>
      <c r="H362">
        <v>15624</v>
      </c>
      <c r="I362">
        <v>16979</v>
      </c>
      <c r="J362">
        <v>36</v>
      </c>
      <c r="K362">
        <f>tblSales[[#This Row],[Sales]]-tblSales[[#This Row],[Budget]]</f>
        <v>-1355</v>
      </c>
      <c r="L362" s="3">
        <f>(tblSales[[#This Row],[Sales]]-tblSales[[#This Row],[Budget]])/tblSales[[#This Row],[Budget]]</f>
        <v>-7.9804464338300254E-2</v>
      </c>
      <c r="M362" s="2">
        <f>tblSales[[#This Row],[Sales]]/tblSales[[#This Row],[Transactions]]</f>
        <v>434</v>
      </c>
    </row>
    <row r="363" spans="1:13" x14ac:dyDescent="0.25">
      <c r="A363" s="1">
        <v>46041</v>
      </c>
      <c r="B363" t="s">
        <v>8</v>
      </c>
      <c r="C363" t="s">
        <v>9</v>
      </c>
      <c r="D363" t="str">
        <f>_xlfn.XLOOKUP(tblSales[[#This Row],[Store ID]],tblStores[Store ID],tblStores[Store Name])</f>
        <v>Gateway</v>
      </c>
      <c r="E363" t="str">
        <f>_xlfn.XLOOKUP(tblSales[[#This Row],[Store ID]],tblStores[Store ID],tblStores[Province])</f>
        <v>KZN</v>
      </c>
      <c r="F363" t="str">
        <f>_xlfn.XLOOKUP(tblSales[[#This Row],[Store ID]],tblStores[Store ID],tblStores[Manager])</f>
        <v>Michael Jones</v>
      </c>
      <c r="G363" t="str">
        <f>_xlfn.XLOOKUP(tblSales[[#This Row],[Category ID]],tblCategories[Category ID],tblCategories[Category])</f>
        <v>Ladieswear</v>
      </c>
      <c r="H363">
        <v>25432</v>
      </c>
      <c r="I363">
        <v>26274</v>
      </c>
      <c r="J363">
        <v>68</v>
      </c>
      <c r="K363">
        <f>tblSales[[#This Row],[Sales]]-tblSales[[#This Row],[Budget]]</f>
        <v>-842</v>
      </c>
      <c r="L363" s="3">
        <f>(tblSales[[#This Row],[Sales]]-tblSales[[#This Row],[Budget]])/tblSales[[#This Row],[Budget]]</f>
        <v>-3.2046890462053744E-2</v>
      </c>
      <c r="M363" s="2">
        <f>tblSales[[#This Row],[Sales]]/tblSales[[#This Row],[Transactions]]</f>
        <v>374</v>
      </c>
    </row>
    <row r="364" spans="1:13" x14ac:dyDescent="0.25">
      <c r="A364" s="1">
        <v>46041</v>
      </c>
      <c r="B364" t="s">
        <v>10</v>
      </c>
      <c r="C364" t="s">
        <v>9</v>
      </c>
      <c r="D364" t="str">
        <f>_xlfn.XLOOKUP(tblSales[[#This Row],[Store ID]],tblStores[Store ID],tblStores[Store Name])</f>
        <v>Ballito</v>
      </c>
      <c r="E364" t="str">
        <f>_xlfn.XLOOKUP(tblSales[[#This Row],[Store ID]],tblStores[Store ID],tblStores[Province])</f>
        <v>KZN</v>
      </c>
      <c r="F364" t="str">
        <f>_xlfn.XLOOKUP(tblSales[[#This Row],[Store ID]],tblStores[Store ID],tblStores[Manager])</f>
        <v>Linda Smith</v>
      </c>
      <c r="G364" t="str">
        <f>_xlfn.XLOOKUP(tblSales[[#This Row],[Category ID]],tblCategories[Category ID],tblCategories[Category])</f>
        <v>Ladieswear</v>
      </c>
      <c r="H364">
        <v>75958</v>
      </c>
      <c r="I364">
        <v>84187</v>
      </c>
      <c r="J364">
        <v>163</v>
      </c>
      <c r="K364">
        <f>tblSales[[#This Row],[Sales]]-tblSales[[#This Row],[Budget]]</f>
        <v>-8229</v>
      </c>
      <c r="L364" s="3">
        <f>(tblSales[[#This Row],[Sales]]-tblSales[[#This Row],[Budget]])/tblSales[[#This Row],[Budget]]</f>
        <v>-9.7746682979557409E-2</v>
      </c>
      <c r="M364" s="2">
        <f>tblSales[[#This Row],[Sales]]/tblSales[[#This Row],[Transactions]]</f>
        <v>466</v>
      </c>
    </row>
    <row r="365" spans="1:13" x14ac:dyDescent="0.25">
      <c r="A365" s="1">
        <v>46041</v>
      </c>
      <c r="B365" t="s">
        <v>12</v>
      </c>
      <c r="C365" t="s">
        <v>22</v>
      </c>
      <c r="D365" t="str">
        <f>_xlfn.XLOOKUP(tblSales[[#This Row],[Store ID]],tblStores[Store ID],tblStores[Store Name])</f>
        <v>Pietermaritzburg</v>
      </c>
      <c r="E365" t="str">
        <f>_xlfn.XLOOKUP(tblSales[[#This Row],[Store ID]],tblStores[Store ID],tblStores[Province])</f>
        <v>KZN</v>
      </c>
      <c r="F365" t="str">
        <f>_xlfn.XLOOKUP(tblSales[[#This Row],[Store ID]],tblStores[Store ID],tblStores[Manager])</f>
        <v>Peter Brown</v>
      </c>
      <c r="G365" t="str">
        <f>_xlfn.XLOOKUP(tblSales[[#This Row],[Category ID]],tblCategories[Category ID],tblCategories[Category])</f>
        <v>Kids</v>
      </c>
      <c r="H365">
        <v>20299</v>
      </c>
      <c r="I365">
        <v>22642</v>
      </c>
      <c r="J365">
        <v>53</v>
      </c>
      <c r="K365">
        <f>tblSales[[#This Row],[Sales]]-tblSales[[#This Row],[Budget]]</f>
        <v>-2343</v>
      </c>
      <c r="L365" s="3">
        <f>(tblSales[[#This Row],[Sales]]-tblSales[[#This Row],[Budget]])/tblSales[[#This Row],[Budget]]</f>
        <v>-0.1034802579277449</v>
      </c>
      <c r="M365" s="2">
        <f>tblSales[[#This Row],[Sales]]/tblSales[[#This Row],[Transactions]]</f>
        <v>383</v>
      </c>
    </row>
    <row r="366" spans="1:13" x14ac:dyDescent="0.25">
      <c r="A366" s="1">
        <v>46041</v>
      </c>
      <c r="B366" t="s">
        <v>13</v>
      </c>
      <c r="C366" t="s">
        <v>7</v>
      </c>
      <c r="D366" t="str">
        <f>_xlfn.XLOOKUP(tblSales[[#This Row],[Store ID]],tblStores[Store ID],tblStores[Store Name])</f>
        <v>Richards Bay</v>
      </c>
      <c r="E366" t="str">
        <f>_xlfn.XLOOKUP(tblSales[[#This Row],[Store ID]],tblStores[Store ID],tblStores[Province])</f>
        <v>KZN</v>
      </c>
      <c r="F366" t="str">
        <f>_xlfn.XLOOKUP(tblSales[[#This Row],[Store ID]],tblStores[Store ID],tblStores[Manager])</f>
        <v>David Green</v>
      </c>
      <c r="G366" t="str">
        <f>_xlfn.XLOOKUP(tblSales[[#This Row],[Category ID]],tblCategories[Category ID],tblCategories[Category])</f>
        <v>Menswear</v>
      </c>
      <c r="H366">
        <v>27594</v>
      </c>
      <c r="I366">
        <v>28006</v>
      </c>
      <c r="J366">
        <v>146</v>
      </c>
      <c r="K366">
        <f>tblSales[[#This Row],[Sales]]-tblSales[[#This Row],[Budget]]</f>
        <v>-412</v>
      </c>
      <c r="L366" s="3">
        <f>(tblSales[[#This Row],[Sales]]-tblSales[[#This Row],[Budget]])/tblSales[[#This Row],[Budget]]</f>
        <v>-1.4711133328572448E-2</v>
      </c>
      <c r="M366" s="2">
        <f>tblSales[[#This Row],[Sales]]/tblSales[[#This Row],[Transactions]]</f>
        <v>189</v>
      </c>
    </row>
    <row r="367" spans="1:13" x14ac:dyDescent="0.25">
      <c r="A367" s="1">
        <v>46041</v>
      </c>
      <c r="B367" t="s">
        <v>14</v>
      </c>
      <c r="C367" t="s">
        <v>7</v>
      </c>
      <c r="D367" t="str">
        <f>_xlfn.XLOOKUP(tblSales[[#This Row],[Store ID]],tblStores[Store ID],tblStores[Store Name])</f>
        <v>Sandton</v>
      </c>
      <c r="E367" t="str">
        <f>_xlfn.XLOOKUP(tblSales[[#This Row],[Store ID]],tblStores[Store ID],tblStores[Province])</f>
        <v>Gauteng</v>
      </c>
      <c r="F367" t="str">
        <f>_xlfn.XLOOKUP(tblSales[[#This Row],[Store ID]],tblStores[Store ID],tblStores[Manager])</f>
        <v>Karen White</v>
      </c>
      <c r="G367" t="str">
        <f>_xlfn.XLOOKUP(tblSales[[#This Row],[Category ID]],tblCategories[Category ID],tblCategories[Category])</f>
        <v>Menswear</v>
      </c>
      <c r="H367">
        <v>54510</v>
      </c>
      <c r="I367">
        <v>54909</v>
      </c>
      <c r="J367">
        <v>115</v>
      </c>
      <c r="K367">
        <f>tblSales[[#This Row],[Sales]]-tblSales[[#This Row],[Budget]]</f>
        <v>-399</v>
      </c>
      <c r="L367" s="3">
        <f>(tblSales[[#This Row],[Sales]]-tblSales[[#This Row],[Budget]])/tblSales[[#This Row],[Budget]]</f>
        <v>-7.2665683221329836E-3</v>
      </c>
      <c r="M367" s="2">
        <f>tblSales[[#This Row],[Sales]]/tblSales[[#This Row],[Transactions]]</f>
        <v>474</v>
      </c>
    </row>
    <row r="368" spans="1:13" x14ac:dyDescent="0.25">
      <c r="A368" s="1">
        <v>46041</v>
      </c>
      <c r="B368" t="s">
        <v>15</v>
      </c>
      <c r="C368" t="s">
        <v>11</v>
      </c>
      <c r="D368" t="str">
        <f>_xlfn.XLOOKUP(tblSales[[#This Row],[Store ID]],tblStores[Store ID],tblStores[Store Name])</f>
        <v>Rosebank</v>
      </c>
      <c r="E368" t="str">
        <f>_xlfn.XLOOKUP(tblSales[[#This Row],[Store ID]],tblStores[Store ID],tblStores[Province])</f>
        <v>Gauteng</v>
      </c>
      <c r="F368" t="str">
        <f>_xlfn.XLOOKUP(tblSales[[#This Row],[Store ID]],tblStores[Store ID],tblStores[Manager])</f>
        <v>James Taylor</v>
      </c>
      <c r="G368" t="str">
        <f>_xlfn.XLOOKUP(tblSales[[#This Row],[Category ID]],tblCategories[Category ID],tblCategories[Category])</f>
        <v>Footwear</v>
      </c>
      <c r="H368">
        <v>109512</v>
      </c>
      <c r="I368">
        <v>109996</v>
      </c>
      <c r="J368">
        <v>216</v>
      </c>
      <c r="K368">
        <f>tblSales[[#This Row],[Sales]]-tblSales[[#This Row],[Budget]]</f>
        <v>-484</v>
      </c>
      <c r="L368" s="3">
        <f>(tblSales[[#This Row],[Sales]]-tblSales[[#This Row],[Budget]])/tblSales[[#This Row],[Budget]]</f>
        <v>-4.4001600058183937E-3</v>
      </c>
      <c r="M368" s="2">
        <f>tblSales[[#This Row],[Sales]]/tblSales[[#This Row],[Transactions]]</f>
        <v>507</v>
      </c>
    </row>
    <row r="369" spans="1:13" x14ac:dyDescent="0.25">
      <c r="A369" s="1">
        <v>46041</v>
      </c>
      <c r="B369" t="s">
        <v>16</v>
      </c>
      <c r="C369" t="s">
        <v>7</v>
      </c>
      <c r="D369" t="str">
        <f>_xlfn.XLOOKUP(tblSales[[#This Row],[Store ID]],tblStores[Store ID],tblStores[Store Name])</f>
        <v>Pretoria</v>
      </c>
      <c r="E369" t="str">
        <f>_xlfn.XLOOKUP(tblSales[[#This Row],[Store ID]],tblStores[Store ID],tblStores[Province])</f>
        <v>Gauteng</v>
      </c>
      <c r="F369" t="str">
        <f>_xlfn.XLOOKUP(tblSales[[#This Row],[Store ID]],tblStores[Store ID],tblStores[Manager])</f>
        <v>Susan Clark</v>
      </c>
      <c r="G369" t="str">
        <f>_xlfn.XLOOKUP(tblSales[[#This Row],[Category ID]],tblCategories[Category ID],tblCategories[Category])</f>
        <v>Menswear</v>
      </c>
      <c r="H369">
        <v>26220</v>
      </c>
      <c r="I369">
        <v>29931</v>
      </c>
      <c r="J369">
        <v>138</v>
      </c>
      <c r="K369">
        <f>tblSales[[#This Row],[Sales]]-tblSales[[#This Row],[Budget]]</f>
        <v>-3711</v>
      </c>
      <c r="L369" s="3">
        <f>(tblSales[[#This Row],[Sales]]-tblSales[[#This Row],[Budget]])/tblSales[[#This Row],[Budget]]</f>
        <v>-0.12398516588152751</v>
      </c>
      <c r="M369" s="2">
        <f>tblSales[[#This Row],[Sales]]/tblSales[[#This Row],[Transactions]]</f>
        <v>190</v>
      </c>
    </row>
    <row r="370" spans="1:13" x14ac:dyDescent="0.25">
      <c r="A370" s="1">
        <v>46041</v>
      </c>
      <c r="B370" t="s">
        <v>17</v>
      </c>
      <c r="C370" t="s">
        <v>9</v>
      </c>
      <c r="D370" t="str">
        <f>_xlfn.XLOOKUP(tblSales[[#This Row],[Store ID]],tblStores[Store ID],tblStores[Store Name])</f>
        <v>Centurion</v>
      </c>
      <c r="E370" t="str">
        <f>_xlfn.XLOOKUP(tblSales[[#This Row],[Store ID]],tblStores[Store ID],tblStores[Province])</f>
        <v>Gauteng</v>
      </c>
      <c r="F370" t="str">
        <f>_xlfn.XLOOKUP(tblSales[[#This Row],[Store ID]],tblStores[Store ID],tblStores[Manager])</f>
        <v>Mark Wilson</v>
      </c>
      <c r="G370" t="str">
        <f>_xlfn.XLOOKUP(tblSales[[#This Row],[Category ID]],tblCategories[Category ID],tblCategories[Category])</f>
        <v>Ladieswear</v>
      </c>
      <c r="H370">
        <v>80095</v>
      </c>
      <c r="I370">
        <v>88745</v>
      </c>
      <c r="J370">
        <v>193</v>
      </c>
      <c r="K370">
        <f>tblSales[[#This Row],[Sales]]-tblSales[[#This Row],[Budget]]</f>
        <v>-8650</v>
      </c>
      <c r="L370" s="3">
        <f>(tblSales[[#This Row],[Sales]]-tblSales[[#This Row],[Budget]])/tblSales[[#This Row],[Budget]]</f>
        <v>-9.747028001577554E-2</v>
      </c>
      <c r="M370" s="2">
        <f>tblSales[[#This Row],[Sales]]/tblSales[[#This Row],[Transactions]]</f>
        <v>415</v>
      </c>
    </row>
    <row r="371" spans="1:13" x14ac:dyDescent="0.25">
      <c r="A371" s="1">
        <v>46041</v>
      </c>
      <c r="B371" t="s">
        <v>18</v>
      </c>
      <c r="C371" t="s">
        <v>22</v>
      </c>
      <c r="D371" t="str">
        <f>_xlfn.XLOOKUP(tblSales[[#This Row],[Store ID]],tblStores[Store ID],tblStores[Store Name])</f>
        <v>East Rand</v>
      </c>
      <c r="E371" t="str">
        <f>_xlfn.XLOOKUP(tblSales[[#This Row],[Store ID]],tblStores[Store ID],tblStores[Province])</f>
        <v>Gauteng</v>
      </c>
      <c r="F371" t="str">
        <f>_xlfn.XLOOKUP(tblSales[[#This Row],[Store ID]],tblStores[Store ID],tblStores[Manager])</f>
        <v>Lisa Young</v>
      </c>
      <c r="G371" t="str">
        <f>_xlfn.XLOOKUP(tblSales[[#This Row],[Category ID]],tblCategories[Category ID],tblCategories[Category])</f>
        <v>Kids</v>
      </c>
      <c r="H371">
        <v>22971</v>
      </c>
      <c r="I371">
        <v>25523</v>
      </c>
      <c r="J371">
        <v>57</v>
      </c>
      <c r="K371">
        <f>tblSales[[#This Row],[Sales]]-tblSales[[#This Row],[Budget]]</f>
        <v>-2552</v>
      </c>
      <c r="L371" s="3">
        <f>(tblSales[[#This Row],[Sales]]-tblSales[[#This Row],[Budget]])/tblSales[[#This Row],[Budget]]</f>
        <v>-9.9988245895858641E-2</v>
      </c>
      <c r="M371" s="2">
        <f>tblSales[[#This Row],[Sales]]/tblSales[[#This Row],[Transactions]]</f>
        <v>403</v>
      </c>
    </row>
    <row r="372" spans="1:13" x14ac:dyDescent="0.25">
      <c r="A372" s="1">
        <v>46041</v>
      </c>
      <c r="B372" t="s">
        <v>20</v>
      </c>
      <c r="C372" t="s">
        <v>9</v>
      </c>
      <c r="D372" t="str">
        <f>_xlfn.XLOOKUP(tblSales[[#This Row],[Store ID]],tblStores[Store ID],tblStores[Store Name])</f>
        <v>Cape Town CBD</v>
      </c>
      <c r="E372" t="str">
        <f>_xlfn.XLOOKUP(tblSales[[#This Row],[Store ID]],tblStores[Store ID],tblStores[Province])</f>
        <v>Western Cape</v>
      </c>
      <c r="F372" t="str">
        <f>_xlfn.XLOOKUP(tblSales[[#This Row],[Store ID]],tblStores[Store ID],tblStores[Manager])</f>
        <v>Brian Hall</v>
      </c>
      <c r="G372" t="str">
        <f>_xlfn.XLOOKUP(tblSales[[#This Row],[Category ID]],tblCategories[Category ID],tblCategories[Category])</f>
        <v>Ladieswear</v>
      </c>
      <c r="H372">
        <v>70226</v>
      </c>
      <c r="I372">
        <v>70233</v>
      </c>
      <c r="J372">
        <v>146</v>
      </c>
      <c r="K372">
        <f>tblSales[[#This Row],[Sales]]-tblSales[[#This Row],[Budget]]</f>
        <v>-7</v>
      </c>
      <c r="L372" s="3">
        <f>(tblSales[[#This Row],[Sales]]-tblSales[[#This Row],[Budget]])/tblSales[[#This Row],[Budget]]</f>
        <v>-9.9668247120299574E-5</v>
      </c>
      <c r="M372" s="2">
        <f>tblSales[[#This Row],[Sales]]/tblSales[[#This Row],[Transactions]]</f>
        <v>481</v>
      </c>
    </row>
    <row r="373" spans="1:13" x14ac:dyDescent="0.25">
      <c r="A373" s="1">
        <v>46041</v>
      </c>
      <c r="B373" t="s">
        <v>21</v>
      </c>
      <c r="C373" t="s">
        <v>7</v>
      </c>
      <c r="D373" t="str">
        <f>_xlfn.XLOOKUP(tblSales[[#This Row],[Store ID]],tblStores[Store ID],tblStores[Store Name])</f>
        <v>Canal Walk</v>
      </c>
      <c r="E373" t="str">
        <f>_xlfn.XLOOKUP(tblSales[[#This Row],[Store ID]],tblStores[Store ID],tblStores[Province])</f>
        <v>Western Cape</v>
      </c>
      <c r="F373" t="str">
        <f>_xlfn.XLOOKUP(tblSales[[#This Row],[Store ID]],tblStores[Store ID],tblStores[Manager])</f>
        <v>Megan Scott</v>
      </c>
      <c r="G373" t="str">
        <f>_xlfn.XLOOKUP(tblSales[[#This Row],[Category ID]],tblCategories[Category ID],tblCategories[Category])</f>
        <v>Menswear</v>
      </c>
      <c r="H373">
        <v>45968</v>
      </c>
      <c r="I373">
        <v>49941</v>
      </c>
      <c r="J373">
        <v>136</v>
      </c>
      <c r="K373">
        <f>tblSales[[#This Row],[Sales]]-tblSales[[#This Row],[Budget]]</f>
        <v>-3973</v>
      </c>
      <c r="L373" s="3">
        <f>(tblSales[[#This Row],[Sales]]-tblSales[[#This Row],[Budget]])/tblSales[[#This Row],[Budget]]</f>
        <v>-7.955387357081356E-2</v>
      </c>
      <c r="M373" s="2">
        <f>tblSales[[#This Row],[Sales]]/tblSales[[#This Row],[Transactions]]</f>
        <v>338</v>
      </c>
    </row>
    <row r="374" spans="1:13" x14ac:dyDescent="0.25">
      <c r="A374" s="1">
        <v>46041</v>
      </c>
      <c r="B374" t="s">
        <v>23</v>
      </c>
      <c r="C374" t="s">
        <v>9</v>
      </c>
      <c r="D374" t="str">
        <f>_xlfn.XLOOKUP(tblSales[[#This Row],[Store ID]],tblStores[Store ID],tblStores[Store Name])</f>
        <v>Stellenbosch</v>
      </c>
      <c r="E374" t="str">
        <f>_xlfn.XLOOKUP(tblSales[[#This Row],[Store ID]],tblStores[Store ID],tblStores[Province])</f>
        <v>Western Cape</v>
      </c>
      <c r="F374" t="str">
        <f>_xlfn.XLOOKUP(tblSales[[#This Row],[Store ID]],tblStores[Store ID],tblStores[Manager])</f>
        <v>Jason King</v>
      </c>
      <c r="G374" t="str">
        <f>_xlfn.XLOOKUP(tblSales[[#This Row],[Category ID]],tblCategories[Category ID],tblCategories[Category])</f>
        <v>Ladieswear</v>
      </c>
      <c r="H374">
        <v>31920</v>
      </c>
      <c r="I374">
        <v>29337</v>
      </c>
      <c r="J374">
        <v>120</v>
      </c>
      <c r="K374">
        <f>tblSales[[#This Row],[Sales]]-tblSales[[#This Row],[Budget]]</f>
        <v>2583</v>
      </c>
      <c r="L374" s="3">
        <f>(tblSales[[#This Row],[Sales]]-tblSales[[#This Row],[Budget]])/tblSales[[#This Row],[Budget]]</f>
        <v>8.8045812455261274E-2</v>
      </c>
      <c r="M374" s="2">
        <f>tblSales[[#This Row],[Sales]]/tblSales[[#This Row],[Transactions]]</f>
        <v>266</v>
      </c>
    </row>
    <row r="375" spans="1:13" x14ac:dyDescent="0.25">
      <c r="A375" s="1">
        <v>46041</v>
      </c>
      <c r="B375" t="s">
        <v>24</v>
      </c>
      <c r="C375" t="s">
        <v>7</v>
      </c>
      <c r="D375" t="str">
        <f>_xlfn.XLOOKUP(tblSales[[#This Row],[Store ID]],tblStores[Store ID],tblStores[Store Name])</f>
        <v>George</v>
      </c>
      <c r="E375" t="str">
        <f>_xlfn.XLOOKUP(tblSales[[#This Row],[Store ID]],tblStores[Store ID],tblStores[Province])</f>
        <v>Western Cape</v>
      </c>
      <c r="F375" t="str">
        <f>_xlfn.XLOOKUP(tblSales[[#This Row],[Store ID]],tblStores[Store ID],tblStores[Manager])</f>
        <v>Chloe Hill</v>
      </c>
      <c r="G375" t="str">
        <f>_xlfn.XLOOKUP(tblSales[[#This Row],[Category ID]],tblCategories[Category ID],tblCategories[Category])</f>
        <v>Menswear</v>
      </c>
      <c r="H375">
        <v>74970</v>
      </c>
      <c r="I375">
        <v>71107</v>
      </c>
      <c r="J375">
        <v>170</v>
      </c>
      <c r="K375">
        <f>tblSales[[#This Row],[Sales]]-tblSales[[#This Row],[Budget]]</f>
        <v>3863</v>
      </c>
      <c r="L375" s="3">
        <f>(tblSales[[#This Row],[Sales]]-tblSales[[#This Row],[Budget]])/tblSales[[#This Row],[Budget]]</f>
        <v>5.4326578255305388E-2</v>
      </c>
      <c r="M375" s="2">
        <f>tblSales[[#This Row],[Sales]]/tblSales[[#This Row],[Transactions]]</f>
        <v>441</v>
      </c>
    </row>
    <row r="376" spans="1:13" x14ac:dyDescent="0.25">
      <c r="A376" s="1">
        <v>46041</v>
      </c>
      <c r="B376" t="s">
        <v>25</v>
      </c>
      <c r="C376" t="s">
        <v>22</v>
      </c>
      <c r="D376" t="str">
        <f>_xlfn.XLOOKUP(tblSales[[#This Row],[Store ID]],tblStores[Store ID],tblStores[Store Name])</f>
        <v>Paarl</v>
      </c>
      <c r="E376" t="str">
        <f>_xlfn.XLOOKUP(tblSales[[#This Row],[Store ID]],tblStores[Store ID],tblStores[Province])</f>
        <v>Western Cape</v>
      </c>
      <c r="F376" t="str">
        <f>_xlfn.XLOOKUP(tblSales[[#This Row],[Store ID]],tblStores[Store ID],tblStores[Manager])</f>
        <v>Andrew Lee</v>
      </c>
      <c r="G376" t="str">
        <f>_xlfn.XLOOKUP(tblSales[[#This Row],[Category ID]],tblCategories[Category ID],tblCategories[Category])</f>
        <v>Kids</v>
      </c>
      <c r="H376">
        <v>63240</v>
      </c>
      <c r="I376">
        <v>69801</v>
      </c>
      <c r="J376">
        <v>124</v>
      </c>
      <c r="K376">
        <f>tblSales[[#This Row],[Sales]]-tblSales[[#This Row],[Budget]]</f>
        <v>-6561</v>
      </c>
      <c r="L376" s="3">
        <f>(tblSales[[#This Row],[Sales]]-tblSales[[#This Row],[Budget]])/tblSales[[#This Row],[Budget]]</f>
        <v>-9.3995788025959509E-2</v>
      </c>
      <c r="M376" s="2">
        <f>tblSales[[#This Row],[Sales]]/tblSales[[#This Row],[Transactions]]</f>
        <v>510</v>
      </c>
    </row>
    <row r="377" spans="1:13" x14ac:dyDescent="0.25">
      <c r="A377" s="1">
        <v>46041</v>
      </c>
      <c r="B377" t="s">
        <v>26</v>
      </c>
      <c r="C377" t="s">
        <v>9</v>
      </c>
      <c r="D377" t="str">
        <f>_xlfn.XLOOKUP(tblSales[[#This Row],[Store ID]],tblStores[Store ID],tblStores[Store Name])</f>
        <v>Gqeberha</v>
      </c>
      <c r="E377" t="str">
        <f>_xlfn.XLOOKUP(tblSales[[#This Row],[Store ID]],tblStores[Store ID],tblStores[Province])</f>
        <v>Eastern Cape</v>
      </c>
      <c r="F377" t="str">
        <f>_xlfn.XLOOKUP(tblSales[[#This Row],[Store ID]],tblStores[Store ID],tblStores[Manager])</f>
        <v>Emma Baker</v>
      </c>
      <c r="G377" t="str">
        <f>_xlfn.XLOOKUP(tblSales[[#This Row],[Category ID]],tblCategories[Category ID],tblCategories[Category])</f>
        <v>Ladieswear</v>
      </c>
      <c r="H377">
        <v>15494</v>
      </c>
      <c r="I377">
        <v>14936</v>
      </c>
      <c r="J377">
        <v>61</v>
      </c>
      <c r="K377">
        <f>tblSales[[#This Row],[Sales]]-tblSales[[#This Row],[Budget]]</f>
        <v>558</v>
      </c>
      <c r="L377" s="3">
        <f>(tblSales[[#This Row],[Sales]]-tblSales[[#This Row],[Budget]])/tblSales[[#This Row],[Budget]]</f>
        <v>3.7359400107123727E-2</v>
      </c>
      <c r="M377" s="2">
        <f>tblSales[[#This Row],[Sales]]/tblSales[[#This Row],[Transactions]]</f>
        <v>254</v>
      </c>
    </row>
    <row r="378" spans="1:13" x14ac:dyDescent="0.25">
      <c r="A378" s="1">
        <v>46041</v>
      </c>
      <c r="B378" t="s">
        <v>27</v>
      </c>
      <c r="C378" t="s">
        <v>9</v>
      </c>
      <c r="D378" t="str">
        <f>_xlfn.XLOOKUP(tblSales[[#This Row],[Store ID]],tblStores[Store ID],tblStores[Store Name])</f>
        <v>East London</v>
      </c>
      <c r="E378" t="str">
        <f>_xlfn.XLOOKUP(tblSales[[#This Row],[Store ID]],tblStores[Store ID],tblStores[Province])</f>
        <v>Eastern Cape</v>
      </c>
      <c r="F378" t="str">
        <f>_xlfn.XLOOKUP(tblSales[[#This Row],[Store ID]],tblStores[Store ID],tblStores[Manager])</f>
        <v>Daniel Evans</v>
      </c>
      <c r="G378" t="str">
        <f>_xlfn.XLOOKUP(tblSales[[#This Row],[Category ID]],tblCategories[Category ID],tblCategories[Category])</f>
        <v>Ladieswear</v>
      </c>
      <c r="H378">
        <v>48762</v>
      </c>
      <c r="I378">
        <v>53153</v>
      </c>
      <c r="J378">
        <v>189</v>
      </c>
      <c r="K378">
        <f>tblSales[[#This Row],[Sales]]-tblSales[[#This Row],[Budget]]</f>
        <v>-4391</v>
      </c>
      <c r="L378" s="3">
        <f>(tblSales[[#This Row],[Sales]]-tblSales[[#This Row],[Budget]])/tblSales[[#This Row],[Budget]]</f>
        <v>-8.261057701352699E-2</v>
      </c>
      <c r="M378" s="2">
        <f>tblSales[[#This Row],[Sales]]/tblSales[[#This Row],[Transactions]]</f>
        <v>258</v>
      </c>
    </row>
    <row r="379" spans="1:13" x14ac:dyDescent="0.25">
      <c r="A379" s="1">
        <v>46041</v>
      </c>
      <c r="B379" t="s">
        <v>28</v>
      </c>
      <c r="C379" t="s">
        <v>7</v>
      </c>
      <c r="D379" t="str">
        <f>_xlfn.XLOOKUP(tblSales[[#This Row],[Store ID]],tblStores[Store ID],tblStores[Store Name])</f>
        <v>Bloemfontein</v>
      </c>
      <c r="E379" t="str">
        <f>_xlfn.XLOOKUP(tblSales[[#This Row],[Store ID]],tblStores[Store ID],tblStores[Province])</f>
        <v>Free State</v>
      </c>
      <c r="F379" t="str">
        <f>_xlfn.XLOOKUP(tblSales[[#This Row],[Store ID]],tblStores[Store ID],tblStores[Manager])</f>
        <v>Rachel Moore</v>
      </c>
      <c r="G379" t="str">
        <f>_xlfn.XLOOKUP(tblSales[[#This Row],[Category ID]],tblCategories[Category ID],tblCategories[Category])</f>
        <v>Menswear</v>
      </c>
      <c r="H379">
        <v>40080</v>
      </c>
      <c r="I379">
        <v>41023</v>
      </c>
      <c r="J379">
        <v>80</v>
      </c>
      <c r="K379">
        <f>tblSales[[#This Row],[Sales]]-tblSales[[#This Row],[Budget]]</f>
        <v>-943</v>
      </c>
      <c r="L379" s="3">
        <f>(tblSales[[#This Row],[Sales]]-tblSales[[#This Row],[Budget]])/tblSales[[#This Row],[Budget]]</f>
        <v>-2.298710479487117E-2</v>
      </c>
      <c r="M379" s="2">
        <f>tblSales[[#This Row],[Sales]]/tblSales[[#This Row],[Transactions]]</f>
        <v>501</v>
      </c>
    </row>
    <row r="380" spans="1:13" x14ac:dyDescent="0.25">
      <c r="A380" s="1">
        <v>46041</v>
      </c>
      <c r="B380" t="s">
        <v>29</v>
      </c>
      <c r="C380" t="s">
        <v>19</v>
      </c>
      <c r="D380" t="str">
        <f>_xlfn.XLOOKUP(tblSales[[#This Row],[Store ID]],tblStores[Store ID],tblStores[Store Name])</f>
        <v>Polokwane</v>
      </c>
      <c r="E380" t="str">
        <f>_xlfn.XLOOKUP(tblSales[[#This Row],[Store ID]],tblStores[Store ID],tblStores[Province])</f>
        <v>Limpopo</v>
      </c>
      <c r="F380" t="str">
        <f>_xlfn.XLOOKUP(tblSales[[#This Row],[Store ID]],tblStores[Store ID],tblStores[Manager])</f>
        <v>Kevin Harris</v>
      </c>
      <c r="G380" t="str">
        <f>_xlfn.XLOOKUP(tblSales[[#This Row],[Category ID]],tblCategories[Category ID],tblCategories[Category])</f>
        <v>Accessories</v>
      </c>
      <c r="H380">
        <v>74847</v>
      </c>
      <c r="I380">
        <v>80107</v>
      </c>
      <c r="J380">
        <v>183</v>
      </c>
      <c r="K380">
        <f>tblSales[[#This Row],[Sales]]-tblSales[[#This Row],[Budget]]</f>
        <v>-5260</v>
      </c>
      <c r="L380" s="3">
        <f>(tblSales[[#This Row],[Sales]]-tblSales[[#This Row],[Budget]])/tblSales[[#This Row],[Budget]]</f>
        <v>-6.5662176838478539E-2</v>
      </c>
      <c r="M380" s="2">
        <f>tblSales[[#This Row],[Sales]]/tblSales[[#This Row],[Transactions]]</f>
        <v>409</v>
      </c>
    </row>
    <row r="381" spans="1:13" x14ac:dyDescent="0.25">
      <c r="A381" s="1">
        <v>46041</v>
      </c>
      <c r="B381" t="s">
        <v>30</v>
      </c>
      <c r="C381" t="s">
        <v>19</v>
      </c>
      <c r="D381" t="str">
        <f>_xlfn.XLOOKUP(tblSales[[#This Row],[Store ID]],tblStores[Store ID],tblStores[Store Name])</f>
        <v>Nelspruit</v>
      </c>
      <c r="E381" t="str">
        <f>_xlfn.XLOOKUP(tblSales[[#This Row],[Store ID]],tblStores[Store ID],tblStores[Province])</f>
        <v>Mpumalanga</v>
      </c>
      <c r="F381" t="str">
        <f>_xlfn.XLOOKUP(tblSales[[#This Row],[Store ID]],tblStores[Store ID],tblStores[Manager])</f>
        <v>Olivia Turner</v>
      </c>
      <c r="G381" t="str">
        <f>_xlfn.XLOOKUP(tblSales[[#This Row],[Category ID]],tblCategories[Category ID],tblCategories[Category])</f>
        <v>Accessories</v>
      </c>
      <c r="H381">
        <v>100495</v>
      </c>
      <c r="I381">
        <v>115230</v>
      </c>
      <c r="J381">
        <v>199</v>
      </c>
      <c r="K381">
        <f>tblSales[[#This Row],[Sales]]-tblSales[[#This Row],[Budget]]</f>
        <v>-14735</v>
      </c>
      <c r="L381" s="3">
        <f>(tblSales[[#This Row],[Sales]]-tblSales[[#This Row],[Budget]])/tblSales[[#This Row],[Budget]]</f>
        <v>-0.12787468541178512</v>
      </c>
      <c r="M381" s="2">
        <f>tblSales[[#This Row],[Sales]]/tblSales[[#This Row],[Transactions]]</f>
        <v>505</v>
      </c>
    </row>
    <row r="382" spans="1:13" x14ac:dyDescent="0.25">
      <c r="A382" s="1">
        <v>46042</v>
      </c>
      <c r="B382" t="s">
        <v>6</v>
      </c>
      <c r="C382" t="s">
        <v>22</v>
      </c>
      <c r="D382" t="str">
        <f>_xlfn.XLOOKUP(tblSales[[#This Row],[Store ID]],tblStores[Store ID],tblStores[Store Name])</f>
        <v>Durban CBD</v>
      </c>
      <c r="E382" t="str">
        <f>_xlfn.XLOOKUP(tblSales[[#This Row],[Store ID]],tblStores[Store ID],tblStores[Province])</f>
        <v>KZN</v>
      </c>
      <c r="F382" t="str">
        <f>_xlfn.XLOOKUP(tblSales[[#This Row],[Store ID]],tblStores[Store ID],tblStores[Manager])</f>
        <v>Sarah Adams</v>
      </c>
      <c r="G382" t="str">
        <f>_xlfn.XLOOKUP(tblSales[[#This Row],[Category ID]],tblCategories[Category ID],tblCategories[Category])</f>
        <v>Kids</v>
      </c>
      <c r="H382">
        <v>66495</v>
      </c>
      <c r="I382">
        <v>62354</v>
      </c>
      <c r="J382">
        <v>195</v>
      </c>
      <c r="K382">
        <f>tblSales[[#This Row],[Sales]]-tblSales[[#This Row],[Budget]]</f>
        <v>4141</v>
      </c>
      <c r="L382" s="3">
        <f>(tblSales[[#This Row],[Sales]]-tblSales[[#This Row],[Budget]])/tblSales[[#This Row],[Budget]]</f>
        <v>6.6411136414664659E-2</v>
      </c>
      <c r="M382" s="2">
        <f>tblSales[[#This Row],[Sales]]/tblSales[[#This Row],[Transactions]]</f>
        <v>341</v>
      </c>
    </row>
    <row r="383" spans="1:13" x14ac:dyDescent="0.25">
      <c r="A383" s="1">
        <v>46042</v>
      </c>
      <c r="B383" t="s">
        <v>8</v>
      </c>
      <c r="C383" t="s">
        <v>7</v>
      </c>
      <c r="D383" t="str">
        <f>_xlfn.XLOOKUP(tblSales[[#This Row],[Store ID]],tblStores[Store ID],tblStores[Store Name])</f>
        <v>Gateway</v>
      </c>
      <c r="E383" t="str">
        <f>_xlfn.XLOOKUP(tblSales[[#This Row],[Store ID]],tblStores[Store ID],tblStores[Province])</f>
        <v>KZN</v>
      </c>
      <c r="F383" t="str">
        <f>_xlfn.XLOOKUP(tblSales[[#This Row],[Store ID]],tblStores[Store ID],tblStores[Manager])</f>
        <v>Michael Jones</v>
      </c>
      <c r="G383" t="str">
        <f>_xlfn.XLOOKUP(tblSales[[#This Row],[Category ID]],tblCategories[Category ID],tblCategories[Category])</f>
        <v>Menswear</v>
      </c>
      <c r="H383">
        <v>62930</v>
      </c>
      <c r="I383">
        <v>66570</v>
      </c>
      <c r="J383">
        <v>155</v>
      </c>
      <c r="K383">
        <f>tblSales[[#This Row],[Sales]]-tblSales[[#This Row],[Budget]]</f>
        <v>-3640</v>
      </c>
      <c r="L383" s="3">
        <f>(tblSales[[#This Row],[Sales]]-tblSales[[#This Row],[Budget]])/tblSales[[#This Row],[Budget]]</f>
        <v>-5.4679284963196635E-2</v>
      </c>
      <c r="M383" s="2">
        <f>tblSales[[#This Row],[Sales]]/tblSales[[#This Row],[Transactions]]</f>
        <v>406</v>
      </c>
    </row>
    <row r="384" spans="1:13" x14ac:dyDescent="0.25">
      <c r="A384" s="1">
        <v>46042</v>
      </c>
      <c r="B384" t="s">
        <v>10</v>
      </c>
      <c r="C384" t="s">
        <v>22</v>
      </c>
      <c r="D384" t="str">
        <f>_xlfn.XLOOKUP(tblSales[[#This Row],[Store ID]],tblStores[Store ID],tblStores[Store Name])</f>
        <v>Ballito</v>
      </c>
      <c r="E384" t="str">
        <f>_xlfn.XLOOKUP(tblSales[[#This Row],[Store ID]],tblStores[Store ID],tblStores[Province])</f>
        <v>KZN</v>
      </c>
      <c r="F384" t="str">
        <f>_xlfn.XLOOKUP(tblSales[[#This Row],[Store ID]],tblStores[Store ID],tblStores[Manager])</f>
        <v>Linda Smith</v>
      </c>
      <c r="G384" t="str">
        <f>_xlfn.XLOOKUP(tblSales[[#This Row],[Category ID]],tblCategories[Category ID],tblCategories[Category])</f>
        <v>Kids</v>
      </c>
      <c r="H384">
        <v>38688</v>
      </c>
      <c r="I384">
        <v>38223</v>
      </c>
      <c r="J384">
        <v>186</v>
      </c>
      <c r="K384">
        <f>tblSales[[#This Row],[Sales]]-tblSales[[#This Row],[Budget]]</f>
        <v>465</v>
      </c>
      <c r="L384" s="3">
        <f>(tblSales[[#This Row],[Sales]]-tblSales[[#This Row],[Budget]])/tblSales[[#This Row],[Budget]]</f>
        <v>1.2165450121654502E-2</v>
      </c>
      <c r="M384" s="2">
        <f>tblSales[[#This Row],[Sales]]/tblSales[[#This Row],[Transactions]]</f>
        <v>208</v>
      </c>
    </row>
    <row r="385" spans="1:13" x14ac:dyDescent="0.25">
      <c r="A385" s="1">
        <v>46042</v>
      </c>
      <c r="B385" t="s">
        <v>12</v>
      </c>
      <c r="C385" t="s">
        <v>7</v>
      </c>
      <c r="D385" t="str">
        <f>_xlfn.XLOOKUP(tblSales[[#This Row],[Store ID]],tblStores[Store ID],tblStores[Store Name])</f>
        <v>Pietermaritzburg</v>
      </c>
      <c r="E385" t="str">
        <f>_xlfn.XLOOKUP(tblSales[[#This Row],[Store ID]],tblStores[Store ID],tblStores[Province])</f>
        <v>KZN</v>
      </c>
      <c r="F385" t="str">
        <f>_xlfn.XLOOKUP(tblSales[[#This Row],[Store ID]],tblStores[Store ID],tblStores[Manager])</f>
        <v>Peter Brown</v>
      </c>
      <c r="G385" t="str">
        <f>_xlfn.XLOOKUP(tblSales[[#This Row],[Category ID]],tblCategories[Category ID],tblCategories[Category])</f>
        <v>Menswear</v>
      </c>
      <c r="H385">
        <v>47424</v>
      </c>
      <c r="I385">
        <v>48039</v>
      </c>
      <c r="J385">
        <v>114</v>
      </c>
      <c r="K385">
        <f>tblSales[[#This Row],[Sales]]-tblSales[[#This Row],[Budget]]</f>
        <v>-615</v>
      </c>
      <c r="L385" s="3">
        <f>(tblSales[[#This Row],[Sales]]-tblSales[[#This Row],[Budget]])/tblSales[[#This Row],[Budget]]</f>
        <v>-1.2802098295135202E-2</v>
      </c>
      <c r="M385" s="2">
        <f>tblSales[[#This Row],[Sales]]/tblSales[[#This Row],[Transactions]]</f>
        <v>416</v>
      </c>
    </row>
    <row r="386" spans="1:13" x14ac:dyDescent="0.25">
      <c r="A386" s="1">
        <v>46042</v>
      </c>
      <c r="B386" t="s">
        <v>13</v>
      </c>
      <c r="C386" t="s">
        <v>7</v>
      </c>
      <c r="D386" t="str">
        <f>_xlfn.XLOOKUP(tblSales[[#This Row],[Store ID]],tblStores[Store ID],tblStores[Store Name])</f>
        <v>Richards Bay</v>
      </c>
      <c r="E386" t="str">
        <f>_xlfn.XLOOKUP(tblSales[[#This Row],[Store ID]],tblStores[Store ID],tblStores[Province])</f>
        <v>KZN</v>
      </c>
      <c r="F386" t="str">
        <f>_xlfn.XLOOKUP(tblSales[[#This Row],[Store ID]],tblStores[Store ID],tblStores[Manager])</f>
        <v>David Green</v>
      </c>
      <c r="G386" t="str">
        <f>_xlfn.XLOOKUP(tblSales[[#This Row],[Category ID]],tblCategories[Category ID],tblCategories[Category])</f>
        <v>Menswear</v>
      </c>
      <c r="H386">
        <v>42054</v>
      </c>
      <c r="I386">
        <v>38655</v>
      </c>
      <c r="J386">
        <v>129</v>
      </c>
      <c r="K386">
        <f>tblSales[[#This Row],[Sales]]-tblSales[[#This Row],[Budget]]</f>
        <v>3399</v>
      </c>
      <c r="L386" s="3">
        <f>(tblSales[[#This Row],[Sales]]-tblSales[[#This Row],[Budget]])/tblSales[[#This Row],[Budget]]</f>
        <v>8.7931703531237873E-2</v>
      </c>
      <c r="M386" s="2">
        <f>tblSales[[#This Row],[Sales]]/tblSales[[#This Row],[Transactions]]</f>
        <v>326</v>
      </c>
    </row>
    <row r="387" spans="1:13" x14ac:dyDescent="0.25">
      <c r="A387" s="1">
        <v>46042</v>
      </c>
      <c r="B387" t="s">
        <v>14</v>
      </c>
      <c r="C387" t="s">
        <v>7</v>
      </c>
      <c r="D387" t="str">
        <f>_xlfn.XLOOKUP(tblSales[[#This Row],[Store ID]],tblStores[Store ID],tblStores[Store Name])</f>
        <v>Sandton</v>
      </c>
      <c r="E387" t="str">
        <f>_xlfn.XLOOKUP(tblSales[[#This Row],[Store ID]],tblStores[Store ID],tblStores[Province])</f>
        <v>Gauteng</v>
      </c>
      <c r="F387" t="str">
        <f>_xlfn.XLOOKUP(tblSales[[#This Row],[Store ID]],tblStores[Store ID],tblStores[Manager])</f>
        <v>Karen White</v>
      </c>
      <c r="G387" t="str">
        <f>_xlfn.XLOOKUP(tblSales[[#This Row],[Category ID]],tblCategories[Category ID],tblCategories[Category])</f>
        <v>Menswear</v>
      </c>
      <c r="H387">
        <v>92928</v>
      </c>
      <c r="I387">
        <v>95415</v>
      </c>
      <c r="J387">
        <v>192</v>
      </c>
      <c r="K387">
        <f>tblSales[[#This Row],[Sales]]-tblSales[[#This Row],[Budget]]</f>
        <v>-2487</v>
      </c>
      <c r="L387" s="3">
        <f>(tblSales[[#This Row],[Sales]]-tblSales[[#This Row],[Budget]])/tblSales[[#This Row],[Budget]]</f>
        <v>-2.6065084106272597E-2</v>
      </c>
      <c r="M387" s="2">
        <f>tblSales[[#This Row],[Sales]]/tblSales[[#This Row],[Transactions]]</f>
        <v>484</v>
      </c>
    </row>
    <row r="388" spans="1:13" x14ac:dyDescent="0.25">
      <c r="A388" s="1">
        <v>46042</v>
      </c>
      <c r="B388" t="s">
        <v>15</v>
      </c>
      <c r="C388" t="s">
        <v>11</v>
      </c>
      <c r="D388" t="str">
        <f>_xlfn.XLOOKUP(tblSales[[#This Row],[Store ID]],tblStores[Store ID],tblStores[Store Name])</f>
        <v>Rosebank</v>
      </c>
      <c r="E388" t="str">
        <f>_xlfn.XLOOKUP(tblSales[[#This Row],[Store ID]],tblStores[Store ID],tblStores[Province])</f>
        <v>Gauteng</v>
      </c>
      <c r="F388" t="str">
        <f>_xlfn.XLOOKUP(tblSales[[#This Row],[Store ID]],tblStores[Store ID],tblStores[Manager])</f>
        <v>James Taylor</v>
      </c>
      <c r="G388" t="str">
        <f>_xlfn.XLOOKUP(tblSales[[#This Row],[Category ID]],tblCategories[Category ID],tblCategories[Category])</f>
        <v>Footwear</v>
      </c>
      <c r="H388">
        <v>84729</v>
      </c>
      <c r="I388">
        <v>96468</v>
      </c>
      <c r="J388">
        <v>183</v>
      </c>
      <c r="K388">
        <f>tblSales[[#This Row],[Sales]]-tblSales[[#This Row],[Budget]]</f>
        <v>-11739</v>
      </c>
      <c r="L388" s="3">
        <f>(tblSales[[#This Row],[Sales]]-tblSales[[#This Row],[Budget]])/tblSales[[#This Row],[Budget]]</f>
        <v>-0.12168802089812165</v>
      </c>
      <c r="M388" s="2">
        <f>tblSales[[#This Row],[Sales]]/tblSales[[#This Row],[Transactions]]</f>
        <v>463</v>
      </c>
    </row>
    <row r="389" spans="1:13" x14ac:dyDescent="0.25">
      <c r="A389" s="1">
        <v>46042</v>
      </c>
      <c r="B389" t="s">
        <v>16</v>
      </c>
      <c r="C389" t="s">
        <v>7</v>
      </c>
      <c r="D389" t="str">
        <f>_xlfn.XLOOKUP(tblSales[[#This Row],[Store ID]],tblStores[Store ID],tblStores[Store Name])</f>
        <v>Pretoria</v>
      </c>
      <c r="E389" t="str">
        <f>_xlfn.XLOOKUP(tblSales[[#This Row],[Store ID]],tblStores[Store ID],tblStores[Province])</f>
        <v>Gauteng</v>
      </c>
      <c r="F389" t="str">
        <f>_xlfn.XLOOKUP(tblSales[[#This Row],[Store ID]],tblStores[Store ID],tblStores[Manager])</f>
        <v>Susan Clark</v>
      </c>
      <c r="G389" t="str">
        <f>_xlfn.XLOOKUP(tblSales[[#This Row],[Category ID]],tblCategories[Category ID],tblCategories[Category])</f>
        <v>Menswear</v>
      </c>
      <c r="H389">
        <v>70800</v>
      </c>
      <c r="I389">
        <v>75257</v>
      </c>
      <c r="J389">
        <v>150</v>
      </c>
      <c r="K389">
        <f>tblSales[[#This Row],[Sales]]-tblSales[[#This Row],[Budget]]</f>
        <v>-4457</v>
      </c>
      <c r="L389" s="3">
        <f>(tblSales[[#This Row],[Sales]]-tblSales[[#This Row],[Budget]])/tblSales[[#This Row],[Budget]]</f>
        <v>-5.9223726696519922E-2</v>
      </c>
      <c r="M389" s="2">
        <f>tblSales[[#This Row],[Sales]]/tblSales[[#This Row],[Transactions]]</f>
        <v>472</v>
      </c>
    </row>
    <row r="390" spans="1:13" x14ac:dyDescent="0.25">
      <c r="A390" s="1">
        <v>46042</v>
      </c>
      <c r="B390" t="s">
        <v>17</v>
      </c>
      <c r="C390" t="s">
        <v>22</v>
      </c>
      <c r="D390" t="str">
        <f>_xlfn.XLOOKUP(tblSales[[#This Row],[Store ID]],tblStores[Store ID],tblStores[Store Name])</f>
        <v>Centurion</v>
      </c>
      <c r="E390" t="str">
        <f>_xlfn.XLOOKUP(tblSales[[#This Row],[Store ID]],tblStores[Store ID],tblStores[Province])</f>
        <v>Gauteng</v>
      </c>
      <c r="F390" t="str">
        <f>_xlfn.XLOOKUP(tblSales[[#This Row],[Store ID]],tblStores[Store ID],tblStores[Manager])</f>
        <v>Mark Wilson</v>
      </c>
      <c r="G390" t="str">
        <f>_xlfn.XLOOKUP(tblSales[[#This Row],[Category ID]],tblCategories[Category ID],tblCategories[Category])</f>
        <v>Kids</v>
      </c>
      <c r="H390">
        <v>79947</v>
      </c>
      <c r="I390">
        <v>81973</v>
      </c>
      <c r="J390">
        <v>189</v>
      </c>
      <c r="K390">
        <f>tblSales[[#This Row],[Sales]]-tblSales[[#This Row],[Budget]]</f>
        <v>-2026</v>
      </c>
      <c r="L390" s="3">
        <f>(tblSales[[#This Row],[Sales]]-tblSales[[#This Row],[Budget]])/tblSales[[#This Row],[Budget]]</f>
        <v>-2.4715455088870724E-2</v>
      </c>
      <c r="M390" s="2">
        <f>tblSales[[#This Row],[Sales]]/tblSales[[#This Row],[Transactions]]</f>
        <v>423</v>
      </c>
    </row>
    <row r="391" spans="1:13" x14ac:dyDescent="0.25">
      <c r="A391" s="1">
        <v>46042</v>
      </c>
      <c r="B391" t="s">
        <v>18</v>
      </c>
      <c r="C391" t="s">
        <v>7</v>
      </c>
      <c r="D391" t="str">
        <f>_xlfn.XLOOKUP(tblSales[[#This Row],[Store ID]],tblStores[Store ID],tblStores[Store Name])</f>
        <v>East Rand</v>
      </c>
      <c r="E391" t="str">
        <f>_xlfn.XLOOKUP(tblSales[[#This Row],[Store ID]],tblStores[Store ID],tblStores[Province])</f>
        <v>Gauteng</v>
      </c>
      <c r="F391" t="str">
        <f>_xlfn.XLOOKUP(tblSales[[#This Row],[Store ID]],tblStores[Store ID],tblStores[Manager])</f>
        <v>Lisa Young</v>
      </c>
      <c r="G391" t="str">
        <f>_xlfn.XLOOKUP(tblSales[[#This Row],[Category ID]],tblCategories[Category ID],tblCategories[Category])</f>
        <v>Menswear</v>
      </c>
      <c r="H391">
        <v>34800</v>
      </c>
      <c r="I391">
        <v>38375</v>
      </c>
      <c r="J391">
        <v>150</v>
      </c>
      <c r="K391">
        <f>tblSales[[#This Row],[Sales]]-tblSales[[#This Row],[Budget]]</f>
        <v>-3575</v>
      </c>
      <c r="L391" s="3">
        <f>(tblSales[[#This Row],[Sales]]-tblSales[[#This Row],[Budget]])/tblSales[[#This Row],[Budget]]</f>
        <v>-9.3159609120521167E-2</v>
      </c>
      <c r="M391" s="2">
        <f>tblSales[[#This Row],[Sales]]/tblSales[[#This Row],[Transactions]]</f>
        <v>232</v>
      </c>
    </row>
    <row r="392" spans="1:13" x14ac:dyDescent="0.25">
      <c r="A392" s="1">
        <v>46042</v>
      </c>
      <c r="B392" t="s">
        <v>20</v>
      </c>
      <c r="C392" t="s">
        <v>22</v>
      </c>
      <c r="D392" t="str">
        <f>_xlfn.XLOOKUP(tblSales[[#This Row],[Store ID]],tblStores[Store ID],tblStores[Store Name])</f>
        <v>Cape Town CBD</v>
      </c>
      <c r="E392" t="str">
        <f>_xlfn.XLOOKUP(tblSales[[#This Row],[Store ID]],tblStores[Store ID],tblStores[Province])</f>
        <v>Western Cape</v>
      </c>
      <c r="F392" t="str">
        <f>_xlfn.XLOOKUP(tblSales[[#This Row],[Store ID]],tblStores[Store ID],tblStores[Manager])</f>
        <v>Brian Hall</v>
      </c>
      <c r="G392" t="str">
        <f>_xlfn.XLOOKUP(tblSales[[#This Row],[Category ID]],tblCategories[Category ID],tblCategories[Category])</f>
        <v>Kids</v>
      </c>
      <c r="H392">
        <v>48391</v>
      </c>
      <c r="I392">
        <v>49655</v>
      </c>
      <c r="J392">
        <v>217</v>
      </c>
      <c r="K392">
        <f>tblSales[[#This Row],[Sales]]-tblSales[[#This Row],[Budget]]</f>
        <v>-1264</v>
      </c>
      <c r="L392" s="3">
        <f>(tblSales[[#This Row],[Sales]]-tblSales[[#This Row],[Budget]])/tblSales[[#This Row],[Budget]]</f>
        <v>-2.5455643943208137E-2</v>
      </c>
      <c r="M392" s="2">
        <f>tblSales[[#This Row],[Sales]]/tblSales[[#This Row],[Transactions]]</f>
        <v>223</v>
      </c>
    </row>
    <row r="393" spans="1:13" x14ac:dyDescent="0.25">
      <c r="A393" s="1">
        <v>46042</v>
      </c>
      <c r="B393" t="s">
        <v>21</v>
      </c>
      <c r="C393" t="s">
        <v>9</v>
      </c>
      <c r="D393" t="str">
        <f>_xlfn.XLOOKUP(tblSales[[#This Row],[Store ID]],tblStores[Store ID],tblStores[Store Name])</f>
        <v>Canal Walk</v>
      </c>
      <c r="E393" t="str">
        <f>_xlfn.XLOOKUP(tblSales[[#This Row],[Store ID]],tblStores[Store ID],tblStores[Province])</f>
        <v>Western Cape</v>
      </c>
      <c r="F393" t="str">
        <f>_xlfn.XLOOKUP(tblSales[[#This Row],[Store ID]],tblStores[Store ID],tblStores[Manager])</f>
        <v>Megan Scott</v>
      </c>
      <c r="G393" t="str">
        <f>_xlfn.XLOOKUP(tblSales[[#This Row],[Category ID]],tblCategories[Category ID],tblCategories[Category])</f>
        <v>Ladieswear</v>
      </c>
      <c r="H393">
        <v>13770</v>
      </c>
      <c r="I393">
        <v>14828</v>
      </c>
      <c r="J393">
        <v>45</v>
      </c>
      <c r="K393">
        <f>tblSales[[#This Row],[Sales]]-tblSales[[#This Row],[Budget]]</f>
        <v>-1058</v>
      </c>
      <c r="L393" s="3">
        <f>(tblSales[[#This Row],[Sales]]-tblSales[[#This Row],[Budget]])/tblSales[[#This Row],[Budget]]</f>
        <v>-7.13514971675209E-2</v>
      </c>
      <c r="M393" s="2">
        <f>tblSales[[#This Row],[Sales]]/tblSales[[#This Row],[Transactions]]</f>
        <v>306</v>
      </c>
    </row>
    <row r="394" spans="1:13" x14ac:dyDescent="0.25">
      <c r="A394" s="1">
        <v>46042</v>
      </c>
      <c r="B394" t="s">
        <v>23</v>
      </c>
      <c r="C394" t="s">
        <v>11</v>
      </c>
      <c r="D394" t="str">
        <f>_xlfn.XLOOKUP(tblSales[[#This Row],[Store ID]],tblStores[Store ID],tblStores[Store Name])</f>
        <v>Stellenbosch</v>
      </c>
      <c r="E394" t="str">
        <f>_xlfn.XLOOKUP(tblSales[[#This Row],[Store ID]],tblStores[Store ID],tblStores[Province])</f>
        <v>Western Cape</v>
      </c>
      <c r="F394" t="str">
        <f>_xlfn.XLOOKUP(tblSales[[#This Row],[Store ID]],tblStores[Store ID],tblStores[Manager])</f>
        <v>Jason King</v>
      </c>
      <c r="G394" t="str">
        <f>_xlfn.XLOOKUP(tblSales[[#This Row],[Category ID]],tblCategories[Category ID],tblCategories[Category])</f>
        <v>Footwear</v>
      </c>
      <c r="H394">
        <v>75543</v>
      </c>
      <c r="I394">
        <v>79505</v>
      </c>
      <c r="J394">
        <v>169</v>
      </c>
      <c r="K394">
        <f>tblSales[[#This Row],[Sales]]-tblSales[[#This Row],[Budget]]</f>
        <v>-3962</v>
      </c>
      <c r="L394" s="3">
        <f>(tblSales[[#This Row],[Sales]]-tblSales[[#This Row],[Budget]])/tblSales[[#This Row],[Budget]]</f>
        <v>-4.9833343814854408E-2</v>
      </c>
      <c r="M394" s="2">
        <f>tblSales[[#This Row],[Sales]]/tblSales[[#This Row],[Transactions]]</f>
        <v>447</v>
      </c>
    </row>
    <row r="395" spans="1:13" x14ac:dyDescent="0.25">
      <c r="A395" s="1">
        <v>46042</v>
      </c>
      <c r="B395" t="s">
        <v>24</v>
      </c>
      <c r="C395" t="s">
        <v>22</v>
      </c>
      <c r="D395" t="str">
        <f>_xlfn.XLOOKUP(tblSales[[#This Row],[Store ID]],tblStores[Store ID],tblStores[Store Name])</f>
        <v>George</v>
      </c>
      <c r="E395" t="str">
        <f>_xlfn.XLOOKUP(tblSales[[#This Row],[Store ID]],tblStores[Store ID],tblStores[Province])</f>
        <v>Western Cape</v>
      </c>
      <c r="F395" t="str">
        <f>_xlfn.XLOOKUP(tblSales[[#This Row],[Store ID]],tblStores[Store ID],tblStores[Manager])</f>
        <v>Chloe Hill</v>
      </c>
      <c r="G395" t="str">
        <f>_xlfn.XLOOKUP(tblSales[[#This Row],[Category ID]],tblCategories[Category ID],tblCategories[Category])</f>
        <v>Kids</v>
      </c>
      <c r="H395">
        <v>42120</v>
      </c>
      <c r="I395">
        <v>41987</v>
      </c>
      <c r="J395">
        <v>130</v>
      </c>
      <c r="K395">
        <f>tblSales[[#This Row],[Sales]]-tblSales[[#This Row],[Budget]]</f>
        <v>133</v>
      </c>
      <c r="L395" s="3">
        <f>(tblSales[[#This Row],[Sales]]-tblSales[[#This Row],[Budget]])/tblSales[[#This Row],[Budget]]</f>
        <v>3.1676471288732229E-3</v>
      </c>
      <c r="M395" s="2">
        <f>tblSales[[#This Row],[Sales]]/tblSales[[#This Row],[Transactions]]</f>
        <v>324</v>
      </c>
    </row>
    <row r="396" spans="1:13" x14ac:dyDescent="0.25">
      <c r="A396" s="1">
        <v>46042</v>
      </c>
      <c r="B396" t="s">
        <v>25</v>
      </c>
      <c r="C396" t="s">
        <v>22</v>
      </c>
      <c r="D396" t="str">
        <f>_xlfn.XLOOKUP(tblSales[[#This Row],[Store ID]],tblStores[Store ID],tblStores[Store Name])</f>
        <v>Paarl</v>
      </c>
      <c r="E396" t="str">
        <f>_xlfn.XLOOKUP(tblSales[[#This Row],[Store ID]],tblStores[Store ID],tblStores[Province])</f>
        <v>Western Cape</v>
      </c>
      <c r="F396" t="str">
        <f>_xlfn.XLOOKUP(tblSales[[#This Row],[Store ID]],tblStores[Store ID],tblStores[Manager])</f>
        <v>Andrew Lee</v>
      </c>
      <c r="G396" t="str">
        <f>_xlfn.XLOOKUP(tblSales[[#This Row],[Category ID]],tblCategories[Category ID],tblCategories[Category])</f>
        <v>Kids</v>
      </c>
      <c r="H396">
        <v>101088</v>
      </c>
      <c r="I396">
        <v>92302</v>
      </c>
      <c r="J396">
        <v>208</v>
      </c>
      <c r="K396">
        <f>tblSales[[#This Row],[Sales]]-tblSales[[#This Row],[Budget]]</f>
        <v>8786</v>
      </c>
      <c r="L396" s="3">
        <f>(tblSales[[#This Row],[Sales]]-tblSales[[#This Row],[Budget]])/tblSales[[#This Row],[Budget]]</f>
        <v>9.5187536564754829E-2</v>
      </c>
      <c r="M396" s="2">
        <f>tblSales[[#This Row],[Sales]]/tblSales[[#This Row],[Transactions]]</f>
        <v>486</v>
      </c>
    </row>
    <row r="397" spans="1:13" x14ac:dyDescent="0.25">
      <c r="A397" s="1">
        <v>46042</v>
      </c>
      <c r="B397" t="s">
        <v>26</v>
      </c>
      <c r="C397" t="s">
        <v>22</v>
      </c>
      <c r="D397" t="str">
        <f>_xlfn.XLOOKUP(tblSales[[#This Row],[Store ID]],tblStores[Store ID],tblStores[Store Name])</f>
        <v>Gqeberha</v>
      </c>
      <c r="E397" t="str">
        <f>_xlfn.XLOOKUP(tblSales[[#This Row],[Store ID]],tblStores[Store ID],tblStores[Province])</f>
        <v>Eastern Cape</v>
      </c>
      <c r="F397" t="str">
        <f>_xlfn.XLOOKUP(tblSales[[#This Row],[Store ID]],tblStores[Store ID],tblStores[Manager])</f>
        <v>Emma Baker</v>
      </c>
      <c r="G397" t="str">
        <f>_xlfn.XLOOKUP(tblSales[[#This Row],[Category ID]],tblCategories[Category ID],tblCategories[Category])</f>
        <v>Kids</v>
      </c>
      <c r="H397">
        <v>17748</v>
      </c>
      <c r="I397">
        <v>16392</v>
      </c>
      <c r="J397">
        <v>51</v>
      </c>
      <c r="K397">
        <f>tblSales[[#This Row],[Sales]]-tblSales[[#This Row],[Budget]]</f>
        <v>1356</v>
      </c>
      <c r="L397" s="3">
        <f>(tblSales[[#This Row],[Sales]]-tblSales[[#This Row],[Budget]])/tblSales[[#This Row],[Budget]]</f>
        <v>8.272327964860908E-2</v>
      </c>
      <c r="M397" s="2">
        <f>tblSales[[#This Row],[Sales]]/tblSales[[#This Row],[Transactions]]</f>
        <v>348</v>
      </c>
    </row>
    <row r="398" spans="1:13" x14ac:dyDescent="0.25">
      <c r="A398" s="1">
        <v>46042</v>
      </c>
      <c r="B398" t="s">
        <v>27</v>
      </c>
      <c r="C398" t="s">
        <v>11</v>
      </c>
      <c r="D398" t="str">
        <f>_xlfn.XLOOKUP(tblSales[[#This Row],[Store ID]],tblStores[Store ID],tblStores[Store Name])</f>
        <v>East London</v>
      </c>
      <c r="E398" t="str">
        <f>_xlfn.XLOOKUP(tblSales[[#This Row],[Store ID]],tblStores[Store ID],tblStores[Province])</f>
        <v>Eastern Cape</v>
      </c>
      <c r="F398" t="str">
        <f>_xlfn.XLOOKUP(tblSales[[#This Row],[Store ID]],tblStores[Store ID],tblStores[Manager])</f>
        <v>Daniel Evans</v>
      </c>
      <c r="G398" t="str">
        <f>_xlfn.XLOOKUP(tblSales[[#This Row],[Category ID]],tblCategories[Category ID],tblCategories[Category])</f>
        <v>Footwear</v>
      </c>
      <c r="H398">
        <v>33063</v>
      </c>
      <c r="I398">
        <v>35738</v>
      </c>
      <c r="J398">
        <v>107</v>
      </c>
      <c r="K398">
        <f>tblSales[[#This Row],[Sales]]-tblSales[[#This Row],[Budget]]</f>
        <v>-2675</v>
      </c>
      <c r="L398" s="3">
        <f>(tblSales[[#This Row],[Sales]]-tblSales[[#This Row],[Budget]])/tblSales[[#This Row],[Budget]]</f>
        <v>-7.4850299401197598E-2</v>
      </c>
      <c r="M398" s="2">
        <f>tblSales[[#This Row],[Sales]]/tblSales[[#This Row],[Transactions]]</f>
        <v>309</v>
      </c>
    </row>
    <row r="399" spans="1:13" x14ac:dyDescent="0.25">
      <c r="A399" s="1">
        <v>46042</v>
      </c>
      <c r="B399" t="s">
        <v>28</v>
      </c>
      <c r="C399" t="s">
        <v>19</v>
      </c>
      <c r="D399" t="str">
        <f>_xlfn.XLOOKUP(tblSales[[#This Row],[Store ID]],tblStores[Store ID],tblStores[Store Name])</f>
        <v>Bloemfontein</v>
      </c>
      <c r="E399" t="str">
        <f>_xlfn.XLOOKUP(tblSales[[#This Row],[Store ID]],tblStores[Store ID],tblStores[Province])</f>
        <v>Free State</v>
      </c>
      <c r="F399" t="str">
        <f>_xlfn.XLOOKUP(tblSales[[#This Row],[Store ID]],tblStores[Store ID],tblStores[Manager])</f>
        <v>Rachel Moore</v>
      </c>
      <c r="G399" t="str">
        <f>_xlfn.XLOOKUP(tblSales[[#This Row],[Category ID]],tblCategories[Category ID],tblCategories[Category])</f>
        <v>Accessories</v>
      </c>
      <c r="H399">
        <v>25550</v>
      </c>
      <c r="I399">
        <v>23515</v>
      </c>
      <c r="J399">
        <v>73</v>
      </c>
      <c r="K399">
        <f>tblSales[[#This Row],[Sales]]-tblSales[[#This Row],[Budget]]</f>
        <v>2035</v>
      </c>
      <c r="L399" s="3">
        <f>(tblSales[[#This Row],[Sales]]-tblSales[[#This Row],[Budget]])/tblSales[[#This Row],[Budget]]</f>
        <v>8.6540506059961733E-2</v>
      </c>
      <c r="M399" s="2">
        <f>tblSales[[#This Row],[Sales]]/tblSales[[#This Row],[Transactions]]</f>
        <v>350</v>
      </c>
    </row>
    <row r="400" spans="1:13" x14ac:dyDescent="0.25">
      <c r="A400" s="1">
        <v>46042</v>
      </c>
      <c r="B400" t="s">
        <v>29</v>
      </c>
      <c r="C400" t="s">
        <v>9</v>
      </c>
      <c r="D400" t="str">
        <f>_xlfn.XLOOKUP(tblSales[[#This Row],[Store ID]],tblStores[Store ID],tblStores[Store Name])</f>
        <v>Polokwane</v>
      </c>
      <c r="E400" t="str">
        <f>_xlfn.XLOOKUP(tblSales[[#This Row],[Store ID]],tblStores[Store ID],tblStores[Province])</f>
        <v>Limpopo</v>
      </c>
      <c r="F400" t="str">
        <f>_xlfn.XLOOKUP(tblSales[[#This Row],[Store ID]],tblStores[Store ID],tblStores[Manager])</f>
        <v>Kevin Harris</v>
      </c>
      <c r="G400" t="str">
        <f>_xlfn.XLOOKUP(tblSales[[#This Row],[Category ID]],tblCategories[Category ID],tblCategories[Category])</f>
        <v>Ladieswear</v>
      </c>
      <c r="H400">
        <v>41912</v>
      </c>
      <c r="I400">
        <v>47860</v>
      </c>
      <c r="J400">
        <v>124</v>
      </c>
      <c r="K400">
        <f>tblSales[[#This Row],[Sales]]-tblSales[[#This Row],[Budget]]</f>
        <v>-5948</v>
      </c>
      <c r="L400" s="3">
        <f>(tblSales[[#This Row],[Sales]]-tblSales[[#This Row],[Budget]])/tblSales[[#This Row],[Budget]]</f>
        <v>-0.12427914751358128</v>
      </c>
      <c r="M400" s="2">
        <f>tblSales[[#This Row],[Sales]]/tblSales[[#This Row],[Transactions]]</f>
        <v>338</v>
      </c>
    </row>
    <row r="401" spans="1:13" x14ac:dyDescent="0.25">
      <c r="A401" s="1">
        <v>46042</v>
      </c>
      <c r="B401" t="s">
        <v>30</v>
      </c>
      <c r="C401" t="s">
        <v>11</v>
      </c>
      <c r="D401" t="str">
        <f>_xlfn.XLOOKUP(tblSales[[#This Row],[Store ID]],tblStores[Store ID],tblStores[Store Name])</f>
        <v>Nelspruit</v>
      </c>
      <c r="E401" t="str">
        <f>_xlfn.XLOOKUP(tblSales[[#This Row],[Store ID]],tblStores[Store ID],tblStores[Province])</f>
        <v>Mpumalanga</v>
      </c>
      <c r="F401" t="str">
        <f>_xlfn.XLOOKUP(tblSales[[#This Row],[Store ID]],tblStores[Store ID],tblStores[Manager])</f>
        <v>Olivia Turner</v>
      </c>
      <c r="G401" t="str">
        <f>_xlfn.XLOOKUP(tblSales[[#This Row],[Category ID]],tblCategories[Category ID],tblCategories[Category])</f>
        <v>Footwear</v>
      </c>
      <c r="H401">
        <v>32912</v>
      </c>
      <c r="I401">
        <v>35453</v>
      </c>
      <c r="J401">
        <v>68</v>
      </c>
      <c r="K401">
        <f>tblSales[[#This Row],[Sales]]-tblSales[[#This Row],[Budget]]</f>
        <v>-2541</v>
      </c>
      <c r="L401" s="3">
        <f>(tblSales[[#This Row],[Sales]]-tblSales[[#This Row],[Budget]])/tblSales[[#This Row],[Budget]]</f>
        <v>-7.1672354948805458E-2</v>
      </c>
      <c r="M401" s="2">
        <f>tblSales[[#This Row],[Sales]]/tblSales[[#This Row],[Transactions]]</f>
        <v>484</v>
      </c>
    </row>
    <row r="402" spans="1:13" x14ac:dyDescent="0.25">
      <c r="A402" s="1">
        <v>46043</v>
      </c>
      <c r="B402" t="s">
        <v>6</v>
      </c>
      <c r="C402" t="s">
        <v>7</v>
      </c>
      <c r="D402" t="str">
        <f>_xlfn.XLOOKUP(tblSales[[#This Row],[Store ID]],tblStores[Store ID],tblStores[Store Name])</f>
        <v>Durban CBD</v>
      </c>
      <c r="E402" t="str">
        <f>_xlfn.XLOOKUP(tblSales[[#This Row],[Store ID]],tblStores[Store ID],tblStores[Province])</f>
        <v>KZN</v>
      </c>
      <c r="F402" t="str">
        <f>_xlfn.XLOOKUP(tblSales[[#This Row],[Store ID]],tblStores[Store ID],tblStores[Manager])</f>
        <v>Sarah Adams</v>
      </c>
      <c r="G402" t="str">
        <f>_xlfn.XLOOKUP(tblSales[[#This Row],[Category ID]],tblCategories[Category ID],tblCategories[Category])</f>
        <v>Menswear</v>
      </c>
      <c r="H402">
        <v>53124</v>
      </c>
      <c r="I402">
        <v>52814</v>
      </c>
      <c r="J402">
        <v>114</v>
      </c>
      <c r="K402">
        <f>tblSales[[#This Row],[Sales]]-tblSales[[#This Row],[Budget]]</f>
        <v>310</v>
      </c>
      <c r="L402" s="3">
        <f>(tblSales[[#This Row],[Sales]]-tblSales[[#This Row],[Budget]])/tblSales[[#This Row],[Budget]]</f>
        <v>5.869655773090468E-3</v>
      </c>
      <c r="M402" s="2">
        <f>tblSales[[#This Row],[Sales]]/tblSales[[#This Row],[Transactions]]</f>
        <v>466</v>
      </c>
    </row>
    <row r="403" spans="1:13" x14ac:dyDescent="0.25">
      <c r="A403" s="1">
        <v>46043</v>
      </c>
      <c r="B403" t="s">
        <v>8</v>
      </c>
      <c r="C403" t="s">
        <v>22</v>
      </c>
      <c r="D403" t="str">
        <f>_xlfn.XLOOKUP(tblSales[[#This Row],[Store ID]],tblStores[Store ID],tblStores[Store Name])</f>
        <v>Gateway</v>
      </c>
      <c r="E403" t="str">
        <f>_xlfn.XLOOKUP(tblSales[[#This Row],[Store ID]],tblStores[Store ID],tblStores[Province])</f>
        <v>KZN</v>
      </c>
      <c r="F403" t="str">
        <f>_xlfn.XLOOKUP(tblSales[[#This Row],[Store ID]],tblStores[Store ID],tblStores[Manager])</f>
        <v>Michael Jones</v>
      </c>
      <c r="G403" t="str">
        <f>_xlfn.XLOOKUP(tblSales[[#This Row],[Category ID]],tblCategories[Category ID],tblCategories[Category])</f>
        <v>Kids</v>
      </c>
      <c r="H403">
        <v>30083</v>
      </c>
      <c r="I403">
        <v>27777</v>
      </c>
      <c r="J403">
        <v>67</v>
      </c>
      <c r="K403">
        <f>tblSales[[#This Row],[Sales]]-tblSales[[#This Row],[Budget]]</f>
        <v>2306</v>
      </c>
      <c r="L403" s="3">
        <f>(tblSales[[#This Row],[Sales]]-tblSales[[#This Row],[Budget]])/tblSales[[#This Row],[Budget]]</f>
        <v>8.301832451308637E-2</v>
      </c>
      <c r="M403" s="2">
        <f>tblSales[[#This Row],[Sales]]/tblSales[[#This Row],[Transactions]]</f>
        <v>449</v>
      </c>
    </row>
    <row r="404" spans="1:13" x14ac:dyDescent="0.25">
      <c r="A404" s="1">
        <v>46043</v>
      </c>
      <c r="B404" t="s">
        <v>10</v>
      </c>
      <c r="C404" t="s">
        <v>11</v>
      </c>
      <c r="D404" t="str">
        <f>_xlfn.XLOOKUP(tblSales[[#This Row],[Store ID]],tblStores[Store ID],tblStores[Store Name])</f>
        <v>Ballito</v>
      </c>
      <c r="E404" t="str">
        <f>_xlfn.XLOOKUP(tblSales[[#This Row],[Store ID]],tblStores[Store ID],tblStores[Province])</f>
        <v>KZN</v>
      </c>
      <c r="F404" t="str">
        <f>_xlfn.XLOOKUP(tblSales[[#This Row],[Store ID]],tblStores[Store ID],tblStores[Manager])</f>
        <v>Linda Smith</v>
      </c>
      <c r="G404" t="str">
        <f>_xlfn.XLOOKUP(tblSales[[#This Row],[Category ID]],tblCategories[Category ID],tblCategories[Category])</f>
        <v>Footwear</v>
      </c>
      <c r="H404">
        <v>60225</v>
      </c>
      <c r="I404">
        <v>54476</v>
      </c>
      <c r="J404">
        <v>165</v>
      </c>
      <c r="K404">
        <f>tblSales[[#This Row],[Sales]]-tblSales[[#This Row],[Budget]]</f>
        <v>5749</v>
      </c>
      <c r="L404" s="3">
        <f>(tblSales[[#This Row],[Sales]]-tblSales[[#This Row],[Budget]])/tblSales[[#This Row],[Budget]]</f>
        <v>0.10553271165283795</v>
      </c>
      <c r="M404" s="2">
        <f>tblSales[[#This Row],[Sales]]/tblSales[[#This Row],[Transactions]]</f>
        <v>365</v>
      </c>
    </row>
    <row r="405" spans="1:13" x14ac:dyDescent="0.25">
      <c r="A405" s="1">
        <v>46043</v>
      </c>
      <c r="B405" t="s">
        <v>12</v>
      </c>
      <c r="C405" t="s">
        <v>22</v>
      </c>
      <c r="D405" t="str">
        <f>_xlfn.XLOOKUP(tblSales[[#This Row],[Store ID]],tblStores[Store ID],tblStores[Store Name])</f>
        <v>Pietermaritzburg</v>
      </c>
      <c r="E405" t="str">
        <f>_xlfn.XLOOKUP(tblSales[[#This Row],[Store ID]],tblStores[Store ID],tblStores[Province])</f>
        <v>KZN</v>
      </c>
      <c r="F405" t="str">
        <f>_xlfn.XLOOKUP(tblSales[[#This Row],[Store ID]],tblStores[Store ID],tblStores[Manager])</f>
        <v>Peter Brown</v>
      </c>
      <c r="G405" t="str">
        <f>_xlfn.XLOOKUP(tblSales[[#This Row],[Category ID]],tblCategories[Category ID],tblCategories[Category])</f>
        <v>Kids</v>
      </c>
      <c r="H405">
        <v>23409</v>
      </c>
      <c r="I405">
        <v>23068</v>
      </c>
      <c r="J405">
        <v>81</v>
      </c>
      <c r="K405">
        <f>tblSales[[#This Row],[Sales]]-tblSales[[#This Row],[Budget]]</f>
        <v>341</v>
      </c>
      <c r="L405" s="3">
        <f>(tblSales[[#This Row],[Sales]]-tblSales[[#This Row],[Budget]])/tblSales[[#This Row],[Budget]]</f>
        <v>1.4782382521241547E-2</v>
      </c>
      <c r="M405" s="2">
        <f>tblSales[[#This Row],[Sales]]/tblSales[[#This Row],[Transactions]]</f>
        <v>289</v>
      </c>
    </row>
    <row r="406" spans="1:13" x14ac:dyDescent="0.25">
      <c r="A406" s="1">
        <v>46043</v>
      </c>
      <c r="B406" t="s">
        <v>13</v>
      </c>
      <c r="C406" t="s">
        <v>11</v>
      </c>
      <c r="D406" t="str">
        <f>_xlfn.XLOOKUP(tblSales[[#This Row],[Store ID]],tblStores[Store ID],tblStores[Store Name])</f>
        <v>Richards Bay</v>
      </c>
      <c r="E406" t="str">
        <f>_xlfn.XLOOKUP(tblSales[[#This Row],[Store ID]],tblStores[Store ID],tblStores[Province])</f>
        <v>KZN</v>
      </c>
      <c r="F406" t="str">
        <f>_xlfn.XLOOKUP(tblSales[[#This Row],[Store ID]],tblStores[Store ID],tblStores[Manager])</f>
        <v>David Green</v>
      </c>
      <c r="G406" t="str">
        <f>_xlfn.XLOOKUP(tblSales[[#This Row],[Category ID]],tblCategories[Category ID],tblCategories[Category])</f>
        <v>Footwear</v>
      </c>
      <c r="H406">
        <v>24780</v>
      </c>
      <c r="I406">
        <v>28496</v>
      </c>
      <c r="J406">
        <v>84</v>
      </c>
      <c r="K406">
        <f>tblSales[[#This Row],[Sales]]-tblSales[[#This Row],[Budget]]</f>
        <v>-3716</v>
      </c>
      <c r="L406" s="3">
        <f>(tblSales[[#This Row],[Sales]]-tblSales[[#This Row],[Budget]])/tblSales[[#This Row],[Budget]]</f>
        <v>-0.13040426726558113</v>
      </c>
      <c r="M406" s="2">
        <f>tblSales[[#This Row],[Sales]]/tblSales[[#This Row],[Transactions]]</f>
        <v>295</v>
      </c>
    </row>
    <row r="407" spans="1:13" x14ac:dyDescent="0.25">
      <c r="A407" s="1">
        <v>46043</v>
      </c>
      <c r="B407" t="s">
        <v>14</v>
      </c>
      <c r="C407" t="s">
        <v>9</v>
      </c>
      <c r="D407" t="str">
        <f>_xlfn.XLOOKUP(tblSales[[#This Row],[Store ID]],tblStores[Store ID],tblStores[Store Name])</f>
        <v>Sandton</v>
      </c>
      <c r="E407" t="str">
        <f>_xlfn.XLOOKUP(tblSales[[#This Row],[Store ID]],tblStores[Store ID],tblStores[Province])</f>
        <v>Gauteng</v>
      </c>
      <c r="F407" t="str">
        <f>_xlfn.XLOOKUP(tblSales[[#This Row],[Store ID]],tblStores[Store ID],tblStores[Manager])</f>
        <v>Karen White</v>
      </c>
      <c r="G407" t="str">
        <f>_xlfn.XLOOKUP(tblSales[[#This Row],[Category ID]],tblCategories[Category ID],tblCategories[Category])</f>
        <v>Ladieswear</v>
      </c>
      <c r="H407">
        <v>17874</v>
      </c>
      <c r="I407">
        <v>19859</v>
      </c>
      <c r="J407">
        <v>54</v>
      </c>
      <c r="K407">
        <f>tblSales[[#This Row],[Sales]]-tblSales[[#This Row],[Budget]]</f>
        <v>-1985</v>
      </c>
      <c r="L407" s="3">
        <f>(tblSales[[#This Row],[Sales]]-tblSales[[#This Row],[Budget]])/tblSales[[#This Row],[Budget]]</f>
        <v>-9.9954680497507428E-2</v>
      </c>
      <c r="M407" s="2">
        <f>tblSales[[#This Row],[Sales]]/tblSales[[#This Row],[Transactions]]</f>
        <v>331</v>
      </c>
    </row>
    <row r="408" spans="1:13" x14ac:dyDescent="0.25">
      <c r="A408" s="1">
        <v>46043</v>
      </c>
      <c r="B408" t="s">
        <v>15</v>
      </c>
      <c r="C408" t="s">
        <v>7</v>
      </c>
      <c r="D408" t="str">
        <f>_xlfn.XLOOKUP(tblSales[[#This Row],[Store ID]],tblStores[Store ID],tblStores[Store Name])</f>
        <v>Rosebank</v>
      </c>
      <c r="E408" t="str">
        <f>_xlfn.XLOOKUP(tblSales[[#This Row],[Store ID]],tblStores[Store ID],tblStores[Province])</f>
        <v>Gauteng</v>
      </c>
      <c r="F408" t="str">
        <f>_xlfn.XLOOKUP(tblSales[[#This Row],[Store ID]],tblStores[Store ID],tblStores[Manager])</f>
        <v>James Taylor</v>
      </c>
      <c r="G408" t="str">
        <f>_xlfn.XLOOKUP(tblSales[[#This Row],[Category ID]],tblCategories[Category ID],tblCategories[Category])</f>
        <v>Menswear</v>
      </c>
      <c r="H408">
        <v>74784</v>
      </c>
      <c r="I408">
        <v>82919</v>
      </c>
      <c r="J408">
        <v>164</v>
      </c>
      <c r="K408">
        <f>tblSales[[#This Row],[Sales]]-tblSales[[#This Row],[Budget]]</f>
        <v>-8135</v>
      </c>
      <c r="L408" s="3">
        <f>(tblSales[[#This Row],[Sales]]-tblSales[[#This Row],[Budget]])/tblSales[[#This Row],[Budget]]</f>
        <v>-9.8107791941533309E-2</v>
      </c>
      <c r="M408" s="2">
        <f>tblSales[[#This Row],[Sales]]/tblSales[[#This Row],[Transactions]]</f>
        <v>456</v>
      </c>
    </row>
    <row r="409" spans="1:13" x14ac:dyDescent="0.25">
      <c r="A409" s="1">
        <v>46043</v>
      </c>
      <c r="B409" t="s">
        <v>16</v>
      </c>
      <c r="C409" t="s">
        <v>19</v>
      </c>
      <c r="D409" t="str">
        <f>_xlfn.XLOOKUP(tblSales[[#This Row],[Store ID]],tblStores[Store ID],tblStores[Store Name])</f>
        <v>Pretoria</v>
      </c>
      <c r="E409" t="str">
        <f>_xlfn.XLOOKUP(tblSales[[#This Row],[Store ID]],tblStores[Store ID],tblStores[Province])</f>
        <v>Gauteng</v>
      </c>
      <c r="F409" t="str">
        <f>_xlfn.XLOOKUP(tblSales[[#This Row],[Store ID]],tblStores[Store ID],tblStores[Manager])</f>
        <v>Susan Clark</v>
      </c>
      <c r="G409" t="str">
        <f>_xlfn.XLOOKUP(tblSales[[#This Row],[Category ID]],tblCategories[Category ID],tblCategories[Category])</f>
        <v>Accessories</v>
      </c>
      <c r="H409">
        <v>22792</v>
      </c>
      <c r="I409">
        <v>22431</v>
      </c>
      <c r="J409">
        <v>44</v>
      </c>
      <c r="K409">
        <f>tblSales[[#This Row],[Sales]]-tblSales[[#This Row],[Budget]]</f>
        <v>361</v>
      </c>
      <c r="L409" s="3">
        <f>(tblSales[[#This Row],[Sales]]-tblSales[[#This Row],[Budget]])/tblSales[[#This Row],[Budget]]</f>
        <v>1.6093798760643752E-2</v>
      </c>
      <c r="M409" s="2">
        <f>tblSales[[#This Row],[Sales]]/tblSales[[#This Row],[Transactions]]</f>
        <v>518</v>
      </c>
    </row>
    <row r="410" spans="1:13" x14ac:dyDescent="0.25">
      <c r="A410" s="1">
        <v>46043</v>
      </c>
      <c r="B410" t="s">
        <v>17</v>
      </c>
      <c r="C410" t="s">
        <v>19</v>
      </c>
      <c r="D410" t="str">
        <f>_xlfn.XLOOKUP(tblSales[[#This Row],[Store ID]],tblStores[Store ID],tblStores[Store Name])</f>
        <v>Centurion</v>
      </c>
      <c r="E410" t="str">
        <f>_xlfn.XLOOKUP(tblSales[[#This Row],[Store ID]],tblStores[Store ID],tblStores[Province])</f>
        <v>Gauteng</v>
      </c>
      <c r="F410" t="str">
        <f>_xlfn.XLOOKUP(tblSales[[#This Row],[Store ID]],tblStores[Store ID],tblStores[Manager])</f>
        <v>Mark Wilson</v>
      </c>
      <c r="G410" t="str">
        <f>_xlfn.XLOOKUP(tblSales[[#This Row],[Category ID]],tblCategories[Category ID],tblCategories[Category])</f>
        <v>Accessories</v>
      </c>
      <c r="H410">
        <v>32980</v>
      </c>
      <c r="I410">
        <v>32788</v>
      </c>
      <c r="J410">
        <v>68</v>
      </c>
      <c r="K410">
        <f>tblSales[[#This Row],[Sales]]-tblSales[[#This Row],[Budget]]</f>
        <v>192</v>
      </c>
      <c r="L410" s="3">
        <f>(tblSales[[#This Row],[Sales]]-tblSales[[#This Row],[Budget]])/tblSales[[#This Row],[Budget]]</f>
        <v>5.8558009027693059E-3</v>
      </c>
      <c r="M410" s="2">
        <f>tblSales[[#This Row],[Sales]]/tblSales[[#This Row],[Transactions]]</f>
        <v>485</v>
      </c>
    </row>
    <row r="411" spans="1:13" x14ac:dyDescent="0.25">
      <c r="A411" s="1">
        <v>46043</v>
      </c>
      <c r="B411" t="s">
        <v>18</v>
      </c>
      <c r="C411" t="s">
        <v>9</v>
      </c>
      <c r="D411" t="str">
        <f>_xlfn.XLOOKUP(tblSales[[#This Row],[Store ID]],tblStores[Store ID],tblStores[Store Name])</f>
        <v>East Rand</v>
      </c>
      <c r="E411" t="str">
        <f>_xlfn.XLOOKUP(tblSales[[#This Row],[Store ID]],tblStores[Store ID],tblStores[Province])</f>
        <v>Gauteng</v>
      </c>
      <c r="F411" t="str">
        <f>_xlfn.XLOOKUP(tblSales[[#This Row],[Store ID]],tblStores[Store ID],tblStores[Manager])</f>
        <v>Lisa Young</v>
      </c>
      <c r="G411" t="str">
        <f>_xlfn.XLOOKUP(tblSales[[#This Row],[Category ID]],tblCategories[Category ID],tblCategories[Category])</f>
        <v>Ladieswear</v>
      </c>
      <c r="H411">
        <v>40419</v>
      </c>
      <c r="I411">
        <v>44552</v>
      </c>
      <c r="J411">
        <v>81</v>
      </c>
      <c r="K411">
        <f>tblSales[[#This Row],[Sales]]-tblSales[[#This Row],[Budget]]</f>
        <v>-4133</v>
      </c>
      <c r="L411" s="3">
        <f>(tblSales[[#This Row],[Sales]]-tblSales[[#This Row],[Budget]])/tblSales[[#This Row],[Budget]]</f>
        <v>-9.2768001436523612E-2</v>
      </c>
      <c r="M411" s="2">
        <f>tblSales[[#This Row],[Sales]]/tblSales[[#This Row],[Transactions]]</f>
        <v>499</v>
      </c>
    </row>
    <row r="412" spans="1:13" x14ac:dyDescent="0.25">
      <c r="A412" s="1">
        <v>46043</v>
      </c>
      <c r="B412" t="s">
        <v>20</v>
      </c>
      <c r="C412" t="s">
        <v>9</v>
      </c>
      <c r="D412" t="str">
        <f>_xlfn.XLOOKUP(tblSales[[#This Row],[Store ID]],tblStores[Store ID],tblStores[Store Name])</f>
        <v>Cape Town CBD</v>
      </c>
      <c r="E412" t="str">
        <f>_xlfn.XLOOKUP(tblSales[[#This Row],[Store ID]],tblStores[Store ID],tblStores[Province])</f>
        <v>Western Cape</v>
      </c>
      <c r="F412" t="str">
        <f>_xlfn.XLOOKUP(tblSales[[#This Row],[Store ID]],tblStores[Store ID],tblStores[Manager])</f>
        <v>Brian Hall</v>
      </c>
      <c r="G412" t="str">
        <f>_xlfn.XLOOKUP(tblSales[[#This Row],[Category ID]],tblCategories[Category ID],tblCategories[Category])</f>
        <v>Ladieswear</v>
      </c>
      <c r="H412">
        <v>88476</v>
      </c>
      <c r="I412">
        <v>80594</v>
      </c>
      <c r="J412">
        <v>219</v>
      </c>
      <c r="K412">
        <f>tblSales[[#This Row],[Sales]]-tblSales[[#This Row],[Budget]]</f>
        <v>7882</v>
      </c>
      <c r="L412" s="3">
        <f>(tblSales[[#This Row],[Sales]]-tblSales[[#This Row],[Budget]])/tblSales[[#This Row],[Budget]]</f>
        <v>9.7798843586371198E-2</v>
      </c>
      <c r="M412" s="2">
        <f>tblSales[[#This Row],[Sales]]/tblSales[[#This Row],[Transactions]]</f>
        <v>404</v>
      </c>
    </row>
    <row r="413" spans="1:13" x14ac:dyDescent="0.25">
      <c r="A413" s="1">
        <v>46043</v>
      </c>
      <c r="B413" t="s">
        <v>21</v>
      </c>
      <c r="C413" t="s">
        <v>22</v>
      </c>
      <c r="D413" t="str">
        <f>_xlfn.XLOOKUP(tblSales[[#This Row],[Store ID]],tblStores[Store ID],tblStores[Store Name])</f>
        <v>Canal Walk</v>
      </c>
      <c r="E413" t="str">
        <f>_xlfn.XLOOKUP(tblSales[[#This Row],[Store ID]],tblStores[Store ID],tblStores[Province])</f>
        <v>Western Cape</v>
      </c>
      <c r="F413" t="str">
        <f>_xlfn.XLOOKUP(tblSales[[#This Row],[Store ID]],tblStores[Store ID],tblStores[Manager])</f>
        <v>Megan Scott</v>
      </c>
      <c r="G413" t="str">
        <f>_xlfn.XLOOKUP(tblSales[[#This Row],[Category ID]],tblCategories[Category ID],tblCategories[Category])</f>
        <v>Kids</v>
      </c>
      <c r="H413">
        <v>62608</v>
      </c>
      <c r="I413">
        <v>71523</v>
      </c>
      <c r="J413">
        <v>208</v>
      </c>
      <c r="K413">
        <f>tblSales[[#This Row],[Sales]]-tblSales[[#This Row],[Budget]]</f>
        <v>-8915</v>
      </c>
      <c r="L413" s="3">
        <f>(tblSales[[#This Row],[Sales]]-tblSales[[#This Row],[Budget]])/tblSales[[#This Row],[Budget]]</f>
        <v>-0.12464521902045496</v>
      </c>
      <c r="M413" s="2">
        <f>tblSales[[#This Row],[Sales]]/tblSales[[#This Row],[Transactions]]</f>
        <v>301</v>
      </c>
    </row>
    <row r="414" spans="1:13" x14ac:dyDescent="0.25">
      <c r="A414" s="1">
        <v>46043</v>
      </c>
      <c r="B414" t="s">
        <v>23</v>
      </c>
      <c r="C414" t="s">
        <v>19</v>
      </c>
      <c r="D414" t="str">
        <f>_xlfn.XLOOKUP(tblSales[[#This Row],[Store ID]],tblStores[Store ID],tblStores[Store Name])</f>
        <v>Stellenbosch</v>
      </c>
      <c r="E414" t="str">
        <f>_xlfn.XLOOKUP(tblSales[[#This Row],[Store ID]],tblStores[Store ID],tblStores[Province])</f>
        <v>Western Cape</v>
      </c>
      <c r="F414" t="str">
        <f>_xlfn.XLOOKUP(tblSales[[#This Row],[Store ID]],tblStores[Store ID],tblStores[Manager])</f>
        <v>Jason King</v>
      </c>
      <c r="G414" t="str">
        <f>_xlfn.XLOOKUP(tblSales[[#This Row],[Category ID]],tblCategories[Category ID],tblCategories[Category])</f>
        <v>Accessories</v>
      </c>
      <c r="H414">
        <v>43763</v>
      </c>
      <c r="I414">
        <v>41946</v>
      </c>
      <c r="J414">
        <v>107</v>
      </c>
      <c r="K414">
        <f>tblSales[[#This Row],[Sales]]-tblSales[[#This Row],[Budget]]</f>
        <v>1817</v>
      </c>
      <c r="L414" s="3">
        <f>(tblSales[[#This Row],[Sales]]-tblSales[[#This Row],[Budget]])/tblSales[[#This Row],[Budget]]</f>
        <v>4.3317598817527295E-2</v>
      </c>
      <c r="M414" s="2">
        <f>tblSales[[#This Row],[Sales]]/tblSales[[#This Row],[Transactions]]</f>
        <v>409</v>
      </c>
    </row>
    <row r="415" spans="1:13" x14ac:dyDescent="0.25">
      <c r="A415" s="1">
        <v>46043</v>
      </c>
      <c r="B415" t="s">
        <v>24</v>
      </c>
      <c r="C415" t="s">
        <v>9</v>
      </c>
      <c r="D415" t="str">
        <f>_xlfn.XLOOKUP(tblSales[[#This Row],[Store ID]],tblStores[Store ID],tblStores[Store Name])</f>
        <v>George</v>
      </c>
      <c r="E415" t="str">
        <f>_xlfn.XLOOKUP(tblSales[[#This Row],[Store ID]],tblStores[Store ID],tblStores[Province])</f>
        <v>Western Cape</v>
      </c>
      <c r="F415" t="str">
        <f>_xlfn.XLOOKUP(tblSales[[#This Row],[Store ID]],tblStores[Store ID],tblStores[Manager])</f>
        <v>Chloe Hill</v>
      </c>
      <c r="G415" t="str">
        <f>_xlfn.XLOOKUP(tblSales[[#This Row],[Category ID]],tblCategories[Category ID],tblCategories[Category])</f>
        <v>Ladieswear</v>
      </c>
      <c r="H415">
        <v>47880</v>
      </c>
      <c r="I415">
        <v>53912</v>
      </c>
      <c r="J415">
        <v>114</v>
      </c>
      <c r="K415">
        <f>tblSales[[#This Row],[Sales]]-tblSales[[#This Row],[Budget]]</f>
        <v>-6032</v>
      </c>
      <c r="L415" s="3">
        <f>(tblSales[[#This Row],[Sales]]-tblSales[[#This Row],[Budget]])/tblSales[[#This Row],[Budget]]</f>
        <v>-0.11188603650393233</v>
      </c>
      <c r="M415" s="2">
        <f>tblSales[[#This Row],[Sales]]/tblSales[[#This Row],[Transactions]]</f>
        <v>420</v>
      </c>
    </row>
    <row r="416" spans="1:13" x14ac:dyDescent="0.25">
      <c r="A416" s="1">
        <v>46043</v>
      </c>
      <c r="B416" t="s">
        <v>25</v>
      </c>
      <c r="C416" t="s">
        <v>9</v>
      </c>
      <c r="D416" t="str">
        <f>_xlfn.XLOOKUP(tblSales[[#This Row],[Store ID]],tblStores[Store ID],tblStores[Store Name])</f>
        <v>Paarl</v>
      </c>
      <c r="E416" t="str">
        <f>_xlfn.XLOOKUP(tblSales[[#This Row],[Store ID]],tblStores[Store ID],tblStores[Province])</f>
        <v>Western Cape</v>
      </c>
      <c r="F416" t="str">
        <f>_xlfn.XLOOKUP(tblSales[[#This Row],[Store ID]],tblStores[Store ID],tblStores[Manager])</f>
        <v>Andrew Lee</v>
      </c>
      <c r="G416" t="str">
        <f>_xlfn.XLOOKUP(tblSales[[#This Row],[Category ID]],tblCategories[Category ID],tblCategories[Category])</f>
        <v>Ladieswear</v>
      </c>
      <c r="H416">
        <v>60888</v>
      </c>
      <c r="I416">
        <v>69784</v>
      </c>
      <c r="J416">
        <v>129</v>
      </c>
      <c r="K416">
        <f>tblSales[[#This Row],[Sales]]-tblSales[[#This Row],[Budget]]</f>
        <v>-8896</v>
      </c>
      <c r="L416" s="3">
        <f>(tblSales[[#This Row],[Sales]]-tblSales[[#This Row],[Budget]])/tblSales[[#This Row],[Budget]]</f>
        <v>-0.12747907829875044</v>
      </c>
      <c r="M416" s="2">
        <f>tblSales[[#This Row],[Sales]]/tblSales[[#This Row],[Transactions]]</f>
        <v>472</v>
      </c>
    </row>
    <row r="417" spans="1:13" x14ac:dyDescent="0.25">
      <c r="A417" s="1">
        <v>46043</v>
      </c>
      <c r="B417" t="s">
        <v>26</v>
      </c>
      <c r="C417" t="s">
        <v>11</v>
      </c>
      <c r="D417" t="str">
        <f>_xlfn.XLOOKUP(tblSales[[#This Row],[Store ID]],tblStores[Store ID],tblStores[Store Name])</f>
        <v>Gqeberha</v>
      </c>
      <c r="E417" t="str">
        <f>_xlfn.XLOOKUP(tblSales[[#This Row],[Store ID]],tblStores[Store ID],tblStores[Province])</f>
        <v>Eastern Cape</v>
      </c>
      <c r="F417" t="str">
        <f>_xlfn.XLOOKUP(tblSales[[#This Row],[Store ID]],tblStores[Store ID],tblStores[Manager])</f>
        <v>Emma Baker</v>
      </c>
      <c r="G417" t="str">
        <f>_xlfn.XLOOKUP(tblSales[[#This Row],[Category ID]],tblCategories[Category ID],tblCategories[Category])</f>
        <v>Footwear</v>
      </c>
      <c r="H417">
        <v>40125</v>
      </c>
      <c r="I417">
        <v>41157</v>
      </c>
      <c r="J417">
        <v>107</v>
      </c>
      <c r="K417">
        <f>tblSales[[#This Row],[Sales]]-tblSales[[#This Row],[Budget]]</f>
        <v>-1032</v>
      </c>
      <c r="L417" s="3">
        <f>(tblSales[[#This Row],[Sales]]-tblSales[[#This Row],[Budget]])/tblSales[[#This Row],[Budget]]</f>
        <v>-2.5074713900430059E-2</v>
      </c>
      <c r="M417" s="2">
        <f>tblSales[[#This Row],[Sales]]/tblSales[[#This Row],[Transactions]]</f>
        <v>375</v>
      </c>
    </row>
    <row r="418" spans="1:13" x14ac:dyDescent="0.25">
      <c r="A418" s="1">
        <v>46043</v>
      </c>
      <c r="B418" t="s">
        <v>27</v>
      </c>
      <c r="C418" t="s">
        <v>11</v>
      </c>
      <c r="D418" t="str">
        <f>_xlfn.XLOOKUP(tblSales[[#This Row],[Store ID]],tblStores[Store ID],tblStores[Store Name])</f>
        <v>East London</v>
      </c>
      <c r="E418" t="str">
        <f>_xlfn.XLOOKUP(tblSales[[#This Row],[Store ID]],tblStores[Store ID],tblStores[Province])</f>
        <v>Eastern Cape</v>
      </c>
      <c r="F418" t="str">
        <f>_xlfn.XLOOKUP(tblSales[[#This Row],[Store ID]],tblStores[Store ID],tblStores[Manager])</f>
        <v>Daniel Evans</v>
      </c>
      <c r="G418" t="str">
        <f>_xlfn.XLOOKUP(tblSales[[#This Row],[Category ID]],tblCategories[Category ID],tblCategories[Category])</f>
        <v>Footwear</v>
      </c>
      <c r="H418">
        <v>21432</v>
      </c>
      <c r="I418">
        <v>23581</v>
      </c>
      <c r="J418">
        <v>76</v>
      </c>
      <c r="K418">
        <f>tblSales[[#This Row],[Sales]]-tblSales[[#This Row],[Budget]]</f>
        <v>-2149</v>
      </c>
      <c r="L418" s="3">
        <f>(tblSales[[#This Row],[Sales]]-tblSales[[#This Row],[Budget]])/tblSales[[#This Row],[Budget]]</f>
        <v>-9.1132691573724611E-2</v>
      </c>
      <c r="M418" s="2">
        <f>tblSales[[#This Row],[Sales]]/tblSales[[#This Row],[Transactions]]</f>
        <v>282</v>
      </c>
    </row>
    <row r="419" spans="1:13" x14ac:dyDescent="0.25">
      <c r="A419" s="1">
        <v>46043</v>
      </c>
      <c r="B419" t="s">
        <v>28</v>
      </c>
      <c r="C419" t="s">
        <v>9</v>
      </c>
      <c r="D419" t="str">
        <f>_xlfn.XLOOKUP(tblSales[[#This Row],[Store ID]],tblStores[Store ID],tblStores[Store Name])</f>
        <v>Bloemfontein</v>
      </c>
      <c r="E419" t="str">
        <f>_xlfn.XLOOKUP(tblSales[[#This Row],[Store ID]],tblStores[Store ID],tblStores[Province])</f>
        <v>Free State</v>
      </c>
      <c r="F419" t="str">
        <f>_xlfn.XLOOKUP(tblSales[[#This Row],[Store ID]],tblStores[Store ID],tblStores[Manager])</f>
        <v>Rachel Moore</v>
      </c>
      <c r="G419" t="str">
        <f>_xlfn.XLOOKUP(tblSales[[#This Row],[Category ID]],tblCategories[Category ID],tblCategories[Category])</f>
        <v>Ladieswear</v>
      </c>
      <c r="H419">
        <v>20394</v>
      </c>
      <c r="I419">
        <v>21623</v>
      </c>
      <c r="J419">
        <v>99</v>
      </c>
      <c r="K419">
        <f>tblSales[[#This Row],[Sales]]-tblSales[[#This Row],[Budget]]</f>
        <v>-1229</v>
      </c>
      <c r="L419" s="3">
        <f>(tblSales[[#This Row],[Sales]]-tblSales[[#This Row],[Budget]])/tblSales[[#This Row],[Budget]]</f>
        <v>-5.6837626601304168E-2</v>
      </c>
      <c r="M419" s="2">
        <f>tblSales[[#This Row],[Sales]]/tblSales[[#This Row],[Transactions]]</f>
        <v>206</v>
      </c>
    </row>
    <row r="420" spans="1:13" x14ac:dyDescent="0.25">
      <c r="A420" s="1">
        <v>46043</v>
      </c>
      <c r="B420" t="s">
        <v>29</v>
      </c>
      <c r="C420" t="s">
        <v>22</v>
      </c>
      <c r="D420" t="str">
        <f>_xlfn.XLOOKUP(tblSales[[#This Row],[Store ID]],tblStores[Store ID],tblStores[Store Name])</f>
        <v>Polokwane</v>
      </c>
      <c r="E420" t="str">
        <f>_xlfn.XLOOKUP(tblSales[[#This Row],[Store ID]],tblStores[Store ID],tblStores[Province])</f>
        <v>Limpopo</v>
      </c>
      <c r="F420" t="str">
        <f>_xlfn.XLOOKUP(tblSales[[#This Row],[Store ID]],tblStores[Store ID],tblStores[Manager])</f>
        <v>Kevin Harris</v>
      </c>
      <c r="G420" t="str">
        <f>_xlfn.XLOOKUP(tblSales[[#This Row],[Category ID]],tblCategories[Category ID],tblCategories[Category])</f>
        <v>Kids</v>
      </c>
      <c r="H420">
        <v>40832</v>
      </c>
      <c r="I420">
        <v>44010</v>
      </c>
      <c r="J420">
        <v>176</v>
      </c>
      <c r="K420">
        <f>tblSales[[#This Row],[Sales]]-tblSales[[#This Row],[Budget]]</f>
        <v>-3178</v>
      </c>
      <c r="L420" s="3">
        <f>(tblSales[[#This Row],[Sales]]-tblSales[[#This Row],[Budget]])/tblSales[[#This Row],[Budget]]</f>
        <v>-7.2210861167916376E-2</v>
      </c>
      <c r="M420" s="2">
        <f>tblSales[[#This Row],[Sales]]/tblSales[[#This Row],[Transactions]]</f>
        <v>232</v>
      </c>
    </row>
    <row r="421" spans="1:13" x14ac:dyDescent="0.25">
      <c r="A421" s="1">
        <v>46043</v>
      </c>
      <c r="B421" t="s">
        <v>30</v>
      </c>
      <c r="C421" t="s">
        <v>19</v>
      </c>
      <c r="D421" t="str">
        <f>_xlfn.XLOOKUP(tblSales[[#This Row],[Store ID]],tblStores[Store ID],tblStores[Store Name])</f>
        <v>Nelspruit</v>
      </c>
      <c r="E421" t="str">
        <f>_xlfn.XLOOKUP(tblSales[[#This Row],[Store ID]],tblStores[Store ID],tblStores[Province])</f>
        <v>Mpumalanga</v>
      </c>
      <c r="F421" t="str">
        <f>_xlfn.XLOOKUP(tblSales[[#This Row],[Store ID]],tblStores[Store ID],tblStores[Manager])</f>
        <v>Olivia Turner</v>
      </c>
      <c r="G421" t="str">
        <f>_xlfn.XLOOKUP(tblSales[[#This Row],[Category ID]],tblCategories[Category ID],tblCategories[Category])</f>
        <v>Accessories</v>
      </c>
      <c r="H421">
        <v>21450</v>
      </c>
      <c r="I421">
        <v>19754</v>
      </c>
      <c r="J421">
        <v>66</v>
      </c>
      <c r="K421">
        <f>tblSales[[#This Row],[Sales]]-tblSales[[#This Row],[Budget]]</f>
        <v>1696</v>
      </c>
      <c r="L421" s="3">
        <f>(tblSales[[#This Row],[Sales]]-tblSales[[#This Row],[Budget]])/tblSales[[#This Row],[Budget]]</f>
        <v>8.5856029158651412E-2</v>
      </c>
      <c r="M421" s="2">
        <f>tblSales[[#This Row],[Sales]]/tblSales[[#This Row],[Transactions]]</f>
        <v>325</v>
      </c>
    </row>
    <row r="422" spans="1:13" x14ac:dyDescent="0.25">
      <c r="A422" s="1">
        <v>46044</v>
      </c>
      <c r="B422" t="s">
        <v>6</v>
      </c>
      <c r="C422" t="s">
        <v>9</v>
      </c>
      <c r="D422" t="str">
        <f>_xlfn.XLOOKUP(tblSales[[#This Row],[Store ID]],tblStores[Store ID],tblStores[Store Name])</f>
        <v>Durban CBD</v>
      </c>
      <c r="E422" t="str">
        <f>_xlfn.XLOOKUP(tblSales[[#This Row],[Store ID]],tblStores[Store ID],tblStores[Province])</f>
        <v>KZN</v>
      </c>
      <c r="F422" t="str">
        <f>_xlfn.XLOOKUP(tblSales[[#This Row],[Store ID]],tblStores[Store ID],tblStores[Manager])</f>
        <v>Sarah Adams</v>
      </c>
      <c r="G422" t="str">
        <f>_xlfn.XLOOKUP(tblSales[[#This Row],[Category ID]],tblCategories[Category ID],tblCategories[Category])</f>
        <v>Ladieswear</v>
      </c>
      <c r="H422">
        <v>42640</v>
      </c>
      <c r="I422">
        <v>48026</v>
      </c>
      <c r="J422">
        <v>104</v>
      </c>
      <c r="K422">
        <f>tblSales[[#This Row],[Sales]]-tblSales[[#This Row],[Budget]]</f>
        <v>-5386</v>
      </c>
      <c r="L422" s="3">
        <f>(tblSales[[#This Row],[Sales]]-tblSales[[#This Row],[Budget]])/tblSales[[#This Row],[Budget]]</f>
        <v>-0.11214758672385791</v>
      </c>
      <c r="M422" s="2">
        <f>tblSales[[#This Row],[Sales]]/tblSales[[#This Row],[Transactions]]</f>
        <v>410</v>
      </c>
    </row>
    <row r="423" spans="1:13" x14ac:dyDescent="0.25">
      <c r="A423" s="1">
        <v>46044</v>
      </c>
      <c r="B423" t="s">
        <v>8</v>
      </c>
      <c r="C423" t="s">
        <v>9</v>
      </c>
      <c r="D423" t="str">
        <f>_xlfn.XLOOKUP(tblSales[[#This Row],[Store ID]],tblStores[Store ID],tblStores[Store Name])</f>
        <v>Gateway</v>
      </c>
      <c r="E423" t="str">
        <f>_xlfn.XLOOKUP(tblSales[[#This Row],[Store ID]],tblStores[Store ID],tblStores[Province])</f>
        <v>KZN</v>
      </c>
      <c r="F423" t="str">
        <f>_xlfn.XLOOKUP(tblSales[[#This Row],[Store ID]],tblStores[Store ID],tblStores[Manager])</f>
        <v>Michael Jones</v>
      </c>
      <c r="G423" t="str">
        <f>_xlfn.XLOOKUP(tblSales[[#This Row],[Category ID]],tblCategories[Category ID],tblCategories[Category])</f>
        <v>Ladieswear</v>
      </c>
      <c r="H423">
        <v>32996</v>
      </c>
      <c r="I423">
        <v>37503</v>
      </c>
      <c r="J423">
        <v>146</v>
      </c>
      <c r="K423">
        <f>tblSales[[#This Row],[Sales]]-tblSales[[#This Row],[Budget]]</f>
        <v>-4507</v>
      </c>
      <c r="L423" s="3">
        <f>(tblSales[[#This Row],[Sales]]-tblSales[[#This Row],[Budget]])/tblSales[[#This Row],[Budget]]</f>
        <v>-0.12017705250246646</v>
      </c>
      <c r="M423" s="2">
        <f>tblSales[[#This Row],[Sales]]/tblSales[[#This Row],[Transactions]]</f>
        <v>226</v>
      </c>
    </row>
    <row r="424" spans="1:13" x14ac:dyDescent="0.25">
      <c r="A424" s="1">
        <v>46044</v>
      </c>
      <c r="B424" t="s">
        <v>10</v>
      </c>
      <c r="C424" t="s">
        <v>9</v>
      </c>
      <c r="D424" t="str">
        <f>_xlfn.XLOOKUP(tblSales[[#This Row],[Store ID]],tblStores[Store ID],tblStores[Store Name])</f>
        <v>Ballito</v>
      </c>
      <c r="E424" t="str">
        <f>_xlfn.XLOOKUP(tblSales[[#This Row],[Store ID]],tblStores[Store ID],tblStores[Province])</f>
        <v>KZN</v>
      </c>
      <c r="F424" t="str">
        <f>_xlfn.XLOOKUP(tblSales[[#This Row],[Store ID]],tblStores[Store ID],tblStores[Manager])</f>
        <v>Linda Smith</v>
      </c>
      <c r="G424" t="str">
        <f>_xlfn.XLOOKUP(tblSales[[#This Row],[Category ID]],tblCategories[Category ID],tblCategories[Category])</f>
        <v>Ladieswear</v>
      </c>
      <c r="H424">
        <v>53700</v>
      </c>
      <c r="I424">
        <v>60821</v>
      </c>
      <c r="J424">
        <v>150</v>
      </c>
      <c r="K424">
        <f>tblSales[[#This Row],[Sales]]-tblSales[[#This Row],[Budget]]</f>
        <v>-7121</v>
      </c>
      <c r="L424" s="3">
        <f>(tblSales[[#This Row],[Sales]]-tblSales[[#This Row],[Budget]])/tblSales[[#This Row],[Budget]]</f>
        <v>-0.11708127127143585</v>
      </c>
      <c r="M424" s="2">
        <f>tblSales[[#This Row],[Sales]]/tblSales[[#This Row],[Transactions]]</f>
        <v>358</v>
      </c>
    </row>
    <row r="425" spans="1:13" x14ac:dyDescent="0.25">
      <c r="A425" s="1">
        <v>46044</v>
      </c>
      <c r="B425" t="s">
        <v>12</v>
      </c>
      <c r="C425" t="s">
        <v>11</v>
      </c>
      <c r="D425" t="str">
        <f>_xlfn.XLOOKUP(tblSales[[#This Row],[Store ID]],tblStores[Store ID],tblStores[Store Name])</f>
        <v>Pietermaritzburg</v>
      </c>
      <c r="E425" t="str">
        <f>_xlfn.XLOOKUP(tblSales[[#This Row],[Store ID]],tblStores[Store ID],tblStores[Province])</f>
        <v>KZN</v>
      </c>
      <c r="F425" t="str">
        <f>_xlfn.XLOOKUP(tblSales[[#This Row],[Store ID]],tblStores[Store ID],tblStores[Manager])</f>
        <v>Peter Brown</v>
      </c>
      <c r="G425" t="str">
        <f>_xlfn.XLOOKUP(tblSales[[#This Row],[Category ID]],tblCategories[Category ID],tblCategories[Category])</f>
        <v>Footwear</v>
      </c>
      <c r="H425">
        <v>18336</v>
      </c>
      <c r="I425">
        <v>18803</v>
      </c>
      <c r="J425">
        <v>48</v>
      </c>
      <c r="K425">
        <f>tblSales[[#This Row],[Sales]]-tblSales[[#This Row],[Budget]]</f>
        <v>-467</v>
      </c>
      <c r="L425" s="3">
        <f>(tblSales[[#This Row],[Sales]]-tblSales[[#This Row],[Budget]])/tblSales[[#This Row],[Budget]]</f>
        <v>-2.4836462266659576E-2</v>
      </c>
      <c r="M425" s="2">
        <f>tblSales[[#This Row],[Sales]]/tblSales[[#This Row],[Transactions]]</f>
        <v>382</v>
      </c>
    </row>
    <row r="426" spans="1:13" x14ac:dyDescent="0.25">
      <c r="A426" s="1">
        <v>46044</v>
      </c>
      <c r="B426" t="s">
        <v>13</v>
      </c>
      <c r="C426" t="s">
        <v>9</v>
      </c>
      <c r="D426" t="str">
        <f>_xlfn.XLOOKUP(tblSales[[#This Row],[Store ID]],tblStores[Store ID],tblStores[Store Name])</f>
        <v>Richards Bay</v>
      </c>
      <c r="E426" t="str">
        <f>_xlfn.XLOOKUP(tblSales[[#This Row],[Store ID]],tblStores[Store ID],tblStores[Province])</f>
        <v>KZN</v>
      </c>
      <c r="F426" t="str">
        <f>_xlfn.XLOOKUP(tblSales[[#This Row],[Store ID]],tblStores[Store ID],tblStores[Manager])</f>
        <v>David Green</v>
      </c>
      <c r="G426" t="str">
        <f>_xlfn.XLOOKUP(tblSales[[#This Row],[Category ID]],tblCategories[Category ID],tblCategories[Category])</f>
        <v>Ladieswear</v>
      </c>
      <c r="H426">
        <v>29393</v>
      </c>
      <c r="I426">
        <v>29208</v>
      </c>
      <c r="J426">
        <v>133</v>
      </c>
      <c r="K426">
        <f>tblSales[[#This Row],[Sales]]-tblSales[[#This Row],[Budget]]</f>
        <v>185</v>
      </c>
      <c r="L426" s="3">
        <f>(tblSales[[#This Row],[Sales]]-tblSales[[#This Row],[Budget]])/tblSales[[#This Row],[Budget]]</f>
        <v>6.3338811284579565E-3</v>
      </c>
      <c r="M426" s="2">
        <f>tblSales[[#This Row],[Sales]]/tblSales[[#This Row],[Transactions]]</f>
        <v>221</v>
      </c>
    </row>
    <row r="427" spans="1:13" x14ac:dyDescent="0.25">
      <c r="A427" s="1">
        <v>46044</v>
      </c>
      <c r="B427" t="s">
        <v>14</v>
      </c>
      <c r="C427" t="s">
        <v>7</v>
      </c>
      <c r="D427" t="str">
        <f>_xlfn.XLOOKUP(tblSales[[#This Row],[Store ID]],tblStores[Store ID],tblStores[Store Name])</f>
        <v>Sandton</v>
      </c>
      <c r="E427" t="str">
        <f>_xlfn.XLOOKUP(tblSales[[#This Row],[Store ID]],tblStores[Store ID],tblStores[Province])</f>
        <v>Gauteng</v>
      </c>
      <c r="F427" t="str">
        <f>_xlfn.XLOOKUP(tblSales[[#This Row],[Store ID]],tblStores[Store ID],tblStores[Manager])</f>
        <v>Karen White</v>
      </c>
      <c r="G427" t="str">
        <f>_xlfn.XLOOKUP(tblSales[[#This Row],[Category ID]],tblCategories[Category ID],tblCategories[Category])</f>
        <v>Menswear</v>
      </c>
      <c r="H427">
        <v>26680</v>
      </c>
      <c r="I427">
        <v>29609</v>
      </c>
      <c r="J427">
        <v>116</v>
      </c>
      <c r="K427">
        <f>tblSales[[#This Row],[Sales]]-tblSales[[#This Row],[Budget]]</f>
        <v>-2929</v>
      </c>
      <c r="L427" s="3">
        <f>(tblSales[[#This Row],[Sales]]-tblSales[[#This Row],[Budget]])/tblSales[[#This Row],[Budget]]</f>
        <v>-9.8922624877571003E-2</v>
      </c>
      <c r="M427" s="2">
        <f>tblSales[[#This Row],[Sales]]/tblSales[[#This Row],[Transactions]]</f>
        <v>230</v>
      </c>
    </row>
    <row r="428" spans="1:13" x14ac:dyDescent="0.25">
      <c r="A428" s="1">
        <v>46044</v>
      </c>
      <c r="B428" t="s">
        <v>15</v>
      </c>
      <c r="C428" t="s">
        <v>22</v>
      </c>
      <c r="D428" t="str">
        <f>_xlfn.XLOOKUP(tblSales[[#This Row],[Store ID]],tblStores[Store ID],tblStores[Store Name])</f>
        <v>Rosebank</v>
      </c>
      <c r="E428" t="str">
        <f>_xlfn.XLOOKUP(tblSales[[#This Row],[Store ID]],tblStores[Store ID],tblStores[Province])</f>
        <v>Gauteng</v>
      </c>
      <c r="F428" t="str">
        <f>_xlfn.XLOOKUP(tblSales[[#This Row],[Store ID]],tblStores[Store ID],tblStores[Manager])</f>
        <v>James Taylor</v>
      </c>
      <c r="G428" t="str">
        <f>_xlfn.XLOOKUP(tblSales[[#This Row],[Category ID]],tblCategories[Category ID],tblCategories[Category])</f>
        <v>Kids</v>
      </c>
      <c r="H428">
        <v>18000</v>
      </c>
      <c r="I428">
        <v>16372</v>
      </c>
      <c r="J428">
        <v>72</v>
      </c>
      <c r="K428">
        <f>tblSales[[#This Row],[Sales]]-tblSales[[#This Row],[Budget]]</f>
        <v>1628</v>
      </c>
      <c r="L428" s="3">
        <f>(tblSales[[#This Row],[Sales]]-tblSales[[#This Row],[Budget]])/tblSales[[#This Row],[Budget]]</f>
        <v>9.943806498900562E-2</v>
      </c>
      <c r="M428" s="2">
        <f>tblSales[[#This Row],[Sales]]/tblSales[[#This Row],[Transactions]]</f>
        <v>250</v>
      </c>
    </row>
    <row r="429" spans="1:13" x14ac:dyDescent="0.25">
      <c r="A429" s="1">
        <v>46044</v>
      </c>
      <c r="B429" t="s">
        <v>16</v>
      </c>
      <c r="C429" t="s">
        <v>11</v>
      </c>
      <c r="D429" t="str">
        <f>_xlfn.XLOOKUP(tblSales[[#This Row],[Store ID]],tblStores[Store ID],tblStores[Store Name])</f>
        <v>Pretoria</v>
      </c>
      <c r="E429" t="str">
        <f>_xlfn.XLOOKUP(tblSales[[#This Row],[Store ID]],tblStores[Store ID],tblStores[Province])</f>
        <v>Gauteng</v>
      </c>
      <c r="F429" t="str">
        <f>_xlfn.XLOOKUP(tblSales[[#This Row],[Store ID]],tblStores[Store ID],tblStores[Manager])</f>
        <v>Susan Clark</v>
      </c>
      <c r="G429" t="str">
        <f>_xlfn.XLOOKUP(tblSales[[#This Row],[Category ID]],tblCategories[Category ID],tblCategories[Category])</f>
        <v>Footwear</v>
      </c>
      <c r="H429">
        <v>53463</v>
      </c>
      <c r="I429">
        <v>58259</v>
      </c>
      <c r="J429">
        <v>213</v>
      </c>
      <c r="K429">
        <f>tblSales[[#This Row],[Sales]]-tblSales[[#This Row],[Budget]]</f>
        <v>-4796</v>
      </c>
      <c r="L429" s="3">
        <f>(tblSales[[#This Row],[Sales]]-tblSales[[#This Row],[Budget]])/tblSales[[#This Row],[Budget]]</f>
        <v>-8.2322044662627228E-2</v>
      </c>
      <c r="M429" s="2">
        <f>tblSales[[#This Row],[Sales]]/tblSales[[#This Row],[Transactions]]</f>
        <v>251</v>
      </c>
    </row>
    <row r="430" spans="1:13" x14ac:dyDescent="0.25">
      <c r="A430" s="1">
        <v>46044</v>
      </c>
      <c r="B430" t="s">
        <v>17</v>
      </c>
      <c r="C430" t="s">
        <v>11</v>
      </c>
      <c r="D430" t="str">
        <f>_xlfn.XLOOKUP(tblSales[[#This Row],[Store ID]],tblStores[Store ID],tblStores[Store Name])</f>
        <v>Centurion</v>
      </c>
      <c r="E430" t="str">
        <f>_xlfn.XLOOKUP(tblSales[[#This Row],[Store ID]],tblStores[Store ID],tblStores[Province])</f>
        <v>Gauteng</v>
      </c>
      <c r="F430" t="str">
        <f>_xlfn.XLOOKUP(tblSales[[#This Row],[Store ID]],tblStores[Store ID],tblStores[Manager])</f>
        <v>Mark Wilson</v>
      </c>
      <c r="G430" t="str">
        <f>_xlfn.XLOOKUP(tblSales[[#This Row],[Category ID]],tblCategories[Category ID],tblCategories[Category])</f>
        <v>Footwear</v>
      </c>
      <c r="H430">
        <v>73755</v>
      </c>
      <c r="I430">
        <v>66476</v>
      </c>
      <c r="J430">
        <v>149</v>
      </c>
      <c r="K430">
        <f>tblSales[[#This Row],[Sales]]-tblSales[[#This Row],[Budget]]</f>
        <v>7279</v>
      </c>
      <c r="L430" s="3">
        <f>(tblSales[[#This Row],[Sales]]-tblSales[[#This Row],[Budget]])/tblSales[[#This Row],[Budget]]</f>
        <v>0.1094981647511884</v>
      </c>
      <c r="M430" s="2">
        <f>tblSales[[#This Row],[Sales]]/tblSales[[#This Row],[Transactions]]</f>
        <v>495</v>
      </c>
    </row>
    <row r="431" spans="1:13" x14ac:dyDescent="0.25">
      <c r="A431" s="1">
        <v>46044</v>
      </c>
      <c r="B431" t="s">
        <v>18</v>
      </c>
      <c r="C431" t="s">
        <v>7</v>
      </c>
      <c r="D431" t="str">
        <f>_xlfn.XLOOKUP(tblSales[[#This Row],[Store ID]],tblStores[Store ID],tblStores[Store Name])</f>
        <v>East Rand</v>
      </c>
      <c r="E431" t="str">
        <f>_xlfn.XLOOKUP(tblSales[[#This Row],[Store ID]],tblStores[Store ID],tblStores[Province])</f>
        <v>Gauteng</v>
      </c>
      <c r="F431" t="str">
        <f>_xlfn.XLOOKUP(tblSales[[#This Row],[Store ID]],tblStores[Store ID],tblStores[Manager])</f>
        <v>Lisa Young</v>
      </c>
      <c r="G431" t="str">
        <f>_xlfn.XLOOKUP(tblSales[[#This Row],[Category ID]],tblCategories[Category ID],tblCategories[Category])</f>
        <v>Menswear</v>
      </c>
      <c r="H431">
        <v>12129</v>
      </c>
      <c r="I431">
        <v>11570</v>
      </c>
      <c r="J431">
        <v>39</v>
      </c>
      <c r="K431">
        <f>tblSales[[#This Row],[Sales]]-tblSales[[#This Row],[Budget]]</f>
        <v>559</v>
      </c>
      <c r="L431" s="3">
        <f>(tblSales[[#This Row],[Sales]]-tblSales[[#This Row],[Budget]])/tblSales[[#This Row],[Budget]]</f>
        <v>4.8314606741573035E-2</v>
      </c>
      <c r="M431" s="2">
        <f>tblSales[[#This Row],[Sales]]/tblSales[[#This Row],[Transactions]]</f>
        <v>311</v>
      </c>
    </row>
    <row r="432" spans="1:13" x14ac:dyDescent="0.25">
      <c r="A432" s="1">
        <v>46044</v>
      </c>
      <c r="B432" t="s">
        <v>20</v>
      </c>
      <c r="C432" t="s">
        <v>9</v>
      </c>
      <c r="D432" t="str">
        <f>_xlfn.XLOOKUP(tblSales[[#This Row],[Store ID]],tblStores[Store ID],tblStores[Store Name])</f>
        <v>Cape Town CBD</v>
      </c>
      <c r="E432" t="str">
        <f>_xlfn.XLOOKUP(tblSales[[#This Row],[Store ID]],tblStores[Store ID],tblStores[Province])</f>
        <v>Western Cape</v>
      </c>
      <c r="F432" t="str">
        <f>_xlfn.XLOOKUP(tblSales[[#This Row],[Store ID]],tblStores[Store ID],tblStores[Manager])</f>
        <v>Brian Hall</v>
      </c>
      <c r="G432" t="str">
        <f>_xlfn.XLOOKUP(tblSales[[#This Row],[Category ID]],tblCategories[Category ID],tblCategories[Category])</f>
        <v>Ladieswear</v>
      </c>
      <c r="H432">
        <v>85925</v>
      </c>
      <c r="I432">
        <v>88669</v>
      </c>
      <c r="J432">
        <v>175</v>
      </c>
      <c r="K432">
        <f>tblSales[[#This Row],[Sales]]-tblSales[[#This Row],[Budget]]</f>
        <v>-2744</v>
      </c>
      <c r="L432" s="3">
        <f>(tblSales[[#This Row],[Sales]]-tblSales[[#This Row],[Budget]])/tblSales[[#This Row],[Budget]]</f>
        <v>-3.0946554038051629E-2</v>
      </c>
      <c r="M432" s="2">
        <f>tblSales[[#This Row],[Sales]]/tblSales[[#This Row],[Transactions]]</f>
        <v>491</v>
      </c>
    </row>
    <row r="433" spans="1:13" x14ac:dyDescent="0.25">
      <c r="A433" s="1">
        <v>46044</v>
      </c>
      <c r="B433" t="s">
        <v>21</v>
      </c>
      <c r="C433" t="s">
        <v>7</v>
      </c>
      <c r="D433" t="str">
        <f>_xlfn.XLOOKUP(tblSales[[#This Row],[Store ID]],tblStores[Store ID],tblStores[Store Name])</f>
        <v>Canal Walk</v>
      </c>
      <c r="E433" t="str">
        <f>_xlfn.XLOOKUP(tblSales[[#This Row],[Store ID]],tblStores[Store ID],tblStores[Province])</f>
        <v>Western Cape</v>
      </c>
      <c r="F433" t="str">
        <f>_xlfn.XLOOKUP(tblSales[[#This Row],[Store ID]],tblStores[Store ID],tblStores[Manager])</f>
        <v>Megan Scott</v>
      </c>
      <c r="G433" t="str">
        <f>_xlfn.XLOOKUP(tblSales[[#This Row],[Category ID]],tblCategories[Category ID],tblCategories[Category])</f>
        <v>Menswear</v>
      </c>
      <c r="H433">
        <v>32508</v>
      </c>
      <c r="I433">
        <v>31704</v>
      </c>
      <c r="J433">
        <v>108</v>
      </c>
      <c r="K433">
        <f>tblSales[[#This Row],[Sales]]-tblSales[[#This Row],[Budget]]</f>
        <v>804</v>
      </c>
      <c r="L433" s="3">
        <f>(tblSales[[#This Row],[Sales]]-tblSales[[#This Row],[Budget]])/tblSales[[#This Row],[Budget]]</f>
        <v>2.5359576078728237E-2</v>
      </c>
      <c r="M433" s="2">
        <f>tblSales[[#This Row],[Sales]]/tblSales[[#This Row],[Transactions]]</f>
        <v>301</v>
      </c>
    </row>
    <row r="434" spans="1:13" x14ac:dyDescent="0.25">
      <c r="A434" s="1">
        <v>46044</v>
      </c>
      <c r="B434" t="s">
        <v>23</v>
      </c>
      <c r="C434" t="s">
        <v>7</v>
      </c>
      <c r="D434" t="str">
        <f>_xlfn.XLOOKUP(tblSales[[#This Row],[Store ID]],tblStores[Store ID],tblStores[Store Name])</f>
        <v>Stellenbosch</v>
      </c>
      <c r="E434" t="str">
        <f>_xlfn.XLOOKUP(tblSales[[#This Row],[Store ID]],tblStores[Store ID],tblStores[Province])</f>
        <v>Western Cape</v>
      </c>
      <c r="F434" t="str">
        <f>_xlfn.XLOOKUP(tblSales[[#This Row],[Store ID]],tblStores[Store ID],tblStores[Manager])</f>
        <v>Jason King</v>
      </c>
      <c r="G434" t="str">
        <f>_xlfn.XLOOKUP(tblSales[[#This Row],[Category ID]],tblCategories[Category ID],tblCategories[Category])</f>
        <v>Menswear</v>
      </c>
      <c r="H434">
        <v>37824</v>
      </c>
      <c r="I434">
        <v>40083</v>
      </c>
      <c r="J434">
        <v>96</v>
      </c>
      <c r="K434">
        <f>tblSales[[#This Row],[Sales]]-tblSales[[#This Row],[Budget]]</f>
        <v>-2259</v>
      </c>
      <c r="L434" s="3">
        <f>(tblSales[[#This Row],[Sales]]-tblSales[[#This Row],[Budget]])/tblSales[[#This Row],[Budget]]</f>
        <v>-5.635805703165931E-2</v>
      </c>
      <c r="M434" s="2">
        <f>tblSales[[#This Row],[Sales]]/tblSales[[#This Row],[Transactions]]</f>
        <v>394</v>
      </c>
    </row>
    <row r="435" spans="1:13" x14ac:dyDescent="0.25">
      <c r="A435" s="1">
        <v>46044</v>
      </c>
      <c r="B435" t="s">
        <v>24</v>
      </c>
      <c r="C435" t="s">
        <v>19</v>
      </c>
      <c r="D435" t="str">
        <f>_xlfn.XLOOKUP(tblSales[[#This Row],[Store ID]],tblStores[Store ID],tblStores[Store Name])</f>
        <v>George</v>
      </c>
      <c r="E435" t="str">
        <f>_xlfn.XLOOKUP(tblSales[[#This Row],[Store ID]],tblStores[Store ID],tblStores[Province])</f>
        <v>Western Cape</v>
      </c>
      <c r="F435" t="str">
        <f>_xlfn.XLOOKUP(tblSales[[#This Row],[Store ID]],tblStores[Store ID],tblStores[Manager])</f>
        <v>Chloe Hill</v>
      </c>
      <c r="G435" t="str">
        <f>_xlfn.XLOOKUP(tblSales[[#This Row],[Category ID]],tblCategories[Category ID],tblCategories[Category])</f>
        <v>Accessories</v>
      </c>
      <c r="H435">
        <v>32224</v>
      </c>
      <c r="I435">
        <v>29894</v>
      </c>
      <c r="J435">
        <v>152</v>
      </c>
      <c r="K435">
        <f>tblSales[[#This Row],[Sales]]-tblSales[[#This Row],[Budget]]</f>
        <v>2330</v>
      </c>
      <c r="L435" s="3">
        <f>(tblSales[[#This Row],[Sales]]-tblSales[[#This Row],[Budget]])/tblSales[[#This Row],[Budget]]</f>
        <v>7.7942061952231217E-2</v>
      </c>
      <c r="M435" s="2">
        <f>tblSales[[#This Row],[Sales]]/tblSales[[#This Row],[Transactions]]</f>
        <v>212</v>
      </c>
    </row>
    <row r="436" spans="1:13" x14ac:dyDescent="0.25">
      <c r="A436" s="1">
        <v>46044</v>
      </c>
      <c r="B436" t="s">
        <v>25</v>
      </c>
      <c r="C436" t="s">
        <v>11</v>
      </c>
      <c r="D436" t="str">
        <f>_xlfn.XLOOKUP(tblSales[[#This Row],[Store ID]],tblStores[Store ID],tblStores[Store Name])</f>
        <v>Paarl</v>
      </c>
      <c r="E436" t="str">
        <f>_xlfn.XLOOKUP(tblSales[[#This Row],[Store ID]],tblStores[Store ID],tblStores[Province])</f>
        <v>Western Cape</v>
      </c>
      <c r="F436" t="str">
        <f>_xlfn.XLOOKUP(tblSales[[#This Row],[Store ID]],tblStores[Store ID],tblStores[Manager])</f>
        <v>Andrew Lee</v>
      </c>
      <c r="G436" t="str">
        <f>_xlfn.XLOOKUP(tblSales[[#This Row],[Category ID]],tblCategories[Category ID],tblCategories[Category])</f>
        <v>Footwear</v>
      </c>
      <c r="H436">
        <v>84898</v>
      </c>
      <c r="I436">
        <v>76757</v>
      </c>
      <c r="J436">
        <v>187</v>
      </c>
      <c r="K436">
        <f>tblSales[[#This Row],[Sales]]-tblSales[[#This Row],[Budget]]</f>
        <v>8141</v>
      </c>
      <c r="L436" s="3">
        <f>(tblSales[[#This Row],[Sales]]-tblSales[[#This Row],[Budget]])/tblSales[[#This Row],[Budget]]</f>
        <v>0.1060619878317287</v>
      </c>
      <c r="M436" s="2">
        <f>tblSales[[#This Row],[Sales]]/tblSales[[#This Row],[Transactions]]</f>
        <v>454</v>
      </c>
    </row>
    <row r="437" spans="1:13" x14ac:dyDescent="0.25">
      <c r="A437" s="1">
        <v>46044</v>
      </c>
      <c r="B437" t="s">
        <v>26</v>
      </c>
      <c r="C437" t="s">
        <v>19</v>
      </c>
      <c r="D437" t="str">
        <f>_xlfn.XLOOKUP(tblSales[[#This Row],[Store ID]],tblStores[Store ID],tblStores[Store Name])</f>
        <v>Gqeberha</v>
      </c>
      <c r="E437" t="str">
        <f>_xlfn.XLOOKUP(tblSales[[#This Row],[Store ID]],tblStores[Store ID],tblStores[Province])</f>
        <v>Eastern Cape</v>
      </c>
      <c r="F437" t="str">
        <f>_xlfn.XLOOKUP(tblSales[[#This Row],[Store ID]],tblStores[Store ID],tblStores[Manager])</f>
        <v>Emma Baker</v>
      </c>
      <c r="G437" t="str">
        <f>_xlfn.XLOOKUP(tblSales[[#This Row],[Category ID]],tblCategories[Category ID],tblCategories[Category])</f>
        <v>Accessories</v>
      </c>
      <c r="H437">
        <v>55146</v>
      </c>
      <c r="I437">
        <v>59537</v>
      </c>
      <c r="J437">
        <v>182</v>
      </c>
      <c r="K437">
        <f>tblSales[[#This Row],[Sales]]-tblSales[[#This Row],[Budget]]</f>
        <v>-4391</v>
      </c>
      <c r="L437" s="3">
        <f>(tblSales[[#This Row],[Sales]]-tblSales[[#This Row],[Budget]])/tblSales[[#This Row],[Budget]]</f>
        <v>-7.3752456455649429E-2</v>
      </c>
      <c r="M437" s="2">
        <f>tblSales[[#This Row],[Sales]]/tblSales[[#This Row],[Transactions]]</f>
        <v>303</v>
      </c>
    </row>
    <row r="438" spans="1:13" x14ac:dyDescent="0.25">
      <c r="A438" s="1">
        <v>46044</v>
      </c>
      <c r="B438" t="s">
        <v>27</v>
      </c>
      <c r="C438" t="s">
        <v>22</v>
      </c>
      <c r="D438" t="str">
        <f>_xlfn.XLOOKUP(tblSales[[#This Row],[Store ID]],tblStores[Store ID],tblStores[Store Name])</f>
        <v>East London</v>
      </c>
      <c r="E438" t="str">
        <f>_xlfn.XLOOKUP(tblSales[[#This Row],[Store ID]],tblStores[Store ID],tblStores[Province])</f>
        <v>Eastern Cape</v>
      </c>
      <c r="F438" t="str">
        <f>_xlfn.XLOOKUP(tblSales[[#This Row],[Store ID]],tblStores[Store ID],tblStores[Manager])</f>
        <v>Daniel Evans</v>
      </c>
      <c r="G438" t="str">
        <f>_xlfn.XLOOKUP(tblSales[[#This Row],[Category ID]],tblCategories[Category ID],tblCategories[Category])</f>
        <v>Kids</v>
      </c>
      <c r="H438">
        <v>25920</v>
      </c>
      <c r="I438">
        <v>27311</v>
      </c>
      <c r="J438">
        <v>144</v>
      </c>
      <c r="K438">
        <f>tblSales[[#This Row],[Sales]]-tblSales[[#This Row],[Budget]]</f>
        <v>-1391</v>
      </c>
      <c r="L438" s="3">
        <f>(tblSales[[#This Row],[Sales]]-tblSales[[#This Row],[Budget]])/tblSales[[#This Row],[Budget]]</f>
        <v>-5.0931858957929038E-2</v>
      </c>
      <c r="M438" s="2">
        <f>tblSales[[#This Row],[Sales]]/tblSales[[#This Row],[Transactions]]</f>
        <v>180</v>
      </c>
    </row>
    <row r="439" spans="1:13" x14ac:dyDescent="0.25">
      <c r="A439" s="1">
        <v>46044</v>
      </c>
      <c r="B439" t="s">
        <v>28</v>
      </c>
      <c r="C439" t="s">
        <v>9</v>
      </c>
      <c r="D439" t="str">
        <f>_xlfn.XLOOKUP(tblSales[[#This Row],[Store ID]],tblStores[Store ID],tblStores[Store Name])</f>
        <v>Bloemfontein</v>
      </c>
      <c r="E439" t="str">
        <f>_xlfn.XLOOKUP(tblSales[[#This Row],[Store ID]],tblStores[Store ID],tblStores[Province])</f>
        <v>Free State</v>
      </c>
      <c r="F439" t="str">
        <f>_xlfn.XLOOKUP(tblSales[[#This Row],[Store ID]],tblStores[Store ID],tblStores[Manager])</f>
        <v>Rachel Moore</v>
      </c>
      <c r="G439" t="str">
        <f>_xlfn.XLOOKUP(tblSales[[#This Row],[Category ID]],tblCategories[Category ID],tblCategories[Category])</f>
        <v>Ladieswear</v>
      </c>
      <c r="H439">
        <v>71133</v>
      </c>
      <c r="I439">
        <v>67350</v>
      </c>
      <c r="J439">
        <v>181</v>
      </c>
      <c r="K439">
        <f>tblSales[[#This Row],[Sales]]-tblSales[[#This Row],[Budget]]</f>
        <v>3783</v>
      </c>
      <c r="L439" s="3">
        <f>(tblSales[[#This Row],[Sales]]-tblSales[[#This Row],[Budget]])/tblSales[[#This Row],[Budget]]</f>
        <v>5.6169265033407571E-2</v>
      </c>
      <c r="M439" s="2">
        <f>tblSales[[#This Row],[Sales]]/tblSales[[#This Row],[Transactions]]</f>
        <v>393</v>
      </c>
    </row>
    <row r="440" spans="1:13" x14ac:dyDescent="0.25">
      <c r="A440" s="1">
        <v>46044</v>
      </c>
      <c r="B440" t="s">
        <v>29</v>
      </c>
      <c r="C440" t="s">
        <v>7</v>
      </c>
      <c r="D440" t="str">
        <f>_xlfn.XLOOKUP(tblSales[[#This Row],[Store ID]],tblStores[Store ID],tblStores[Store Name])</f>
        <v>Polokwane</v>
      </c>
      <c r="E440" t="str">
        <f>_xlfn.XLOOKUP(tblSales[[#This Row],[Store ID]],tblStores[Store ID],tblStores[Province])</f>
        <v>Limpopo</v>
      </c>
      <c r="F440" t="str">
        <f>_xlfn.XLOOKUP(tblSales[[#This Row],[Store ID]],tblStores[Store ID],tblStores[Manager])</f>
        <v>Kevin Harris</v>
      </c>
      <c r="G440" t="str">
        <f>_xlfn.XLOOKUP(tblSales[[#This Row],[Category ID]],tblCategories[Category ID],tblCategories[Category])</f>
        <v>Menswear</v>
      </c>
      <c r="H440">
        <v>61516</v>
      </c>
      <c r="I440">
        <v>56405</v>
      </c>
      <c r="J440">
        <v>169</v>
      </c>
      <c r="K440">
        <f>tblSales[[#This Row],[Sales]]-tblSales[[#This Row],[Budget]]</f>
        <v>5111</v>
      </c>
      <c r="L440" s="3">
        <f>(tblSales[[#This Row],[Sales]]-tblSales[[#This Row],[Budget]])/tblSales[[#This Row],[Budget]]</f>
        <v>9.061253434979169E-2</v>
      </c>
      <c r="M440" s="2">
        <f>tblSales[[#This Row],[Sales]]/tblSales[[#This Row],[Transactions]]</f>
        <v>364</v>
      </c>
    </row>
    <row r="441" spans="1:13" x14ac:dyDescent="0.25">
      <c r="A441" s="1">
        <v>46044</v>
      </c>
      <c r="B441" t="s">
        <v>30</v>
      </c>
      <c r="C441" t="s">
        <v>19</v>
      </c>
      <c r="D441" t="str">
        <f>_xlfn.XLOOKUP(tblSales[[#This Row],[Store ID]],tblStores[Store ID],tblStores[Store Name])</f>
        <v>Nelspruit</v>
      </c>
      <c r="E441" t="str">
        <f>_xlfn.XLOOKUP(tblSales[[#This Row],[Store ID]],tblStores[Store ID],tblStores[Province])</f>
        <v>Mpumalanga</v>
      </c>
      <c r="F441" t="str">
        <f>_xlfn.XLOOKUP(tblSales[[#This Row],[Store ID]],tblStores[Store ID],tblStores[Manager])</f>
        <v>Olivia Turner</v>
      </c>
      <c r="G441" t="str">
        <f>_xlfn.XLOOKUP(tblSales[[#This Row],[Category ID]],tblCategories[Category ID],tblCategories[Category])</f>
        <v>Accessories</v>
      </c>
      <c r="H441">
        <v>76386</v>
      </c>
      <c r="I441">
        <v>83765</v>
      </c>
      <c r="J441">
        <v>174</v>
      </c>
      <c r="K441">
        <f>tblSales[[#This Row],[Sales]]-tblSales[[#This Row],[Budget]]</f>
        <v>-7379</v>
      </c>
      <c r="L441" s="3">
        <f>(tblSales[[#This Row],[Sales]]-tblSales[[#This Row],[Budget]])/tblSales[[#This Row],[Budget]]</f>
        <v>-8.8091685071330514E-2</v>
      </c>
      <c r="M441" s="2">
        <f>tblSales[[#This Row],[Sales]]/tblSales[[#This Row],[Transactions]]</f>
        <v>439</v>
      </c>
    </row>
    <row r="442" spans="1:13" x14ac:dyDescent="0.25">
      <c r="A442" s="1">
        <v>46045</v>
      </c>
      <c r="B442" t="s">
        <v>6</v>
      </c>
      <c r="C442" t="s">
        <v>19</v>
      </c>
      <c r="D442" t="str">
        <f>_xlfn.XLOOKUP(tblSales[[#This Row],[Store ID]],tblStores[Store ID],tblStores[Store Name])</f>
        <v>Durban CBD</v>
      </c>
      <c r="E442" t="str">
        <f>_xlfn.XLOOKUP(tblSales[[#This Row],[Store ID]],tblStores[Store ID],tblStores[Province])</f>
        <v>KZN</v>
      </c>
      <c r="F442" t="str">
        <f>_xlfn.XLOOKUP(tblSales[[#This Row],[Store ID]],tblStores[Store ID],tblStores[Manager])</f>
        <v>Sarah Adams</v>
      </c>
      <c r="G442" t="str">
        <f>_xlfn.XLOOKUP(tblSales[[#This Row],[Category ID]],tblCategories[Category ID],tblCategories[Category])</f>
        <v>Accessories</v>
      </c>
      <c r="H442">
        <v>33440</v>
      </c>
      <c r="I442">
        <v>33360</v>
      </c>
      <c r="J442">
        <v>176</v>
      </c>
      <c r="K442">
        <f>tblSales[[#This Row],[Sales]]-tblSales[[#This Row],[Budget]]</f>
        <v>80</v>
      </c>
      <c r="L442" s="3">
        <f>(tblSales[[#This Row],[Sales]]-tblSales[[#This Row],[Budget]])/tblSales[[#This Row],[Budget]]</f>
        <v>2.3980815347721821E-3</v>
      </c>
      <c r="M442" s="2">
        <f>tblSales[[#This Row],[Sales]]/tblSales[[#This Row],[Transactions]]</f>
        <v>190</v>
      </c>
    </row>
    <row r="443" spans="1:13" x14ac:dyDescent="0.25">
      <c r="A443" s="1">
        <v>46045</v>
      </c>
      <c r="B443" t="s">
        <v>8</v>
      </c>
      <c r="C443" t="s">
        <v>11</v>
      </c>
      <c r="D443" t="str">
        <f>_xlfn.XLOOKUP(tblSales[[#This Row],[Store ID]],tblStores[Store ID],tblStores[Store Name])</f>
        <v>Gateway</v>
      </c>
      <c r="E443" t="str">
        <f>_xlfn.XLOOKUP(tblSales[[#This Row],[Store ID]],tblStores[Store ID],tblStores[Province])</f>
        <v>KZN</v>
      </c>
      <c r="F443" t="str">
        <f>_xlfn.XLOOKUP(tblSales[[#This Row],[Store ID]],tblStores[Store ID],tblStores[Manager])</f>
        <v>Michael Jones</v>
      </c>
      <c r="G443" t="str">
        <f>_xlfn.XLOOKUP(tblSales[[#This Row],[Category ID]],tblCategories[Category ID],tblCategories[Category])</f>
        <v>Footwear</v>
      </c>
      <c r="H443">
        <v>23230</v>
      </c>
      <c r="I443">
        <v>23153</v>
      </c>
      <c r="J443">
        <v>46</v>
      </c>
      <c r="K443">
        <f>tblSales[[#This Row],[Sales]]-tblSales[[#This Row],[Budget]]</f>
        <v>77</v>
      </c>
      <c r="L443" s="3">
        <f>(tblSales[[#This Row],[Sales]]-tblSales[[#This Row],[Budget]])/tblSales[[#This Row],[Budget]]</f>
        <v>3.3257029326653133E-3</v>
      </c>
      <c r="M443" s="2">
        <f>tblSales[[#This Row],[Sales]]/tblSales[[#This Row],[Transactions]]</f>
        <v>505</v>
      </c>
    </row>
    <row r="444" spans="1:13" x14ac:dyDescent="0.25">
      <c r="A444" s="1">
        <v>46045</v>
      </c>
      <c r="B444" t="s">
        <v>10</v>
      </c>
      <c r="C444" t="s">
        <v>22</v>
      </c>
      <c r="D444" t="str">
        <f>_xlfn.XLOOKUP(tblSales[[#This Row],[Store ID]],tblStores[Store ID],tblStores[Store Name])</f>
        <v>Ballito</v>
      </c>
      <c r="E444" t="str">
        <f>_xlfn.XLOOKUP(tblSales[[#This Row],[Store ID]],tblStores[Store ID],tblStores[Province])</f>
        <v>KZN</v>
      </c>
      <c r="F444" t="str">
        <f>_xlfn.XLOOKUP(tblSales[[#This Row],[Store ID]],tblStores[Store ID],tblStores[Manager])</f>
        <v>Linda Smith</v>
      </c>
      <c r="G444" t="str">
        <f>_xlfn.XLOOKUP(tblSales[[#This Row],[Category ID]],tblCategories[Category ID],tblCategories[Category])</f>
        <v>Kids</v>
      </c>
      <c r="H444">
        <v>18612</v>
      </c>
      <c r="I444">
        <v>18412</v>
      </c>
      <c r="J444">
        <v>99</v>
      </c>
      <c r="K444">
        <f>tblSales[[#This Row],[Sales]]-tblSales[[#This Row],[Budget]]</f>
        <v>200</v>
      </c>
      <c r="L444" s="3">
        <f>(tblSales[[#This Row],[Sales]]-tblSales[[#This Row],[Budget]])/tblSales[[#This Row],[Budget]]</f>
        <v>1.0862480990658266E-2</v>
      </c>
      <c r="M444" s="2">
        <f>tblSales[[#This Row],[Sales]]/tblSales[[#This Row],[Transactions]]</f>
        <v>188</v>
      </c>
    </row>
    <row r="445" spans="1:13" x14ac:dyDescent="0.25">
      <c r="A445" s="1">
        <v>46045</v>
      </c>
      <c r="B445" t="s">
        <v>12</v>
      </c>
      <c r="C445" t="s">
        <v>7</v>
      </c>
      <c r="D445" t="str">
        <f>_xlfn.XLOOKUP(tblSales[[#This Row],[Store ID]],tblStores[Store ID],tblStores[Store Name])</f>
        <v>Pietermaritzburg</v>
      </c>
      <c r="E445" t="str">
        <f>_xlfn.XLOOKUP(tblSales[[#This Row],[Store ID]],tblStores[Store ID],tblStores[Province])</f>
        <v>KZN</v>
      </c>
      <c r="F445" t="str">
        <f>_xlfn.XLOOKUP(tblSales[[#This Row],[Store ID]],tblStores[Store ID],tblStores[Manager])</f>
        <v>Peter Brown</v>
      </c>
      <c r="G445" t="str">
        <f>_xlfn.XLOOKUP(tblSales[[#This Row],[Category ID]],tblCategories[Category ID],tblCategories[Category])</f>
        <v>Menswear</v>
      </c>
      <c r="H445">
        <v>37269</v>
      </c>
      <c r="I445">
        <v>40371</v>
      </c>
      <c r="J445">
        <v>123</v>
      </c>
      <c r="K445">
        <f>tblSales[[#This Row],[Sales]]-tblSales[[#This Row],[Budget]]</f>
        <v>-3102</v>
      </c>
      <c r="L445" s="3">
        <f>(tblSales[[#This Row],[Sales]]-tblSales[[#This Row],[Budget]])/tblSales[[#This Row],[Budget]]</f>
        <v>-7.6837333729657425E-2</v>
      </c>
      <c r="M445" s="2">
        <f>tblSales[[#This Row],[Sales]]/tblSales[[#This Row],[Transactions]]</f>
        <v>303</v>
      </c>
    </row>
    <row r="446" spans="1:13" x14ac:dyDescent="0.25">
      <c r="A446" s="1">
        <v>46045</v>
      </c>
      <c r="B446" t="s">
        <v>13</v>
      </c>
      <c r="C446" t="s">
        <v>7</v>
      </c>
      <c r="D446" t="str">
        <f>_xlfn.XLOOKUP(tblSales[[#This Row],[Store ID]],tblStores[Store ID],tblStores[Store Name])</f>
        <v>Richards Bay</v>
      </c>
      <c r="E446" t="str">
        <f>_xlfn.XLOOKUP(tblSales[[#This Row],[Store ID]],tblStores[Store ID],tblStores[Province])</f>
        <v>KZN</v>
      </c>
      <c r="F446" t="str">
        <f>_xlfn.XLOOKUP(tblSales[[#This Row],[Store ID]],tblStores[Store ID],tblStores[Manager])</f>
        <v>David Green</v>
      </c>
      <c r="G446" t="str">
        <f>_xlfn.XLOOKUP(tblSales[[#This Row],[Category ID]],tblCategories[Category ID],tblCategories[Category])</f>
        <v>Menswear</v>
      </c>
      <c r="H446">
        <v>64050</v>
      </c>
      <c r="I446">
        <v>59781</v>
      </c>
      <c r="J446">
        <v>183</v>
      </c>
      <c r="K446">
        <f>tblSales[[#This Row],[Sales]]-tblSales[[#This Row],[Budget]]</f>
        <v>4269</v>
      </c>
      <c r="L446" s="3">
        <f>(tblSales[[#This Row],[Sales]]-tblSales[[#This Row],[Budget]])/tblSales[[#This Row],[Budget]]</f>
        <v>7.141064886836955E-2</v>
      </c>
      <c r="M446" s="2">
        <f>tblSales[[#This Row],[Sales]]/tblSales[[#This Row],[Transactions]]</f>
        <v>350</v>
      </c>
    </row>
    <row r="447" spans="1:13" x14ac:dyDescent="0.25">
      <c r="A447" s="1">
        <v>46045</v>
      </c>
      <c r="B447" t="s">
        <v>14</v>
      </c>
      <c r="C447" t="s">
        <v>22</v>
      </c>
      <c r="D447" t="str">
        <f>_xlfn.XLOOKUP(tblSales[[#This Row],[Store ID]],tblStores[Store ID],tblStores[Store Name])</f>
        <v>Sandton</v>
      </c>
      <c r="E447" t="str">
        <f>_xlfn.XLOOKUP(tblSales[[#This Row],[Store ID]],tblStores[Store ID],tblStores[Province])</f>
        <v>Gauteng</v>
      </c>
      <c r="F447" t="str">
        <f>_xlfn.XLOOKUP(tblSales[[#This Row],[Store ID]],tblStores[Store ID],tblStores[Manager])</f>
        <v>Karen White</v>
      </c>
      <c r="G447" t="str">
        <f>_xlfn.XLOOKUP(tblSales[[#This Row],[Category ID]],tblCategories[Category ID],tblCategories[Category])</f>
        <v>Kids</v>
      </c>
      <c r="H447">
        <v>61422</v>
      </c>
      <c r="I447">
        <v>67771</v>
      </c>
      <c r="J447">
        <v>174</v>
      </c>
      <c r="K447">
        <f>tblSales[[#This Row],[Sales]]-tblSales[[#This Row],[Budget]]</f>
        <v>-6349</v>
      </c>
      <c r="L447" s="3">
        <f>(tblSales[[#This Row],[Sales]]-tblSales[[#This Row],[Budget]])/tblSales[[#This Row],[Budget]]</f>
        <v>-9.3683138805683852E-2</v>
      </c>
      <c r="M447" s="2">
        <f>tblSales[[#This Row],[Sales]]/tblSales[[#This Row],[Transactions]]</f>
        <v>353</v>
      </c>
    </row>
    <row r="448" spans="1:13" x14ac:dyDescent="0.25">
      <c r="A448" s="1">
        <v>46045</v>
      </c>
      <c r="B448" t="s">
        <v>15</v>
      </c>
      <c r="C448" t="s">
        <v>9</v>
      </c>
      <c r="D448" t="str">
        <f>_xlfn.XLOOKUP(tblSales[[#This Row],[Store ID]],tblStores[Store ID],tblStores[Store Name])</f>
        <v>Rosebank</v>
      </c>
      <c r="E448" t="str">
        <f>_xlfn.XLOOKUP(tblSales[[#This Row],[Store ID]],tblStores[Store ID],tblStores[Province])</f>
        <v>Gauteng</v>
      </c>
      <c r="F448" t="str">
        <f>_xlfn.XLOOKUP(tblSales[[#This Row],[Store ID]],tblStores[Store ID],tblStores[Manager])</f>
        <v>James Taylor</v>
      </c>
      <c r="G448" t="str">
        <f>_xlfn.XLOOKUP(tblSales[[#This Row],[Category ID]],tblCategories[Category ID],tblCategories[Category])</f>
        <v>Ladieswear</v>
      </c>
      <c r="H448">
        <v>87570</v>
      </c>
      <c r="I448">
        <v>100285</v>
      </c>
      <c r="J448">
        <v>210</v>
      </c>
      <c r="K448">
        <f>tblSales[[#This Row],[Sales]]-tblSales[[#This Row],[Budget]]</f>
        <v>-12715</v>
      </c>
      <c r="L448" s="3">
        <f>(tblSales[[#This Row],[Sales]]-tblSales[[#This Row],[Budget]])/tblSales[[#This Row],[Budget]]</f>
        <v>-0.12678865234082864</v>
      </c>
      <c r="M448" s="2">
        <f>tblSales[[#This Row],[Sales]]/tblSales[[#This Row],[Transactions]]</f>
        <v>417</v>
      </c>
    </row>
    <row r="449" spans="1:13" x14ac:dyDescent="0.25">
      <c r="A449" s="1">
        <v>46045</v>
      </c>
      <c r="B449" t="s">
        <v>16</v>
      </c>
      <c r="C449" t="s">
        <v>11</v>
      </c>
      <c r="D449" t="str">
        <f>_xlfn.XLOOKUP(tblSales[[#This Row],[Store ID]],tblStores[Store ID],tblStores[Store Name])</f>
        <v>Pretoria</v>
      </c>
      <c r="E449" t="str">
        <f>_xlfn.XLOOKUP(tblSales[[#This Row],[Store ID]],tblStores[Store ID],tblStores[Province])</f>
        <v>Gauteng</v>
      </c>
      <c r="F449" t="str">
        <f>_xlfn.XLOOKUP(tblSales[[#This Row],[Store ID]],tblStores[Store ID],tblStores[Manager])</f>
        <v>Susan Clark</v>
      </c>
      <c r="G449" t="str">
        <f>_xlfn.XLOOKUP(tblSales[[#This Row],[Category ID]],tblCategories[Category ID],tblCategories[Category])</f>
        <v>Footwear</v>
      </c>
      <c r="H449">
        <v>53508</v>
      </c>
      <c r="I449">
        <v>59012</v>
      </c>
      <c r="J449">
        <v>196</v>
      </c>
      <c r="K449">
        <f>tblSales[[#This Row],[Sales]]-tblSales[[#This Row],[Budget]]</f>
        <v>-5504</v>
      </c>
      <c r="L449" s="3">
        <f>(tblSales[[#This Row],[Sales]]-tblSales[[#This Row],[Budget]])/tblSales[[#This Row],[Budget]]</f>
        <v>-9.3269165593438619E-2</v>
      </c>
      <c r="M449" s="2">
        <f>tblSales[[#This Row],[Sales]]/tblSales[[#This Row],[Transactions]]</f>
        <v>273</v>
      </c>
    </row>
    <row r="450" spans="1:13" x14ac:dyDescent="0.25">
      <c r="A450" s="1">
        <v>46045</v>
      </c>
      <c r="B450" t="s">
        <v>17</v>
      </c>
      <c r="C450" t="s">
        <v>7</v>
      </c>
      <c r="D450" t="str">
        <f>_xlfn.XLOOKUP(tblSales[[#This Row],[Store ID]],tblStores[Store ID],tblStores[Store Name])</f>
        <v>Centurion</v>
      </c>
      <c r="E450" t="str">
        <f>_xlfn.XLOOKUP(tblSales[[#This Row],[Store ID]],tblStores[Store ID],tblStores[Province])</f>
        <v>Gauteng</v>
      </c>
      <c r="F450" t="str">
        <f>_xlfn.XLOOKUP(tblSales[[#This Row],[Store ID]],tblStores[Store ID],tblStores[Manager])</f>
        <v>Mark Wilson</v>
      </c>
      <c r="G450" t="str">
        <f>_xlfn.XLOOKUP(tblSales[[#This Row],[Category ID]],tblCategories[Category ID],tblCategories[Category])</f>
        <v>Menswear</v>
      </c>
      <c r="H450">
        <v>90252</v>
      </c>
      <c r="I450">
        <v>82061</v>
      </c>
      <c r="J450">
        <v>218</v>
      </c>
      <c r="K450">
        <f>tblSales[[#This Row],[Sales]]-tblSales[[#This Row],[Budget]]</f>
        <v>8191</v>
      </c>
      <c r="L450" s="3">
        <f>(tblSales[[#This Row],[Sales]]-tblSales[[#This Row],[Budget]])/tblSales[[#This Row],[Budget]]</f>
        <v>9.981599054361999E-2</v>
      </c>
      <c r="M450" s="2">
        <f>tblSales[[#This Row],[Sales]]/tblSales[[#This Row],[Transactions]]</f>
        <v>414</v>
      </c>
    </row>
    <row r="451" spans="1:13" x14ac:dyDescent="0.25">
      <c r="A451" s="1">
        <v>46045</v>
      </c>
      <c r="B451" t="s">
        <v>18</v>
      </c>
      <c r="C451" t="s">
        <v>9</v>
      </c>
      <c r="D451" t="str">
        <f>_xlfn.XLOOKUP(tblSales[[#This Row],[Store ID]],tblStores[Store ID],tblStores[Store Name])</f>
        <v>East Rand</v>
      </c>
      <c r="E451" t="str">
        <f>_xlfn.XLOOKUP(tblSales[[#This Row],[Store ID]],tblStores[Store ID],tblStores[Province])</f>
        <v>Gauteng</v>
      </c>
      <c r="F451" t="str">
        <f>_xlfn.XLOOKUP(tblSales[[#This Row],[Store ID]],tblStores[Store ID],tblStores[Manager])</f>
        <v>Lisa Young</v>
      </c>
      <c r="G451" t="str">
        <f>_xlfn.XLOOKUP(tblSales[[#This Row],[Category ID]],tblCategories[Category ID],tblCategories[Category])</f>
        <v>Ladieswear</v>
      </c>
      <c r="H451">
        <v>12972</v>
      </c>
      <c r="I451">
        <v>14547</v>
      </c>
      <c r="J451">
        <v>46</v>
      </c>
      <c r="K451">
        <f>tblSales[[#This Row],[Sales]]-tblSales[[#This Row],[Budget]]</f>
        <v>-1575</v>
      </c>
      <c r="L451" s="3">
        <f>(tblSales[[#This Row],[Sales]]-tblSales[[#This Row],[Budget]])/tblSales[[#This Row],[Budget]]</f>
        <v>-0.10826974633945144</v>
      </c>
      <c r="M451" s="2">
        <f>tblSales[[#This Row],[Sales]]/tblSales[[#This Row],[Transactions]]</f>
        <v>282</v>
      </c>
    </row>
    <row r="452" spans="1:13" x14ac:dyDescent="0.25">
      <c r="A452" s="1">
        <v>46045</v>
      </c>
      <c r="B452" t="s">
        <v>20</v>
      </c>
      <c r="C452" t="s">
        <v>22</v>
      </c>
      <c r="D452" t="str">
        <f>_xlfn.XLOOKUP(tblSales[[#This Row],[Store ID]],tblStores[Store ID],tblStores[Store Name])</f>
        <v>Cape Town CBD</v>
      </c>
      <c r="E452" t="str">
        <f>_xlfn.XLOOKUP(tblSales[[#This Row],[Store ID]],tblStores[Store ID],tblStores[Province])</f>
        <v>Western Cape</v>
      </c>
      <c r="F452" t="str">
        <f>_xlfn.XLOOKUP(tblSales[[#This Row],[Store ID]],tblStores[Store ID],tblStores[Manager])</f>
        <v>Brian Hall</v>
      </c>
      <c r="G452" t="str">
        <f>_xlfn.XLOOKUP(tblSales[[#This Row],[Category ID]],tblCategories[Category ID],tblCategories[Category])</f>
        <v>Kids</v>
      </c>
      <c r="H452">
        <v>50502</v>
      </c>
      <c r="I452">
        <v>50479</v>
      </c>
      <c r="J452">
        <v>114</v>
      </c>
      <c r="K452">
        <f>tblSales[[#This Row],[Sales]]-tblSales[[#This Row],[Budget]]</f>
        <v>23</v>
      </c>
      <c r="L452" s="3">
        <f>(tblSales[[#This Row],[Sales]]-tblSales[[#This Row],[Budget]])/tblSales[[#This Row],[Budget]]</f>
        <v>4.5563501654153211E-4</v>
      </c>
      <c r="M452" s="2">
        <f>tblSales[[#This Row],[Sales]]/tblSales[[#This Row],[Transactions]]</f>
        <v>443</v>
      </c>
    </row>
    <row r="453" spans="1:13" x14ac:dyDescent="0.25">
      <c r="A453" s="1">
        <v>46045</v>
      </c>
      <c r="B453" t="s">
        <v>21</v>
      </c>
      <c r="C453" t="s">
        <v>19</v>
      </c>
      <c r="D453" t="str">
        <f>_xlfn.XLOOKUP(tblSales[[#This Row],[Store ID]],tblStores[Store ID],tblStores[Store Name])</f>
        <v>Canal Walk</v>
      </c>
      <c r="E453" t="str">
        <f>_xlfn.XLOOKUP(tblSales[[#This Row],[Store ID]],tblStores[Store ID],tblStores[Province])</f>
        <v>Western Cape</v>
      </c>
      <c r="F453" t="str">
        <f>_xlfn.XLOOKUP(tblSales[[#This Row],[Store ID]],tblStores[Store ID],tblStores[Manager])</f>
        <v>Megan Scott</v>
      </c>
      <c r="G453" t="str">
        <f>_xlfn.XLOOKUP(tblSales[[#This Row],[Category ID]],tblCategories[Category ID],tblCategories[Category])</f>
        <v>Accessories</v>
      </c>
      <c r="H453">
        <v>48204</v>
      </c>
      <c r="I453">
        <v>43824</v>
      </c>
      <c r="J453">
        <v>156</v>
      </c>
      <c r="K453">
        <f>tblSales[[#This Row],[Sales]]-tblSales[[#This Row],[Budget]]</f>
        <v>4380</v>
      </c>
      <c r="L453" s="3">
        <f>(tblSales[[#This Row],[Sales]]-tblSales[[#This Row],[Budget]])/tblSales[[#This Row],[Budget]]</f>
        <v>9.9945235487404166E-2</v>
      </c>
      <c r="M453" s="2">
        <f>tblSales[[#This Row],[Sales]]/tblSales[[#This Row],[Transactions]]</f>
        <v>309</v>
      </c>
    </row>
    <row r="454" spans="1:13" x14ac:dyDescent="0.25">
      <c r="A454" s="1">
        <v>46045</v>
      </c>
      <c r="B454" t="s">
        <v>23</v>
      </c>
      <c r="C454" t="s">
        <v>9</v>
      </c>
      <c r="D454" t="str">
        <f>_xlfn.XLOOKUP(tblSales[[#This Row],[Store ID]],tblStores[Store ID],tblStores[Store Name])</f>
        <v>Stellenbosch</v>
      </c>
      <c r="E454" t="str">
        <f>_xlfn.XLOOKUP(tblSales[[#This Row],[Store ID]],tblStores[Store ID],tblStores[Province])</f>
        <v>Western Cape</v>
      </c>
      <c r="F454" t="str">
        <f>_xlfn.XLOOKUP(tblSales[[#This Row],[Store ID]],tblStores[Store ID],tblStores[Manager])</f>
        <v>Jason King</v>
      </c>
      <c r="G454" t="str">
        <f>_xlfn.XLOOKUP(tblSales[[#This Row],[Category ID]],tblCategories[Category ID],tblCategories[Category])</f>
        <v>Ladieswear</v>
      </c>
      <c r="H454">
        <v>39096</v>
      </c>
      <c r="I454">
        <v>43612</v>
      </c>
      <c r="J454">
        <v>108</v>
      </c>
      <c r="K454">
        <f>tblSales[[#This Row],[Sales]]-tblSales[[#This Row],[Budget]]</f>
        <v>-4516</v>
      </c>
      <c r="L454" s="3">
        <f>(tblSales[[#This Row],[Sales]]-tblSales[[#This Row],[Budget]])/tblSales[[#This Row],[Budget]]</f>
        <v>-0.10354948179400165</v>
      </c>
      <c r="M454" s="2">
        <f>tblSales[[#This Row],[Sales]]/tblSales[[#This Row],[Transactions]]</f>
        <v>362</v>
      </c>
    </row>
    <row r="455" spans="1:13" x14ac:dyDescent="0.25">
      <c r="A455" s="1">
        <v>46045</v>
      </c>
      <c r="B455" t="s">
        <v>24</v>
      </c>
      <c r="C455" t="s">
        <v>7</v>
      </c>
      <c r="D455" t="str">
        <f>_xlfn.XLOOKUP(tblSales[[#This Row],[Store ID]],tblStores[Store ID],tblStores[Store Name])</f>
        <v>George</v>
      </c>
      <c r="E455" t="str">
        <f>_xlfn.XLOOKUP(tblSales[[#This Row],[Store ID]],tblStores[Store ID],tblStores[Province])</f>
        <v>Western Cape</v>
      </c>
      <c r="F455" t="str">
        <f>_xlfn.XLOOKUP(tblSales[[#This Row],[Store ID]],tblStores[Store ID],tblStores[Manager])</f>
        <v>Chloe Hill</v>
      </c>
      <c r="G455" t="str">
        <f>_xlfn.XLOOKUP(tblSales[[#This Row],[Category ID]],tblCategories[Category ID],tblCategories[Category])</f>
        <v>Menswear</v>
      </c>
      <c r="H455">
        <v>70498</v>
      </c>
      <c r="I455">
        <v>68263</v>
      </c>
      <c r="J455">
        <v>202</v>
      </c>
      <c r="K455">
        <f>tblSales[[#This Row],[Sales]]-tblSales[[#This Row],[Budget]]</f>
        <v>2235</v>
      </c>
      <c r="L455" s="3">
        <f>(tblSales[[#This Row],[Sales]]-tblSales[[#This Row],[Budget]])/tblSales[[#This Row],[Budget]]</f>
        <v>3.2741016363183571E-2</v>
      </c>
      <c r="M455" s="2">
        <f>tblSales[[#This Row],[Sales]]/tblSales[[#This Row],[Transactions]]</f>
        <v>349</v>
      </c>
    </row>
    <row r="456" spans="1:13" x14ac:dyDescent="0.25">
      <c r="A456" s="1">
        <v>46045</v>
      </c>
      <c r="B456" t="s">
        <v>25</v>
      </c>
      <c r="C456" t="s">
        <v>22</v>
      </c>
      <c r="D456" t="str">
        <f>_xlfn.XLOOKUP(tblSales[[#This Row],[Store ID]],tblStores[Store ID],tblStores[Store Name])</f>
        <v>Paarl</v>
      </c>
      <c r="E456" t="str">
        <f>_xlfn.XLOOKUP(tblSales[[#This Row],[Store ID]],tblStores[Store ID],tblStores[Province])</f>
        <v>Western Cape</v>
      </c>
      <c r="F456" t="str">
        <f>_xlfn.XLOOKUP(tblSales[[#This Row],[Store ID]],tblStores[Store ID],tblStores[Manager])</f>
        <v>Andrew Lee</v>
      </c>
      <c r="G456" t="str">
        <f>_xlfn.XLOOKUP(tblSales[[#This Row],[Category ID]],tblCategories[Category ID],tblCategories[Category])</f>
        <v>Kids</v>
      </c>
      <c r="H456">
        <v>56064</v>
      </c>
      <c r="I456">
        <v>60875</v>
      </c>
      <c r="J456">
        <v>146</v>
      </c>
      <c r="K456">
        <f>tblSales[[#This Row],[Sales]]-tblSales[[#This Row],[Budget]]</f>
        <v>-4811</v>
      </c>
      <c r="L456" s="3">
        <f>(tblSales[[#This Row],[Sales]]-tblSales[[#This Row],[Budget]])/tblSales[[#This Row],[Budget]]</f>
        <v>-7.9030800821355232E-2</v>
      </c>
      <c r="M456" s="2">
        <f>tblSales[[#This Row],[Sales]]/tblSales[[#This Row],[Transactions]]</f>
        <v>384</v>
      </c>
    </row>
    <row r="457" spans="1:13" x14ac:dyDescent="0.25">
      <c r="A457" s="1">
        <v>46045</v>
      </c>
      <c r="B457" t="s">
        <v>26</v>
      </c>
      <c r="C457" t="s">
        <v>11</v>
      </c>
      <c r="D457" t="str">
        <f>_xlfn.XLOOKUP(tblSales[[#This Row],[Store ID]],tblStores[Store ID],tblStores[Store Name])</f>
        <v>Gqeberha</v>
      </c>
      <c r="E457" t="str">
        <f>_xlfn.XLOOKUP(tblSales[[#This Row],[Store ID]],tblStores[Store ID],tblStores[Province])</f>
        <v>Eastern Cape</v>
      </c>
      <c r="F457" t="str">
        <f>_xlfn.XLOOKUP(tblSales[[#This Row],[Store ID]],tblStores[Store ID],tblStores[Manager])</f>
        <v>Emma Baker</v>
      </c>
      <c r="G457" t="str">
        <f>_xlfn.XLOOKUP(tblSales[[#This Row],[Category ID]],tblCategories[Category ID],tblCategories[Category])</f>
        <v>Footwear</v>
      </c>
      <c r="H457">
        <v>33275</v>
      </c>
      <c r="I457">
        <v>34075</v>
      </c>
      <c r="J457">
        <v>121</v>
      </c>
      <c r="K457">
        <f>tblSales[[#This Row],[Sales]]-tblSales[[#This Row],[Budget]]</f>
        <v>-800</v>
      </c>
      <c r="L457" s="3">
        <f>(tblSales[[#This Row],[Sales]]-tblSales[[#This Row],[Budget]])/tblSales[[#This Row],[Budget]]</f>
        <v>-2.347762289068232E-2</v>
      </c>
      <c r="M457" s="2">
        <f>tblSales[[#This Row],[Sales]]/tblSales[[#This Row],[Transactions]]</f>
        <v>275</v>
      </c>
    </row>
    <row r="458" spans="1:13" x14ac:dyDescent="0.25">
      <c r="A458" s="1">
        <v>46045</v>
      </c>
      <c r="B458" t="s">
        <v>27</v>
      </c>
      <c r="C458" t="s">
        <v>11</v>
      </c>
      <c r="D458" t="str">
        <f>_xlfn.XLOOKUP(tblSales[[#This Row],[Store ID]],tblStores[Store ID],tblStores[Store Name])</f>
        <v>East London</v>
      </c>
      <c r="E458" t="str">
        <f>_xlfn.XLOOKUP(tblSales[[#This Row],[Store ID]],tblStores[Store ID],tblStores[Province])</f>
        <v>Eastern Cape</v>
      </c>
      <c r="F458" t="str">
        <f>_xlfn.XLOOKUP(tblSales[[#This Row],[Store ID]],tblStores[Store ID],tblStores[Manager])</f>
        <v>Daniel Evans</v>
      </c>
      <c r="G458" t="str">
        <f>_xlfn.XLOOKUP(tblSales[[#This Row],[Category ID]],tblCategories[Category ID],tblCategories[Category])</f>
        <v>Footwear</v>
      </c>
      <c r="H458">
        <v>57405</v>
      </c>
      <c r="I458">
        <v>55492</v>
      </c>
      <c r="J458">
        <v>129</v>
      </c>
      <c r="K458">
        <f>tblSales[[#This Row],[Sales]]-tblSales[[#This Row],[Budget]]</f>
        <v>1913</v>
      </c>
      <c r="L458" s="3">
        <f>(tblSales[[#This Row],[Sales]]-tblSales[[#This Row],[Budget]])/tblSales[[#This Row],[Budget]]</f>
        <v>3.4473437612628846E-2</v>
      </c>
      <c r="M458" s="2">
        <f>tblSales[[#This Row],[Sales]]/tblSales[[#This Row],[Transactions]]</f>
        <v>445</v>
      </c>
    </row>
    <row r="459" spans="1:13" x14ac:dyDescent="0.25">
      <c r="A459" s="1">
        <v>46045</v>
      </c>
      <c r="B459" t="s">
        <v>28</v>
      </c>
      <c r="C459" t="s">
        <v>7</v>
      </c>
      <c r="D459" t="str">
        <f>_xlfn.XLOOKUP(tblSales[[#This Row],[Store ID]],tblStores[Store ID],tblStores[Store Name])</f>
        <v>Bloemfontein</v>
      </c>
      <c r="E459" t="str">
        <f>_xlfn.XLOOKUP(tblSales[[#This Row],[Store ID]],tblStores[Store ID],tblStores[Province])</f>
        <v>Free State</v>
      </c>
      <c r="F459" t="str">
        <f>_xlfn.XLOOKUP(tblSales[[#This Row],[Store ID]],tblStores[Store ID],tblStores[Manager])</f>
        <v>Rachel Moore</v>
      </c>
      <c r="G459" t="str">
        <f>_xlfn.XLOOKUP(tblSales[[#This Row],[Category ID]],tblCategories[Category ID],tblCategories[Category])</f>
        <v>Menswear</v>
      </c>
      <c r="H459">
        <v>31460</v>
      </c>
      <c r="I459">
        <v>31700</v>
      </c>
      <c r="J459">
        <v>143</v>
      </c>
      <c r="K459">
        <f>tblSales[[#This Row],[Sales]]-tblSales[[#This Row],[Budget]]</f>
        <v>-240</v>
      </c>
      <c r="L459" s="3">
        <f>(tblSales[[#This Row],[Sales]]-tblSales[[#This Row],[Budget]])/tblSales[[#This Row],[Budget]]</f>
        <v>-7.5709779179810727E-3</v>
      </c>
      <c r="M459" s="2">
        <f>tblSales[[#This Row],[Sales]]/tblSales[[#This Row],[Transactions]]</f>
        <v>220</v>
      </c>
    </row>
    <row r="460" spans="1:13" x14ac:dyDescent="0.25">
      <c r="A460" s="1">
        <v>46045</v>
      </c>
      <c r="B460" t="s">
        <v>29</v>
      </c>
      <c r="C460" t="s">
        <v>9</v>
      </c>
      <c r="D460" t="str">
        <f>_xlfn.XLOOKUP(tblSales[[#This Row],[Store ID]],tblStores[Store ID],tblStores[Store Name])</f>
        <v>Polokwane</v>
      </c>
      <c r="E460" t="str">
        <f>_xlfn.XLOOKUP(tblSales[[#This Row],[Store ID]],tblStores[Store ID],tblStores[Province])</f>
        <v>Limpopo</v>
      </c>
      <c r="F460" t="str">
        <f>_xlfn.XLOOKUP(tblSales[[#This Row],[Store ID]],tblStores[Store ID],tblStores[Manager])</f>
        <v>Kevin Harris</v>
      </c>
      <c r="G460" t="str">
        <f>_xlfn.XLOOKUP(tblSales[[#This Row],[Category ID]],tblCategories[Category ID],tblCategories[Category])</f>
        <v>Ladieswear</v>
      </c>
      <c r="H460">
        <v>57420</v>
      </c>
      <c r="I460">
        <v>56288</v>
      </c>
      <c r="J460">
        <v>174</v>
      </c>
      <c r="K460">
        <f>tblSales[[#This Row],[Sales]]-tblSales[[#This Row],[Budget]]</f>
        <v>1132</v>
      </c>
      <c r="L460" s="3">
        <f>(tblSales[[#This Row],[Sales]]-tblSales[[#This Row],[Budget]])/tblSales[[#This Row],[Budget]]</f>
        <v>2.0110858442296761E-2</v>
      </c>
      <c r="M460" s="2">
        <f>tblSales[[#This Row],[Sales]]/tblSales[[#This Row],[Transactions]]</f>
        <v>330</v>
      </c>
    </row>
    <row r="461" spans="1:13" x14ac:dyDescent="0.25">
      <c r="A461" s="1">
        <v>46045</v>
      </c>
      <c r="B461" t="s">
        <v>30</v>
      </c>
      <c r="C461" t="s">
        <v>7</v>
      </c>
      <c r="D461" t="str">
        <f>_xlfn.XLOOKUP(tblSales[[#This Row],[Store ID]],tblStores[Store ID],tblStores[Store Name])</f>
        <v>Nelspruit</v>
      </c>
      <c r="E461" t="str">
        <f>_xlfn.XLOOKUP(tblSales[[#This Row],[Store ID]],tblStores[Store ID],tblStores[Province])</f>
        <v>Mpumalanga</v>
      </c>
      <c r="F461" t="str">
        <f>_xlfn.XLOOKUP(tblSales[[#This Row],[Store ID]],tblStores[Store ID],tblStores[Manager])</f>
        <v>Olivia Turner</v>
      </c>
      <c r="G461" t="str">
        <f>_xlfn.XLOOKUP(tblSales[[#This Row],[Category ID]],tblCategories[Category ID],tblCategories[Category])</f>
        <v>Menswear</v>
      </c>
      <c r="H461">
        <v>61124</v>
      </c>
      <c r="I461">
        <v>59529</v>
      </c>
      <c r="J461">
        <v>118</v>
      </c>
      <c r="K461">
        <f>tblSales[[#This Row],[Sales]]-tblSales[[#This Row],[Budget]]</f>
        <v>1595</v>
      </c>
      <c r="L461" s="3">
        <f>(tblSales[[#This Row],[Sales]]-tblSales[[#This Row],[Budget]])/tblSales[[#This Row],[Budget]]</f>
        <v>2.6793663592534732E-2</v>
      </c>
      <c r="M461" s="2">
        <f>tblSales[[#This Row],[Sales]]/tblSales[[#This Row],[Transactions]]</f>
        <v>518</v>
      </c>
    </row>
    <row r="462" spans="1:13" x14ac:dyDescent="0.25">
      <c r="A462" s="1">
        <v>46046</v>
      </c>
      <c r="B462" t="s">
        <v>6</v>
      </c>
      <c r="C462" t="s">
        <v>11</v>
      </c>
      <c r="D462" t="str">
        <f>_xlfn.XLOOKUP(tblSales[[#This Row],[Store ID]],tblStores[Store ID],tblStores[Store Name])</f>
        <v>Durban CBD</v>
      </c>
      <c r="E462" t="str">
        <f>_xlfn.XLOOKUP(tblSales[[#This Row],[Store ID]],tblStores[Store ID],tblStores[Province])</f>
        <v>KZN</v>
      </c>
      <c r="F462" t="str">
        <f>_xlfn.XLOOKUP(tblSales[[#This Row],[Store ID]],tblStores[Store ID],tblStores[Manager])</f>
        <v>Sarah Adams</v>
      </c>
      <c r="G462" t="str">
        <f>_xlfn.XLOOKUP(tblSales[[#This Row],[Category ID]],tblCategories[Category ID],tblCategories[Category])</f>
        <v>Footwear</v>
      </c>
      <c r="H462">
        <v>75222</v>
      </c>
      <c r="I462">
        <v>70833</v>
      </c>
      <c r="J462">
        <v>189</v>
      </c>
      <c r="K462">
        <f>tblSales[[#This Row],[Sales]]-tblSales[[#This Row],[Budget]]</f>
        <v>4389</v>
      </c>
      <c r="L462" s="3">
        <f>(tblSales[[#This Row],[Sales]]-tblSales[[#This Row],[Budget]])/tblSales[[#This Row],[Budget]]</f>
        <v>6.1962644530091905E-2</v>
      </c>
      <c r="M462" s="2">
        <f>tblSales[[#This Row],[Sales]]/tblSales[[#This Row],[Transactions]]</f>
        <v>398</v>
      </c>
    </row>
    <row r="463" spans="1:13" x14ac:dyDescent="0.25">
      <c r="A463" s="1">
        <v>46046</v>
      </c>
      <c r="B463" t="s">
        <v>8</v>
      </c>
      <c r="C463" t="s">
        <v>11</v>
      </c>
      <c r="D463" t="str">
        <f>_xlfn.XLOOKUP(tblSales[[#This Row],[Store ID]],tblStores[Store ID],tblStores[Store Name])</f>
        <v>Gateway</v>
      </c>
      <c r="E463" t="str">
        <f>_xlfn.XLOOKUP(tblSales[[#This Row],[Store ID]],tblStores[Store ID],tblStores[Province])</f>
        <v>KZN</v>
      </c>
      <c r="F463" t="str">
        <f>_xlfn.XLOOKUP(tblSales[[#This Row],[Store ID]],tblStores[Store ID],tblStores[Manager])</f>
        <v>Michael Jones</v>
      </c>
      <c r="G463" t="str">
        <f>_xlfn.XLOOKUP(tblSales[[#This Row],[Category ID]],tblCategories[Category ID],tblCategories[Category])</f>
        <v>Footwear</v>
      </c>
      <c r="H463">
        <v>50592</v>
      </c>
      <c r="I463">
        <v>46068</v>
      </c>
      <c r="J463">
        <v>124</v>
      </c>
      <c r="K463">
        <f>tblSales[[#This Row],[Sales]]-tblSales[[#This Row],[Budget]]</f>
        <v>4524</v>
      </c>
      <c r="L463" s="3">
        <f>(tblSales[[#This Row],[Sales]]-tblSales[[#This Row],[Budget]])/tblSales[[#This Row],[Budget]]</f>
        <v>9.820265694191195E-2</v>
      </c>
      <c r="M463" s="2">
        <f>tblSales[[#This Row],[Sales]]/tblSales[[#This Row],[Transactions]]</f>
        <v>408</v>
      </c>
    </row>
    <row r="464" spans="1:13" x14ac:dyDescent="0.25">
      <c r="A464" s="1">
        <v>46046</v>
      </c>
      <c r="B464" t="s">
        <v>10</v>
      </c>
      <c r="C464" t="s">
        <v>22</v>
      </c>
      <c r="D464" t="str">
        <f>_xlfn.XLOOKUP(tblSales[[#This Row],[Store ID]],tblStores[Store ID],tblStores[Store Name])</f>
        <v>Ballito</v>
      </c>
      <c r="E464" t="str">
        <f>_xlfn.XLOOKUP(tblSales[[#This Row],[Store ID]],tblStores[Store ID],tblStores[Province])</f>
        <v>KZN</v>
      </c>
      <c r="F464" t="str">
        <f>_xlfn.XLOOKUP(tblSales[[#This Row],[Store ID]],tblStores[Store ID],tblStores[Manager])</f>
        <v>Linda Smith</v>
      </c>
      <c r="G464" t="str">
        <f>_xlfn.XLOOKUP(tblSales[[#This Row],[Category ID]],tblCategories[Category ID],tblCategories[Category])</f>
        <v>Kids</v>
      </c>
      <c r="H464">
        <v>77184</v>
      </c>
      <c r="I464">
        <v>74763</v>
      </c>
      <c r="J464">
        <v>192</v>
      </c>
      <c r="K464">
        <f>tblSales[[#This Row],[Sales]]-tblSales[[#This Row],[Budget]]</f>
        <v>2421</v>
      </c>
      <c r="L464" s="3">
        <f>(tblSales[[#This Row],[Sales]]-tblSales[[#This Row],[Budget]])/tblSales[[#This Row],[Budget]]</f>
        <v>3.2382328156976045E-2</v>
      </c>
      <c r="M464" s="2">
        <f>tblSales[[#This Row],[Sales]]/tblSales[[#This Row],[Transactions]]</f>
        <v>402</v>
      </c>
    </row>
    <row r="465" spans="1:13" x14ac:dyDescent="0.25">
      <c r="A465" s="1">
        <v>46046</v>
      </c>
      <c r="B465" t="s">
        <v>12</v>
      </c>
      <c r="C465" t="s">
        <v>7</v>
      </c>
      <c r="D465" t="str">
        <f>_xlfn.XLOOKUP(tblSales[[#This Row],[Store ID]],tblStores[Store ID],tblStores[Store Name])</f>
        <v>Pietermaritzburg</v>
      </c>
      <c r="E465" t="str">
        <f>_xlfn.XLOOKUP(tblSales[[#This Row],[Store ID]],tblStores[Store ID],tblStores[Province])</f>
        <v>KZN</v>
      </c>
      <c r="F465" t="str">
        <f>_xlfn.XLOOKUP(tblSales[[#This Row],[Store ID]],tblStores[Store ID],tblStores[Manager])</f>
        <v>Peter Brown</v>
      </c>
      <c r="G465" t="str">
        <f>_xlfn.XLOOKUP(tblSales[[#This Row],[Category ID]],tblCategories[Category ID],tblCategories[Category])</f>
        <v>Menswear</v>
      </c>
      <c r="H465">
        <v>27324</v>
      </c>
      <c r="I465">
        <v>27366</v>
      </c>
      <c r="J465">
        <v>54</v>
      </c>
      <c r="K465">
        <f>tblSales[[#This Row],[Sales]]-tblSales[[#This Row],[Budget]]</f>
        <v>-42</v>
      </c>
      <c r="L465" s="3">
        <f>(tblSales[[#This Row],[Sales]]-tblSales[[#This Row],[Budget]])/tblSales[[#This Row],[Budget]]</f>
        <v>-1.5347511510633632E-3</v>
      </c>
      <c r="M465" s="2">
        <f>tblSales[[#This Row],[Sales]]/tblSales[[#This Row],[Transactions]]</f>
        <v>506</v>
      </c>
    </row>
    <row r="466" spans="1:13" x14ac:dyDescent="0.25">
      <c r="A466" s="1">
        <v>46046</v>
      </c>
      <c r="B466" t="s">
        <v>13</v>
      </c>
      <c r="C466" t="s">
        <v>19</v>
      </c>
      <c r="D466" t="str">
        <f>_xlfn.XLOOKUP(tblSales[[#This Row],[Store ID]],tblStores[Store ID],tblStores[Store Name])</f>
        <v>Richards Bay</v>
      </c>
      <c r="E466" t="str">
        <f>_xlfn.XLOOKUP(tblSales[[#This Row],[Store ID]],tblStores[Store ID],tblStores[Province])</f>
        <v>KZN</v>
      </c>
      <c r="F466" t="str">
        <f>_xlfn.XLOOKUP(tblSales[[#This Row],[Store ID]],tblStores[Store ID],tblStores[Manager])</f>
        <v>David Green</v>
      </c>
      <c r="G466" t="str">
        <f>_xlfn.XLOOKUP(tblSales[[#This Row],[Category ID]],tblCategories[Category ID],tblCategories[Category])</f>
        <v>Accessories</v>
      </c>
      <c r="H466">
        <v>54288</v>
      </c>
      <c r="I466">
        <v>61790</v>
      </c>
      <c r="J466">
        <v>208</v>
      </c>
      <c r="K466">
        <f>tblSales[[#This Row],[Sales]]-tblSales[[#This Row],[Budget]]</f>
        <v>-7502</v>
      </c>
      <c r="L466" s="3">
        <f>(tblSales[[#This Row],[Sales]]-tblSales[[#This Row],[Budget]])/tblSales[[#This Row],[Budget]]</f>
        <v>-0.1214112315908723</v>
      </c>
      <c r="M466" s="2">
        <f>tblSales[[#This Row],[Sales]]/tblSales[[#This Row],[Transactions]]</f>
        <v>261</v>
      </c>
    </row>
    <row r="467" spans="1:13" x14ac:dyDescent="0.25">
      <c r="A467" s="1">
        <v>46046</v>
      </c>
      <c r="B467" t="s">
        <v>14</v>
      </c>
      <c r="C467" t="s">
        <v>9</v>
      </c>
      <c r="D467" t="str">
        <f>_xlfn.XLOOKUP(tblSales[[#This Row],[Store ID]],tblStores[Store ID],tblStores[Store Name])</f>
        <v>Sandton</v>
      </c>
      <c r="E467" t="str">
        <f>_xlfn.XLOOKUP(tblSales[[#This Row],[Store ID]],tblStores[Store ID],tblStores[Province])</f>
        <v>Gauteng</v>
      </c>
      <c r="F467" t="str">
        <f>_xlfn.XLOOKUP(tblSales[[#This Row],[Store ID]],tblStores[Store ID],tblStores[Manager])</f>
        <v>Karen White</v>
      </c>
      <c r="G467" t="str">
        <f>_xlfn.XLOOKUP(tblSales[[#This Row],[Category ID]],tblCategories[Category ID],tblCategories[Category])</f>
        <v>Ladieswear</v>
      </c>
      <c r="H467">
        <v>76760</v>
      </c>
      <c r="I467">
        <v>69751</v>
      </c>
      <c r="J467">
        <v>190</v>
      </c>
      <c r="K467">
        <f>tblSales[[#This Row],[Sales]]-tblSales[[#This Row],[Budget]]</f>
        <v>7009</v>
      </c>
      <c r="L467" s="3">
        <f>(tblSales[[#This Row],[Sales]]-tblSales[[#This Row],[Budget]])/tblSales[[#This Row],[Budget]]</f>
        <v>0.10048601453742599</v>
      </c>
      <c r="M467" s="2">
        <f>tblSales[[#This Row],[Sales]]/tblSales[[#This Row],[Transactions]]</f>
        <v>404</v>
      </c>
    </row>
    <row r="468" spans="1:13" x14ac:dyDescent="0.25">
      <c r="A468" s="1">
        <v>46046</v>
      </c>
      <c r="B468" t="s">
        <v>15</v>
      </c>
      <c r="C468" t="s">
        <v>7</v>
      </c>
      <c r="D468" t="str">
        <f>_xlfn.XLOOKUP(tblSales[[#This Row],[Store ID]],tblStores[Store ID],tblStores[Store Name])</f>
        <v>Rosebank</v>
      </c>
      <c r="E468" t="str">
        <f>_xlfn.XLOOKUP(tblSales[[#This Row],[Store ID]],tblStores[Store ID],tblStores[Province])</f>
        <v>Gauteng</v>
      </c>
      <c r="F468" t="str">
        <f>_xlfn.XLOOKUP(tblSales[[#This Row],[Store ID]],tblStores[Store ID],tblStores[Manager])</f>
        <v>James Taylor</v>
      </c>
      <c r="G468" t="str">
        <f>_xlfn.XLOOKUP(tblSales[[#This Row],[Category ID]],tblCategories[Category ID],tblCategories[Category])</f>
        <v>Menswear</v>
      </c>
      <c r="H468">
        <v>48450</v>
      </c>
      <c r="I468">
        <v>48042</v>
      </c>
      <c r="J468">
        <v>95</v>
      </c>
      <c r="K468">
        <f>tblSales[[#This Row],[Sales]]-tblSales[[#This Row],[Budget]]</f>
        <v>408</v>
      </c>
      <c r="L468" s="3">
        <f>(tblSales[[#This Row],[Sales]]-tblSales[[#This Row],[Budget]])/tblSales[[#This Row],[Budget]]</f>
        <v>8.4925690021231421E-3</v>
      </c>
      <c r="M468" s="2">
        <f>tblSales[[#This Row],[Sales]]/tblSales[[#This Row],[Transactions]]</f>
        <v>510</v>
      </c>
    </row>
    <row r="469" spans="1:13" x14ac:dyDescent="0.25">
      <c r="A469" s="1">
        <v>46046</v>
      </c>
      <c r="B469" t="s">
        <v>16</v>
      </c>
      <c r="C469" t="s">
        <v>11</v>
      </c>
      <c r="D469" t="str">
        <f>_xlfn.XLOOKUP(tblSales[[#This Row],[Store ID]],tblStores[Store ID],tblStores[Store Name])</f>
        <v>Pretoria</v>
      </c>
      <c r="E469" t="str">
        <f>_xlfn.XLOOKUP(tblSales[[#This Row],[Store ID]],tblStores[Store ID],tblStores[Province])</f>
        <v>Gauteng</v>
      </c>
      <c r="F469" t="str">
        <f>_xlfn.XLOOKUP(tblSales[[#This Row],[Store ID]],tblStores[Store ID],tblStores[Manager])</f>
        <v>Susan Clark</v>
      </c>
      <c r="G469" t="str">
        <f>_xlfn.XLOOKUP(tblSales[[#This Row],[Category ID]],tblCategories[Category ID],tblCategories[Category])</f>
        <v>Footwear</v>
      </c>
      <c r="H469">
        <v>35280</v>
      </c>
      <c r="I469">
        <v>37088</v>
      </c>
      <c r="J469">
        <v>180</v>
      </c>
      <c r="K469">
        <f>tblSales[[#This Row],[Sales]]-tblSales[[#This Row],[Budget]]</f>
        <v>-1808</v>
      </c>
      <c r="L469" s="3">
        <f>(tblSales[[#This Row],[Sales]]-tblSales[[#This Row],[Budget]])/tblSales[[#This Row],[Budget]]</f>
        <v>-4.8748921484037963E-2</v>
      </c>
      <c r="M469" s="2">
        <f>tblSales[[#This Row],[Sales]]/tblSales[[#This Row],[Transactions]]</f>
        <v>196</v>
      </c>
    </row>
    <row r="470" spans="1:13" x14ac:dyDescent="0.25">
      <c r="A470" s="1">
        <v>46046</v>
      </c>
      <c r="B470" t="s">
        <v>17</v>
      </c>
      <c r="C470" t="s">
        <v>11</v>
      </c>
      <c r="D470" t="str">
        <f>_xlfn.XLOOKUP(tblSales[[#This Row],[Store ID]],tblStores[Store ID],tblStores[Store Name])</f>
        <v>Centurion</v>
      </c>
      <c r="E470" t="str">
        <f>_xlfn.XLOOKUP(tblSales[[#This Row],[Store ID]],tblStores[Store ID],tblStores[Province])</f>
        <v>Gauteng</v>
      </c>
      <c r="F470" t="str">
        <f>_xlfn.XLOOKUP(tblSales[[#This Row],[Store ID]],tblStores[Store ID],tblStores[Manager])</f>
        <v>Mark Wilson</v>
      </c>
      <c r="G470" t="str">
        <f>_xlfn.XLOOKUP(tblSales[[#This Row],[Category ID]],tblCategories[Category ID],tblCategories[Category])</f>
        <v>Footwear</v>
      </c>
      <c r="H470">
        <v>47730</v>
      </c>
      <c r="I470">
        <v>48254</v>
      </c>
      <c r="J470">
        <v>129</v>
      </c>
      <c r="K470">
        <f>tblSales[[#This Row],[Sales]]-tblSales[[#This Row],[Budget]]</f>
        <v>-524</v>
      </c>
      <c r="L470" s="3">
        <f>(tblSales[[#This Row],[Sales]]-tblSales[[#This Row],[Budget]])/tblSales[[#This Row],[Budget]]</f>
        <v>-1.0859203382103038E-2</v>
      </c>
      <c r="M470" s="2">
        <f>tblSales[[#This Row],[Sales]]/tblSales[[#This Row],[Transactions]]</f>
        <v>370</v>
      </c>
    </row>
    <row r="471" spans="1:13" x14ac:dyDescent="0.25">
      <c r="A471" s="1">
        <v>46046</v>
      </c>
      <c r="B471" t="s">
        <v>18</v>
      </c>
      <c r="C471" t="s">
        <v>7</v>
      </c>
      <c r="D471" t="str">
        <f>_xlfn.XLOOKUP(tblSales[[#This Row],[Store ID]],tblStores[Store ID],tblStores[Store Name])</f>
        <v>East Rand</v>
      </c>
      <c r="E471" t="str">
        <f>_xlfn.XLOOKUP(tblSales[[#This Row],[Store ID]],tblStores[Store ID],tblStores[Province])</f>
        <v>Gauteng</v>
      </c>
      <c r="F471" t="str">
        <f>_xlfn.XLOOKUP(tblSales[[#This Row],[Store ID]],tblStores[Store ID],tblStores[Manager])</f>
        <v>Lisa Young</v>
      </c>
      <c r="G471" t="str">
        <f>_xlfn.XLOOKUP(tblSales[[#This Row],[Category ID]],tblCategories[Category ID],tblCategories[Category])</f>
        <v>Menswear</v>
      </c>
      <c r="H471">
        <v>45250</v>
      </c>
      <c r="I471">
        <v>46714</v>
      </c>
      <c r="J471">
        <v>181</v>
      </c>
      <c r="K471">
        <f>tblSales[[#This Row],[Sales]]-tblSales[[#This Row],[Budget]]</f>
        <v>-1464</v>
      </c>
      <c r="L471" s="3">
        <f>(tblSales[[#This Row],[Sales]]-tblSales[[#This Row],[Budget]])/tblSales[[#This Row],[Budget]]</f>
        <v>-3.1339641221047224E-2</v>
      </c>
      <c r="M471" s="2">
        <f>tblSales[[#This Row],[Sales]]/tblSales[[#This Row],[Transactions]]</f>
        <v>250</v>
      </c>
    </row>
    <row r="472" spans="1:13" x14ac:dyDescent="0.25">
      <c r="A472" s="1">
        <v>46046</v>
      </c>
      <c r="B472" t="s">
        <v>20</v>
      </c>
      <c r="C472" t="s">
        <v>11</v>
      </c>
      <c r="D472" t="str">
        <f>_xlfn.XLOOKUP(tblSales[[#This Row],[Store ID]],tblStores[Store ID],tblStores[Store Name])</f>
        <v>Cape Town CBD</v>
      </c>
      <c r="E472" t="str">
        <f>_xlfn.XLOOKUP(tblSales[[#This Row],[Store ID]],tblStores[Store ID],tblStores[Province])</f>
        <v>Western Cape</v>
      </c>
      <c r="F472" t="str">
        <f>_xlfn.XLOOKUP(tblSales[[#This Row],[Store ID]],tblStores[Store ID],tblStores[Manager])</f>
        <v>Brian Hall</v>
      </c>
      <c r="G472" t="str">
        <f>_xlfn.XLOOKUP(tblSales[[#This Row],[Category ID]],tblCategories[Category ID],tblCategories[Category])</f>
        <v>Footwear</v>
      </c>
      <c r="H472">
        <v>58880</v>
      </c>
      <c r="I472">
        <v>57094</v>
      </c>
      <c r="J472">
        <v>115</v>
      </c>
      <c r="K472">
        <f>tblSales[[#This Row],[Sales]]-tblSales[[#This Row],[Budget]]</f>
        <v>1786</v>
      </c>
      <c r="L472" s="3">
        <f>(tblSales[[#This Row],[Sales]]-tblSales[[#This Row],[Budget]])/tblSales[[#This Row],[Budget]]</f>
        <v>3.1281745892738293E-2</v>
      </c>
      <c r="M472" s="2">
        <f>tblSales[[#This Row],[Sales]]/tblSales[[#This Row],[Transactions]]</f>
        <v>512</v>
      </c>
    </row>
    <row r="473" spans="1:13" x14ac:dyDescent="0.25">
      <c r="A473" s="1">
        <v>46046</v>
      </c>
      <c r="B473" t="s">
        <v>21</v>
      </c>
      <c r="C473" t="s">
        <v>7</v>
      </c>
      <c r="D473" t="str">
        <f>_xlfn.XLOOKUP(tblSales[[#This Row],[Store ID]],tblStores[Store ID],tblStores[Store Name])</f>
        <v>Canal Walk</v>
      </c>
      <c r="E473" t="str">
        <f>_xlfn.XLOOKUP(tblSales[[#This Row],[Store ID]],tblStores[Store ID],tblStores[Province])</f>
        <v>Western Cape</v>
      </c>
      <c r="F473" t="str">
        <f>_xlfn.XLOOKUP(tblSales[[#This Row],[Store ID]],tblStores[Store ID],tblStores[Manager])</f>
        <v>Megan Scott</v>
      </c>
      <c r="G473" t="str">
        <f>_xlfn.XLOOKUP(tblSales[[#This Row],[Category ID]],tblCategories[Category ID],tblCategories[Category])</f>
        <v>Menswear</v>
      </c>
      <c r="H473">
        <v>11275</v>
      </c>
      <c r="I473">
        <v>11554</v>
      </c>
      <c r="J473">
        <v>41</v>
      </c>
      <c r="K473">
        <f>tblSales[[#This Row],[Sales]]-tblSales[[#This Row],[Budget]]</f>
        <v>-279</v>
      </c>
      <c r="L473" s="3">
        <f>(tblSales[[#This Row],[Sales]]-tblSales[[#This Row],[Budget]])/tblSales[[#This Row],[Budget]]</f>
        <v>-2.414748139172581E-2</v>
      </c>
      <c r="M473" s="2">
        <f>tblSales[[#This Row],[Sales]]/tblSales[[#This Row],[Transactions]]</f>
        <v>275</v>
      </c>
    </row>
    <row r="474" spans="1:13" x14ac:dyDescent="0.25">
      <c r="A474" s="1">
        <v>46046</v>
      </c>
      <c r="B474" t="s">
        <v>23</v>
      </c>
      <c r="C474" t="s">
        <v>11</v>
      </c>
      <c r="D474" t="str">
        <f>_xlfn.XLOOKUP(tblSales[[#This Row],[Store ID]],tblStores[Store ID],tblStores[Store Name])</f>
        <v>Stellenbosch</v>
      </c>
      <c r="E474" t="str">
        <f>_xlfn.XLOOKUP(tblSales[[#This Row],[Store ID]],tblStores[Store ID],tblStores[Province])</f>
        <v>Western Cape</v>
      </c>
      <c r="F474" t="str">
        <f>_xlfn.XLOOKUP(tblSales[[#This Row],[Store ID]],tblStores[Store ID],tblStores[Manager])</f>
        <v>Jason King</v>
      </c>
      <c r="G474" t="str">
        <f>_xlfn.XLOOKUP(tblSales[[#This Row],[Category ID]],tblCategories[Category ID],tblCategories[Category])</f>
        <v>Footwear</v>
      </c>
      <c r="H474">
        <v>42720</v>
      </c>
      <c r="I474">
        <v>41243</v>
      </c>
      <c r="J474">
        <v>178</v>
      </c>
      <c r="K474">
        <f>tblSales[[#This Row],[Sales]]-tblSales[[#This Row],[Budget]]</f>
        <v>1477</v>
      </c>
      <c r="L474" s="3">
        <f>(tblSales[[#This Row],[Sales]]-tblSales[[#This Row],[Budget]])/tblSales[[#This Row],[Budget]]</f>
        <v>3.5812137817326575E-2</v>
      </c>
      <c r="M474" s="2">
        <f>tblSales[[#This Row],[Sales]]/tblSales[[#This Row],[Transactions]]</f>
        <v>240</v>
      </c>
    </row>
    <row r="475" spans="1:13" x14ac:dyDescent="0.25">
      <c r="A475" s="1">
        <v>46046</v>
      </c>
      <c r="B475" t="s">
        <v>24</v>
      </c>
      <c r="C475" t="s">
        <v>22</v>
      </c>
      <c r="D475" t="str">
        <f>_xlfn.XLOOKUP(tblSales[[#This Row],[Store ID]],tblStores[Store ID],tblStores[Store Name])</f>
        <v>George</v>
      </c>
      <c r="E475" t="str">
        <f>_xlfn.XLOOKUP(tblSales[[#This Row],[Store ID]],tblStores[Store ID],tblStores[Province])</f>
        <v>Western Cape</v>
      </c>
      <c r="F475" t="str">
        <f>_xlfn.XLOOKUP(tblSales[[#This Row],[Store ID]],tblStores[Store ID],tblStores[Manager])</f>
        <v>Chloe Hill</v>
      </c>
      <c r="G475" t="str">
        <f>_xlfn.XLOOKUP(tblSales[[#This Row],[Category ID]],tblCategories[Category ID],tblCategories[Category])</f>
        <v>Kids</v>
      </c>
      <c r="H475">
        <v>87720</v>
      </c>
      <c r="I475">
        <v>83653</v>
      </c>
      <c r="J475">
        <v>215</v>
      </c>
      <c r="K475">
        <f>tblSales[[#This Row],[Sales]]-tblSales[[#This Row],[Budget]]</f>
        <v>4067</v>
      </c>
      <c r="L475" s="3">
        <f>(tblSales[[#This Row],[Sales]]-tblSales[[#This Row],[Budget]])/tblSales[[#This Row],[Budget]]</f>
        <v>4.8617503257504212E-2</v>
      </c>
      <c r="M475" s="2">
        <f>tblSales[[#This Row],[Sales]]/tblSales[[#This Row],[Transactions]]</f>
        <v>408</v>
      </c>
    </row>
    <row r="476" spans="1:13" x14ac:dyDescent="0.25">
      <c r="A476" s="1">
        <v>46046</v>
      </c>
      <c r="B476" t="s">
        <v>25</v>
      </c>
      <c r="C476" t="s">
        <v>19</v>
      </c>
      <c r="D476" t="str">
        <f>_xlfn.XLOOKUP(tblSales[[#This Row],[Store ID]],tblStores[Store ID],tblStores[Store Name])</f>
        <v>Paarl</v>
      </c>
      <c r="E476" t="str">
        <f>_xlfn.XLOOKUP(tblSales[[#This Row],[Store ID]],tblStores[Store ID],tblStores[Province])</f>
        <v>Western Cape</v>
      </c>
      <c r="F476" t="str">
        <f>_xlfn.XLOOKUP(tblSales[[#This Row],[Store ID]],tblStores[Store ID],tblStores[Manager])</f>
        <v>Andrew Lee</v>
      </c>
      <c r="G476" t="str">
        <f>_xlfn.XLOOKUP(tblSales[[#This Row],[Category ID]],tblCategories[Category ID],tblCategories[Category])</f>
        <v>Accessories</v>
      </c>
      <c r="H476">
        <v>46548</v>
      </c>
      <c r="I476">
        <v>44222</v>
      </c>
      <c r="J476">
        <v>108</v>
      </c>
      <c r="K476">
        <f>tblSales[[#This Row],[Sales]]-tblSales[[#This Row],[Budget]]</f>
        <v>2326</v>
      </c>
      <c r="L476" s="3">
        <f>(tblSales[[#This Row],[Sales]]-tblSales[[#This Row],[Budget]])/tblSales[[#This Row],[Budget]]</f>
        <v>5.2598254262584236E-2</v>
      </c>
      <c r="M476" s="2">
        <f>tblSales[[#This Row],[Sales]]/tblSales[[#This Row],[Transactions]]</f>
        <v>431</v>
      </c>
    </row>
    <row r="477" spans="1:13" x14ac:dyDescent="0.25">
      <c r="A477" s="1">
        <v>46046</v>
      </c>
      <c r="B477" t="s">
        <v>26</v>
      </c>
      <c r="C477" t="s">
        <v>9</v>
      </c>
      <c r="D477" t="str">
        <f>_xlfn.XLOOKUP(tblSales[[#This Row],[Store ID]],tblStores[Store ID],tblStores[Store Name])</f>
        <v>Gqeberha</v>
      </c>
      <c r="E477" t="str">
        <f>_xlfn.XLOOKUP(tblSales[[#This Row],[Store ID]],tblStores[Store ID],tblStores[Province])</f>
        <v>Eastern Cape</v>
      </c>
      <c r="F477" t="str">
        <f>_xlfn.XLOOKUP(tblSales[[#This Row],[Store ID]],tblStores[Store ID],tblStores[Manager])</f>
        <v>Emma Baker</v>
      </c>
      <c r="G477" t="str">
        <f>_xlfn.XLOOKUP(tblSales[[#This Row],[Category ID]],tblCategories[Category ID],tblCategories[Category])</f>
        <v>Ladieswear</v>
      </c>
      <c r="H477">
        <v>21783</v>
      </c>
      <c r="I477">
        <v>20544</v>
      </c>
      <c r="J477">
        <v>53</v>
      </c>
      <c r="K477">
        <f>tblSales[[#This Row],[Sales]]-tblSales[[#This Row],[Budget]]</f>
        <v>1239</v>
      </c>
      <c r="L477" s="3">
        <f>(tblSales[[#This Row],[Sales]]-tblSales[[#This Row],[Budget]])/tblSales[[#This Row],[Budget]]</f>
        <v>6.0309579439252338E-2</v>
      </c>
      <c r="M477" s="2">
        <f>tblSales[[#This Row],[Sales]]/tblSales[[#This Row],[Transactions]]</f>
        <v>411</v>
      </c>
    </row>
    <row r="478" spans="1:13" x14ac:dyDescent="0.25">
      <c r="A478" s="1">
        <v>46046</v>
      </c>
      <c r="B478" t="s">
        <v>27</v>
      </c>
      <c r="C478" t="s">
        <v>11</v>
      </c>
      <c r="D478" t="str">
        <f>_xlfn.XLOOKUP(tblSales[[#This Row],[Store ID]],tblStores[Store ID],tblStores[Store Name])</f>
        <v>East London</v>
      </c>
      <c r="E478" t="str">
        <f>_xlfn.XLOOKUP(tblSales[[#This Row],[Store ID]],tblStores[Store ID],tblStores[Province])</f>
        <v>Eastern Cape</v>
      </c>
      <c r="F478" t="str">
        <f>_xlfn.XLOOKUP(tblSales[[#This Row],[Store ID]],tblStores[Store ID],tblStores[Manager])</f>
        <v>Daniel Evans</v>
      </c>
      <c r="G478" t="str">
        <f>_xlfn.XLOOKUP(tblSales[[#This Row],[Category ID]],tblCategories[Category ID],tblCategories[Category])</f>
        <v>Footwear</v>
      </c>
      <c r="H478">
        <v>19551</v>
      </c>
      <c r="I478">
        <v>20860</v>
      </c>
      <c r="J478">
        <v>57</v>
      </c>
      <c r="K478">
        <f>tblSales[[#This Row],[Sales]]-tblSales[[#This Row],[Budget]]</f>
        <v>-1309</v>
      </c>
      <c r="L478" s="3">
        <f>(tblSales[[#This Row],[Sales]]-tblSales[[#This Row],[Budget]])/tblSales[[#This Row],[Budget]]</f>
        <v>-6.2751677852348989E-2</v>
      </c>
      <c r="M478" s="2">
        <f>tblSales[[#This Row],[Sales]]/tblSales[[#This Row],[Transactions]]</f>
        <v>343</v>
      </c>
    </row>
    <row r="479" spans="1:13" x14ac:dyDescent="0.25">
      <c r="A479" s="1">
        <v>46046</v>
      </c>
      <c r="B479" t="s">
        <v>28</v>
      </c>
      <c r="C479" t="s">
        <v>7</v>
      </c>
      <c r="D479" t="str">
        <f>_xlfn.XLOOKUP(tblSales[[#This Row],[Store ID]],tblStores[Store ID],tblStores[Store Name])</f>
        <v>Bloemfontein</v>
      </c>
      <c r="E479" t="str">
        <f>_xlfn.XLOOKUP(tblSales[[#This Row],[Store ID]],tblStores[Store ID],tblStores[Province])</f>
        <v>Free State</v>
      </c>
      <c r="F479" t="str">
        <f>_xlfn.XLOOKUP(tblSales[[#This Row],[Store ID]],tblStores[Store ID],tblStores[Manager])</f>
        <v>Rachel Moore</v>
      </c>
      <c r="G479" t="str">
        <f>_xlfn.XLOOKUP(tblSales[[#This Row],[Category ID]],tblCategories[Category ID],tblCategories[Category])</f>
        <v>Menswear</v>
      </c>
      <c r="H479">
        <v>79975</v>
      </c>
      <c r="I479">
        <v>77782</v>
      </c>
      <c r="J479">
        <v>175</v>
      </c>
      <c r="K479">
        <f>tblSales[[#This Row],[Sales]]-tblSales[[#This Row],[Budget]]</f>
        <v>2193</v>
      </c>
      <c r="L479" s="3">
        <f>(tblSales[[#This Row],[Sales]]-tblSales[[#This Row],[Budget]])/tblSales[[#This Row],[Budget]]</f>
        <v>2.8194183744311024E-2</v>
      </c>
      <c r="M479" s="2">
        <f>tblSales[[#This Row],[Sales]]/tblSales[[#This Row],[Transactions]]</f>
        <v>457</v>
      </c>
    </row>
    <row r="480" spans="1:13" x14ac:dyDescent="0.25">
      <c r="A480" s="1">
        <v>46046</v>
      </c>
      <c r="B480" t="s">
        <v>29</v>
      </c>
      <c r="C480" t="s">
        <v>22</v>
      </c>
      <c r="D480" t="str">
        <f>_xlfn.XLOOKUP(tblSales[[#This Row],[Store ID]],tblStores[Store ID],tblStores[Store Name])</f>
        <v>Polokwane</v>
      </c>
      <c r="E480" t="str">
        <f>_xlfn.XLOOKUP(tblSales[[#This Row],[Store ID]],tblStores[Store ID],tblStores[Province])</f>
        <v>Limpopo</v>
      </c>
      <c r="F480" t="str">
        <f>_xlfn.XLOOKUP(tblSales[[#This Row],[Store ID]],tblStores[Store ID],tblStores[Manager])</f>
        <v>Kevin Harris</v>
      </c>
      <c r="G480" t="str">
        <f>_xlfn.XLOOKUP(tblSales[[#This Row],[Category ID]],tblCategories[Category ID],tblCategories[Category])</f>
        <v>Kids</v>
      </c>
      <c r="H480">
        <v>37950</v>
      </c>
      <c r="I480">
        <v>35806</v>
      </c>
      <c r="J480">
        <v>75</v>
      </c>
      <c r="K480">
        <f>tblSales[[#This Row],[Sales]]-tblSales[[#This Row],[Budget]]</f>
        <v>2144</v>
      </c>
      <c r="L480" s="3">
        <f>(tblSales[[#This Row],[Sales]]-tblSales[[#This Row],[Budget]])/tblSales[[#This Row],[Budget]]</f>
        <v>5.9878232698430428E-2</v>
      </c>
      <c r="M480" s="2">
        <f>tblSales[[#This Row],[Sales]]/tblSales[[#This Row],[Transactions]]</f>
        <v>506</v>
      </c>
    </row>
    <row r="481" spans="1:13" x14ac:dyDescent="0.25">
      <c r="A481" s="1">
        <v>46046</v>
      </c>
      <c r="B481" t="s">
        <v>30</v>
      </c>
      <c r="C481" t="s">
        <v>22</v>
      </c>
      <c r="D481" t="str">
        <f>_xlfn.XLOOKUP(tblSales[[#This Row],[Store ID]],tblStores[Store ID],tblStores[Store Name])</f>
        <v>Nelspruit</v>
      </c>
      <c r="E481" t="str">
        <f>_xlfn.XLOOKUP(tblSales[[#This Row],[Store ID]],tblStores[Store ID],tblStores[Province])</f>
        <v>Mpumalanga</v>
      </c>
      <c r="F481" t="str">
        <f>_xlfn.XLOOKUP(tblSales[[#This Row],[Store ID]],tblStores[Store ID],tblStores[Manager])</f>
        <v>Olivia Turner</v>
      </c>
      <c r="G481" t="str">
        <f>_xlfn.XLOOKUP(tblSales[[#This Row],[Category ID]],tblCategories[Category ID],tblCategories[Category])</f>
        <v>Kids</v>
      </c>
      <c r="H481">
        <v>48510</v>
      </c>
      <c r="I481">
        <v>45130</v>
      </c>
      <c r="J481">
        <v>165</v>
      </c>
      <c r="K481">
        <f>tblSales[[#This Row],[Sales]]-tblSales[[#This Row],[Budget]]</f>
        <v>3380</v>
      </c>
      <c r="L481" s="3">
        <f>(tblSales[[#This Row],[Sales]]-tblSales[[#This Row],[Budget]])/tblSales[[#This Row],[Budget]]</f>
        <v>7.4894748504320846E-2</v>
      </c>
      <c r="M481" s="2">
        <f>tblSales[[#This Row],[Sales]]/tblSales[[#This Row],[Transactions]]</f>
        <v>294</v>
      </c>
    </row>
    <row r="482" spans="1:13" x14ac:dyDescent="0.25">
      <c r="A482" s="1">
        <v>46047</v>
      </c>
      <c r="B482" t="s">
        <v>6</v>
      </c>
      <c r="C482" t="s">
        <v>9</v>
      </c>
      <c r="D482" t="str">
        <f>_xlfn.XLOOKUP(tblSales[[#This Row],[Store ID]],tblStores[Store ID],tblStores[Store Name])</f>
        <v>Durban CBD</v>
      </c>
      <c r="E482" t="str">
        <f>_xlfn.XLOOKUP(tblSales[[#This Row],[Store ID]],tblStores[Store ID],tblStores[Province])</f>
        <v>KZN</v>
      </c>
      <c r="F482" t="str">
        <f>_xlfn.XLOOKUP(tblSales[[#This Row],[Store ID]],tblStores[Store ID],tblStores[Manager])</f>
        <v>Sarah Adams</v>
      </c>
      <c r="G482" t="str">
        <f>_xlfn.XLOOKUP(tblSales[[#This Row],[Category ID]],tblCategories[Category ID],tblCategories[Category])</f>
        <v>Ladieswear</v>
      </c>
      <c r="H482">
        <v>21070</v>
      </c>
      <c r="I482">
        <v>23126</v>
      </c>
      <c r="J482">
        <v>70</v>
      </c>
      <c r="K482">
        <f>tblSales[[#This Row],[Sales]]-tblSales[[#This Row],[Budget]]</f>
        <v>-2056</v>
      </c>
      <c r="L482" s="3">
        <f>(tblSales[[#This Row],[Sales]]-tblSales[[#This Row],[Budget]])/tblSales[[#This Row],[Budget]]</f>
        <v>-8.890426359941192E-2</v>
      </c>
      <c r="M482" s="2">
        <f>tblSales[[#This Row],[Sales]]/tblSales[[#This Row],[Transactions]]</f>
        <v>301</v>
      </c>
    </row>
    <row r="483" spans="1:13" x14ac:dyDescent="0.25">
      <c r="A483" s="1">
        <v>46047</v>
      </c>
      <c r="B483" t="s">
        <v>8</v>
      </c>
      <c r="C483" t="s">
        <v>7</v>
      </c>
      <c r="D483" t="str">
        <f>_xlfn.XLOOKUP(tblSales[[#This Row],[Store ID]],tblStores[Store ID],tblStores[Store Name])</f>
        <v>Gateway</v>
      </c>
      <c r="E483" t="str">
        <f>_xlfn.XLOOKUP(tblSales[[#This Row],[Store ID]],tblStores[Store ID],tblStores[Province])</f>
        <v>KZN</v>
      </c>
      <c r="F483" t="str">
        <f>_xlfn.XLOOKUP(tblSales[[#This Row],[Store ID]],tblStores[Store ID],tblStores[Manager])</f>
        <v>Michael Jones</v>
      </c>
      <c r="G483" t="str">
        <f>_xlfn.XLOOKUP(tblSales[[#This Row],[Category ID]],tblCategories[Category ID],tblCategories[Category])</f>
        <v>Menswear</v>
      </c>
      <c r="H483">
        <v>58801</v>
      </c>
      <c r="I483">
        <v>61333</v>
      </c>
      <c r="J483">
        <v>127</v>
      </c>
      <c r="K483">
        <f>tblSales[[#This Row],[Sales]]-tblSales[[#This Row],[Budget]]</f>
        <v>-2532</v>
      </c>
      <c r="L483" s="3">
        <f>(tblSales[[#This Row],[Sales]]-tblSales[[#This Row],[Budget]])/tblSales[[#This Row],[Budget]]</f>
        <v>-4.1282833058875319E-2</v>
      </c>
      <c r="M483" s="2">
        <f>tblSales[[#This Row],[Sales]]/tblSales[[#This Row],[Transactions]]</f>
        <v>463</v>
      </c>
    </row>
    <row r="484" spans="1:13" x14ac:dyDescent="0.25">
      <c r="A484" s="1">
        <v>46047</v>
      </c>
      <c r="B484" t="s">
        <v>10</v>
      </c>
      <c r="C484" t="s">
        <v>11</v>
      </c>
      <c r="D484" t="str">
        <f>_xlfn.XLOOKUP(tblSales[[#This Row],[Store ID]],tblStores[Store ID],tblStores[Store Name])</f>
        <v>Ballito</v>
      </c>
      <c r="E484" t="str">
        <f>_xlfn.XLOOKUP(tblSales[[#This Row],[Store ID]],tblStores[Store ID],tblStores[Province])</f>
        <v>KZN</v>
      </c>
      <c r="F484" t="str">
        <f>_xlfn.XLOOKUP(tblSales[[#This Row],[Store ID]],tblStores[Store ID],tblStores[Manager])</f>
        <v>Linda Smith</v>
      </c>
      <c r="G484" t="str">
        <f>_xlfn.XLOOKUP(tblSales[[#This Row],[Category ID]],tblCategories[Category ID],tblCategories[Category])</f>
        <v>Footwear</v>
      </c>
      <c r="H484">
        <v>43296</v>
      </c>
      <c r="I484">
        <v>45590</v>
      </c>
      <c r="J484">
        <v>176</v>
      </c>
      <c r="K484">
        <f>tblSales[[#This Row],[Sales]]-tblSales[[#This Row],[Budget]]</f>
        <v>-2294</v>
      </c>
      <c r="L484" s="3">
        <f>(tblSales[[#This Row],[Sales]]-tblSales[[#This Row],[Budget]])/tblSales[[#This Row],[Budget]]</f>
        <v>-5.0318052204430794E-2</v>
      </c>
      <c r="M484" s="2">
        <f>tblSales[[#This Row],[Sales]]/tblSales[[#This Row],[Transactions]]</f>
        <v>246</v>
      </c>
    </row>
    <row r="485" spans="1:13" x14ac:dyDescent="0.25">
      <c r="A485" s="1">
        <v>46047</v>
      </c>
      <c r="B485" t="s">
        <v>12</v>
      </c>
      <c r="C485" t="s">
        <v>7</v>
      </c>
      <c r="D485" t="str">
        <f>_xlfn.XLOOKUP(tblSales[[#This Row],[Store ID]],tblStores[Store ID],tblStores[Store Name])</f>
        <v>Pietermaritzburg</v>
      </c>
      <c r="E485" t="str">
        <f>_xlfn.XLOOKUP(tblSales[[#This Row],[Store ID]],tblStores[Store ID],tblStores[Province])</f>
        <v>KZN</v>
      </c>
      <c r="F485" t="str">
        <f>_xlfn.XLOOKUP(tblSales[[#This Row],[Store ID]],tblStores[Store ID],tblStores[Manager])</f>
        <v>Peter Brown</v>
      </c>
      <c r="G485" t="str">
        <f>_xlfn.XLOOKUP(tblSales[[#This Row],[Category ID]],tblCategories[Category ID],tblCategories[Category])</f>
        <v>Menswear</v>
      </c>
      <c r="H485">
        <v>17238</v>
      </c>
      <c r="I485">
        <v>17230</v>
      </c>
      <c r="J485">
        <v>51</v>
      </c>
      <c r="K485">
        <f>tblSales[[#This Row],[Sales]]-tblSales[[#This Row],[Budget]]</f>
        <v>8</v>
      </c>
      <c r="L485" s="3">
        <f>(tblSales[[#This Row],[Sales]]-tblSales[[#This Row],[Budget]])/tblSales[[#This Row],[Budget]]</f>
        <v>4.6430644225188626E-4</v>
      </c>
      <c r="M485" s="2">
        <f>tblSales[[#This Row],[Sales]]/tblSales[[#This Row],[Transactions]]</f>
        <v>338</v>
      </c>
    </row>
    <row r="486" spans="1:13" x14ac:dyDescent="0.25">
      <c r="A486" s="1">
        <v>46047</v>
      </c>
      <c r="B486" t="s">
        <v>13</v>
      </c>
      <c r="C486" t="s">
        <v>11</v>
      </c>
      <c r="D486" t="str">
        <f>_xlfn.XLOOKUP(tblSales[[#This Row],[Store ID]],tblStores[Store ID],tblStores[Store Name])</f>
        <v>Richards Bay</v>
      </c>
      <c r="E486" t="str">
        <f>_xlfn.XLOOKUP(tblSales[[#This Row],[Store ID]],tblStores[Store ID],tblStores[Province])</f>
        <v>KZN</v>
      </c>
      <c r="F486" t="str">
        <f>_xlfn.XLOOKUP(tblSales[[#This Row],[Store ID]],tblStores[Store ID],tblStores[Manager])</f>
        <v>David Green</v>
      </c>
      <c r="G486" t="str">
        <f>_xlfn.XLOOKUP(tblSales[[#This Row],[Category ID]],tblCategories[Category ID],tblCategories[Category])</f>
        <v>Footwear</v>
      </c>
      <c r="H486">
        <v>65910</v>
      </c>
      <c r="I486">
        <v>71992</v>
      </c>
      <c r="J486">
        <v>169</v>
      </c>
      <c r="K486">
        <f>tblSales[[#This Row],[Sales]]-tblSales[[#This Row],[Budget]]</f>
        <v>-6082</v>
      </c>
      <c r="L486" s="3">
        <f>(tblSales[[#This Row],[Sales]]-tblSales[[#This Row],[Budget]])/tblSales[[#This Row],[Budget]]</f>
        <v>-8.4481609067674185E-2</v>
      </c>
      <c r="M486" s="2">
        <f>tblSales[[#This Row],[Sales]]/tblSales[[#This Row],[Transactions]]</f>
        <v>390</v>
      </c>
    </row>
    <row r="487" spans="1:13" x14ac:dyDescent="0.25">
      <c r="A487" s="1">
        <v>46047</v>
      </c>
      <c r="B487" t="s">
        <v>14</v>
      </c>
      <c r="C487" t="s">
        <v>19</v>
      </c>
      <c r="D487" t="str">
        <f>_xlfn.XLOOKUP(tblSales[[#This Row],[Store ID]],tblStores[Store ID],tblStores[Store Name])</f>
        <v>Sandton</v>
      </c>
      <c r="E487" t="str">
        <f>_xlfn.XLOOKUP(tblSales[[#This Row],[Store ID]],tblStores[Store ID],tblStores[Province])</f>
        <v>Gauteng</v>
      </c>
      <c r="F487" t="str">
        <f>_xlfn.XLOOKUP(tblSales[[#This Row],[Store ID]],tblStores[Store ID],tblStores[Manager])</f>
        <v>Karen White</v>
      </c>
      <c r="G487" t="str">
        <f>_xlfn.XLOOKUP(tblSales[[#This Row],[Category ID]],tblCategories[Category ID],tblCategories[Category])</f>
        <v>Accessories</v>
      </c>
      <c r="H487">
        <v>12932</v>
      </c>
      <c r="I487">
        <v>14782</v>
      </c>
      <c r="J487">
        <v>53</v>
      </c>
      <c r="K487">
        <f>tblSales[[#This Row],[Sales]]-tblSales[[#This Row],[Budget]]</f>
        <v>-1850</v>
      </c>
      <c r="L487" s="3">
        <f>(tblSales[[#This Row],[Sales]]-tblSales[[#This Row],[Budget]])/tblSales[[#This Row],[Budget]]</f>
        <v>-0.12515221214991207</v>
      </c>
      <c r="M487" s="2">
        <f>tblSales[[#This Row],[Sales]]/tblSales[[#This Row],[Transactions]]</f>
        <v>244</v>
      </c>
    </row>
    <row r="488" spans="1:13" x14ac:dyDescent="0.25">
      <c r="A488" s="1">
        <v>46047</v>
      </c>
      <c r="B488" t="s">
        <v>15</v>
      </c>
      <c r="C488" t="s">
        <v>7</v>
      </c>
      <c r="D488" t="str">
        <f>_xlfn.XLOOKUP(tblSales[[#This Row],[Store ID]],tblStores[Store ID],tblStores[Store Name])</f>
        <v>Rosebank</v>
      </c>
      <c r="E488" t="str">
        <f>_xlfn.XLOOKUP(tblSales[[#This Row],[Store ID]],tblStores[Store ID],tblStores[Province])</f>
        <v>Gauteng</v>
      </c>
      <c r="F488" t="str">
        <f>_xlfn.XLOOKUP(tblSales[[#This Row],[Store ID]],tblStores[Store ID],tblStores[Manager])</f>
        <v>James Taylor</v>
      </c>
      <c r="G488" t="str">
        <f>_xlfn.XLOOKUP(tblSales[[#This Row],[Category ID]],tblCategories[Category ID],tblCategories[Category])</f>
        <v>Menswear</v>
      </c>
      <c r="H488">
        <v>62700</v>
      </c>
      <c r="I488">
        <v>67090</v>
      </c>
      <c r="J488">
        <v>150</v>
      </c>
      <c r="K488">
        <f>tblSales[[#This Row],[Sales]]-tblSales[[#This Row],[Budget]]</f>
        <v>-4390</v>
      </c>
      <c r="L488" s="3">
        <f>(tblSales[[#This Row],[Sales]]-tblSales[[#This Row],[Budget]])/tblSales[[#This Row],[Budget]]</f>
        <v>-6.543449098226263E-2</v>
      </c>
      <c r="M488" s="2">
        <f>tblSales[[#This Row],[Sales]]/tblSales[[#This Row],[Transactions]]</f>
        <v>418</v>
      </c>
    </row>
    <row r="489" spans="1:13" x14ac:dyDescent="0.25">
      <c r="A489" s="1">
        <v>46047</v>
      </c>
      <c r="B489" t="s">
        <v>16</v>
      </c>
      <c r="C489" t="s">
        <v>22</v>
      </c>
      <c r="D489" t="str">
        <f>_xlfn.XLOOKUP(tblSales[[#This Row],[Store ID]],tblStores[Store ID],tblStores[Store Name])</f>
        <v>Pretoria</v>
      </c>
      <c r="E489" t="str">
        <f>_xlfn.XLOOKUP(tblSales[[#This Row],[Store ID]],tblStores[Store ID],tblStores[Province])</f>
        <v>Gauteng</v>
      </c>
      <c r="F489" t="str">
        <f>_xlfn.XLOOKUP(tblSales[[#This Row],[Store ID]],tblStores[Store ID],tblStores[Manager])</f>
        <v>Susan Clark</v>
      </c>
      <c r="G489" t="str">
        <f>_xlfn.XLOOKUP(tblSales[[#This Row],[Category ID]],tblCategories[Category ID],tblCategories[Category])</f>
        <v>Kids</v>
      </c>
      <c r="H489">
        <v>30954</v>
      </c>
      <c r="I489">
        <v>32809</v>
      </c>
      <c r="J489">
        <v>67</v>
      </c>
      <c r="K489">
        <f>tblSales[[#This Row],[Sales]]-tblSales[[#This Row],[Budget]]</f>
        <v>-1855</v>
      </c>
      <c r="L489" s="3">
        <f>(tblSales[[#This Row],[Sales]]-tblSales[[#This Row],[Budget]])/tblSales[[#This Row],[Budget]]</f>
        <v>-5.6539364198847877E-2</v>
      </c>
      <c r="M489" s="2">
        <f>tblSales[[#This Row],[Sales]]/tblSales[[#This Row],[Transactions]]</f>
        <v>462</v>
      </c>
    </row>
    <row r="490" spans="1:13" x14ac:dyDescent="0.25">
      <c r="A490" s="1">
        <v>46047</v>
      </c>
      <c r="B490" t="s">
        <v>17</v>
      </c>
      <c r="C490" t="s">
        <v>9</v>
      </c>
      <c r="D490" t="str">
        <f>_xlfn.XLOOKUP(tblSales[[#This Row],[Store ID]],tblStores[Store ID],tblStores[Store Name])</f>
        <v>Centurion</v>
      </c>
      <c r="E490" t="str">
        <f>_xlfn.XLOOKUP(tblSales[[#This Row],[Store ID]],tblStores[Store ID],tblStores[Province])</f>
        <v>Gauteng</v>
      </c>
      <c r="F490" t="str">
        <f>_xlfn.XLOOKUP(tblSales[[#This Row],[Store ID]],tblStores[Store ID],tblStores[Manager])</f>
        <v>Mark Wilson</v>
      </c>
      <c r="G490" t="str">
        <f>_xlfn.XLOOKUP(tblSales[[#This Row],[Category ID]],tblCategories[Category ID],tblCategories[Category])</f>
        <v>Ladieswear</v>
      </c>
      <c r="H490">
        <v>27268</v>
      </c>
      <c r="I490">
        <v>27969</v>
      </c>
      <c r="J490">
        <v>68</v>
      </c>
      <c r="K490">
        <f>tblSales[[#This Row],[Sales]]-tblSales[[#This Row],[Budget]]</f>
        <v>-701</v>
      </c>
      <c r="L490" s="3">
        <f>(tblSales[[#This Row],[Sales]]-tblSales[[#This Row],[Budget]])/tblSales[[#This Row],[Budget]]</f>
        <v>-2.5063463119882726E-2</v>
      </c>
      <c r="M490" s="2">
        <f>tblSales[[#This Row],[Sales]]/tblSales[[#This Row],[Transactions]]</f>
        <v>401</v>
      </c>
    </row>
    <row r="491" spans="1:13" x14ac:dyDescent="0.25">
      <c r="A491" s="1">
        <v>46047</v>
      </c>
      <c r="B491" t="s">
        <v>18</v>
      </c>
      <c r="C491" t="s">
        <v>7</v>
      </c>
      <c r="D491" t="str">
        <f>_xlfn.XLOOKUP(tblSales[[#This Row],[Store ID]],tblStores[Store ID],tblStores[Store Name])</f>
        <v>East Rand</v>
      </c>
      <c r="E491" t="str">
        <f>_xlfn.XLOOKUP(tblSales[[#This Row],[Store ID]],tblStores[Store ID],tblStores[Province])</f>
        <v>Gauteng</v>
      </c>
      <c r="F491" t="str">
        <f>_xlfn.XLOOKUP(tblSales[[#This Row],[Store ID]],tblStores[Store ID],tblStores[Manager])</f>
        <v>Lisa Young</v>
      </c>
      <c r="G491" t="str">
        <f>_xlfn.XLOOKUP(tblSales[[#This Row],[Category ID]],tblCategories[Category ID],tblCategories[Category])</f>
        <v>Menswear</v>
      </c>
      <c r="H491">
        <v>29370</v>
      </c>
      <c r="I491">
        <v>27556</v>
      </c>
      <c r="J491">
        <v>66</v>
      </c>
      <c r="K491">
        <f>tblSales[[#This Row],[Sales]]-tblSales[[#This Row],[Budget]]</f>
        <v>1814</v>
      </c>
      <c r="L491" s="3">
        <f>(tblSales[[#This Row],[Sales]]-tblSales[[#This Row],[Budget]])/tblSales[[#This Row],[Budget]]</f>
        <v>6.5829583393816227E-2</v>
      </c>
      <c r="M491" s="2">
        <f>tblSales[[#This Row],[Sales]]/tblSales[[#This Row],[Transactions]]</f>
        <v>445</v>
      </c>
    </row>
    <row r="492" spans="1:13" x14ac:dyDescent="0.25">
      <c r="A492" s="1">
        <v>46047</v>
      </c>
      <c r="B492" t="s">
        <v>20</v>
      </c>
      <c r="C492" t="s">
        <v>9</v>
      </c>
      <c r="D492" t="str">
        <f>_xlfn.XLOOKUP(tblSales[[#This Row],[Store ID]],tblStores[Store ID],tblStores[Store Name])</f>
        <v>Cape Town CBD</v>
      </c>
      <c r="E492" t="str">
        <f>_xlfn.XLOOKUP(tblSales[[#This Row],[Store ID]],tblStores[Store ID],tblStores[Province])</f>
        <v>Western Cape</v>
      </c>
      <c r="F492" t="str">
        <f>_xlfn.XLOOKUP(tblSales[[#This Row],[Store ID]],tblStores[Store ID],tblStores[Manager])</f>
        <v>Brian Hall</v>
      </c>
      <c r="G492" t="str">
        <f>_xlfn.XLOOKUP(tblSales[[#This Row],[Category ID]],tblCategories[Category ID],tblCategories[Category])</f>
        <v>Ladieswear</v>
      </c>
      <c r="H492">
        <v>26220</v>
      </c>
      <c r="I492">
        <v>29725</v>
      </c>
      <c r="J492">
        <v>76</v>
      </c>
      <c r="K492">
        <f>tblSales[[#This Row],[Sales]]-tblSales[[#This Row],[Budget]]</f>
        <v>-3505</v>
      </c>
      <c r="L492" s="3">
        <f>(tblSales[[#This Row],[Sales]]-tblSales[[#This Row],[Budget]])/tblSales[[#This Row],[Budget]]</f>
        <v>-0.11791421362489488</v>
      </c>
      <c r="M492" s="2">
        <f>tblSales[[#This Row],[Sales]]/tblSales[[#This Row],[Transactions]]</f>
        <v>345</v>
      </c>
    </row>
    <row r="493" spans="1:13" x14ac:dyDescent="0.25">
      <c r="A493" s="1">
        <v>46047</v>
      </c>
      <c r="B493" t="s">
        <v>21</v>
      </c>
      <c r="C493" t="s">
        <v>9</v>
      </c>
      <c r="D493" t="str">
        <f>_xlfn.XLOOKUP(tblSales[[#This Row],[Store ID]],tblStores[Store ID],tblStores[Store Name])</f>
        <v>Canal Walk</v>
      </c>
      <c r="E493" t="str">
        <f>_xlfn.XLOOKUP(tblSales[[#This Row],[Store ID]],tblStores[Store ID],tblStores[Province])</f>
        <v>Western Cape</v>
      </c>
      <c r="F493" t="str">
        <f>_xlfn.XLOOKUP(tblSales[[#This Row],[Store ID]],tblStores[Store ID],tblStores[Manager])</f>
        <v>Megan Scott</v>
      </c>
      <c r="G493" t="str">
        <f>_xlfn.XLOOKUP(tblSales[[#This Row],[Category ID]],tblCategories[Category ID],tblCategories[Category])</f>
        <v>Ladieswear</v>
      </c>
      <c r="H493">
        <v>54735</v>
      </c>
      <c r="I493">
        <v>61507</v>
      </c>
      <c r="J493">
        <v>123</v>
      </c>
      <c r="K493">
        <f>tblSales[[#This Row],[Sales]]-tblSales[[#This Row],[Budget]]</f>
        <v>-6772</v>
      </c>
      <c r="L493" s="3">
        <f>(tblSales[[#This Row],[Sales]]-tblSales[[#This Row],[Budget]])/tblSales[[#This Row],[Budget]]</f>
        <v>-0.11010128928414652</v>
      </c>
      <c r="M493" s="2">
        <f>tblSales[[#This Row],[Sales]]/tblSales[[#This Row],[Transactions]]</f>
        <v>445</v>
      </c>
    </row>
    <row r="494" spans="1:13" x14ac:dyDescent="0.25">
      <c r="A494" s="1">
        <v>46047</v>
      </c>
      <c r="B494" t="s">
        <v>23</v>
      </c>
      <c r="C494" t="s">
        <v>7</v>
      </c>
      <c r="D494" t="str">
        <f>_xlfn.XLOOKUP(tblSales[[#This Row],[Store ID]],tblStores[Store ID],tblStores[Store Name])</f>
        <v>Stellenbosch</v>
      </c>
      <c r="E494" t="str">
        <f>_xlfn.XLOOKUP(tblSales[[#This Row],[Store ID]],tblStores[Store ID],tblStores[Province])</f>
        <v>Western Cape</v>
      </c>
      <c r="F494" t="str">
        <f>_xlfn.XLOOKUP(tblSales[[#This Row],[Store ID]],tblStores[Store ID],tblStores[Manager])</f>
        <v>Jason King</v>
      </c>
      <c r="G494" t="str">
        <f>_xlfn.XLOOKUP(tblSales[[#This Row],[Category ID]],tblCategories[Category ID],tblCategories[Category])</f>
        <v>Menswear</v>
      </c>
      <c r="H494">
        <v>27720</v>
      </c>
      <c r="I494">
        <v>29348</v>
      </c>
      <c r="J494">
        <v>99</v>
      </c>
      <c r="K494">
        <f>tblSales[[#This Row],[Sales]]-tblSales[[#This Row],[Budget]]</f>
        <v>-1628</v>
      </c>
      <c r="L494" s="3">
        <f>(tblSales[[#This Row],[Sales]]-tblSales[[#This Row],[Budget]])/tblSales[[#This Row],[Budget]]</f>
        <v>-5.5472263868065967E-2</v>
      </c>
      <c r="M494" s="2">
        <f>tblSales[[#This Row],[Sales]]/tblSales[[#This Row],[Transactions]]</f>
        <v>280</v>
      </c>
    </row>
    <row r="495" spans="1:13" x14ac:dyDescent="0.25">
      <c r="A495" s="1">
        <v>46047</v>
      </c>
      <c r="B495" t="s">
        <v>24</v>
      </c>
      <c r="C495" t="s">
        <v>19</v>
      </c>
      <c r="D495" t="str">
        <f>_xlfn.XLOOKUP(tblSales[[#This Row],[Store ID]],tblStores[Store ID],tblStores[Store Name])</f>
        <v>George</v>
      </c>
      <c r="E495" t="str">
        <f>_xlfn.XLOOKUP(tblSales[[#This Row],[Store ID]],tblStores[Store ID],tblStores[Province])</f>
        <v>Western Cape</v>
      </c>
      <c r="F495" t="str">
        <f>_xlfn.XLOOKUP(tblSales[[#This Row],[Store ID]],tblStores[Store ID],tblStores[Manager])</f>
        <v>Chloe Hill</v>
      </c>
      <c r="G495" t="str">
        <f>_xlfn.XLOOKUP(tblSales[[#This Row],[Category ID]],tblCategories[Category ID],tblCategories[Category])</f>
        <v>Accessories</v>
      </c>
      <c r="H495">
        <v>25620</v>
      </c>
      <c r="I495">
        <v>27061</v>
      </c>
      <c r="J495">
        <v>105</v>
      </c>
      <c r="K495">
        <f>tblSales[[#This Row],[Sales]]-tblSales[[#This Row],[Budget]]</f>
        <v>-1441</v>
      </c>
      <c r="L495" s="3">
        <f>(tblSales[[#This Row],[Sales]]-tblSales[[#This Row],[Budget]])/tblSales[[#This Row],[Budget]]</f>
        <v>-5.3250064668711433E-2</v>
      </c>
      <c r="M495" s="2">
        <f>tblSales[[#This Row],[Sales]]/tblSales[[#This Row],[Transactions]]</f>
        <v>244</v>
      </c>
    </row>
    <row r="496" spans="1:13" x14ac:dyDescent="0.25">
      <c r="A496" s="1">
        <v>46047</v>
      </c>
      <c r="B496" t="s">
        <v>25</v>
      </c>
      <c r="C496" t="s">
        <v>19</v>
      </c>
      <c r="D496" t="str">
        <f>_xlfn.XLOOKUP(tblSales[[#This Row],[Store ID]],tblStores[Store ID],tblStores[Store Name])</f>
        <v>Paarl</v>
      </c>
      <c r="E496" t="str">
        <f>_xlfn.XLOOKUP(tblSales[[#This Row],[Store ID]],tblStores[Store ID],tblStores[Province])</f>
        <v>Western Cape</v>
      </c>
      <c r="F496" t="str">
        <f>_xlfn.XLOOKUP(tblSales[[#This Row],[Store ID]],tblStores[Store ID],tblStores[Manager])</f>
        <v>Andrew Lee</v>
      </c>
      <c r="G496" t="str">
        <f>_xlfn.XLOOKUP(tblSales[[#This Row],[Category ID]],tblCategories[Category ID],tblCategories[Category])</f>
        <v>Accessories</v>
      </c>
      <c r="H496">
        <v>38817</v>
      </c>
      <c r="I496">
        <v>39812</v>
      </c>
      <c r="J496">
        <v>171</v>
      </c>
      <c r="K496">
        <f>tblSales[[#This Row],[Sales]]-tblSales[[#This Row],[Budget]]</f>
        <v>-995</v>
      </c>
      <c r="L496" s="3">
        <f>(tblSales[[#This Row],[Sales]]-tblSales[[#This Row],[Budget]])/tblSales[[#This Row],[Budget]]</f>
        <v>-2.4992464583542651E-2</v>
      </c>
      <c r="M496" s="2">
        <f>tblSales[[#This Row],[Sales]]/tblSales[[#This Row],[Transactions]]</f>
        <v>227</v>
      </c>
    </row>
    <row r="497" spans="1:13" x14ac:dyDescent="0.25">
      <c r="A497" s="1">
        <v>46047</v>
      </c>
      <c r="B497" t="s">
        <v>26</v>
      </c>
      <c r="C497" t="s">
        <v>9</v>
      </c>
      <c r="D497" t="str">
        <f>_xlfn.XLOOKUP(tblSales[[#This Row],[Store ID]],tblStores[Store ID],tblStores[Store Name])</f>
        <v>Gqeberha</v>
      </c>
      <c r="E497" t="str">
        <f>_xlfn.XLOOKUP(tblSales[[#This Row],[Store ID]],tblStores[Store ID],tblStores[Province])</f>
        <v>Eastern Cape</v>
      </c>
      <c r="F497" t="str">
        <f>_xlfn.XLOOKUP(tblSales[[#This Row],[Store ID]],tblStores[Store ID],tblStores[Manager])</f>
        <v>Emma Baker</v>
      </c>
      <c r="G497" t="str">
        <f>_xlfn.XLOOKUP(tblSales[[#This Row],[Category ID]],tblCategories[Category ID],tblCategories[Category])</f>
        <v>Ladieswear</v>
      </c>
      <c r="H497">
        <v>88722</v>
      </c>
      <c r="I497">
        <v>83269</v>
      </c>
      <c r="J497">
        <v>186</v>
      </c>
      <c r="K497">
        <f>tblSales[[#This Row],[Sales]]-tblSales[[#This Row],[Budget]]</f>
        <v>5453</v>
      </c>
      <c r="L497" s="3">
        <f>(tblSales[[#This Row],[Sales]]-tblSales[[#This Row],[Budget]])/tblSales[[#This Row],[Budget]]</f>
        <v>6.5486555620939371E-2</v>
      </c>
      <c r="M497" s="2">
        <f>tblSales[[#This Row],[Sales]]/tblSales[[#This Row],[Transactions]]</f>
        <v>477</v>
      </c>
    </row>
    <row r="498" spans="1:13" x14ac:dyDescent="0.25">
      <c r="A498" s="1">
        <v>46047</v>
      </c>
      <c r="B498" t="s">
        <v>27</v>
      </c>
      <c r="C498" t="s">
        <v>19</v>
      </c>
      <c r="D498" t="str">
        <f>_xlfn.XLOOKUP(tblSales[[#This Row],[Store ID]],tblStores[Store ID],tblStores[Store Name])</f>
        <v>East London</v>
      </c>
      <c r="E498" t="str">
        <f>_xlfn.XLOOKUP(tblSales[[#This Row],[Store ID]],tblStores[Store ID],tblStores[Province])</f>
        <v>Eastern Cape</v>
      </c>
      <c r="F498" t="str">
        <f>_xlfn.XLOOKUP(tblSales[[#This Row],[Store ID]],tblStores[Store ID],tblStores[Manager])</f>
        <v>Daniel Evans</v>
      </c>
      <c r="G498" t="str">
        <f>_xlfn.XLOOKUP(tblSales[[#This Row],[Category ID]],tblCategories[Category ID],tblCategories[Category])</f>
        <v>Accessories</v>
      </c>
      <c r="H498">
        <v>107091</v>
      </c>
      <c r="I498">
        <v>105420</v>
      </c>
      <c r="J498">
        <v>219</v>
      </c>
      <c r="K498">
        <f>tblSales[[#This Row],[Sales]]-tblSales[[#This Row],[Budget]]</f>
        <v>1671</v>
      </c>
      <c r="L498" s="3">
        <f>(tblSales[[#This Row],[Sales]]-tblSales[[#This Row],[Budget]])/tblSales[[#This Row],[Budget]]</f>
        <v>1.5850882185543539E-2</v>
      </c>
      <c r="M498" s="2">
        <f>tblSales[[#This Row],[Sales]]/tblSales[[#This Row],[Transactions]]</f>
        <v>489</v>
      </c>
    </row>
    <row r="499" spans="1:13" x14ac:dyDescent="0.25">
      <c r="A499" s="1">
        <v>46047</v>
      </c>
      <c r="B499" t="s">
        <v>28</v>
      </c>
      <c r="C499" t="s">
        <v>19</v>
      </c>
      <c r="D499" t="str">
        <f>_xlfn.XLOOKUP(tblSales[[#This Row],[Store ID]],tblStores[Store ID],tblStores[Store Name])</f>
        <v>Bloemfontein</v>
      </c>
      <c r="E499" t="str">
        <f>_xlfn.XLOOKUP(tblSales[[#This Row],[Store ID]],tblStores[Store ID],tblStores[Province])</f>
        <v>Free State</v>
      </c>
      <c r="F499" t="str">
        <f>_xlfn.XLOOKUP(tblSales[[#This Row],[Store ID]],tblStores[Store ID],tblStores[Manager])</f>
        <v>Rachel Moore</v>
      </c>
      <c r="G499" t="str">
        <f>_xlfn.XLOOKUP(tblSales[[#This Row],[Category ID]],tblCategories[Category ID],tblCategories[Category])</f>
        <v>Accessories</v>
      </c>
      <c r="H499">
        <v>8730</v>
      </c>
      <c r="I499">
        <v>8034</v>
      </c>
      <c r="J499">
        <v>45</v>
      </c>
      <c r="K499">
        <f>tblSales[[#This Row],[Sales]]-tblSales[[#This Row],[Budget]]</f>
        <v>696</v>
      </c>
      <c r="L499" s="3">
        <f>(tblSales[[#This Row],[Sales]]-tblSales[[#This Row],[Budget]])/tblSales[[#This Row],[Budget]]</f>
        <v>8.6631814787154593E-2</v>
      </c>
      <c r="M499" s="2">
        <f>tblSales[[#This Row],[Sales]]/tblSales[[#This Row],[Transactions]]</f>
        <v>194</v>
      </c>
    </row>
    <row r="500" spans="1:13" x14ac:dyDescent="0.25">
      <c r="A500" s="1">
        <v>46047</v>
      </c>
      <c r="B500" t="s">
        <v>29</v>
      </c>
      <c r="C500" t="s">
        <v>19</v>
      </c>
      <c r="D500" t="str">
        <f>_xlfn.XLOOKUP(tblSales[[#This Row],[Store ID]],tblStores[Store ID],tblStores[Store Name])</f>
        <v>Polokwane</v>
      </c>
      <c r="E500" t="str">
        <f>_xlfn.XLOOKUP(tblSales[[#This Row],[Store ID]],tblStores[Store ID],tblStores[Province])</f>
        <v>Limpopo</v>
      </c>
      <c r="F500" t="str">
        <f>_xlfn.XLOOKUP(tblSales[[#This Row],[Store ID]],tblStores[Store ID],tblStores[Manager])</f>
        <v>Kevin Harris</v>
      </c>
      <c r="G500" t="str">
        <f>_xlfn.XLOOKUP(tblSales[[#This Row],[Category ID]],tblCategories[Category ID],tblCategories[Category])</f>
        <v>Accessories</v>
      </c>
      <c r="H500">
        <v>52326</v>
      </c>
      <c r="I500">
        <v>49851</v>
      </c>
      <c r="J500">
        <v>102</v>
      </c>
      <c r="K500">
        <f>tblSales[[#This Row],[Sales]]-tblSales[[#This Row],[Budget]]</f>
        <v>2475</v>
      </c>
      <c r="L500" s="3">
        <f>(tblSales[[#This Row],[Sales]]-tblSales[[#This Row],[Budget]])/tblSales[[#This Row],[Budget]]</f>
        <v>4.9647950893663119E-2</v>
      </c>
      <c r="M500" s="2">
        <f>tblSales[[#This Row],[Sales]]/tblSales[[#This Row],[Transactions]]</f>
        <v>513</v>
      </c>
    </row>
    <row r="501" spans="1:13" x14ac:dyDescent="0.25">
      <c r="A501" s="1">
        <v>46047</v>
      </c>
      <c r="B501" t="s">
        <v>30</v>
      </c>
      <c r="C501" t="s">
        <v>19</v>
      </c>
      <c r="D501" t="str">
        <f>_xlfn.XLOOKUP(tblSales[[#This Row],[Store ID]],tblStores[Store ID],tblStores[Store Name])</f>
        <v>Nelspruit</v>
      </c>
      <c r="E501" t="str">
        <f>_xlfn.XLOOKUP(tblSales[[#This Row],[Store ID]],tblStores[Store ID],tblStores[Province])</f>
        <v>Mpumalanga</v>
      </c>
      <c r="F501" t="str">
        <f>_xlfn.XLOOKUP(tblSales[[#This Row],[Store ID]],tblStores[Store ID],tblStores[Manager])</f>
        <v>Olivia Turner</v>
      </c>
      <c r="G501" t="str">
        <f>_xlfn.XLOOKUP(tblSales[[#This Row],[Category ID]],tblCategories[Category ID],tblCategories[Category])</f>
        <v>Accessories</v>
      </c>
      <c r="H501">
        <v>69936</v>
      </c>
      <c r="I501">
        <v>74114</v>
      </c>
      <c r="J501">
        <v>141</v>
      </c>
      <c r="K501">
        <f>tblSales[[#This Row],[Sales]]-tblSales[[#This Row],[Budget]]</f>
        <v>-4178</v>
      </c>
      <c r="L501" s="3">
        <f>(tblSales[[#This Row],[Sales]]-tblSales[[#This Row],[Budget]])/tblSales[[#This Row],[Budget]]</f>
        <v>-5.6372615160428532E-2</v>
      </c>
      <c r="M501" s="2">
        <f>tblSales[[#This Row],[Sales]]/tblSales[[#This Row],[Transactions]]</f>
        <v>496</v>
      </c>
    </row>
    <row r="502" spans="1:13" x14ac:dyDescent="0.25">
      <c r="A502" s="1">
        <v>46048</v>
      </c>
      <c r="B502" t="s">
        <v>6</v>
      </c>
      <c r="C502" t="s">
        <v>11</v>
      </c>
      <c r="D502" t="str">
        <f>_xlfn.XLOOKUP(tblSales[[#This Row],[Store ID]],tblStores[Store ID],tblStores[Store Name])</f>
        <v>Durban CBD</v>
      </c>
      <c r="E502" t="str">
        <f>_xlfn.XLOOKUP(tblSales[[#This Row],[Store ID]],tblStores[Store ID],tblStores[Province])</f>
        <v>KZN</v>
      </c>
      <c r="F502" t="str">
        <f>_xlfn.XLOOKUP(tblSales[[#This Row],[Store ID]],tblStores[Store ID],tblStores[Manager])</f>
        <v>Sarah Adams</v>
      </c>
      <c r="G502" t="str">
        <f>_xlfn.XLOOKUP(tblSales[[#This Row],[Category ID]],tblCategories[Category ID],tblCategories[Category])</f>
        <v>Footwear</v>
      </c>
      <c r="H502">
        <v>89505</v>
      </c>
      <c r="I502">
        <v>87036</v>
      </c>
      <c r="J502">
        <v>195</v>
      </c>
      <c r="K502">
        <f>tblSales[[#This Row],[Sales]]-tblSales[[#This Row],[Budget]]</f>
        <v>2469</v>
      </c>
      <c r="L502" s="3">
        <f>(tblSales[[#This Row],[Sales]]-tblSales[[#This Row],[Budget]])/tblSales[[#This Row],[Budget]]</f>
        <v>2.836757203915621E-2</v>
      </c>
      <c r="M502" s="2">
        <f>tblSales[[#This Row],[Sales]]/tblSales[[#This Row],[Transactions]]</f>
        <v>459</v>
      </c>
    </row>
    <row r="503" spans="1:13" x14ac:dyDescent="0.25">
      <c r="A503" s="1">
        <v>46048</v>
      </c>
      <c r="B503" t="s">
        <v>8</v>
      </c>
      <c r="C503" t="s">
        <v>22</v>
      </c>
      <c r="D503" t="str">
        <f>_xlfn.XLOOKUP(tblSales[[#This Row],[Store ID]],tblStores[Store ID],tblStores[Store Name])</f>
        <v>Gateway</v>
      </c>
      <c r="E503" t="str">
        <f>_xlfn.XLOOKUP(tblSales[[#This Row],[Store ID]],tblStores[Store ID],tblStores[Province])</f>
        <v>KZN</v>
      </c>
      <c r="F503" t="str">
        <f>_xlfn.XLOOKUP(tblSales[[#This Row],[Store ID]],tblStores[Store ID],tblStores[Manager])</f>
        <v>Michael Jones</v>
      </c>
      <c r="G503" t="str">
        <f>_xlfn.XLOOKUP(tblSales[[#This Row],[Category ID]],tblCategories[Category ID],tblCategories[Category])</f>
        <v>Kids</v>
      </c>
      <c r="H503">
        <v>48190</v>
      </c>
      <c r="I503">
        <v>53065</v>
      </c>
      <c r="J503">
        <v>158</v>
      </c>
      <c r="K503">
        <f>tblSales[[#This Row],[Sales]]-tblSales[[#This Row],[Budget]]</f>
        <v>-4875</v>
      </c>
      <c r="L503" s="3">
        <f>(tblSales[[#This Row],[Sales]]-tblSales[[#This Row],[Budget]])/tblSales[[#This Row],[Budget]]</f>
        <v>-9.1868463205502682E-2</v>
      </c>
      <c r="M503" s="2">
        <f>tblSales[[#This Row],[Sales]]/tblSales[[#This Row],[Transactions]]</f>
        <v>305</v>
      </c>
    </row>
    <row r="504" spans="1:13" x14ac:dyDescent="0.25">
      <c r="A504" s="1">
        <v>46048</v>
      </c>
      <c r="B504" t="s">
        <v>10</v>
      </c>
      <c r="C504" t="s">
        <v>11</v>
      </c>
      <c r="D504" t="str">
        <f>_xlfn.XLOOKUP(tblSales[[#This Row],[Store ID]],tblStores[Store ID],tblStores[Store Name])</f>
        <v>Ballito</v>
      </c>
      <c r="E504" t="str">
        <f>_xlfn.XLOOKUP(tblSales[[#This Row],[Store ID]],tblStores[Store ID],tblStores[Province])</f>
        <v>KZN</v>
      </c>
      <c r="F504" t="str">
        <f>_xlfn.XLOOKUP(tblSales[[#This Row],[Store ID]],tblStores[Store ID],tblStores[Manager])</f>
        <v>Linda Smith</v>
      </c>
      <c r="G504" t="str">
        <f>_xlfn.XLOOKUP(tblSales[[#This Row],[Category ID]],tblCategories[Category ID],tblCategories[Category])</f>
        <v>Footwear</v>
      </c>
      <c r="H504">
        <v>45732</v>
      </c>
      <c r="I504">
        <v>41993</v>
      </c>
      <c r="J504">
        <v>111</v>
      </c>
      <c r="K504">
        <f>tblSales[[#This Row],[Sales]]-tblSales[[#This Row],[Budget]]</f>
        <v>3739</v>
      </c>
      <c r="L504" s="3">
        <f>(tblSales[[#This Row],[Sales]]-tblSales[[#This Row],[Budget]])/tblSales[[#This Row],[Budget]]</f>
        <v>8.9038649298692638E-2</v>
      </c>
      <c r="M504" s="2">
        <f>tblSales[[#This Row],[Sales]]/tblSales[[#This Row],[Transactions]]</f>
        <v>412</v>
      </c>
    </row>
    <row r="505" spans="1:13" x14ac:dyDescent="0.25">
      <c r="A505" s="1">
        <v>46048</v>
      </c>
      <c r="B505" t="s">
        <v>12</v>
      </c>
      <c r="C505" t="s">
        <v>7</v>
      </c>
      <c r="D505" t="str">
        <f>_xlfn.XLOOKUP(tblSales[[#This Row],[Store ID]],tblStores[Store ID],tblStores[Store Name])</f>
        <v>Pietermaritzburg</v>
      </c>
      <c r="E505" t="str">
        <f>_xlfn.XLOOKUP(tblSales[[#This Row],[Store ID]],tblStores[Store ID],tblStores[Province])</f>
        <v>KZN</v>
      </c>
      <c r="F505" t="str">
        <f>_xlfn.XLOOKUP(tblSales[[#This Row],[Store ID]],tblStores[Store ID],tblStores[Manager])</f>
        <v>Peter Brown</v>
      </c>
      <c r="G505" t="str">
        <f>_xlfn.XLOOKUP(tblSales[[#This Row],[Category ID]],tblCategories[Category ID],tblCategories[Category])</f>
        <v>Menswear</v>
      </c>
      <c r="H505">
        <v>30375</v>
      </c>
      <c r="I505">
        <v>30493</v>
      </c>
      <c r="J505">
        <v>75</v>
      </c>
      <c r="K505">
        <f>tblSales[[#This Row],[Sales]]-tblSales[[#This Row],[Budget]]</f>
        <v>-118</v>
      </c>
      <c r="L505" s="3">
        <f>(tblSales[[#This Row],[Sales]]-tblSales[[#This Row],[Budget]])/tblSales[[#This Row],[Budget]]</f>
        <v>-3.8697405962024073E-3</v>
      </c>
      <c r="M505" s="2">
        <f>tblSales[[#This Row],[Sales]]/tblSales[[#This Row],[Transactions]]</f>
        <v>405</v>
      </c>
    </row>
    <row r="506" spans="1:13" x14ac:dyDescent="0.25">
      <c r="A506" s="1">
        <v>46048</v>
      </c>
      <c r="B506" t="s">
        <v>13</v>
      </c>
      <c r="C506" t="s">
        <v>11</v>
      </c>
      <c r="D506" t="str">
        <f>_xlfn.XLOOKUP(tblSales[[#This Row],[Store ID]],tblStores[Store ID],tblStores[Store Name])</f>
        <v>Richards Bay</v>
      </c>
      <c r="E506" t="str">
        <f>_xlfn.XLOOKUP(tblSales[[#This Row],[Store ID]],tblStores[Store ID],tblStores[Province])</f>
        <v>KZN</v>
      </c>
      <c r="F506" t="str">
        <f>_xlfn.XLOOKUP(tblSales[[#This Row],[Store ID]],tblStores[Store ID],tblStores[Manager])</f>
        <v>David Green</v>
      </c>
      <c r="G506" t="str">
        <f>_xlfn.XLOOKUP(tblSales[[#This Row],[Category ID]],tblCategories[Category ID],tblCategories[Category])</f>
        <v>Footwear</v>
      </c>
      <c r="H506">
        <v>30798</v>
      </c>
      <c r="I506">
        <v>32389</v>
      </c>
      <c r="J506">
        <v>87</v>
      </c>
      <c r="K506">
        <f>tblSales[[#This Row],[Sales]]-tblSales[[#This Row],[Budget]]</f>
        <v>-1591</v>
      </c>
      <c r="L506" s="3">
        <f>(tblSales[[#This Row],[Sales]]-tblSales[[#This Row],[Budget]])/tblSales[[#This Row],[Budget]]</f>
        <v>-4.9121615363240605E-2</v>
      </c>
      <c r="M506" s="2">
        <f>tblSales[[#This Row],[Sales]]/tblSales[[#This Row],[Transactions]]</f>
        <v>354</v>
      </c>
    </row>
    <row r="507" spans="1:13" x14ac:dyDescent="0.25">
      <c r="A507" s="1">
        <v>46048</v>
      </c>
      <c r="B507" t="s">
        <v>14</v>
      </c>
      <c r="C507" t="s">
        <v>22</v>
      </c>
      <c r="D507" t="str">
        <f>_xlfn.XLOOKUP(tblSales[[#This Row],[Store ID]],tblStores[Store ID],tblStores[Store Name])</f>
        <v>Sandton</v>
      </c>
      <c r="E507" t="str">
        <f>_xlfn.XLOOKUP(tblSales[[#This Row],[Store ID]],tblStores[Store ID],tblStores[Province])</f>
        <v>Gauteng</v>
      </c>
      <c r="F507" t="str">
        <f>_xlfn.XLOOKUP(tblSales[[#This Row],[Store ID]],tblStores[Store ID],tblStores[Manager])</f>
        <v>Karen White</v>
      </c>
      <c r="G507" t="str">
        <f>_xlfn.XLOOKUP(tblSales[[#This Row],[Category ID]],tblCategories[Category ID],tblCategories[Category])</f>
        <v>Kids</v>
      </c>
      <c r="H507">
        <v>74774</v>
      </c>
      <c r="I507">
        <v>81021</v>
      </c>
      <c r="J507">
        <v>218</v>
      </c>
      <c r="K507">
        <f>tblSales[[#This Row],[Sales]]-tblSales[[#This Row],[Budget]]</f>
        <v>-6247</v>
      </c>
      <c r="L507" s="3">
        <f>(tblSales[[#This Row],[Sales]]-tblSales[[#This Row],[Budget]])/tblSales[[#This Row],[Budget]]</f>
        <v>-7.7103467002382103E-2</v>
      </c>
      <c r="M507" s="2">
        <f>tblSales[[#This Row],[Sales]]/tblSales[[#This Row],[Transactions]]</f>
        <v>343</v>
      </c>
    </row>
    <row r="508" spans="1:13" x14ac:dyDescent="0.25">
      <c r="A508" s="1">
        <v>46048</v>
      </c>
      <c r="B508" t="s">
        <v>15</v>
      </c>
      <c r="C508" t="s">
        <v>22</v>
      </c>
      <c r="D508" t="str">
        <f>_xlfn.XLOOKUP(tblSales[[#This Row],[Store ID]],tblStores[Store ID],tblStores[Store Name])</f>
        <v>Rosebank</v>
      </c>
      <c r="E508" t="str">
        <f>_xlfn.XLOOKUP(tblSales[[#This Row],[Store ID]],tblStores[Store ID],tblStores[Province])</f>
        <v>Gauteng</v>
      </c>
      <c r="F508" t="str">
        <f>_xlfn.XLOOKUP(tblSales[[#This Row],[Store ID]],tblStores[Store ID],tblStores[Manager])</f>
        <v>James Taylor</v>
      </c>
      <c r="G508" t="str">
        <f>_xlfn.XLOOKUP(tblSales[[#This Row],[Category ID]],tblCategories[Category ID],tblCategories[Category])</f>
        <v>Kids</v>
      </c>
      <c r="H508">
        <v>33702</v>
      </c>
      <c r="I508">
        <v>36740</v>
      </c>
      <c r="J508">
        <v>137</v>
      </c>
      <c r="K508">
        <f>tblSales[[#This Row],[Sales]]-tblSales[[#This Row],[Budget]]</f>
        <v>-3038</v>
      </c>
      <c r="L508" s="3">
        <f>(tblSales[[#This Row],[Sales]]-tblSales[[#This Row],[Budget]])/tblSales[[#This Row],[Budget]]</f>
        <v>-8.2689167120304843E-2</v>
      </c>
      <c r="M508" s="2">
        <f>tblSales[[#This Row],[Sales]]/tblSales[[#This Row],[Transactions]]</f>
        <v>246</v>
      </c>
    </row>
    <row r="509" spans="1:13" x14ac:dyDescent="0.25">
      <c r="A509" s="1">
        <v>46048</v>
      </c>
      <c r="B509" t="s">
        <v>16</v>
      </c>
      <c r="C509" t="s">
        <v>19</v>
      </c>
      <c r="D509" t="str">
        <f>_xlfn.XLOOKUP(tblSales[[#This Row],[Store ID]],tblStores[Store ID],tblStores[Store Name])</f>
        <v>Pretoria</v>
      </c>
      <c r="E509" t="str">
        <f>_xlfn.XLOOKUP(tblSales[[#This Row],[Store ID]],tblStores[Store ID],tblStores[Province])</f>
        <v>Gauteng</v>
      </c>
      <c r="F509" t="str">
        <f>_xlfn.XLOOKUP(tblSales[[#This Row],[Store ID]],tblStores[Store ID],tblStores[Manager])</f>
        <v>Susan Clark</v>
      </c>
      <c r="G509" t="str">
        <f>_xlfn.XLOOKUP(tblSales[[#This Row],[Category ID]],tblCategories[Category ID],tblCategories[Category])</f>
        <v>Accessories</v>
      </c>
      <c r="H509">
        <v>41652</v>
      </c>
      <c r="I509">
        <v>40809</v>
      </c>
      <c r="J509">
        <v>178</v>
      </c>
      <c r="K509">
        <f>tblSales[[#This Row],[Sales]]-tblSales[[#This Row],[Budget]]</f>
        <v>843</v>
      </c>
      <c r="L509" s="3">
        <f>(tblSales[[#This Row],[Sales]]-tblSales[[#This Row],[Budget]])/tblSales[[#This Row],[Budget]]</f>
        <v>2.0657207968830405E-2</v>
      </c>
      <c r="M509" s="2">
        <f>tblSales[[#This Row],[Sales]]/tblSales[[#This Row],[Transactions]]</f>
        <v>234</v>
      </c>
    </row>
    <row r="510" spans="1:13" x14ac:dyDescent="0.25">
      <c r="A510" s="1">
        <v>46048</v>
      </c>
      <c r="B510" t="s">
        <v>17</v>
      </c>
      <c r="C510" t="s">
        <v>11</v>
      </c>
      <c r="D510" t="str">
        <f>_xlfn.XLOOKUP(tblSales[[#This Row],[Store ID]],tblStores[Store ID],tblStores[Store Name])</f>
        <v>Centurion</v>
      </c>
      <c r="E510" t="str">
        <f>_xlfn.XLOOKUP(tblSales[[#This Row],[Store ID]],tblStores[Store ID],tblStores[Province])</f>
        <v>Gauteng</v>
      </c>
      <c r="F510" t="str">
        <f>_xlfn.XLOOKUP(tblSales[[#This Row],[Store ID]],tblStores[Store ID],tblStores[Manager])</f>
        <v>Mark Wilson</v>
      </c>
      <c r="G510" t="str">
        <f>_xlfn.XLOOKUP(tblSales[[#This Row],[Category ID]],tblCategories[Category ID],tblCategories[Category])</f>
        <v>Footwear</v>
      </c>
      <c r="H510">
        <v>20856</v>
      </c>
      <c r="I510">
        <v>21114</v>
      </c>
      <c r="J510">
        <v>66</v>
      </c>
      <c r="K510">
        <f>tblSales[[#This Row],[Sales]]-tblSales[[#This Row],[Budget]]</f>
        <v>-258</v>
      </c>
      <c r="L510" s="3">
        <f>(tblSales[[#This Row],[Sales]]-tblSales[[#This Row],[Budget]])/tblSales[[#This Row],[Budget]]</f>
        <v>-1.2219380505825519E-2</v>
      </c>
      <c r="M510" s="2">
        <f>tblSales[[#This Row],[Sales]]/tblSales[[#This Row],[Transactions]]</f>
        <v>316</v>
      </c>
    </row>
    <row r="511" spans="1:13" x14ac:dyDescent="0.25">
      <c r="A511" s="1">
        <v>46048</v>
      </c>
      <c r="B511" t="s">
        <v>18</v>
      </c>
      <c r="C511" t="s">
        <v>9</v>
      </c>
      <c r="D511" t="str">
        <f>_xlfn.XLOOKUP(tblSales[[#This Row],[Store ID]],tblStores[Store ID],tblStores[Store Name])</f>
        <v>East Rand</v>
      </c>
      <c r="E511" t="str">
        <f>_xlfn.XLOOKUP(tblSales[[#This Row],[Store ID]],tblStores[Store ID],tblStores[Province])</f>
        <v>Gauteng</v>
      </c>
      <c r="F511" t="str">
        <f>_xlfn.XLOOKUP(tblSales[[#This Row],[Store ID]],tblStores[Store ID],tblStores[Manager])</f>
        <v>Lisa Young</v>
      </c>
      <c r="G511" t="str">
        <f>_xlfn.XLOOKUP(tblSales[[#This Row],[Category ID]],tblCategories[Category ID],tblCategories[Category])</f>
        <v>Ladieswear</v>
      </c>
      <c r="H511">
        <v>12095</v>
      </c>
      <c r="I511">
        <v>11763</v>
      </c>
      <c r="J511">
        <v>59</v>
      </c>
      <c r="K511">
        <f>tblSales[[#This Row],[Sales]]-tblSales[[#This Row],[Budget]]</f>
        <v>332</v>
      </c>
      <c r="L511" s="3">
        <f>(tblSales[[#This Row],[Sales]]-tblSales[[#This Row],[Budget]])/tblSales[[#This Row],[Budget]]</f>
        <v>2.8224092493411543E-2</v>
      </c>
      <c r="M511" s="2">
        <f>tblSales[[#This Row],[Sales]]/tblSales[[#This Row],[Transactions]]</f>
        <v>205</v>
      </c>
    </row>
    <row r="512" spans="1:13" x14ac:dyDescent="0.25">
      <c r="A512" s="1">
        <v>46048</v>
      </c>
      <c r="B512" t="s">
        <v>20</v>
      </c>
      <c r="C512" t="s">
        <v>11</v>
      </c>
      <c r="D512" t="str">
        <f>_xlfn.XLOOKUP(tblSales[[#This Row],[Store ID]],tblStores[Store ID],tblStores[Store Name])</f>
        <v>Cape Town CBD</v>
      </c>
      <c r="E512" t="str">
        <f>_xlfn.XLOOKUP(tblSales[[#This Row],[Store ID]],tblStores[Store ID],tblStores[Province])</f>
        <v>Western Cape</v>
      </c>
      <c r="F512" t="str">
        <f>_xlfn.XLOOKUP(tblSales[[#This Row],[Store ID]],tblStores[Store ID],tblStores[Manager])</f>
        <v>Brian Hall</v>
      </c>
      <c r="G512" t="str">
        <f>_xlfn.XLOOKUP(tblSales[[#This Row],[Category ID]],tblCategories[Category ID],tblCategories[Category])</f>
        <v>Footwear</v>
      </c>
      <c r="H512">
        <v>75648</v>
      </c>
      <c r="I512">
        <v>72778</v>
      </c>
      <c r="J512">
        <v>192</v>
      </c>
      <c r="K512">
        <f>tblSales[[#This Row],[Sales]]-tblSales[[#This Row],[Budget]]</f>
        <v>2870</v>
      </c>
      <c r="L512" s="3">
        <f>(tblSales[[#This Row],[Sales]]-tblSales[[#This Row],[Budget]])/tblSales[[#This Row],[Budget]]</f>
        <v>3.9434994091621094E-2</v>
      </c>
      <c r="M512" s="2">
        <f>tblSales[[#This Row],[Sales]]/tblSales[[#This Row],[Transactions]]</f>
        <v>394</v>
      </c>
    </row>
    <row r="513" spans="1:13" x14ac:dyDescent="0.25">
      <c r="A513" s="1">
        <v>46048</v>
      </c>
      <c r="B513" t="s">
        <v>21</v>
      </c>
      <c r="C513" t="s">
        <v>9</v>
      </c>
      <c r="D513" t="str">
        <f>_xlfn.XLOOKUP(tblSales[[#This Row],[Store ID]],tblStores[Store ID],tblStores[Store Name])</f>
        <v>Canal Walk</v>
      </c>
      <c r="E513" t="str">
        <f>_xlfn.XLOOKUP(tblSales[[#This Row],[Store ID]],tblStores[Store ID],tblStores[Province])</f>
        <v>Western Cape</v>
      </c>
      <c r="F513" t="str">
        <f>_xlfn.XLOOKUP(tblSales[[#This Row],[Store ID]],tblStores[Store ID],tblStores[Manager])</f>
        <v>Megan Scott</v>
      </c>
      <c r="G513" t="str">
        <f>_xlfn.XLOOKUP(tblSales[[#This Row],[Category ID]],tblCategories[Category ID],tblCategories[Category])</f>
        <v>Ladieswear</v>
      </c>
      <c r="H513">
        <v>56050</v>
      </c>
      <c r="I513">
        <v>60549</v>
      </c>
      <c r="J513">
        <v>118</v>
      </c>
      <c r="K513">
        <f>tblSales[[#This Row],[Sales]]-tblSales[[#This Row],[Budget]]</f>
        <v>-4499</v>
      </c>
      <c r="L513" s="3">
        <f>(tblSales[[#This Row],[Sales]]-tblSales[[#This Row],[Budget]])/tblSales[[#This Row],[Budget]]</f>
        <v>-7.4303456704487278E-2</v>
      </c>
      <c r="M513" s="2">
        <f>tblSales[[#This Row],[Sales]]/tblSales[[#This Row],[Transactions]]</f>
        <v>475</v>
      </c>
    </row>
    <row r="514" spans="1:13" x14ac:dyDescent="0.25">
      <c r="A514" s="1">
        <v>46048</v>
      </c>
      <c r="B514" t="s">
        <v>23</v>
      </c>
      <c r="C514" t="s">
        <v>9</v>
      </c>
      <c r="D514" t="str">
        <f>_xlfn.XLOOKUP(tblSales[[#This Row],[Store ID]],tblStores[Store ID],tblStores[Store Name])</f>
        <v>Stellenbosch</v>
      </c>
      <c r="E514" t="str">
        <f>_xlfn.XLOOKUP(tblSales[[#This Row],[Store ID]],tblStores[Store ID],tblStores[Province])</f>
        <v>Western Cape</v>
      </c>
      <c r="F514" t="str">
        <f>_xlfn.XLOOKUP(tblSales[[#This Row],[Store ID]],tblStores[Store ID],tblStores[Manager])</f>
        <v>Jason King</v>
      </c>
      <c r="G514" t="str">
        <f>_xlfn.XLOOKUP(tblSales[[#This Row],[Category ID]],tblCategories[Category ID],tblCategories[Category])</f>
        <v>Ladieswear</v>
      </c>
      <c r="H514">
        <v>32625</v>
      </c>
      <c r="I514">
        <v>37485</v>
      </c>
      <c r="J514">
        <v>75</v>
      </c>
      <c r="K514">
        <f>tblSales[[#This Row],[Sales]]-tblSales[[#This Row],[Budget]]</f>
        <v>-4860</v>
      </c>
      <c r="L514" s="3">
        <f>(tblSales[[#This Row],[Sales]]-tblSales[[#This Row],[Budget]])/tblSales[[#This Row],[Budget]]</f>
        <v>-0.12965186074429771</v>
      </c>
      <c r="M514" s="2">
        <f>tblSales[[#This Row],[Sales]]/tblSales[[#This Row],[Transactions]]</f>
        <v>435</v>
      </c>
    </row>
    <row r="515" spans="1:13" x14ac:dyDescent="0.25">
      <c r="A515" s="1">
        <v>46048</v>
      </c>
      <c r="B515" t="s">
        <v>24</v>
      </c>
      <c r="C515" t="s">
        <v>11</v>
      </c>
      <c r="D515" t="str">
        <f>_xlfn.XLOOKUP(tblSales[[#This Row],[Store ID]],tblStores[Store ID],tblStores[Store Name])</f>
        <v>George</v>
      </c>
      <c r="E515" t="str">
        <f>_xlfn.XLOOKUP(tblSales[[#This Row],[Store ID]],tblStores[Store ID],tblStores[Province])</f>
        <v>Western Cape</v>
      </c>
      <c r="F515" t="str">
        <f>_xlfn.XLOOKUP(tblSales[[#This Row],[Store ID]],tblStores[Store ID],tblStores[Manager])</f>
        <v>Chloe Hill</v>
      </c>
      <c r="G515" t="str">
        <f>_xlfn.XLOOKUP(tblSales[[#This Row],[Category ID]],tblCategories[Category ID],tblCategories[Category])</f>
        <v>Footwear</v>
      </c>
      <c r="H515">
        <v>54594</v>
      </c>
      <c r="I515">
        <v>55922</v>
      </c>
      <c r="J515">
        <v>162</v>
      </c>
      <c r="K515">
        <f>tblSales[[#This Row],[Sales]]-tblSales[[#This Row],[Budget]]</f>
        <v>-1328</v>
      </c>
      <c r="L515" s="3">
        <f>(tblSales[[#This Row],[Sales]]-tblSales[[#This Row],[Budget]])/tblSales[[#This Row],[Budget]]</f>
        <v>-2.3747362397625264E-2</v>
      </c>
      <c r="M515" s="2">
        <f>tblSales[[#This Row],[Sales]]/tblSales[[#This Row],[Transactions]]</f>
        <v>337</v>
      </c>
    </row>
    <row r="516" spans="1:13" x14ac:dyDescent="0.25">
      <c r="A516" s="1">
        <v>46048</v>
      </c>
      <c r="B516" t="s">
        <v>25</v>
      </c>
      <c r="C516" t="s">
        <v>7</v>
      </c>
      <c r="D516" t="str">
        <f>_xlfn.XLOOKUP(tblSales[[#This Row],[Store ID]],tblStores[Store ID],tblStores[Store Name])</f>
        <v>Paarl</v>
      </c>
      <c r="E516" t="str">
        <f>_xlfn.XLOOKUP(tblSales[[#This Row],[Store ID]],tblStores[Store ID],tblStores[Province])</f>
        <v>Western Cape</v>
      </c>
      <c r="F516" t="str">
        <f>_xlfn.XLOOKUP(tblSales[[#This Row],[Store ID]],tblStores[Store ID],tblStores[Manager])</f>
        <v>Andrew Lee</v>
      </c>
      <c r="G516" t="str">
        <f>_xlfn.XLOOKUP(tblSales[[#This Row],[Category ID]],tblCategories[Category ID],tblCategories[Category])</f>
        <v>Menswear</v>
      </c>
      <c r="H516">
        <v>59130</v>
      </c>
      <c r="I516">
        <v>59976</v>
      </c>
      <c r="J516">
        <v>135</v>
      </c>
      <c r="K516">
        <f>tblSales[[#This Row],[Sales]]-tblSales[[#This Row],[Budget]]</f>
        <v>-846</v>
      </c>
      <c r="L516" s="3">
        <f>(tblSales[[#This Row],[Sales]]-tblSales[[#This Row],[Budget]])/tblSales[[#This Row],[Budget]]</f>
        <v>-1.4105642256902761E-2</v>
      </c>
      <c r="M516" s="2">
        <f>tblSales[[#This Row],[Sales]]/tblSales[[#This Row],[Transactions]]</f>
        <v>438</v>
      </c>
    </row>
    <row r="517" spans="1:13" x14ac:dyDescent="0.25">
      <c r="A517" s="1">
        <v>46048</v>
      </c>
      <c r="B517" t="s">
        <v>26</v>
      </c>
      <c r="C517" t="s">
        <v>9</v>
      </c>
      <c r="D517" t="str">
        <f>_xlfn.XLOOKUP(tblSales[[#This Row],[Store ID]],tblStores[Store ID],tblStores[Store Name])</f>
        <v>Gqeberha</v>
      </c>
      <c r="E517" t="str">
        <f>_xlfn.XLOOKUP(tblSales[[#This Row],[Store ID]],tblStores[Store ID],tblStores[Province])</f>
        <v>Eastern Cape</v>
      </c>
      <c r="F517" t="str">
        <f>_xlfn.XLOOKUP(tblSales[[#This Row],[Store ID]],tblStores[Store ID],tblStores[Manager])</f>
        <v>Emma Baker</v>
      </c>
      <c r="G517" t="str">
        <f>_xlfn.XLOOKUP(tblSales[[#This Row],[Category ID]],tblCategories[Category ID],tblCategories[Category])</f>
        <v>Ladieswear</v>
      </c>
      <c r="H517">
        <v>43020</v>
      </c>
      <c r="I517">
        <v>42513</v>
      </c>
      <c r="J517">
        <v>90</v>
      </c>
      <c r="K517">
        <f>tblSales[[#This Row],[Sales]]-tblSales[[#This Row],[Budget]]</f>
        <v>507</v>
      </c>
      <c r="L517" s="3">
        <f>(tblSales[[#This Row],[Sales]]-tblSales[[#This Row],[Budget]])/tblSales[[#This Row],[Budget]]</f>
        <v>1.1925763883988427E-2</v>
      </c>
      <c r="M517" s="2">
        <f>tblSales[[#This Row],[Sales]]/tblSales[[#This Row],[Transactions]]</f>
        <v>478</v>
      </c>
    </row>
    <row r="518" spans="1:13" x14ac:dyDescent="0.25">
      <c r="A518" s="1">
        <v>46048</v>
      </c>
      <c r="B518" t="s">
        <v>27</v>
      </c>
      <c r="C518" t="s">
        <v>7</v>
      </c>
      <c r="D518" t="str">
        <f>_xlfn.XLOOKUP(tblSales[[#This Row],[Store ID]],tblStores[Store ID],tblStores[Store Name])</f>
        <v>East London</v>
      </c>
      <c r="E518" t="str">
        <f>_xlfn.XLOOKUP(tblSales[[#This Row],[Store ID]],tblStores[Store ID],tblStores[Province])</f>
        <v>Eastern Cape</v>
      </c>
      <c r="F518" t="str">
        <f>_xlfn.XLOOKUP(tblSales[[#This Row],[Store ID]],tblStores[Store ID],tblStores[Manager])</f>
        <v>Daniel Evans</v>
      </c>
      <c r="G518" t="str">
        <f>_xlfn.XLOOKUP(tblSales[[#This Row],[Category ID]],tblCategories[Category ID],tblCategories[Category])</f>
        <v>Menswear</v>
      </c>
      <c r="H518">
        <v>46331</v>
      </c>
      <c r="I518">
        <v>48618</v>
      </c>
      <c r="J518">
        <v>107</v>
      </c>
      <c r="K518">
        <f>tblSales[[#This Row],[Sales]]-tblSales[[#This Row],[Budget]]</f>
        <v>-2287</v>
      </c>
      <c r="L518" s="3">
        <f>(tblSales[[#This Row],[Sales]]-tblSales[[#This Row],[Budget]])/tblSales[[#This Row],[Budget]]</f>
        <v>-4.7040190875807311E-2</v>
      </c>
      <c r="M518" s="2">
        <f>tblSales[[#This Row],[Sales]]/tblSales[[#This Row],[Transactions]]</f>
        <v>433</v>
      </c>
    </row>
    <row r="519" spans="1:13" x14ac:dyDescent="0.25">
      <c r="A519" s="1">
        <v>46048</v>
      </c>
      <c r="B519" t="s">
        <v>28</v>
      </c>
      <c r="C519" t="s">
        <v>11</v>
      </c>
      <c r="D519" t="str">
        <f>_xlfn.XLOOKUP(tblSales[[#This Row],[Store ID]],tblStores[Store ID],tblStores[Store Name])</f>
        <v>Bloemfontein</v>
      </c>
      <c r="E519" t="str">
        <f>_xlfn.XLOOKUP(tblSales[[#This Row],[Store ID]],tblStores[Store ID],tblStores[Province])</f>
        <v>Free State</v>
      </c>
      <c r="F519" t="str">
        <f>_xlfn.XLOOKUP(tblSales[[#This Row],[Store ID]],tblStores[Store ID],tblStores[Manager])</f>
        <v>Rachel Moore</v>
      </c>
      <c r="G519" t="str">
        <f>_xlfn.XLOOKUP(tblSales[[#This Row],[Category ID]],tblCategories[Category ID],tblCategories[Category])</f>
        <v>Footwear</v>
      </c>
      <c r="H519">
        <v>49032</v>
      </c>
      <c r="I519">
        <v>44229</v>
      </c>
      <c r="J519">
        <v>108</v>
      </c>
      <c r="K519">
        <f>tblSales[[#This Row],[Sales]]-tblSales[[#This Row],[Budget]]</f>
        <v>4803</v>
      </c>
      <c r="L519" s="3">
        <f>(tblSales[[#This Row],[Sales]]-tblSales[[#This Row],[Budget]])/tblSales[[#This Row],[Budget]]</f>
        <v>0.10859390897375025</v>
      </c>
      <c r="M519" s="2">
        <f>tblSales[[#This Row],[Sales]]/tblSales[[#This Row],[Transactions]]</f>
        <v>454</v>
      </c>
    </row>
    <row r="520" spans="1:13" x14ac:dyDescent="0.25">
      <c r="A520" s="1">
        <v>46048</v>
      </c>
      <c r="B520" t="s">
        <v>29</v>
      </c>
      <c r="C520" t="s">
        <v>7</v>
      </c>
      <c r="D520" t="str">
        <f>_xlfn.XLOOKUP(tblSales[[#This Row],[Store ID]],tblStores[Store ID],tblStores[Store Name])</f>
        <v>Polokwane</v>
      </c>
      <c r="E520" t="str">
        <f>_xlfn.XLOOKUP(tblSales[[#This Row],[Store ID]],tblStores[Store ID],tblStores[Province])</f>
        <v>Limpopo</v>
      </c>
      <c r="F520" t="str">
        <f>_xlfn.XLOOKUP(tblSales[[#This Row],[Store ID]],tblStores[Store ID],tblStores[Manager])</f>
        <v>Kevin Harris</v>
      </c>
      <c r="G520" t="str">
        <f>_xlfn.XLOOKUP(tblSales[[#This Row],[Category ID]],tblCategories[Category ID],tblCategories[Category])</f>
        <v>Menswear</v>
      </c>
      <c r="H520">
        <v>35960</v>
      </c>
      <c r="I520">
        <v>40297</v>
      </c>
      <c r="J520">
        <v>145</v>
      </c>
      <c r="K520">
        <f>tblSales[[#This Row],[Sales]]-tblSales[[#This Row],[Budget]]</f>
        <v>-4337</v>
      </c>
      <c r="L520" s="3">
        <f>(tblSales[[#This Row],[Sales]]-tblSales[[#This Row],[Budget]])/tblSales[[#This Row],[Budget]]</f>
        <v>-0.10762587785691242</v>
      </c>
      <c r="M520" s="2">
        <f>tblSales[[#This Row],[Sales]]/tblSales[[#This Row],[Transactions]]</f>
        <v>248</v>
      </c>
    </row>
    <row r="521" spans="1:13" x14ac:dyDescent="0.25">
      <c r="A521" s="1">
        <v>46048</v>
      </c>
      <c r="B521" t="s">
        <v>30</v>
      </c>
      <c r="C521" t="s">
        <v>22</v>
      </c>
      <c r="D521" t="str">
        <f>_xlfn.XLOOKUP(tblSales[[#This Row],[Store ID]],tblStores[Store ID],tblStores[Store Name])</f>
        <v>Nelspruit</v>
      </c>
      <c r="E521" t="str">
        <f>_xlfn.XLOOKUP(tblSales[[#This Row],[Store ID]],tblStores[Store ID],tblStores[Province])</f>
        <v>Mpumalanga</v>
      </c>
      <c r="F521" t="str">
        <f>_xlfn.XLOOKUP(tblSales[[#This Row],[Store ID]],tblStores[Store ID],tblStores[Manager])</f>
        <v>Olivia Turner</v>
      </c>
      <c r="G521" t="str">
        <f>_xlfn.XLOOKUP(tblSales[[#This Row],[Category ID]],tblCategories[Category ID],tblCategories[Category])</f>
        <v>Kids</v>
      </c>
      <c r="H521">
        <v>50646</v>
      </c>
      <c r="I521">
        <v>46154</v>
      </c>
      <c r="J521">
        <v>138</v>
      </c>
      <c r="K521">
        <f>tblSales[[#This Row],[Sales]]-tblSales[[#This Row],[Budget]]</f>
        <v>4492</v>
      </c>
      <c r="L521" s="3">
        <f>(tblSales[[#This Row],[Sales]]-tblSales[[#This Row],[Budget]])/tblSales[[#This Row],[Budget]]</f>
        <v>9.7326342245525846E-2</v>
      </c>
      <c r="M521" s="2">
        <f>tblSales[[#This Row],[Sales]]/tblSales[[#This Row],[Transactions]]</f>
        <v>367</v>
      </c>
    </row>
    <row r="522" spans="1:13" x14ac:dyDescent="0.25">
      <c r="A522" s="1">
        <v>46049</v>
      </c>
      <c r="B522" t="s">
        <v>6</v>
      </c>
      <c r="C522" t="s">
        <v>7</v>
      </c>
      <c r="D522" t="str">
        <f>_xlfn.XLOOKUP(tblSales[[#This Row],[Store ID]],tblStores[Store ID],tblStores[Store Name])</f>
        <v>Durban CBD</v>
      </c>
      <c r="E522" t="str">
        <f>_xlfn.XLOOKUP(tblSales[[#This Row],[Store ID]],tblStores[Store ID],tblStores[Province])</f>
        <v>KZN</v>
      </c>
      <c r="F522" t="str">
        <f>_xlfn.XLOOKUP(tblSales[[#This Row],[Store ID]],tblStores[Store ID],tblStores[Manager])</f>
        <v>Sarah Adams</v>
      </c>
      <c r="G522" t="str">
        <f>_xlfn.XLOOKUP(tblSales[[#This Row],[Category ID]],tblCategories[Category ID],tblCategories[Category])</f>
        <v>Menswear</v>
      </c>
      <c r="H522">
        <v>84060</v>
      </c>
      <c r="I522">
        <v>79744</v>
      </c>
      <c r="J522">
        <v>180</v>
      </c>
      <c r="K522">
        <f>tblSales[[#This Row],[Sales]]-tblSales[[#This Row],[Budget]]</f>
        <v>4316</v>
      </c>
      <c r="L522" s="3">
        <f>(tblSales[[#This Row],[Sales]]-tblSales[[#This Row],[Budget]])/tblSales[[#This Row],[Budget]]</f>
        <v>5.4123194221508832E-2</v>
      </c>
      <c r="M522" s="2">
        <f>tblSales[[#This Row],[Sales]]/tblSales[[#This Row],[Transactions]]</f>
        <v>467</v>
      </c>
    </row>
    <row r="523" spans="1:13" x14ac:dyDescent="0.25">
      <c r="A523" s="1">
        <v>46049</v>
      </c>
      <c r="B523" t="s">
        <v>8</v>
      </c>
      <c r="C523" t="s">
        <v>19</v>
      </c>
      <c r="D523" t="str">
        <f>_xlfn.XLOOKUP(tblSales[[#This Row],[Store ID]],tblStores[Store ID],tblStores[Store Name])</f>
        <v>Gateway</v>
      </c>
      <c r="E523" t="str">
        <f>_xlfn.XLOOKUP(tblSales[[#This Row],[Store ID]],tblStores[Store ID],tblStores[Province])</f>
        <v>KZN</v>
      </c>
      <c r="F523" t="str">
        <f>_xlfn.XLOOKUP(tblSales[[#This Row],[Store ID]],tblStores[Store ID],tblStores[Manager])</f>
        <v>Michael Jones</v>
      </c>
      <c r="G523" t="str">
        <f>_xlfn.XLOOKUP(tblSales[[#This Row],[Category ID]],tblCategories[Category ID],tblCategories[Category])</f>
        <v>Accessories</v>
      </c>
      <c r="H523">
        <v>23436</v>
      </c>
      <c r="I523">
        <v>23356</v>
      </c>
      <c r="J523">
        <v>108</v>
      </c>
      <c r="K523">
        <f>tblSales[[#This Row],[Sales]]-tblSales[[#This Row],[Budget]]</f>
        <v>80</v>
      </c>
      <c r="L523" s="3">
        <f>(tblSales[[#This Row],[Sales]]-tblSales[[#This Row],[Budget]])/tblSales[[#This Row],[Budget]]</f>
        <v>3.4252440486384657E-3</v>
      </c>
      <c r="M523" s="2">
        <f>tblSales[[#This Row],[Sales]]/tblSales[[#This Row],[Transactions]]</f>
        <v>217</v>
      </c>
    </row>
    <row r="524" spans="1:13" x14ac:dyDescent="0.25">
      <c r="A524" s="1">
        <v>46049</v>
      </c>
      <c r="B524" t="s">
        <v>10</v>
      </c>
      <c r="C524" t="s">
        <v>11</v>
      </c>
      <c r="D524" t="str">
        <f>_xlfn.XLOOKUP(tblSales[[#This Row],[Store ID]],tblStores[Store ID],tblStores[Store Name])</f>
        <v>Ballito</v>
      </c>
      <c r="E524" t="str">
        <f>_xlfn.XLOOKUP(tblSales[[#This Row],[Store ID]],tblStores[Store ID],tblStores[Province])</f>
        <v>KZN</v>
      </c>
      <c r="F524" t="str">
        <f>_xlfn.XLOOKUP(tblSales[[#This Row],[Store ID]],tblStores[Store ID],tblStores[Manager])</f>
        <v>Linda Smith</v>
      </c>
      <c r="G524" t="str">
        <f>_xlfn.XLOOKUP(tblSales[[#This Row],[Category ID]],tblCategories[Category ID],tblCategories[Category])</f>
        <v>Footwear</v>
      </c>
      <c r="H524">
        <v>56525</v>
      </c>
      <c r="I524">
        <v>62535</v>
      </c>
      <c r="J524">
        <v>175</v>
      </c>
      <c r="K524">
        <f>tblSales[[#This Row],[Sales]]-tblSales[[#This Row],[Budget]]</f>
        <v>-6010</v>
      </c>
      <c r="L524" s="3">
        <f>(tblSales[[#This Row],[Sales]]-tblSales[[#This Row],[Budget]])/tblSales[[#This Row],[Budget]]</f>
        <v>-9.6106180538898217E-2</v>
      </c>
      <c r="M524" s="2">
        <f>tblSales[[#This Row],[Sales]]/tblSales[[#This Row],[Transactions]]</f>
        <v>323</v>
      </c>
    </row>
    <row r="525" spans="1:13" x14ac:dyDescent="0.25">
      <c r="A525" s="1">
        <v>46049</v>
      </c>
      <c r="B525" t="s">
        <v>12</v>
      </c>
      <c r="C525" t="s">
        <v>19</v>
      </c>
      <c r="D525" t="str">
        <f>_xlfn.XLOOKUP(tblSales[[#This Row],[Store ID]],tblStores[Store ID],tblStores[Store Name])</f>
        <v>Pietermaritzburg</v>
      </c>
      <c r="E525" t="str">
        <f>_xlfn.XLOOKUP(tblSales[[#This Row],[Store ID]],tblStores[Store ID],tblStores[Province])</f>
        <v>KZN</v>
      </c>
      <c r="F525" t="str">
        <f>_xlfn.XLOOKUP(tblSales[[#This Row],[Store ID]],tblStores[Store ID],tblStores[Manager])</f>
        <v>Peter Brown</v>
      </c>
      <c r="G525" t="str">
        <f>_xlfn.XLOOKUP(tblSales[[#This Row],[Category ID]],tblCategories[Category ID],tblCategories[Category])</f>
        <v>Accessories</v>
      </c>
      <c r="H525">
        <v>102828</v>
      </c>
      <c r="I525">
        <v>95599</v>
      </c>
      <c r="J525">
        <v>209</v>
      </c>
      <c r="K525">
        <f>tblSales[[#This Row],[Sales]]-tblSales[[#This Row],[Budget]]</f>
        <v>7229</v>
      </c>
      <c r="L525" s="3">
        <f>(tblSales[[#This Row],[Sales]]-tblSales[[#This Row],[Budget]])/tblSales[[#This Row],[Budget]]</f>
        <v>7.561794579441207E-2</v>
      </c>
      <c r="M525" s="2">
        <f>tblSales[[#This Row],[Sales]]/tblSales[[#This Row],[Transactions]]</f>
        <v>492</v>
      </c>
    </row>
    <row r="526" spans="1:13" x14ac:dyDescent="0.25">
      <c r="A526" s="1">
        <v>46049</v>
      </c>
      <c r="B526" t="s">
        <v>13</v>
      </c>
      <c r="C526" t="s">
        <v>7</v>
      </c>
      <c r="D526" t="str">
        <f>_xlfn.XLOOKUP(tblSales[[#This Row],[Store ID]],tblStores[Store ID],tblStores[Store Name])</f>
        <v>Richards Bay</v>
      </c>
      <c r="E526" t="str">
        <f>_xlfn.XLOOKUP(tblSales[[#This Row],[Store ID]],tblStores[Store ID],tblStores[Province])</f>
        <v>KZN</v>
      </c>
      <c r="F526" t="str">
        <f>_xlfn.XLOOKUP(tblSales[[#This Row],[Store ID]],tblStores[Store ID],tblStores[Manager])</f>
        <v>David Green</v>
      </c>
      <c r="G526" t="str">
        <f>_xlfn.XLOOKUP(tblSales[[#This Row],[Category ID]],tblCategories[Category ID],tblCategories[Category])</f>
        <v>Menswear</v>
      </c>
      <c r="H526">
        <v>50085</v>
      </c>
      <c r="I526">
        <v>55029</v>
      </c>
      <c r="J526">
        <v>135</v>
      </c>
      <c r="K526">
        <f>tblSales[[#This Row],[Sales]]-tblSales[[#This Row],[Budget]]</f>
        <v>-4944</v>
      </c>
      <c r="L526" s="3">
        <f>(tblSales[[#This Row],[Sales]]-tblSales[[#This Row],[Budget]])/tblSales[[#This Row],[Budget]]</f>
        <v>-8.9843537044104013E-2</v>
      </c>
      <c r="M526" s="2">
        <f>tblSales[[#This Row],[Sales]]/tblSales[[#This Row],[Transactions]]</f>
        <v>371</v>
      </c>
    </row>
    <row r="527" spans="1:13" x14ac:dyDescent="0.25">
      <c r="A527" s="1">
        <v>46049</v>
      </c>
      <c r="B527" t="s">
        <v>14</v>
      </c>
      <c r="C527" t="s">
        <v>22</v>
      </c>
      <c r="D527" t="str">
        <f>_xlfn.XLOOKUP(tblSales[[#This Row],[Store ID]],tblStores[Store ID],tblStores[Store Name])</f>
        <v>Sandton</v>
      </c>
      <c r="E527" t="str">
        <f>_xlfn.XLOOKUP(tblSales[[#This Row],[Store ID]],tblStores[Store ID],tblStores[Province])</f>
        <v>Gauteng</v>
      </c>
      <c r="F527" t="str">
        <f>_xlfn.XLOOKUP(tblSales[[#This Row],[Store ID]],tblStores[Store ID],tblStores[Manager])</f>
        <v>Karen White</v>
      </c>
      <c r="G527" t="str">
        <f>_xlfn.XLOOKUP(tblSales[[#This Row],[Category ID]],tblCategories[Category ID],tblCategories[Category])</f>
        <v>Kids</v>
      </c>
      <c r="H527">
        <v>64959</v>
      </c>
      <c r="I527">
        <v>70723</v>
      </c>
      <c r="J527">
        <v>177</v>
      </c>
      <c r="K527">
        <f>tblSales[[#This Row],[Sales]]-tblSales[[#This Row],[Budget]]</f>
        <v>-5764</v>
      </c>
      <c r="L527" s="3">
        <f>(tblSales[[#This Row],[Sales]]-tblSales[[#This Row],[Budget]])/tblSales[[#This Row],[Budget]]</f>
        <v>-8.1501067545211595E-2</v>
      </c>
      <c r="M527" s="2">
        <f>tblSales[[#This Row],[Sales]]/tblSales[[#This Row],[Transactions]]</f>
        <v>367</v>
      </c>
    </row>
    <row r="528" spans="1:13" x14ac:dyDescent="0.25">
      <c r="A528" s="1">
        <v>46049</v>
      </c>
      <c r="B528" t="s">
        <v>15</v>
      </c>
      <c r="C528" t="s">
        <v>9</v>
      </c>
      <c r="D528" t="str">
        <f>_xlfn.XLOOKUP(tblSales[[#This Row],[Store ID]],tblStores[Store ID],tblStores[Store Name])</f>
        <v>Rosebank</v>
      </c>
      <c r="E528" t="str">
        <f>_xlfn.XLOOKUP(tblSales[[#This Row],[Store ID]],tblStores[Store ID],tblStores[Province])</f>
        <v>Gauteng</v>
      </c>
      <c r="F528" t="str">
        <f>_xlfn.XLOOKUP(tblSales[[#This Row],[Store ID]],tblStores[Store ID],tblStores[Manager])</f>
        <v>James Taylor</v>
      </c>
      <c r="G528" t="str">
        <f>_xlfn.XLOOKUP(tblSales[[#This Row],[Category ID]],tblCategories[Category ID],tblCategories[Category])</f>
        <v>Ladieswear</v>
      </c>
      <c r="H528">
        <v>83160</v>
      </c>
      <c r="I528">
        <v>83188</v>
      </c>
      <c r="J528">
        <v>189</v>
      </c>
      <c r="K528">
        <f>tblSales[[#This Row],[Sales]]-tblSales[[#This Row],[Budget]]</f>
        <v>-28</v>
      </c>
      <c r="L528" s="3">
        <f>(tblSales[[#This Row],[Sales]]-tblSales[[#This Row],[Budget]])/tblSales[[#This Row],[Budget]]</f>
        <v>-3.3658700774150119E-4</v>
      </c>
      <c r="M528" s="2">
        <f>tblSales[[#This Row],[Sales]]/tblSales[[#This Row],[Transactions]]</f>
        <v>440</v>
      </c>
    </row>
    <row r="529" spans="1:13" x14ac:dyDescent="0.25">
      <c r="A529" s="1">
        <v>46049</v>
      </c>
      <c r="B529" t="s">
        <v>16</v>
      </c>
      <c r="C529" t="s">
        <v>7</v>
      </c>
      <c r="D529" t="str">
        <f>_xlfn.XLOOKUP(tblSales[[#This Row],[Store ID]],tblStores[Store ID],tblStores[Store Name])</f>
        <v>Pretoria</v>
      </c>
      <c r="E529" t="str">
        <f>_xlfn.XLOOKUP(tblSales[[#This Row],[Store ID]],tblStores[Store ID],tblStores[Province])</f>
        <v>Gauteng</v>
      </c>
      <c r="F529" t="str">
        <f>_xlfn.XLOOKUP(tblSales[[#This Row],[Store ID]],tblStores[Store ID],tblStores[Manager])</f>
        <v>Susan Clark</v>
      </c>
      <c r="G529" t="str">
        <f>_xlfn.XLOOKUP(tblSales[[#This Row],[Category ID]],tblCategories[Category ID],tblCategories[Category])</f>
        <v>Menswear</v>
      </c>
      <c r="H529">
        <v>9154</v>
      </c>
      <c r="I529">
        <v>8552</v>
      </c>
      <c r="J529">
        <v>46</v>
      </c>
      <c r="K529">
        <f>tblSales[[#This Row],[Sales]]-tblSales[[#This Row],[Budget]]</f>
        <v>602</v>
      </c>
      <c r="L529" s="3">
        <f>(tblSales[[#This Row],[Sales]]-tblSales[[#This Row],[Budget]])/tblSales[[#This Row],[Budget]]</f>
        <v>7.0392890551917678E-2</v>
      </c>
      <c r="M529" s="2">
        <f>tblSales[[#This Row],[Sales]]/tblSales[[#This Row],[Transactions]]</f>
        <v>199</v>
      </c>
    </row>
    <row r="530" spans="1:13" x14ac:dyDescent="0.25">
      <c r="A530" s="1">
        <v>46049</v>
      </c>
      <c r="B530" t="s">
        <v>17</v>
      </c>
      <c r="C530" t="s">
        <v>22</v>
      </c>
      <c r="D530" t="str">
        <f>_xlfn.XLOOKUP(tblSales[[#This Row],[Store ID]],tblStores[Store ID],tblStores[Store Name])</f>
        <v>Centurion</v>
      </c>
      <c r="E530" t="str">
        <f>_xlfn.XLOOKUP(tblSales[[#This Row],[Store ID]],tblStores[Store ID],tblStores[Province])</f>
        <v>Gauteng</v>
      </c>
      <c r="F530" t="str">
        <f>_xlfn.XLOOKUP(tblSales[[#This Row],[Store ID]],tblStores[Store ID],tblStores[Manager])</f>
        <v>Mark Wilson</v>
      </c>
      <c r="G530" t="str">
        <f>_xlfn.XLOOKUP(tblSales[[#This Row],[Category ID]],tblCategories[Category ID],tblCategories[Category])</f>
        <v>Kids</v>
      </c>
      <c r="H530">
        <v>69420</v>
      </c>
      <c r="I530">
        <v>70409</v>
      </c>
      <c r="J530">
        <v>156</v>
      </c>
      <c r="K530">
        <f>tblSales[[#This Row],[Sales]]-tblSales[[#This Row],[Budget]]</f>
        <v>-989</v>
      </c>
      <c r="L530" s="3">
        <f>(tblSales[[#This Row],[Sales]]-tblSales[[#This Row],[Budget]])/tblSales[[#This Row],[Budget]]</f>
        <v>-1.40464997372495E-2</v>
      </c>
      <c r="M530" s="2">
        <f>tblSales[[#This Row],[Sales]]/tblSales[[#This Row],[Transactions]]</f>
        <v>445</v>
      </c>
    </row>
    <row r="531" spans="1:13" x14ac:dyDescent="0.25">
      <c r="A531" s="1">
        <v>46049</v>
      </c>
      <c r="B531" t="s">
        <v>18</v>
      </c>
      <c r="C531" t="s">
        <v>19</v>
      </c>
      <c r="D531" t="str">
        <f>_xlfn.XLOOKUP(tblSales[[#This Row],[Store ID]],tblStores[Store ID],tblStores[Store Name])</f>
        <v>East Rand</v>
      </c>
      <c r="E531" t="str">
        <f>_xlfn.XLOOKUP(tblSales[[#This Row],[Store ID]],tblStores[Store ID],tblStores[Province])</f>
        <v>Gauteng</v>
      </c>
      <c r="F531" t="str">
        <f>_xlfn.XLOOKUP(tblSales[[#This Row],[Store ID]],tblStores[Store ID],tblStores[Manager])</f>
        <v>Lisa Young</v>
      </c>
      <c r="G531" t="str">
        <f>_xlfn.XLOOKUP(tblSales[[#This Row],[Category ID]],tblCategories[Category ID],tblCategories[Category])</f>
        <v>Accessories</v>
      </c>
      <c r="H531">
        <v>41666</v>
      </c>
      <c r="I531">
        <v>40915</v>
      </c>
      <c r="J531">
        <v>166</v>
      </c>
      <c r="K531">
        <f>tblSales[[#This Row],[Sales]]-tblSales[[#This Row],[Budget]]</f>
        <v>751</v>
      </c>
      <c r="L531" s="3">
        <f>(tblSales[[#This Row],[Sales]]-tblSales[[#This Row],[Budget]])/tblSales[[#This Row],[Budget]]</f>
        <v>1.8355126481730415E-2</v>
      </c>
      <c r="M531" s="2">
        <f>tblSales[[#This Row],[Sales]]/tblSales[[#This Row],[Transactions]]</f>
        <v>251</v>
      </c>
    </row>
    <row r="532" spans="1:13" x14ac:dyDescent="0.25">
      <c r="A532" s="1">
        <v>46049</v>
      </c>
      <c r="B532" t="s">
        <v>20</v>
      </c>
      <c r="C532" t="s">
        <v>19</v>
      </c>
      <c r="D532" t="str">
        <f>_xlfn.XLOOKUP(tblSales[[#This Row],[Store ID]],tblStores[Store ID],tblStores[Store Name])</f>
        <v>Cape Town CBD</v>
      </c>
      <c r="E532" t="str">
        <f>_xlfn.XLOOKUP(tblSales[[#This Row],[Store ID]],tblStores[Store ID],tblStores[Province])</f>
        <v>Western Cape</v>
      </c>
      <c r="F532" t="str">
        <f>_xlfn.XLOOKUP(tblSales[[#This Row],[Store ID]],tblStores[Store ID],tblStores[Manager])</f>
        <v>Brian Hall</v>
      </c>
      <c r="G532" t="str">
        <f>_xlfn.XLOOKUP(tblSales[[#This Row],[Category ID]],tblCategories[Category ID],tblCategories[Category])</f>
        <v>Accessories</v>
      </c>
      <c r="H532">
        <v>30508</v>
      </c>
      <c r="I532">
        <v>30454</v>
      </c>
      <c r="J532">
        <v>116</v>
      </c>
      <c r="K532">
        <f>tblSales[[#This Row],[Sales]]-tblSales[[#This Row],[Budget]]</f>
        <v>54</v>
      </c>
      <c r="L532" s="3">
        <f>(tblSales[[#This Row],[Sales]]-tblSales[[#This Row],[Budget]])/tblSales[[#This Row],[Budget]]</f>
        <v>1.7731660865567742E-3</v>
      </c>
      <c r="M532" s="2">
        <f>tblSales[[#This Row],[Sales]]/tblSales[[#This Row],[Transactions]]</f>
        <v>263</v>
      </c>
    </row>
    <row r="533" spans="1:13" x14ac:dyDescent="0.25">
      <c r="A533" s="1">
        <v>46049</v>
      </c>
      <c r="B533" t="s">
        <v>21</v>
      </c>
      <c r="C533" t="s">
        <v>19</v>
      </c>
      <c r="D533" t="str">
        <f>_xlfn.XLOOKUP(tblSales[[#This Row],[Store ID]],tblStores[Store ID],tblStores[Store Name])</f>
        <v>Canal Walk</v>
      </c>
      <c r="E533" t="str">
        <f>_xlfn.XLOOKUP(tblSales[[#This Row],[Store ID]],tblStores[Store ID],tblStores[Province])</f>
        <v>Western Cape</v>
      </c>
      <c r="F533" t="str">
        <f>_xlfn.XLOOKUP(tblSales[[#This Row],[Store ID]],tblStores[Store ID],tblStores[Manager])</f>
        <v>Megan Scott</v>
      </c>
      <c r="G533" t="str">
        <f>_xlfn.XLOOKUP(tblSales[[#This Row],[Category ID]],tblCategories[Category ID],tblCategories[Category])</f>
        <v>Accessories</v>
      </c>
      <c r="H533">
        <v>53613</v>
      </c>
      <c r="I533">
        <v>52760</v>
      </c>
      <c r="J533">
        <v>111</v>
      </c>
      <c r="K533">
        <f>tblSales[[#This Row],[Sales]]-tblSales[[#This Row],[Budget]]</f>
        <v>853</v>
      </c>
      <c r="L533" s="3">
        <f>(tblSales[[#This Row],[Sales]]-tblSales[[#This Row],[Budget]])/tblSales[[#This Row],[Budget]]</f>
        <v>1.6167551175132678E-2</v>
      </c>
      <c r="M533" s="2">
        <f>tblSales[[#This Row],[Sales]]/tblSales[[#This Row],[Transactions]]</f>
        <v>483</v>
      </c>
    </row>
    <row r="534" spans="1:13" x14ac:dyDescent="0.25">
      <c r="A534" s="1">
        <v>46049</v>
      </c>
      <c r="B534" t="s">
        <v>23</v>
      </c>
      <c r="C534" t="s">
        <v>19</v>
      </c>
      <c r="D534" t="str">
        <f>_xlfn.XLOOKUP(tblSales[[#This Row],[Store ID]],tblStores[Store ID],tblStores[Store Name])</f>
        <v>Stellenbosch</v>
      </c>
      <c r="E534" t="str">
        <f>_xlfn.XLOOKUP(tblSales[[#This Row],[Store ID]],tblStores[Store ID],tblStores[Province])</f>
        <v>Western Cape</v>
      </c>
      <c r="F534" t="str">
        <f>_xlfn.XLOOKUP(tblSales[[#This Row],[Store ID]],tblStores[Store ID],tblStores[Manager])</f>
        <v>Jason King</v>
      </c>
      <c r="G534" t="str">
        <f>_xlfn.XLOOKUP(tblSales[[#This Row],[Category ID]],tblCategories[Category ID],tblCategories[Category])</f>
        <v>Accessories</v>
      </c>
      <c r="H534">
        <v>73530</v>
      </c>
      <c r="I534">
        <v>79205</v>
      </c>
      <c r="J534">
        <v>171</v>
      </c>
      <c r="K534">
        <f>tblSales[[#This Row],[Sales]]-tblSales[[#This Row],[Budget]]</f>
        <v>-5675</v>
      </c>
      <c r="L534" s="3">
        <f>(tblSales[[#This Row],[Sales]]-tblSales[[#This Row],[Budget]])/tblSales[[#This Row],[Budget]]</f>
        <v>-7.1649517075942179E-2</v>
      </c>
      <c r="M534" s="2">
        <f>tblSales[[#This Row],[Sales]]/tblSales[[#This Row],[Transactions]]</f>
        <v>430</v>
      </c>
    </row>
    <row r="535" spans="1:13" x14ac:dyDescent="0.25">
      <c r="A535" s="1">
        <v>46049</v>
      </c>
      <c r="B535" t="s">
        <v>24</v>
      </c>
      <c r="C535" t="s">
        <v>22</v>
      </c>
      <c r="D535" t="str">
        <f>_xlfn.XLOOKUP(tblSales[[#This Row],[Store ID]],tblStores[Store ID],tblStores[Store Name])</f>
        <v>George</v>
      </c>
      <c r="E535" t="str">
        <f>_xlfn.XLOOKUP(tblSales[[#This Row],[Store ID]],tblStores[Store ID],tblStores[Province])</f>
        <v>Western Cape</v>
      </c>
      <c r="F535" t="str">
        <f>_xlfn.XLOOKUP(tblSales[[#This Row],[Store ID]],tblStores[Store ID],tblStores[Manager])</f>
        <v>Chloe Hill</v>
      </c>
      <c r="G535" t="str">
        <f>_xlfn.XLOOKUP(tblSales[[#This Row],[Category ID]],tblCategories[Category ID],tblCategories[Category])</f>
        <v>Kids</v>
      </c>
      <c r="H535">
        <v>29328</v>
      </c>
      <c r="I535">
        <v>29095</v>
      </c>
      <c r="J535">
        <v>156</v>
      </c>
      <c r="K535">
        <f>tblSales[[#This Row],[Sales]]-tblSales[[#This Row],[Budget]]</f>
        <v>233</v>
      </c>
      <c r="L535" s="3">
        <f>(tblSales[[#This Row],[Sales]]-tblSales[[#This Row],[Budget]])/tblSales[[#This Row],[Budget]]</f>
        <v>8.0082488400068739E-3</v>
      </c>
      <c r="M535" s="2">
        <f>tblSales[[#This Row],[Sales]]/tblSales[[#This Row],[Transactions]]</f>
        <v>188</v>
      </c>
    </row>
    <row r="536" spans="1:13" x14ac:dyDescent="0.25">
      <c r="A536" s="1">
        <v>46049</v>
      </c>
      <c r="B536" t="s">
        <v>25</v>
      </c>
      <c r="C536" t="s">
        <v>7</v>
      </c>
      <c r="D536" t="str">
        <f>_xlfn.XLOOKUP(tblSales[[#This Row],[Store ID]],tblStores[Store ID],tblStores[Store Name])</f>
        <v>Paarl</v>
      </c>
      <c r="E536" t="str">
        <f>_xlfn.XLOOKUP(tblSales[[#This Row],[Store ID]],tblStores[Store ID],tblStores[Province])</f>
        <v>Western Cape</v>
      </c>
      <c r="F536" t="str">
        <f>_xlfn.XLOOKUP(tblSales[[#This Row],[Store ID]],tblStores[Store ID],tblStores[Manager])</f>
        <v>Andrew Lee</v>
      </c>
      <c r="G536" t="str">
        <f>_xlfn.XLOOKUP(tblSales[[#This Row],[Category ID]],tblCategories[Category ID],tblCategories[Category])</f>
        <v>Menswear</v>
      </c>
      <c r="H536">
        <v>67398</v>
      </c>
      <c r="I536">
        <v>65842</v>
      </c>
      <c r="J536">
        <v>141</v>
      </c>
      <c r="K536">
        <f>tblSales[[#This Row],[Sales]]-tblSales[[#This Row],[Budget]]</f>
        <v>1556</v>
      </c>
      <c r="L536" s="3">
        <f>(tblSales[[#This Row],[Sales]]-tblSales[[#This Row],[Budget]])/tblSales[[#This Row],[Budget]]</f>
        <v>2.3632331946174173E-2</v>
      </c>
      <c r="M536" s="2">
        <f>tblSales[[#This Row],[Sales]]/tblSales[[#This Row],[Transactions]]</f>
        <v>478</v>
      </c>
    </row>
    <row r="537" spans="1:13" x14ac:dyDescent="0.25">
      <c r="A537" s="1">
        <v>46049</v>
      </c>
      <c r="B537" t="s">
        <v>26</v>
      </c>
      <c r="C537" t="s">
        <v>7</v>
      </c>
      <c r="D537" t="str">
        <f>_xlfn.XLOOKUP(tblSales[[#This Row],[Store ID]],tblStores[Store ID],tblStores[Store Name])</f>
        <v>Gqeberha</v>
      </c>
      <c r="E537" t="str">
        <f>_xlfn.XLOOKUP(tblSales[[#This Row],[Store ID]],tblStores[Store ID],tblStores[Province])</f>
        <v>Eastern Cape</v>
      </c>
      <c r="F537" t="str">
        <f>_xlfn.XLOOKUP(tblSales[[#This Row],[Store ID]],tblStores[Store ID],tblStores[Manager])</f>
        <v>Emma Baker</v>
      </c>
      <c r="G537" t="str">
        <f>_xlfn.XLOOKUP(tblSales[[#This Row],[Category ID]],tblCategories[Category ID],tblCategories[Category])</f>
        <v>Menswear</v>
      </c>
      <c r="H537">
        <v>78914</v>
      </c>
      <c r="I537">
        <v>76261</v>
      </c>
      <c r="J537">
        <v>187</v>
      </c>
      <c r="K537">
        <f>tblSales[[#This Row],[Sales]]-tblSales[[#This Row],[Budget]]</f>
        <v>2653</v>
      </c>
      <c r="L537" s="3">
        <f>(tblSales[[#This Row],[Sales]]-tblSales[[#This Row],[Budget]])/tblSales[[#This Row],[Budget]]</f>
        <v>3.4788423965067337E-2</v>
      </c>
      <c r="M537" s="2">
        <f>tblSales[[#This Row],[Sales]]/tblSales[[#This Row],[Transactions]]</f>
        <v>422</v>
      </c>
    </row>
    <row r="538" spans="1:13" x14ac:dyDescent="0.25">
      <c r="A538" s="1">
        <v>46049</v>
      </c>
      <c r="B538" t="s">
        <v>27</v>
      </c>
      <c r="C538" t="s">
        <v>19</v>
      </c>
      <c r="D538" t="str">
        <f>_xlfn.XLOOKUP(tblSales[[#This Row],[Store ID]],tblStores[Store ID],tblStores[Store Name])</f>
        <v>East London</v>
      </c>
      <c r="E538" t="str">
        <f>_xlfn.XLOOKUP(tblSales[[#This Row],[Store ID]],tblStores[Store ID],tblStores[Province])</f>
        <v>Eastern Cape</v>
      </c>
      <c r="F538" t="str">
        <f>_xlfn.XLOOKUP(tblSales[[#This Row],[Store ID]],tblStores[Store ID],tblStores[Manager])</f>
        <v>Daniel Evans</v>
      </c>
      <c r="G538" t="str">
        <f>_xlfn.XLOOKUP(tblSales[[#This Row],[Category ID]],tblCategories[Category ID],tblCategories[Category])</f>
        <v>Accessories</v>
      </c>
      <c r="H538">
        <v>53872</v>
      </c>
      <c r="I538">
        <v>58200</v>
      </c>
      <c r="J538">
        <v>182</v>
      </c>
      <c r="K538">
        <f>tblSales[[#This Row],[Sales]]-tblSales[[#This Row],[Budget]]</f>
        <v>-4328</v>
      </c>
      <c r="L538" s="3">
        <f>(tblSales[[#This Row],[Sales]]-tblSales[[#This Row],[Budget]])/tblSales[[#This Row],[Budget]]</f>
        <v>-7.4364261168384876E-2</v>
      </c>
      <c r="M538" s="2">
        <f>tblSales[[#This Row],[Sales]]/tblSales[[#This Row],[Transactions]]</f>
        <v>296</v>
      </c>
    </row>
    <row r="539" spans="1:13" x14ac:dyDescent="0.25">
      <c r="A539" s="1">
        <v>46049</v>
      </c>
      <c r="B539" t="s">
        <v>28</v>
      </c>
      <c r="C539" t="s">
        <v>19</v>
      </c>
      <c r="D539" t="str">
        <f>_xlfn.XLOOKUP(tblSales[[#This Row],[Store ID]],tblStores[Store ID],tblStores[Store Name])</f>
        <v>Bloemfontein</v>
      </c>
      <c r="E539" t="str">
        <f>_xlfn.XLOOKUP(tblSales[[#This Row],[Store ID]],tblStores[Store ID],tblStores[Province])</f>
        <v>Free State</v>
      </c>
      <c r="F539" t="str">
        <f>_xlfn.XLOOKUP(tblSales[[#This Row],[Store ID]],tblStores[Store ID],tblStores[Manager])</f>
        <v>Rachel Moore</v>
      </c>
      <c r="G539" t="str">
        <f>_xlfn.XLOOKUP(tblSales[[#This Row],[Category ID]],tblCategories[Category ID],tblCategories[Category])</f>
        <v>Accessories</v>
      </c>
      <c r="H539">
        <v>41919</v>
      </c>
      <c r="I539">
        <v>43220</v>
      </c>
      <c r="J539">
        <v>157</v>
      </c>
      <c r="K539">
        <f>tblSales[[#This Row],[Sales]]-tblSales[[#This Row],[Budget]]</f>
        <v>-1301</v>
      </c>
      <c r="L539" s="3">
        <f>(tblSales[[#This Row],[Sales]]-tblSales[[#This Row],[Budget]])/tblSales[[#This Row],[Budget]]</f>
        <v>-3.0101804720037019E-2</v>
      </c>
      <c r="M539" s="2">
        <f>tblSales[[#This Row],[Sales]]/tblSales[[#This Row],[Transactions]]</f>
        <v>267</v>
      </c>
    </row>
    <row r="540" spans="1:13" x14ac:dyDescent="0.25">
      <c r="A540" s="1">
        <v>46049</v>
      </c>
      <c r="B540" t="s">
        <v>29</v>
      </c>
      <c r="C540" t="s">
        <v>19</v>
      </c>
      <c r="D540" t="str">
        <f>_xlfn.XLOOKUP(tblSales[[#This Row],[Store ID]],tblStores[Store ID],tblStores[Store Name])</f>
        <v>Polokwane</v>
      </c>
      <c r="E540" t="str">
        <f>_xlfn.XLOOKUP(tblSales[[#This Row],[Store ID]],tblStores[Store ID],tblStores[Province])</f>
        <v>Limpopo</v>
      </c>
      <c r="F540" t="str">
        <f>_xlfn.XLOOKUP(tblSales[[#This Row],[Store ID]],tblStores[Store ID],tblStores[Manager])</f>
        <v>Kevin Harris</v>
      </c>
      <c r="G540" t="str">
        <f>_xlfn.XLOOKUP(tblSales[[#This Row],[Category ID]],tblCategories[Category ID],tblCategories[Category])</f>
        <v>Accessories</v>
      </c>
      <c r="H540">
        <v>33660</v>
      </c>
      <c r="I540">
        <v>37208</v>
      </c>
      <c r="J540">
        <v>132</v>
      </c>
      <c r="K540">
        <f>tblSales[[#This Row],[Sales]]-tblSales[[#This Row],[Budget]]</f>
        <v>-3548</v>
      </c>
      <c r="L540" s="3">
        <f>(tblSales[[#This Row],[Sales]]-tblSales[[#This Row],[Budget]])/tblSales[[#This Row],[Budget]]</f>
        <v>-9.5355837454310907E-2</v>
      </c>
      <c r="M540" s="2">
        <f>tblSales[[#This Row],[Sales]]/tblSales[[#This Row],[Transactions]]</f>
        <v>255</v>
      </c>
    </row>
    <row r="541" spans="1:13" x14ac:dyDescent="0.25">
      <c r="A541" s="1">
        <v>46049</v>
      </c>
      <c r="B541" t="s">
        <v>30</v>
      </c>
      <c r="C541" t="s">
        <v>9</v>
      </c>
      <c r="D541" t="str">
        <f>_xlfn.XLOOKUP(tblSales[[#This Row],[Store ID]],tblStores[Store ID],tblStores[Store Name])</f>
        <v>Nelspruit</v>
      </c>
      <c r="E541" t="str">
        <f>_xlfn.XLOOKUP(tblSales[[#This Row],[Store ID]],tblStores[Store ID],tblStores[Province])</f>
        <v>Mpumalanga</v>
      </c>
      <c r="F541" t="str">
        <f>_xlfn.XLOOKUP(tblSales[[#This Row],[Store ID]],tblStores[Store ID],tblStores[Manager])</f>
        <v>Olivia Turner</v>
      </c>
      <c r="G541" t="str">
        <f>_xlfn.XLOOKUP(tblSales[[#This Row],[Category ID]],tblCategories[Category ID],tblCategories[Category])</f>
        <v>Ladieswear</v>
      </c>
      <c r="H541">
        <v>20339</v>
      </c>
      <c r="I541">
        <v>23126</v>
      </c>
      <c r="J541">
        <v>43</v>
      </c>
      <c r="K541">
        <f>tblSales[[#This Row],[Sales]]-tblSales[[#This Row],[Budget]]</f>
        <v>-2787</v>
      </c>
      <c r="L541" s="3">
        <f>(tblSales[[#This Row],[Sales]]-tblSales[[#This Row],[Budget]])/tblSales[[#This Row],[Budget]]</f>
        <v>-0.12051370751535069</v>
      </c>
      <c r="M541" s="2">
        <f>tblSales[[#This Row],[Sales]]/tblSales[[#This Row],[Transactions]]</f>
        <v>473</v>
      </c>
    </row>
    <row r="542" spans="1:13" x14ac:dyDescent="0.25">
      <c r="A542" s="1">
        <v>46050</v>
      </c>
      <c r="B542" t="s">
        <v>6</v>
      </c>
      <c r="C542" t="s">
        <v>7</v>
      </c>
      <c r="D542" t="str">
        <f>_xlfn.XLOOKUP(tblSales[[#This Row],[Store ID]],tblStores[Store ID],tblStores[Store Name])</f>
        <v>Durban CBD</v>
      </c>
      <c r="E542" t="str">
        <f>_xlfn.XLOOKUP(tblSales[[#This Row],[Store ID]],tblStores[Store ID],tblStores[Province])</f>
        <v>KZN</v>
      </c>
      <c r="F542" t="str">
        <f>_xlfn.XLOOKUP(tblSales[[#This Row],[Store ID]],tblStores[Store ID],tblStores[Manager])</f>
        <v>Sarah Adams</v>
      </c>
      <c r="G542" t="str">
        <f>_xlfn.XLOOKUP(tblSales[[#This Row],[Category ID]],tblCategories[Category ID],tblCategories[Category])</f>
        <v>Menswear</v>
      </c>
      <c r="H542">
        <v>15687</v>
      </c>
      <c r="I542">
        <v>15847</v>
      </c>
      <c r="J542">
        <v>83</v>
      </c>
      <c r="K542">
        <f>tblSales[[#This Row],[Sales]]-tblSales[[#This Row],[Budget]]</f>
        <v>-160</v>
      </c>
      <c r="L542" s="3">
        <f>(tblSales[[#This Row],[Sales]]-tblSales[[#This Row],[Budget]])/tblSales[[#This Row],[Budget]]</f>
        <v>-1.0096548242569571E-2</v>
      </c>
      <c r="M542" s="2">
        <f>tblSales[[#This Row],[Sales]]/tblSales[[#This Row],[Transactions]]</f>
        <v>189</v>
      </c>
    </row>
    <row r="543" spans="1:13" x14ac:dyDescent="0.25">
      <c r="A543" s="1">
        <v>46050</v>
      </c>
      <c r="B543" t="s">
        <v>8</v>
      </c>
      <c r="C543" t="s">
        <v>11</v>
      </c>
      <c r="D543" t="str">
        <f>_xlfn.XLOOKUP(tblSales[[#This Row],[Store ID]],tblStores[Store ID],tblStores[Store Name])</f>
        <v>Gateway</v>
      </c>
      <c r="E543" t="str">
        <f>_xlfn.XLOOKUP(tblSales[[#This Row],[Store ID]],tblStores[Store ID],tblStores[Province])</f>
        <v>KZN</v>
      </c>
      <c r="F543" t="str">
        <f>_xlfn.XLOOKUP(tblSales[[#This Row],[Store ID]],tblStores[Store ID],tblStores[Manager])</f>
        <v>Michael Jones</v>
      </c>
      <c r="G543" t="str">
        <f>_xlfn.XLOOKUP(tblSales[[#This Row],[Category ID]],tblCategories[Category ID],tblCategories[Category])</f>
        <v>Footwear</v>
      </c>
      <c r="H543">
        <v>28543</v>
      </c>
      <c r="I543">
        <v>30615</v>
      </c>
      <c r="J543">
        <v>73</v>
      </c>
      <c r="K543">
        <f>tblSales[[#This Row],[Sales]]-tblSales[[#This Row],[Budget]]</f>
        <v>-2072</v>
      </c>
      <c r="L543" s="3">
        <f>(tblSales[[#This Row],[Sales]]-tblSales[[#This Row],[Budget]])/tblSales[[#This Row],[Budget]]</f>
        <v>-6.7679242201535192E-2</v>
      </c>
      <c r="M543" s="2">
        <f>tblSales[[#This Row],[Sales]]/tblSales[[#This Row],[Transactions]]</f>
        <v>391</v>
      </c>
    </row>
    <row r="544" spans="1:13" x14ac:dyDescent="0.25">
      <c r="A544" s="1">
        <v>46050</v>
      </c>
      <c r="B544" t="s">
        <v>10</v>
      </c>
      <c r="C544" t="s">
        <v>11</v>
      </c>
      <c r="D544" t="str">
        <f>_xlfn.XLOOKUP(tblSales[[#This Row],[Store ID]],tblStores[Store ID],tblStores[Store Name])</f>
        <v>Ballito</v>
      </c>
      <c r="E544" t="str">
        <f>_xlfn.XLOOKUP(tblSales[[#This Row],[Store ID]],tblStores[Store ID],tblStores[Province])</f>
        <v>KZN</v>
      </c>
      <c r="F544" t="str">
        <f>_xlfn.XLOOKUP(tblSales[[#This Row],[Store ID]],tblStores[Store ID],tblStores[Manager])</f>
        <v>Linda Smith</v>
      </c>
      <c r="G544" t="str">
        <f>_xlfn.XLOOKUP(tblSales[[#This Row],[Category ID]],tblCategories[Category ID],tblCategories[Category])</f>
        <v>Footwear</v>
      </c>
      <c r="H544">
        <v>80359</v>
      </c>
      <c r="I544">
        <v>90816</v>
      </c>
      <c r="J544">
        <v>163</v>
      </c>
      <c r="K544">
        <f>tblSales[[#This Row],[Sales]]-tblSales[[#This Row],[Budget]]</f>
        <v>-10457</v>
      </c>
      <c r="L544" s="3">
        <f>(tblSales[[#This Row],[Sales]]-tblSales[[#This Row],[Budget]])/tblSales[[#This Row],[Budget]]</f>
        <v>-0.11514490838618746</v>
      </c>
      <c r="M544" s="2">
        <f>tblSales[[#This Row],[Sales]]/tblSales[[#This Row],[Transactions]]</f>
        <v>493</v>
      </c>
    </row>
    <row r="545" spans="1:13" x14ac:dyDescent="0.25">
      <c r="A545" s="1">
        <v>46050</v>
      </c>
      <c r="B545" t="s">
        <v>12</v>
      </c>
      <c r="C545" t="s">
        <v>7</v>
      </c>
      <c r="D545" t="str">
        <f>_xlfn.XLOOKUP(tblSales[[#This Row],[Store ID]],tblStores[Store ID],tblStores[Store Name])</f>
        <v>Pietermaritzburg</v>
      </c>
      <c r="E545" t="str">
        <f>_xlfn.XLOOKUP(tblSales[[#This Row],[Store ID]],tblStores[Store ID],tblStores[Province])</f>
        <v>KZN</v>
      </c>
      <c r="F545" t="str">
        <f>_xlfn.XLOOKUP(tblSales[[#This Row],[Store ID]],tblStores[Store ID],tblStores[Manager])</f>
        <v>Peter Brown</v>
      </c>
      <c r="G545" t="str">
        <f>_xlfn.XLOOKUP(tblSales[[#This Row],[Category ID]],tblCategories[Category ID],tblCategories[Category])</f>
        <v>Menswear</v>
      </c>
      <c r="H545">
        <v>53750</v>
      </c>
      <c r="I545">
        <v>55344</v>
      </c>
      <c r="J545">
        <v>215</v>
      </c>
      <c r="K545">
        <f>tblSales[[#This Row],[Sales]]-tblSales[[#This Row],[Budget]]</f>
        <v>-1594</v>
      </c>
      <c r="L545" s="3">
        <f>(tblSales[[#This Row],[Sales]]-tblSales[[#This Row],[Budget]])/tblSales[[#This Row],[Budget]]</f>
        <v>-2.8801676785198033E-2</v>
      </c>
      <c r="M545" s="2">
        <f>tblSales[[#This Row],[Sales]]/tblSales[[#This Row],[Transactions]]</f>
        <v>250</v>
      </c>
    </row>
    <row r="546" spans="1:13" x14ac:dyDescent="0.25">
      <c r="A546" s="1">
        <v>46050</v>
      </c>
      <c r="B546" t="s">
        <v>13</v>
      </c>
      <c r="C546" t="s">
        <v>19</v>
      </c>
      <c r="D546" t="str">
        <f>_xlfn.XLOOKUP(tblSales[[#This Row],[Store ID]],tblStores[Store ID],tblStores[Store Name])</f>
        <v>Richards Bay</v>
      </c>
      <c r="E546" t="str">
        <f>_xlfn.XLOOKUP(tblSales[[#This Row],[Store ID]],tblStores[Store ID],tblStores[Province])</f>
        <v>KZN</v>
      </c>
      <c r="F546" t="str">
        <f>_xlfn.XLOOKUP(tblSales[[#This Row],[Store ID]],tblStores[Store ID],tblStores[Manager])</f>
        <v>David Green</v>
      </c>
      <c r="G546" t="str">
        <f>_xlfn.XLOOKUP(tblSales[[#This Row],[Category ID]],tblCategories[Category ID],tblCategories[Category])</f>
        <v>Accessories</v>
      </c>
      <c r="H546">
        <v>61242</v>
      </c>
      <c r="I546">
        <v>62441</v>
      </c>
      <c r="J546">
        <v>118</v>
      </c>
      <c r="K546">
        <f>tblSales[[#This Row],[Sales]]-tblSales[[#This Row],[Budget]]</f>
        <v>-1199</v>
      </c>
      <c r="L546" s="3">
        <f>(tblSales[[#This Row],[Sales]]-tblSales[[#This Row],[Budget]])/tblSales[[#This Row],[Budget]]</f>
        <v>-1.9202126807706475E-2</v>
      </c>
      <c r="M546" s="2">
        <f>tblSales[[#This Row],[Sales]]/tblSales[[#This Row],[Transactions]]</f>
        <v>519</v>
      </c>
    </row>
    <row r="547" spans="1:13" x14ac:dyDescent="0.25">
      <c r="A547" s="1">
        <v>46050</v>
      </c>
      <c r="B547" t="s">
        <v>14</v>
      </c>
      <c r="C547" t="s">
        <v>11</v>
      </c>
      <c r="D547" t="str">
        <f>_xlfn.XLOOKUP(tblSales[[#This Row],[Store ID]],tblStores[Store ID],tblStores[Store Name])</f>
        <v>Sandton</v>
      </c>
      <c r="E547" t="str">
        <f>_xlfn.XLOOKUP(tblSales[[#This Row],[Store ID]],tblStores[Store ID],tblStores[Province])</f>
        <v>Gauteng</v>
      </c>
      <c r="F547" t="str">
        <f>_xlfn.XLOOKUP(tblSales[[#This Row],[Store ID]],tblStores[Store ID],tblStores[Manager])</f>
        <v>Karen White</v>
      </c>
      <c r="G547" t="str">
        <f>_xlfn.XLOOKUP(tblSales[[#This Row],[Category ID]],tblCategories[Category ID],tblCategories[Category])</f>
        <v>Footwear</v>
      </c>
      <c r="H547">
        <v>30820</v>
      </c>
      <c r="I547">
        <v>31279</v>
      </c>
      <c r="J547">
        <v>115</v>
      </c>
      <c r="K547">
        <f>tblSales[[#This Row],[Sales]]-tblSales[[#This Row],[Budget]]</f>
        <v>-459</v>
      </c>
      <c r="L547" s="3">
        <f>(tblSales[[#This Row],[Sales]]-tblSales[[#This Row],[Budget]])/tblSales[[#This Row],[Budget]]</f>
        <v>-1.4674382173343138E-2</v>
      </c>
      <c r="M547" s="2">
        <f>tblSales[[#This Row],[Sales]]/tblSales[[#This Row],[Transactions]]</f>
        <v>268</v>
      </c>
    </row>
    <row r="548" spans="1:13" x14ac:dyDescent="0.25">
      <c r="A548" s="1">
        <v>46050</v>
      </c>
      <c r="B548" t="s">
        <v>15</v>
      </c>
      <c r="C548" t="s">
        <v>19</v>
      </c>
      <c r="D548" t="str">
        <f>_xlfn.XLOOKUP(tblSales[[#This Row],[Store ID]],tblStores[Store ID],tblStores[Store Name])</f>
        <v>Rosebank</v>
      </c>
      <c r="E548" t="str">
        <f>_xlfn.XLOOKUP(tblSales[[#This Row],[Store ID]],tblStores[Store ID],tblStores[Province])</f>
        <v>Gauteng</v>
      </c>
      <c r="F548" t="str">
        <f>_xlfn.XLOOKUP(tblSales[[#This Row],[Store ID]],tblStores[Store ID],tblStores[Manager])</f>
        <v>James Taylor</v>
      </c>
      <c r="G548" t="str">
        <f>_xlfn.XLOOKUP(tblSales[[#This Row],[Category ID]],tblCategories[Category ID],tblCategories[Category])</f>
        <v>Accessories</v>
      </c>
      <c r="H548">
        <v>55998</v>
      </c>
      <c r="I548">
        <v>55358</v>
      </c>
      <c r="J548">
        <v>122</v>
      </c>
      <c r="K548">
        <f>tblSales[[#This Row],[Sales]]-tblSales[[#This Row],[Budget]]</f>
        <v>640</v>
      </c>
      <c r="L548" s="3">
        <f>(tblSales[[#This Row],[Sales]]-tblSales[[#This Row],[Budget]])/tblSales[[#This Row],[Budget]]</f>
        <v>1.156111131182485E-2</v>
      </c>
      <c r="M548" s="2">
        <f>tblSales[[#This Row],[Sales]]/tblSales[[#This Row],[Transactions]]</f>
        <v>459</v>
      </c>
    </row>
    <row r="549" spans="1:13" x14ac:dyDescent="0.25">
      <c r="A549" s="1">
        <v>46050</v>
      </c>
      <c r="B549" t="s">
        <v>16</v>
      </c>
      <c r="C549" t="s">
        <v>22</v>
      </c>
      <c r="D549" t="str">
        <f>_xlfn.XLOOKUP(tblSales[[#This Row],[Store ID]],tblStores[Store ID],tblStores[Store Name])</f>
        <v>Pretoria</v>
      </c>
      <c r="E549" t="str">
        <f>_xlfn.XLOOKUP(tblSales[[#This Row],[Store ID]],tblStores[Store ID],tblStores[Province])</f>
        <v>Gauteng</v>
      </c>
      <c r="F549" t="str">
        <f>_xlfn.XLOOKUP(tblSales[[#This Row],[Store ID]],tblStores[Store ID],tblStores[Manager])</f>
        <v>Susan Clark</v>
      </c>
      <c r="G549" t="str">
        <f>_xlfn.XLOOKUP(tblSales[[#This Row],[Category ID]],tblCategories[Category ID],tblCategories[Category])</f>
        <v>Kids</v>
      </c>
      <c r="H549">
        <v>81557</v>
      </c>
      <c r="I549">
        <v>77321</v>
      </c>
      <c r="J549">
        <v>191</v>
      </c>
      <c r="K549">
        <f>tblSales[[#This Row],[Sales]]-tblSales[[#This Row],[Budget]]</f>
        <v>4236</v>
      </c>
      <c r="L549" s="3">
        <f>(tblSales[[#This Row],[Sales]]-tblSales[[#This Row],[Budget]])/tblSales[[#This Row],[Budget]]</f>
        <v>5.4784599267986706E-2</v>
      </c>
      <c r="M549" s="2">
        <f>tblSales[[#This Row],[Sales]]/tblSales[[#This Row],[Transactions]]</f>
        <v>427</v>
      </c>
    </row>
    <row r="550" spans="1:13" x14ac:dyDescent="0.25">
      <c r="A550" s="1">
        <v>46050</v>
      </c>
      <c r="B550" t="s">
        <v>17</v>
      </c>
      <c r="C550" t="s">
        <v>9</v>
      </c>
      <c r="D550" t="str">
        <f>_xlfn.XLOOKUP(tblSales[[#This Row],[Store ID]],tblStores[Store ID],tblStores[Store Name])</f>
        <v>Centurion</v>
      </c>
      <c r="E550" t="str">
        <f>_xlfn.XLOOKUP(tblSales[[#This Row],[Store ID]],tblStores[Store ID],tblStores[Province])</f>
        <v>Gauteng</v>
      </c>
      <c r="F550" t="str">
        <f>_xlfn.XLOOKUP(tblSales[[#This Row],[Store ID]],tblStores[Store ID],tblStores[Manager])</f>
        <v>Mark Wilson</v>
      </c>
      <c r="G550" t="str">
        <f>_xlfn.XLOOKUP(tblSales[[#This Row],[Category ID]],tblCategories[Category ID],tblCategories[Category])</f>
        <v>Ladieswear</v>
      </c>
      <c r="H550">
        <v>49290</v>
      </c>
      <c r="I550">
        <v>48039</v>
      </c>
      <c r="J550">
        <v>106</v>
      </c>
      <c r="K550">
        <f>tblSales[[#This Row],[Sales]]-tblSales[[#This Row],[Budget]]</f>
        <v>1251</v>
      </c>
      <c r="L550" s="3">
        <f>(tblSales[[#This Row],[Sales]]-tblSales[[#This Row],[Budget]])/tblSales[[#This Row],[Budget]]</f>
        <v>2.604134141010429E-2</v>
      </c>
      <c r="M550" s="2">
        <f>tblSales[[#This Row],[Sales]]/tblSales[[#This Row],[Transactions]]</f>
        <v>465</v>
      </c>
    </row>
    <row r="551" spans="1:13" x14ac:dyDescent="0.25">
      <c r="A551" s="1">
        <v>46050</v>
      </c>
      <c r="B551" t="s">
        <v>18</v>
      </c>
      <c r="C551" t="s">
        <v>22</v>
      </c>
      <c r="D551" t="str">
        <f>_xlfn.XLOOKUP(tblSales[[#This Row],[Store ID]],tblStores[Store ID],tblStores[Store Name])</f>
        <v>East Rand</v>
      </c>
      <c r="E551" t="str">
        <f>_xlfn.XLOOKUP(tblSales[[#This Row],[Store ID]],tblStores[Store ID],tblStores[Province])</f>
        <v>Gauteng</v>
      </c>
      <c r="F551" t="str">
        <f>_xlfn.XLOOKUP(tblSales[[#This Row],[Store ID]],tblStores[Store ID],tblStores[Manager])</f>
        <v>Lisa Young</v>
      </c>
      <c r="G551" t="str">
        <f>_xlfn.XLOOKUP(tblSales[[#This Row],[Category ID]],tblCategories[Category ID],tblCategories[Category])</f>
        <v>Kids</v>
      </c>
      <c r="H551">
        <v>30888</v>
      </c>
      <c r="I551">
        <v>33129</v>
      </c>
      <c r="J551">
        <v>108</v>
      </c>
      <c r="K551">
        <f>tblSales[[#This Row],[Sales]]-tblSales[[#This Row],[Budget]]</f>
        <v>-2241</v>
      </c>
      <c r="L551" s="3">
        <f>(tblSales[[#This Row],[Sales]]-tblSales[[#This Row],[Budget]])/tblSales[[#This Row],[Budget]]</f>
        <v>-6.7644661776691123E-2</v>
      </c>
      <c r="M551" s="2">
        <f>tblSales[[#This Row],[Sales]]/tblSales[[#This Row],[Transactions]]</f>
        <v>286</v>
      </c>
    </row>
    <row r="552" spans="1:13" x14ac:dyDescent="0.25">
      <c r="A552" s="1">
        <v>46050</v>
      </c>
      <c r="B552" t="s">
        <v>20</v>
      </c>
      <c r="C552" t="s">
        <v>11</v>
      </c>
      <c r="D552" t="str">
        <f>_xlfn.XLOOKUP(tblSales[[#This Row],[Store ID]],tblStores[Store ID],tblStores[Store Name])</f>
        <v>Cape Town CBD</v>
      </c>
      <c r="E552" t="str">
        <f>_xlfn.XLOOKUP(tblSales[[#This Row],[Store ID]],tblStores[Store ID],tblStores[Province])</f>
        <v>Western Cape</v>
      </c>
      <c r="F552" t="str">
        <f>_xlfn.XLOOKUP(tblSales[[#This Row],[Store ID]],tblStores[Store ID],tblStores[Manager])</f>
        <v>Brian Hall</v>
      </c>
      <c r="G552" t="str">
        <f>_xlfn.XLOOKUP(tblSales[[#This Row],[Category ID]],tblCategories[Category ID],tblCategories[Category])</f>
        <v>Footwear</v>
      </c>
      <c r="H552">
        <v>49300</v>
      </c>
      <c r="I552">
        <v>48668</v>
      </c>
      <c r="J552">
        <v>116</v>
      </c>
      <c r="K552">
        <f>tblSales[[#This Row],[Sales]]-tblSales[[#This Row],[Budget]]</f>
        <v>632</v>
      </c>
      <c r="L552" s="3">
        <f>(tblSales[[#This Row],[Sales]]-tblSales[[#This Row],[Budget]])/tblSales[[#This Row],[Budget]]</f>
        <v>1.2985945590531766E-2</v>
      </c>
      <c r="M552" s="2">
        <f>tblSales[[#This Row],[Sales]]/tblSales[[#This Row],[Transactions]]</f>
        <v>425</v>
      </c>
    </row>
    <row r="553" spans="1:13" x14ac:dyDescent="0.25">
      <c r="A553" s="1">
        <v>46050</v>
      </c>
      <c r="B553" t="s">
        <v>21</v>
      </c>
      <c r="C553" t="s">
        <v>22</v>
      </c>
      <c r="D553" t="str">
        <f>_xlfn.XLOOKUP(tblSales[[#This Row],[Store ID]],tblStores[Store ID],tblStores[Store Name])</f>
        <v>Canal Walk</v>
      </c>
      <c r="E553" t="str">
        <f>_xlfn.XLOOKUP(tblSales[[#This Row],[Store ID]],tblStores[Store ID],tblStores[Province])</f>
        <v>Western Cape</v>
      </c>
      <c r="F553" t="str">
        <f>_xlfn.XLOOKUP(tblSales[[#This Row],[Store ID]],tblStores[Store ID],tblStores[Manager])</f>
        <v>Megan Scott</v>
      </c>
      <c r="G553" t="str">
        <f>_xlfn.XLOOKUP(tblSales[[#This Row],[Category ID]],tblCategories[Category ID],tblCategories[Category])</f>
        <v>Kids</v>
      </c>
      <c r="H553">
        <v>26136</v>
      </c>
      <c r="I553">
        <v>27269</v>
      </c>
      <c r="J553">
        <v>108</v>
      </c>
      <c r="K553">
        <f>tblSales[[#This Row],[Sales]]-tblSales[[#This Row],[Budget]]</f>
        <v>-1133</v>
      </c>
      <c r="L553" s="3">
        <f>(tblSales[[#This Row],[Sales]]-tblSales[[#This Row],[Budget]])/tblSales[[#This Row],[Budget]]</f>
        <v>-4.1549011698265428E-2</v>
      </c>
      <c r="M553" s="2">
        <f>tblSales[[#This Row],[Sales]]/tblSales[[#This Row],[Transactions]]</f>
        <v>242</v>
      </c>
    </row>
    <row r="554" spans="1:13" x14ac:dyDescent="0.25">
      <c r="A554" s="1">
        <v>46050</v>
      </c>
      <c r="B554" t="s">
        <v>23</v>
      </c>
      <c r="C554" t="s">
        <v>19</v>
      </c>
      <c r="D554" t="str">
        <f>_xlfn.XLOOKUP(tblSales[[#This Row],[Store ID]],tblStores[Store ID],tblStores[Store Name])</f>
        <v>Stellenbosch</v>
      </c>
      <c r="E554" t="str">
        <f>_xlfn.XLOOKUP(tblSales[[#This Row],[Store ID]],tblStores[Store ID],tblStores[Province])</f>
        <v>Western Cape</v>
      </c>
      <c r="F554" t="str">
        <f>_xlfn.XLOOKUP(tblSales[[#This Row],[Store ID]],tblStores[Store ID],tblStores[Manager])</f>
        <v>Jason King</v>
      </c>
      <c r="G554" t="str">
        <f>_xlfn.XLOOKUP(tblSales[[#This Row],[Category ID]],tblCategories[Category ID],tblCategories[Category])</f>
        <v>Accessories</v>
      </c>
      <c r="H554">
        <v>50424</v>
      </c>
      <c r="I554">
        <v>55698</v>
      </c>
      <c r="J554">
        <v>132</v>
      </c>
      <c r="K554">
        <f>tblSales[[#This Row],[Sales]]-tblSales[[#This Row],[Budget]]</f>
        <v>-5274</v>
      </c>
      <c r="L554" s="3">
        <f>(tblSales[[#This Row],[Sales]]-tblSales[[#This Row],[Budget]])/tblSales[[#This Row],[Budget]]</f>
        <v>-9.4689216848001717E-2</v>
      </c>
      <c r="M554" s="2">
        <f>tblSales[[#This Row],[Sales]]/tblSales[[#This Row],[Transactions]]</f>
        <v>382</v>
      </c>
    </row>
    <row r="555" spans="1:13" x14ac:dyDescent="0.25">
      <c r="A555" s="1">
        <v>46050</v>
      </c>
      <c r="B555" t="s">
        <v>24</v>
      </c>
      <c r="C555" t="s">
        <v>9</v>
      </c>
      <c r="D555" t="str">
        <f>_xlfn.XLOOKUP(tblSales[[#This Row],[Store ID]],tblStores[Store ID],tblStores[Store Name])</f>
        <v>George</v>
      </c>
      <c r="E555" t="str">
        <f>_xlfn.XLOOKUP(tblSales[[#This Row],[Store ID]],tblStores[Store ID],tblStores[Province])</f>
        <v>Western Cape</v>
      </c>
      <c r="F555" t="str">
        <f>_xlfn.XLOOKUP(tblSales[[#This Row],[Store ID]],tblStores[Store ID],tblStores[Manager])</f>
        <v>Chloe Hill</v>
      </c>
      <c r="G555" t="str">
        <f>_xlfn.XLOOKUP(tblSales[[#This Row],[Category ID]],tblCategories[Category ID],tblCategories[Category])</f>
        <v>Ladieswear</v>
      </c>
      <c r="H555">
        <v>21909</v>
      </c>
      <c r="I555">
        <v>21293</v>
      </c>
      <c r="J555">
        <v>109</v>
      </c>
      <c r="K555">
        <f>tblSales[[#This Row],[Sales]]-tblSales[[#This Row],[Budget]]</f>
        <v>616</v>
      </c>
      <c r="L555" s="3">
        <f>(tblSales[[#This Row],[Sales]]-tblSales[[#This Row],[Budget]])/tblSales[[#This Row],[Budget]]</f>
        <v>2.8929695204996948E-2</v>
      </c>
      <c r="M555" s="2">
        <f>tblSales[[#This Row],[Sales]]/tblSales[[#This Row],[Transactions]]</f>
        <v>201</v>
      </c>
    </row>
    <row r="556" spans="1:13" x14ac:dyDescent="0.25">
      <c r="A556" s="1">
        <v>46050</v>
      </c>
      <c r="B556" t="s">
        <v>25</v>
      </c>
      <c r="C556" t="s">
        <v>7</v>
      </c>
      <c r="D556" t="str">
        <f>_xlfn.XLOOKUP(tblSales[[#This Row],[Store ID]],tblStores[Store ID],tblStores[Store Name])</f>
        <v>Paarl</v>
      </c>
      <c r="E556" t="str">
        <f>_xlfn.XLOOKUP(tblSales[[#This Row],[Store ID]],tblStores[Store ID],tblStores[Province])</f>
        <v>Western Cape</v>
      </c>
      <c r="F556" t="str">
        <f>_xlfn.XLOOKUP(tblSales[[#This Row],[Store ID]],tblStores[Store ID],tblStores[Manager])</f>
        <v>Andrew Lee</v>
      </c>
      <c r="G556" t="str">
        <f>_xlfn.XLOOKUP(tblSales[[#This Row],[Category ID]],tblCategories[Category ID],tblCategories[Category])</f>
        <v>Menswear</v>
      </c>
      <c r="H556">
        <v>49938</v>
      </c>
      <c r="I556">
        <v>53133</v>
      </c>
      <c r="J556">
        <v>123</v>
      </c>
      <c r="K556">
        <f>tblSales[[#This Row],[Sales]]-tblSales[[#This Row],[Budget]]</f>
        <v>-3195</v>
      </c>
      <c r="L556" s="3">
        <f>(tblSales[[#This Row],[Sales]]-tblSales[[#This Row],[Budget]])/tblSales[[#This Row],[Budget]]</f>
        <v>-6.0132121280560107E-2</v>
      </c>
      <c r="M556" s="2">
        <f>tblSales[[#This Row],[Sales]]/tblSales[[#This Row],[Transactions]]</f>
        <v>406</v>
      </c>
    </row>
    <row r="557" spans="1:13" x14ac:dyDescent="0.25">
      <c r="A557" s="1">
        <v>46050</v>
      </c>
      <c r="B557" t="s">
        <v>26</v>
      </c>
      <c r="C557" t="s">
        <v>11</v>
      </c>
      <c r="D557" t="str">
        <f>_xlfn.XLOOKUP(tblSales[[#This Row],[Store ID]],tblStores[Store ID],tblStores[Store Name])</f>
        <v>Gqeberha</v>
      </c>
      <c r="E557" t="str">
        <f>_xlfn.XLOOKUP(tblSales[[#This Row],[Store ID]],tblStores[Store ID],tblStores[Province])</f>
        <v>Eastern Cape</v>
      </c>
      <c r="F557" t="str">
        <f>_xlfn.XLOOKUP(tblSales[[#This Row],[Store ID]],tblStores[Store ID],tblStores[Manager])</f>
        <v>Emma Baker</v>
      </c>
      <c r="G557" t="str">
        <f>_xlfn.XLOOKUP(tblSales[[#This Row],[Category ID]],tblCategories[Category ID],tblCategories[Category])</f>
        <v>Footwear</v>
      </c>
      <c r="H557">
        <v>25187</v>
      </c>
      <c r="I557">
        <v>27881</v>
      </c>
      <c r="J557">
        <v>89</v>
      </c>
      <c r="K557">
        <f>tblSales[[#This Row],[Sales]]-tblSales[[#This Row],[Budget]]</f>
        <v>-2694</v>
      </c>
      <c r="L557" s="3">
        <f>(tblSales[[#This Row],[Sales]]-tblSales[[#This Row],[Budget]])/tblSales[[#This Row],[Budget]]</f>
        <v>-9.6624941716581189E-2</v>
      </c>
      <c r="M557" s="2">
        <f>tblSales[[#This Row],[Sales]]/tblSales[[#This Row],[Transactions]]</f>
        <v>283</v>
      </c>
    </row>
    <row r="558" spans="1:13" x14ac:dyDescent="0.25">
      <c r="A558" s="1">
        <v>46050</v>
      </c>
      <c r="B558" t="s">
        <v>27</v>
      </c>
      <c r="C558" t="s">
        <v>22</v>
      </c>
      <c r="D558" t="str">
        <f>_xlfn.XLOOKUP(tblSales[[#This Row],[Store ID]],tblStores[Store ID],tblStores[Store Name])</f>
        <v>East London</v>
      </c>
      <c r="E558" t="str">
        <f>_xlfn.XLOOKUP(tblSales[[#This Row],[Store ID]],tblStores[Store ID],tblStores[Province])</f>
        <v>Eastern Cape</v>
      </c>
      <c r="F558" t="str">
        <f>_xlfn.XLOOKUP(tblSales[[#This Row],[Store ID]],tblStores[Store ID],tblStores[Manager])</f>
        <v>Daniel Evans</v>
      </c>
      <c r="G558" t="str">
        <f>_xlfn.XLOOKUP(tblSales[[#This Row],[Category ID]],tblCategories[Category ID],tblCategories[Category])</f>
        <v>Kids</v>
      </c>
      <c r="H558">
        <v>56782</v>
      </c>
      <c r="I558">
        <v>53052</v>
      </c>
      <c r="J558">
        <v>178</v>
      </c>
      <c r="K558">
        <f>tblSales[[#This Row],[Sales]]-tblSales[[#This Row],[Budget]]</f>
        <v>3730</v>
      </c>
      <c r="L558" s="3">
        <f>(tblSales[[#This Row],[Sales]]-tblSales[[#This Row],[Budget]])/tblSales[[#This Row],[Budget]]</f>
        <v>7.0308376687024055E-2</v>
      </c>
      <c r="M558" s="2">
        <f>tblSales[[#This Row],[Sales]]/tblSales[[#This Row],[Transactions]]</f>
        <v>319</v>
      </c>
    </row>
    <row r="559" spans="1:13" x14ac:dyDescent="0.25">
      <c r="A559" s="1">
        <v>46050</v>
      </c>
      <c r="B559" t="s">
        <v>28</v>
      </c>
      <c r="C559" t="s">
        <v>19</v>
      </c>
      <c r="D559" t="str">
        <f>_xlfn.XLOOKUP(tblSales[[#This Row],[Store ID]],tblStores[Store ID],tblStores[Store Name])</f>
        <v>Bloemfontein</v>
      </c>
      <c r="E559" t="str">
        <f>_xlfn.XLOOKUP(tblSales[[#This Row],[Store ID]],tblStores[Store ID],tblStores[Province])</f>
        <v>Free State</v>
      </c>
      <c r="F559" t="str">
        <f>_xlfn.XLOOKUP(tblSales[[#This Row],[Store ID]],tblStores[Store ID],tblStores[Manager])</f>
        <v>Rachel Moore</v>
      </c>
      <c r="G559" t="str">
        <f>_xlfn.XLOOKUP(tblSales[[#This Row],[Category ID]],tblCategories[Category ID],tblCategories[Category])</f>
        <v>Accessories</v>
      </c>
      <c r="H559">
        <v>55870</v>
      </c>
      <c r="I559">
        <v>53669</v>
      </c>
      <c r="J559">
        <v>185</v>
      </c>
      <c r="K559">
        <f>tblSales[[#This Row],[Sales]]-tblSales[[#This Row],[Budget]]</f>
        <v>2201</v>
      </c>
      <c r="L559" s="3">
        <f>(tblSales[[#This Row],[Sales]]-tblSales[[#This Row],[Budget]])/tblSales[[#This Row],[Budget]]</f>
        <v>4.1010639288975012E-2</v>
      </c>
      <c r="M559" s="2">
        <f>tblSales[[#This Row],[Sales]]/tblSales[[#This Row],[Transactions]]</f>
        <v>302</v>
      </c>
    </row>
    <row r="560" spans="1:13" x14ac:dyDescent="0.25">
      <c r="A560" s="1">
        <v>46050</v>
      </c>
      <c r="B560" t="s">
        <v>29</v>
      </c>
      <c r="C560" t="s">
        <v>19</v>
      </c>
      <c r="D560" t="str">
        <f>_xlfn.XLOOKUP(tblSales[[#This Row],[Store ID]],tblStores[Store ID],tblStores[Store Name])</f>
        <v>Polokwane</v>
      </c>
      <c r="E560" t="str">
        <f>_xlfn.XLOOKUP(tblSales[[#This Row],[Store ID]],tblStores[Store ID],tblStores[Province])</f>
        <v>Limpopo</v>
      </c>
      <c r="F560" t="str">
        <f>_xlfn.XLOOKUP(tblSales[[#This Row],[Store ID]],tblStores[Store ID],tblStores[Manager])</f>
        <v>Kevin Harris</v>
      </c>
      <c r="G560" t="str">
        <f>_xlfn.XLOOKUP(tblSales[[#This Row],[Category ID]],tblCategories[Category ID],tblCategories[Category])</f>
        <v>Accessories</v>
      </c>
      <c r="H560">
        <v>46552</v>
      </c>
      <c r="I560">
        <v>44606</v>
      </c>
      <c r="J560">
        <v>92</v>
      </c>
      <c r="K560">
        <f>tblSales[[#This Row],[Sales]]-tblSales[[#This Row],[Budget]]</f>
        <v>1946</v>
      </c>
      <c r="L560" s="3">
        <f>(tblSales[[#This Row],[Sales]]-tblSales[[#This Row],[Budget]])/tblSales[[#This Row],[Budget]]</f>
        <v>4.3626417970676588E-2</v>
      </c>
      <c r="M560" s="2">
        <f>tblSales[[#This Row],[Sales]]/tblSales[[#This Row],[Transactions]]</f>
        <v>506</v>
      </c>
    </row>
    <row r="561" spans="1:13" x14ac:dyDescent="0.25">
      <c r="A561" s="1">
        <v>46050</v>
      </c>
      <c r="B561" t="s">
        <v>30</v>
      </c>
      <c r="C561" t="s">
        <v>7</v>
      </c>
      <c r="D561" t="str">
        <f>_xlfn.XLOOKUP(tblSales[[#This Row],[Store ID]],tblStores[Store ID],tblStores[Store Name])</f>
        <v>Nelspruit</v>
      </c>
      <c r="E561" t="str">
        <f>_xlfn.XLOOKUP(tblSales[[#This Row],[Store ID]],tblStores[Store ID],tblStores[Province])</f>
        <v>Mpumalanga</v>
      </c>
      <c r="F561" t="str">
        <f>_xlfn.XLOOKUP(tblSales[[#This Row],[Store ID]],tblStores[Store ID],tblStores[Manager])</f>
        <v>Olivia Turner</v>
      </c>
      <c r="G561" t="str">
        <f>_xlfn.XLOOKUP(tblSales[[#This Row],[Category ID]],tblCategories[Category ID],tblCategories[Category])</f>
        <v>Menswear</v>
      </c>
      <c r="H561">
        <v>48860</v>
      </c>
      <c r="I561">
        <v>52736</v>
      </c>
      <c r="J561">
        <v>140</v>
      </c>
      <c r="K561">
        <f>tblSales[[#This Row],[Sales]]-tblSales[[#This Row],[Budget]]</f>
        <v>-3876</v>
      </c>
      <c r="L561" s="3">
        <f>(tblSales[[#This Row],[Sales]]-tblSales[[#This Row],[Budget]])/tblSales[[#This Row],[Budget]]</f>
        <v>-7.3498179611650491E-2</v>
      </c>
      <c r="M561" s="2">
        <f>tblSales[[#This Row],[Sales]]/tblSales[[#This Row],[Transactions]]</f>
        <v>349</v>
      </c>
    </row>
    <row r="562" spans="1:13" x14ac:dyDescent="0.25">
      <c r="A562" s="1">
        <v>46051</v>
      </c>
      <c r="B562" t="s">
        <v>6</v>
      </c>
      <c r="C562" t="s">
        <v>7</v>
      </c>
      <c r="D562" t="str">
        <f>_xlfn.XLOOKUP(tblSales[[#This Row],[Store ID]],tblStores[Store ID],tblStores[Store Name])</f>
        <v>Durban CBD</v>
      </c>
      <c r="E562" t="str">
        <f>_xlfn.XLOOKUP(tblSales[[#This Row],[Store ID]],tblStores[Store ID],tblStores[Province])</f>
        <v>KZN</v>
      </c>
      <c r="F562" t="str">
        <f>_xlfn.XLOOKUP(tblSales[[#This Row],[Store ID]],tblStores[Store ID],tblStores[Manager])</f>
        <v>Sarah Adams</v>
      </c>
      <c r="G562" t="str">
        <f>_xlfn.XLOOKUP(tblSales[[#This Row],[Category ID]],tblCategories[Category ID],tblCategories[Category])</f>
        <v>Menswear</v>
      </c>
      <c r="H562">
        <v>52250</v>
      </c>
      <c r="I562">
        <v>47092</v>
      </c>
      <c r="J562">
        <v>209</v>
      </c>
      <c r="K562">
        <f>tblSales[[#This Row],[Sales]]-tblSales[[#This Row],[Budget]]</f>
        <v>5158</v>
      </c>
      <c r="L562" s="3">
        <f>(tblSales[[#This Row],[Sales]]-tblSales[[#This Row],[Budget]])/tblSales[[#This Row],[Budget]]</f>
        <v>0.10953028115178799</v>
      </c>
      <c r="M562" s="2">
        <f>tblSales[[#This Row],[Sales]]/tblSales[[#This Row],[Transactions]]</f>
        <v>250</v>
      </c>
    </row>
    <row r="563" spans="1:13" x14ac:dyDescent="0.25">
      <c r="A563" s="1">
        <v>46051</v>
      </c>
      <c r="B563" t="s">
        <v>8</v>
      </c>
      <c r="C563" t="s">
        <v>19</v>
      </c>
      <c r="D563" t="str">
        <f>_xlfn.XLOOKUP(tblSales[[#This Row],[Store ID]],tblStores[Store ID],tblStores[Store Name])</f>
        <v>Gateway</v>
      </c>
      <c r="E563" t="str">
        <f>_xlfn.XLOOKUP(tblSales[[#This Row],[Store ID]],tblStores[Store ID],tblStores[Province])</f>
        <v>KZN</v>
      </c>
      <c r="F563" t="str">
        <f>_xlfn.XLOOKUP(tblSales[[#This Row],[Store ID]],tblStores[Store ID],tblStores[Manager])</f>
        <v>Michael Jones</v>
      </c>
      <c r="G563" t="str">
        <f>_xlfn.XLOOKUP(tblSales[[#This Row],[Category ID]],tblCategories[Category ID],tblCategories[Category])</f>
        <v>Accessories</v>
      </c>
      <c r="H563">
        <v>29100</v>
      </c>
      <c r="I563">
        <v>30939</v>
      </c>
      <c r="J563">
        <v>75</v>
      </c>
      <c r="K563">
        <f>tblSales[[#This Row],[Sales]]-tblSales[[#This Row],[Budget]]</f>
        <v>-1839</v>
      </c>
      <c r="L563" s="3">
        <f>(tblSales[[#This Row],[Sales]]-tblSales[[#This Row],[Budget]])/tblSales[[#This Row],[Budget]]</f>
        <v>-5.9439542325220598E-2</v>
      </c>
      <c r="M563" s="2">
        <f>tblSales[[#This Row],[Sales]]/tblSales[[#This Row],[Transactions]]</f>
        <v>388</v>
      </c>
    </row>
    <row r="564" spans="1:13" x14ac:dyDescent="0.25">
      <c r="A564" s="1">
        <v>46051</v>
      </c>
      <c r="B564" t="s">
        <v>10</v>
      </c>
      <c r="C564" t="s">
        <v>11</v>
      </c>
      <c r="D564" t="str">
        <f>_xlfn.XLOOKUP(tblSales[[#This Row],[Store ID]],tblStores[Store ID],tblStores[Store Name])</f>
        <v>Ballito</v>
      </c>
      <c r="E564" t="str">
        <f>_xlfn.XLOOKUP(tblSales[[#This Row],[Store ID]],tblStores[Store ID],tblStores[Province])</f>
        <v>KZN</v>
      </c>
      <c r="F564" t="str">
        <f>_xlfn.XLOOKUP(tblSales[[#This Row],[Store ID]],tblStores[Store ID],tblStores[Manager])</f>
        <v>Linda Smith</v>
      </c>
      <c r="G564" t="str">
        <f>_xlfn.XLOOKUP(tblSales[[#This Row],[Category ID]],tblCategories[Category ID],tblCategories[Category])</f>
        <v>Footwear</v>
      </c>
      <c r="H564">
        <v>80541</v>
      </c>
      <c r="I564">
        <v>76502</v>
      </c>
      <c r="J564">
        <v>157</v>
      </c>
      <c r="K564">
        <f>tblSales[[#This Row],[Sales]]-tblSales[[#This Row],[Budget]]</f>
        <v>4039</v>
      </c>
      <c r="L564" s="3">
        <f>(tblSales[[#This Row],[Sales]]-tblSales[[#This Row],[Budget]])/tblSales[[#This Row],[Budget]]</f>
        <v>5.2796005333193903E-2</v>
      </c>
      <c r="M564" s="2">
        <f>tblSales[[#This Row],[Sales]]/tblSales[[#This Row],[Transactions]]</f>
        <v>513</v>
      </c>
    </row>
    <row r="565" spans="1:13" x14ac:dyDescent="0.25">
      <c r="A565" s="1">
        <v>46051</v>
      </c>
      <c r="B565" t="s">
        <v>12</v>
      </c>
      <c r="C565" t="s">
        <v>22</v>
      </c>
      <c r="D565" t="str">
        <f>_xlfn.XLOOKUP(tblSales[[#This Row],[Store ID]],tblStores[Store ID],tblStores[Store Name])</f>
        <v>Pietermaritzburg</v>
      </c>
      <c r="E565" t="str">
        <f>_xlfn.XLOOKUP(tblSales[[#This Row],[Store ID]],tblStores[Store ID],tblStores[Province])</f>
        <v>KZN</v>
      </c>
      <c r="F565" t="str">
        <f>_xlfn.XLOOKUP(tblSales[[#This Row],[Store ID]],tblStores[Store ID],tblStores[Manager])</f>
        <v>Peter Brown</v>
      </c>
      <c r="G565" t="str">
        <f>_xlfn.XLOOKUP(tblSales[[#This Row],[Category ID]],tblCategories[Category ID],tblCategories[Category])</f>
        <v>Kids</v>
      </c>
      <c r="H565">
        <v>38142</v>
      </c>
      <c r="I565">
        <v>40486</v>
      </c>
      <c r="J565">
        <v>117</v>
      </c>
      <c r="K565">
        <f>tblSales[[#This Row],[Sales]]-tblSales[[#This Row],[Budget]]</f>
        <v>-2344</v>
      </c>
      <c r="L565" s="3">
        <f>(tblSales[[#This Row],[Sales]]-tblSales[[#This Row],[Budget]])/tblSales[[#This Row],[Budget]]</f>
        <v>-5.7896556834461294E-2</v>
      </c>
      <c r="M565" s="2">
        <f>tblSales[[#This Row],[Sales]]/tblSales[[#This Row],[Transactions]]</f>
        <v>326</v>
      </c>
    </row>
    <row r="566" spans="1:13" x14ac:dyDescent="0.25">
      <c r="A566" s="1">
        <v>46051</v>
      </c>
      <c r="B566" t="s">
        <v>13</v>
      </c>
      <c r="C566" t="s">
        <v>7</v>
      </c>
      <c r="D566" t="str">
        <f>_xlfn.XLOOKUP(tblSales[[#This Row],[Store ID]],tblStores[Store ID],tblStores[Store Name])</f>
        <v>Richards Bay</v>
      </c>
      <c r="E566" t="str">
        <f>_xlfn.XLOOKUP(tblSales[[#This Row],[Store ID]],tblStores[Store ID],tblStores[Province])</f>
        <v>KZN</v>
      </c>
      <c r="F566" t="str">
        <f>_xlfn.XLOOKUP(tblSales[[#This Row],[Store ID]],tblStores[Store ID],tblStores[Manager])</f>
        <v>David Green</v>
      </c>
      <c r="G566" t="str">
        <f>_xlfn.XLOOKUP(tblSales[[#This Row],[Category ID]],tblCategories[Category ID],tblCategories[Category])</f>
        <v>Menswear</v>
      </c>
      <c r="H566">
        <v>95073</v>
      </c>
      <c r="I566">
        <v>91085</v>
      </c>
      <c r="J566">
        <v>201</v>
      </c>
      <c r="K566">
        <f>tblSales[[#This Row],[Sales]]-tblSales[[#This Row],[Budget]]</f>
        <v>3988</v>
      </c>
      <c r="L566" s="3">
        <f>(tblSales[[#This Row],[Sales]]-tblSales[[#This Row],[Budget]])/tblSales[[#This Row],[Budget]]</f>
        <v>4.3783279354449138E-2</v>
      </c>
      <c r="M566" s="2">
        <f>tblSales[[#This Row],[Sales]]/tblSales[[#This Row],[Transactions]]</f>
        <v>473</v>
      </c>
    </row>
    <row r="567" spans="1:13" x14ac:dyDescent="0.25">
      <c r="A567" s="1">
        <v>46051</v>
      </c>
      <c r="B567" t="s">
        <v>14</v>
      </c>
      <c r="C567" t="s">
        <v>7</v>
      </c>
      <c r="D567" t="str">
        <f>_xlfn.XLOOKUP(tblSales[[#This Row],[Store ID]],tblStores[Store ID],tblStores[Store Name])</f>
        <v>Sandton</v>
      </c>
      <c r="E567" t="str">
        <f>_xlfn.XLOOKUP(tblSales[[#This Row],[Store ID]],tblStores[Store ID],tblStores[Province])</f>
        <v>Gauteng</v>
      </c>
      <c r="F567" t="str">
        <f>_xlfn.XLOOKUP(tblSales[[#This Row],[Store ID]],tblStores[Store ID],tblStores[Manager])</f>
        <v>Karen White</v>
      </c>
      <c r="G567" t="str">
        <f>_xlfn.XLOOKUP(tblSales[[#This Row],[Category ID]],tblCategories[Category ID],tblCategories[Category])</f>
        <v>Menswear</v>
      </c>
      <c r="H567">
        <v>31047</v>
      </c>
      <c r="I567">
        <v>34790</v>
      </c>
      <c r="J567">
        <v>79</v>
      </c>
      <c r="K567">
        <f>tblSales[[#This Row],[Sales]]-tblSales[[#This Row],[Budget]]</f>
        <v>-3743</v>
      </c>
      <c r="L567" s="3">
        <f>(tblSales[[#This Row],[Sales]]-tblSales[[#This Row],[Budget]])/tblSales[[#This Row],[Budget]]</f>
        <v>-0.10758838746766312</v>
      </c>
      <c r="M567" s="2">
        <f>tblSales[[#This Row],[Sales]]/tblSales[[#This Row],[Transactions]]</f>
        <v>393</v>
      </c>
    </row>
    <row r="568" spans="1:13" x14ac:dyDescent="0.25">
      <c r="A568" s="1">
        <v>46051</v>
      </c>
      <c r="B568" t="s">
        <v>15</v>
      </c>
      <c r="C568" t="s">
        <v>9</v>
      </c>
      <c r="D568" t="str">
        <f>_xlfn.XLOOKUP(tblSales[[#This Row],[Store ID]],tblStores[Store ID],tblStores[Store Name])</f>
        <v>Rosebank</v>
      </c>
      <c r="E568" t="str">
        <f>_xlfn.XLOOKUP(tblSales[[#This Row],[Store ID]],tblStores[Store ID],tblStores[Province])</f>
        <v>Gauteng</v>
      </c>
      <c r="F568" t="str">
        <f>_xlfn.XLOOKUP(tblSales[[#This Row],[Store ID]],tblStores[Store ID],tblStores[Manager])</f>
        <v>James Taylor</v>
      </c>
      <c r="G568" t="str">
        <f>_xlfn.XLOOKUP(tblSales[[#This Row],[Category ID]],tblCategories[Category ID],tblCategories[Category])</f>
        <v>Ladieswear</v>
      </c>
      <c r="H568">
        <v>16852</v>
      </c>
      <c r="I568">
        <v>18486</v>
      </c>
      <c r="J568">
        <v>44</v>
      </c>
      <c r="K568">
        <f>tblSales[[#This Row],[Sales]]-tblSales[[#This Row],[Budget]]</f>
        <v>-1634</v>
      </c>
      <c r="L568" s="3">
        <f>(tblSales[[#This Row],[Sales]]-tblSales[[#This Row],[Budget]])/tblSales[[#This Row],[Budget]]</f>
        <v>-8.8391214973493448E-2</v>
      </c>
      <c r="M568" s="2">
        <f>tblSales[[#This Row],[Sales]]/tblSales[[#This Row],[Transactions]]</f>
        <v>383</v>
      </c>
    </row>
    <row r="569" spans="1:13" x14ac:dyDescent="0.25">
      <c r="A569" s="1">
        <v>46051</v>
      </c>
      <c r="B569" t="s">
        <v>16</v>
      </c>
      <c r="C569" t="s">
        <v>9</v>
      </c>
      <c r="D569" t="str">
        <f>_xlfn.XLOOKUP(tblSales[[#This Row],[Store ID]],tblStores[Store ID],tblStores[Store Name])</f>
        <v>Pretoria</v>
      </c>
      <c r="E569" t="str">
        <f>_xlfn.XLOOKUP(tblSales[[#This Row],[Store ID]],tblStores[Store ID],tblStores[Province])</f>
        <v>Gauteng</v>
      </c>
      <c r="F569" t="str">
        <f>_xlfn.XLOOKUP(tblSales[[#This Row],[Store ID]],tblStores[Store ID],tblStores[Manager])</f>
        <v>Susan Clark</v>
      </c>
      <c r="G569" t="str">
        <f>_xlfn.XLOOKUP(tblSales[[#This Row],[Category ID]],tblCategories[Category ID],tblCategories[Category])</f>
        <v>Ladieswear</v>
      </c>
      <c r="H569">
        <v>21691</v>
      </c>
      <c r="I569">
        <v>19572</v>
      </c>
      <c r="J569">
        <v>109</v>
      </c>
      <c r="K569">
        <f>tblSales[[#This Row],[Sales]]-tblSales[[#This Row],[Budget]]</f>
        <v>2119</v>
      </c>
      <c r="L569" s="3">
        <f>(tblSales[[#This Row],[Sales]]-tblSales[[#This Row],[Budget]])/tblSales[[#This Row],[Budget]]</f>
        <v>0.10826691191498058</v>
      </c>
      <c r="M569" s="2">
        <f>tblSales[[#This Row],[Sales]]/tblSales[[#This Row],[Transactions]]</f>
        <v>199</v>
      </c>
    </row>
    <row r="570" spans="1:13" x14ac:dyDescent="0.25">
      <c r="A570" s="1">
        <v>46051</v>
      </c>
      <c r="B570" t="s">
        <v>17</v>
      </c>
      <c r="C570" t="s">
        <v>19</v>
      </c>
      <c r="D570" t="str">
        <f>_xlfn.XLOOKUP(tblSales[[#This Row],[Store ID]],tblStores[Store ID],tblStores[Store Name])</f>
        <v>Centurion</v>
      </c>
      <c r="E570" t="str">
        <f>_xlfn.XLOOKUP(tblSales[[#This Row],[Store ID]],tblStores[Store ID],tblStores[Province])</f>
        <v>Gauteng</v>
      </c>
      <c r="F570" t="str">
        <f>_xlfn.XLOOKUP(tblSales[[#This Row],[Store ID]],tblStores[Store ID],tblStores[Manager])</f>
        <v>Mark Wilson</v>
      </c>
      <c r="G570" t="str">
        <f>_xlfn.XLOOKUP(tblSales[[#This Row],[Category ID]],tblCategories[Category ID],tblCategories[Category])</f>
        <v>Accessories</v>
      </c>
      <c r="H570">
        <v>44226</v>
      </c>
      <c r="I570">
        <v>50068</v>
      </c>
      <c r="J570">
        <v>189</v>
      </c>
      <c r="K570">
        <f>tblSales[[#This Row],[Sales]]-tblSales[[#This Row],[Budget]]</f>
        <v>-5842</v>
      </c>
      <c r="L570" s="3">
        <f>(tblSales[[#This Row],[Sales]]-tblSales[[#This Row],[Budget]])/tblSales[[#This Row],[Budget]]</f>
        <v>-0.11668131341375729</v>
      </c>
      <c r="M570" s="2">
        <f>tblSales[[#This Row],[Sales]]/tblSales[[#This Row],[Transactions]]</f>
        <v>234</v>
      </c>
    </row>
    <row r="571" spans="1:13" x14ac:dyDescent="0.25">
      <c r="A571" s="1">
        <v>46051</v>
      </c>
      <c r="B571" t="s">
        <v>18</v>
      </c>
      <c r="C571" t="s">
        <v>22</v>
      </c>
      <c r="D571" t="str">
        <f>_xlfn.XLOOKUP(tblSales[[#This Row],[Store ID]],tblStores[Store ID],tblStores[Store Name])</f>
        <v>East Rand</v>
      </c>
      <c r="E571" t="str">
        <f>_xlfn.XLOOKUP(tblSales[[#This Row],[Store ID]],tblStores[Store ID],tblStores[Province])</f>
        <v>Gauteng</v>
      </c>
      <c r="F571" t="str">
        <f>_xlfn.XLOOKUP(tblSales[[#This Row],[Store ID]],tblStores[Store ID],tblStores[Manager])</f>
        <v>Lisa Young</v>
      </c>
      <c r="G571" t="str">
        <f>_xlfn.XLOOKUP(tblSales[[#This Row],[Category ID]],tblCategories[Category ID],tblCategories[Category])</f>
        <v>Kids</v>
      </c>
      <c r="H571">
        <v>44084</v>
      </c>
      <c r="I571">
        <v>50576</v>
      </c>
      <c r="J571">
        <v>107</v>
      </c>
      <c r="K571">
        <f>tblSales[[#This Row],[Sales]]-tblSales[[#This Row],[Budget]]</f>
        <v>-6492</v>
      </c>
      <c r="L571" s="3">
        <f>(tblSales[[#This Row],[Sales]]-tblSales[[#This Row],[Budget]])/tblSales[[#This Row],[Budget]]</f>
        <v>-0.12836127807655806</v>
      </c>
      <c r="M571" s="2">
        <f>tblSales[[#This Row],[Sales]]/tblSales[[#This Row],[Transactions]]</f>
        <v>412</v>
      </c>
    </row>
    <row r="572" spans="1:13" x14ac:dyDescent="0.25">
      <c r="A572" s="1">
        <v>46051</v>
      </c>
      <c r="B572" t="s">
        <v>20</v>
      </c>
      <c r="C572" t="s">
        <v>19</v>
      </c>
      <c r="D572" t="str">
        <f>_xlfn.XLOOKUP(tblSales[[#This Row],[Store ID]],tblStores[Store ID],tblStores[Store Name])</f>
        <v>Cape Town CBD</v>
      </c>
      <c r="E572" t="str">
        <f>_xlfn.XLOOKUP(tblSales[[#This Row],[Store ID]],tblStores[Store ID],tblStores[Province])</f>
        <v>Western Cape</v>
      </c>
      <c r="F572" t="str">
        <f>_xlfn.XLOOKUP(tblSales[[#This Row],[Store ID]],tblStores[Store ID],tblStores[Manager])</f>
        <v>Brian Hall</v>
      </c>
      <c r="G572" t="str">
        <f>_xlfn.XLOOKUP(tblSales[[#This Row],[Category ID]],tblCategories[Category ID],tblCategories[Category])</f>
        <v>Accessories</v>
      </c>
      <c r="H572">
        <v>73008</v>
      </c>
      <c r="I572">
        <v>81937</v>
      </c>
      <c r="J572">
        <v>169</v>
      </c>
      <c r="K572">
        <f>tblSales[[#This Row],[Sales]]-tblSales[[#This Row],[Budget]]</f>
        <v>-8929</v>
      </c>
      <c r="L572" s="3">
        <f>(tblSales[[#This Row],[Sales]]-tblSales[[#This Row],[Budget]])/tblSales[[#This Row],[Budget]]</f>
        <v>-0.10897396780453275</v>
      </c>
      <c r="M572" s="2">
        <f>tblSales[[#This Row],[Sales]]/tblSales[[#This Row],[Transactions]]</f>
        <v>432</v>
      </c>
    </row>
    <row r="573" spans="1:13" x14ac:dyDescent="0.25">
      <c r="A573" s="1">
        <v>46051</v>
      </c>
      <c r="B573" t="s">
        <v>21</v>
      </c>
      <c r="C573" t="s">
        <v>9</v>
      </c>
      <c r="D573" t="str">
        <f>_xlfn.XLOOKUP(tblSales[[#This Row],[Store ID]],tblStores[Store ID],tblStores[Store Name])</f>
        <v>Canal Walk</v>
      </c>
      <c r="E573" t="str">
        <f>_xlfn.XLOOKUP(tblSales[[#This Row],[Store ID]],tblStores[Store ID],tblStores[Province])</f>
        <v>Western Cape</v>
      </c>
      <c r="F573" t="str">
        <f>_xlfn.XLOOKUP(tblSales[[#This Row],[Store ID]],tblStores[Store ID],tblStores[Manager])</f>
        <v>Megan Scott</v>
      </c>
      <c r="G573" t="str">
        <f>_xlfn.XLOOKUP(tblSales[[#This Row],[Category ID]],tblCategories[Category ID],tblCategories[Category])</f>
        <v>Ladieswear</v>
      </c>
      <c r="H573">
        <v>68716</v>
      </c>
      <c r="I573">
        <v>66531</v>
      </c>
      <c r="J573">
        <v>164</v>
      </c>
      <c r="K573">
        <f>tblSales[[#This Row],[Sales]]-tblSales[[#This Row],[Budget]]</f>
        <v>2185</v>
      </c>
      <c r="L573" s="3">
        <f>(tblSales[[#This Row],[Sales]]-tblSales[[#This Row],[Budget]])/tblSales[[#This Row],[Budget]]</f>
        <v>3.2841833130420404E-2</v>
      </c>
      <c r="M573" s="2">
        <f>tblSales[[#This Row],[Sales]]/tblSales[[#This Row],[Transactions]]</f>
        <v>419</v>
      </c>
    </row>
    <row r="574" spans="1:13" x14ac:dyDescent="0.25">
      <c r="A574" s="1">
        <v>46051</v>
      </c>
      <c r="B574" t="s">
        <v>23</v>
      </c>
      <c r="C574" t="s">
        <v>7</v>
      </c>
      <c r="D574" t="str">
        <f>_xlfn.XLOOKUP(tblSales[[#This Row],[Store ID]],tblStores[Store ID],tblStores[Store Name])</f>
        <v>Stellenbosch</v>
      </c>
      <c r="E574" t="str">
        <f>_xlfn.XLOOKUP(tblSales[[#This Row],[Store ID]],tblStores[Store ID],tblStores[Province])</f>
        <v>Western Cape</v>
      </c>
      <c r="F574" t="str">
        <f>_xlfn.XLOOKUP(tblSales[[#This Row],[Store ID]],tblStores[Store ID],tblStores[Manager])</f>
        <v>Jason King</v>
      </c>
      <c r="G574" t="str">
        <f>_xlfn.XLOOKUP(tblSales[[#This Row],[Category ID]],tblCategories[Category ID],tblCategories[Category])</f>
        <v>Menswear</v>
      </c>
      <c r="H574">
        <v>31297</v>
      </c>
      <c r="I574">
        <v>33887</v>
      </c>
      <c r="J574">
        <v>119</v>
      </c>
      <c r="K574">
        <f>tblSales[[#This Row],[Sales]]-tblSales[[#This Row],[Budget]]</f>
        <v>-2590</v>
      </c>
      <c r="L574" s="3">
        <f>(tblSales[[#This Row],[Sales]]-tblSales[[#This Row],[Budget]])/tblSales[[#This Row],[Budget]]</f>
        <v>-7.6430489568271018E-2</v>
      </c>
      <c r="M574" s="2">
        <f>tblSales[[#This Row],[Sales]]/tblSales[[#This Row],[Transactions]]</f>
        <v>263</v>
      </c>
    </row>
    <row r="575" spans="1:13" x14ac:dyDescent="0.25">
      <c r="A575" s="1">
        <v>46051</v>
      </c>
      <c r="B575" t="s">
        <v>24</v>
      </c>
      <c r="C575" t="s">
        <v>22</v>
      </c>
      <c r="D575" t="str">
        <f>_xlfn.XLOOKUP(tblSales[[#This Row],[Store ID]],tblStores[Store ID],tblStores[Store Name])</f>
        <v>George</v>
      </c>
      <c r="E575" t="str">
        <f>_xlfn.XLOOKUP(tblSales[[#This Row],[Store ID]],tblStores[Store ID],tblStores[Province])</f>
        <v>Western Cape</v>
      </c>
      <c r="F575" t="str">
        <f>_xlfn.XLOOKUP(tblSales[[#This Row],[Store ID]],tblStores[Store ID],tblStores[Manager])</f>
        <v>Chloe Hill</v>
      </c>
      <c r="G575" t="str">
        <f>_xlfn.XLOOKUP(tblSales[[#This Row],[Category ID]],tblCategories[Category ID],tblCategories[Category])</f>
        <v>Kids</v>
      </c>
      <c r="H575">
        <v>59950</v>
      </c>
      <c r="I575">
        <v>54166</v>
      </c>
      <c r="J575">
        <v>218</v>
      </c>
      <c r="K575">
        <f>tblSales[[#This Row],[Sales]]-tblSales[[#This Row],[Budget]]</f>
        <v>5784</v>
      </c>
      <c r="L575" s="3">
        <f>(tblSales[[#This Row],[Sales]]-tblSales[[#This Row],[Budget]])/tblSales[[#This Row],[Budget]]</f>
        <v>0.10678285271203337</v>
      </c>
      <c r="M575" s="2">
        <f>tblSales[[#This Row],[Sales]]/tblSales[[#This Row],[Transactions]]</f>
        <v>275</v>
      </c>
    </row>
    <row r="576" spans="1:13" x14ac:dyDescent="0.25">
      <c r="A576" s="1">
        <v>46051</v>
      </c>
      <c r="B576" t="s">
        <v>25</v>
      </c>
      <c r="C576" t="s">
        <v>22</v>
      </c>
      <c r="D576" t="str">
        <f>_xlfn.XLOOKUP(tblSales[[#This Row],[Store ID]],tblStores[Store ID],tblStores[Store Name])</f>
        <v>Paarl</v>
      </c>
      <c r="E576" t="str">
        <f>_xlfn.XLOOKUP(tblSales[[#This Row],[Store ID]],tblStores[Store ID],tblStores[Province])</f>
        <v>Western Cape</v>
      </c>
      <c r="F576" t="str">
        <f>_xlfn.XLOOKUP(tblSales[[#This Row],[Store ID]],tblStores[Store ID],tblStores[Manager])</f>
        <v>Andrew Lee</v>
      </c>
      <c r="G576" t="str">
        <f>_xlfn.XLOOKUP(tblSales[[#This Row],[Category ID]],tblCategories[Category ID],tblCategories[Category])</f>
        <v>Kids</v>
      </c>
      <c r="H576">
        <v>51700</v>
      </c>
      <c r="I576">
        <v>55246</v>
      </c>
      <c r="J576">
        <v>110</v>
      </c>
      <c r="K576">
        <f>tblSales[[#This Row],[Sales]]-tblSales[[#This Row],[Budget]]</f>
        <v>-3546</v>
      </c>
      <c r="L576" s="3">
        <f>(tblSales[[#This Row],[Sales]]-tblSales[[#This Row],[Budget]])/tblSales[[#This Row],[Budget]]</f>
        <v>-6.4185642399449738E-2</v>
      </c>
      <c r="M576" s="2">
        <f>tblSales[[#This Row],[Sales]]/tblSales[[#This Row],[Transactions]]</f>
        <v>470</v>
      </c>
    </row>
    <row r="577" spans="1:13" x14ac:dyDescent="0.25">
      <c r="A577" s="1">
        <v>46051</v>
      </c>
      <c r="B577" t="s">
        <v>26</v>
      </c>
      <c r="C577" t="s">
        <v>9</v>
      </c>
      <c r="D577" t="str">
        <f>_xlfn.XLOOKUP(tblSales[[#This Row],[Store ID]],tblStores[Store ID],tblStores[Store Name])</f>
        <v>Gqeberha</v>
      </c>
      <c r="E577" t="str">
        <f>_xlfn.XLOOKUP(tblSales[[#This Row],[Store ID]],tblStores[Store ID],tblStores[Province])</f>
        <v>Eastern Cape</v>
      </c>
      <c r="F577" t="str">
        <f>_xlfn.XLOOKUP(tblSales[[#This Row],[Store ID]],tblStores[Store ID],tblStores[Manager])</f>
        <v>Emma Baker</v>
      </c>
      <c r="G577" t="str">
        <f>_xlfn.XLOOKUP(tblSales[[#This Row],[Category ID]],tblCategories[Category ID],tblCategories[Category])</f>
        <v>Ladieswear</v>
      </c>
      <c r="H577">
        <v>38868</v>
      </c>
      <c r="I577">
        <v>43300</v>
      </c>
      <c r="J577">
        <v>79</v>
      </c>
      <c r="K577">
        <f>tblSales[[#This Row],[Sales]]-tblSales[[#This Row],[Budget]]</f>
        <v>-4432</v>
      </c>
      <c r="L577" s="3">
        <f>(tblSales[[#This Row],[Sales]]-tblSales[[#This Row],[Budget]])/tblSales[[#This Row],[Budget]]</f>
        <v>-0.10235565819861432</v>
      </c>
      <c r="M577" s="2">
        <f>tblSales[[#This Row],[Sales]]/tblSales[[#This Row],[Transactions]]</f>
        <v>492</v>
      </c>
    </row>
    <row r="578" spans="1:13" x14ac:dyDescent="0.25">
      <c r="A578" s="1">
        <v>46051</v>
      </c>
      <c r="B578" t="s">
        <v>27</v>
      </c>
      <c r="C578" t="s">
        <v>11</v>
      </c>
      <c r="D578" t="str">
        <f>_xlfn.XLOOKUP(tblSales[[#This Row],[Store ID]],tblStores[Store ID],tblStores[Store Name])</f>
        <v>East London</v>
      </c>
      <c r="E578" t="str">
        <f>_xlfn.XLOOKUP(tblSales[[#This Row],[Store ID]],tblStores[Store ID],tblStores[Province])</f>
        <v>Eastern Cape</v>
      </c>
      <c r="F578" t="str">
        <f>_xlfn.XLOOKUP(tblSales[[#This Row],[Store ID]],tblStores[Store ID],tblStores[Manager])</f>
        <v>Daniel Evans</v>
      </c>
      <c r="G578" t="str">
        <f>_xlfn.XLOOKUP(tblSales[[#This Row],[Category ID]],tblCategories[Category ID],tblCategories[Category])</f>
        <v>Footwear</v>
      </c>
      <c r="H578">
        <v>63792</v>
      </c>
      <c r="I578">
        <v>62642</v>
      </c>
      <c r="J578">
        <v>144</v>
      </c>
      <c r="K578">
        <f>tblSales[[#This Row],[Sales]]-tblSales[[#This Row],[Budget]]</f>
        <v>1150</v>
      </c>
      <c r="L578" s="3">
        <f>(tblSales[[#This Row],[Sales]]-tblSales[[#This Row],[Budget]])/tblSales[[#This Row],[Budget]]</f>
        <v>1.8358289965199066E-2</v>
      </c>
      <c r="M578" s="2">
        <f>tblSales[[#This Row],[Sales]]/tblSales[[#This Row],[Transactions]]</f>
        <v>443</v>
      </c>
    </row>
    <row r="579" spans="1:13" x14ac:dyDescent="0.25">
      <c r="A579" s="1">
        <v>46051</v>
      </c>
      <c r="B579" t="s">
        <v>28</v>
      </c>
      <c r="C579" t="s">
        <v>11</v>
      </c>
      <c r="D579" t="str">
        <f>_xlfn.XLOOKUP(tblSales[[#This Row],[Store ID]],tblStores[Store ID],tblStores[Store Name])</f>
        <v>Bloemfontein</v>
      </c>
      <c r="E579" t="str">
        <f>_xlfn.XLOOKUP(tblSales[[#This Row],[Store ID]],tblStores[Store ID],tblStores[Province])</f>
        <v>Free State</v>
      </c>
      <c r="F579" t="str">
        <f>_xlfn.XLOOKUP(tblSales[[#This Row],[Store ID]],tblStores[Store ID],tblStores[Manager])</f>
        <v>Rachel Moore</v>
      </c>
      <c r="G579" t="str">
        <f>_xlfn.XLOOKUP(tblSales[[#This Row],[Category ID]],tblCategories[Category ID],tblCategories[Category])</f>
        <v>Footwear</v>
      </c>
      <c r="H579">
        <v>46968</v>
      </c>
      <c r="I579">
        <v>44440</v>
      </c>
      <c r="J579">
        <v>206</v>
      </c>
      <c r="K579">
        <f>tblSales[[#This Row],[Sales]]-tblSales[[#This Row],[Budget]]</f>
        <v>2528</v>
      </c>
      <c r="L579" s="3">
        <f>(tblSales[[#This Row],[Sales]]-tblSales[[#This Row],[Budget]])/tblSales[[#This Row],[Budget]]</f>
        <v>5.6885688568856889E-2</v>
      </c>
      <c r="M579" s="2">
        <f>tblSales[[#This Row],[Sales]]/tblSales[[#This Row],[Transactions]]</f>
        <v>228</v>
      </c>
    </row>
    <row r="580" spans="1:13" x14ac:dyDescent="0.25">
      <c r="A580" s="1">
        <v>46051</v>
      </c>
      <c r="B580" t="s">
        <v>29</v>
      </c>
      <c r="C580" t="s">
        <v>9</v>
      </c>
      <c r="D580" t="str">
        <f>_xlfn.XLOOKUP(tblSales[[#This Row],[Store ID]],tblStores[Store ID],tblStores[Store Name])</f>
        <v>Polokwane</v>
      </c>
      <c r="E580" t="str">
        <f>_xlfn.XLOOKUP(tblSales[[#This Row],[Store ID]],tblStores[Store ID],tblStores[Province])</f>
        <v>Limpopo</v>
      </c>
      <c r="F580" t="str">
        <f>_xlfn.XLOOKUP(tblSales[[#This Row],[Store ID]],tblStores[Store ID],tblStores[Manager])</f>
        <v>Kevin Harris</v>
      </c>
      <c r="G580" t="str">
        <f>_xlfn.XLOOKUP(tblSales[[#This Row],[Category ID]],tblCategories[Category ID],tblCategories[Category])</f>
        <v>Ladieswear</v>
      </c>
      <c r="H580">
        <v>54165</v>
      </c>
      <c r="I580">
        <v>61420</v>
      </c>
      <c r="J580">
        <v>157</v>
      </c>
      <c r="K580">
        <f>tblSales[[#This Row],[Sales]]-tblSales[[#This Row],[Budget]]</f>
        <v>-7255</v>
      </c>
      <c r="L580" s="3">
        <f>(tblSales[[#This Row],[Sales]]-tblSales[[#This Row],[Budget]])/tblSales[[#This Row],[Budget]]</f>
        <v>-0.11812113318137414</v>
      </c>
      <c r="M580" s="2">
        <f>tblSales[[#This Row],[Sales]]/tblSales[[#This Row],[Transactions]]</f>
        <v>345</v>
      </c>
    </row>
    <row r="581" spans="1:13" x14ac:dyDescent="0.25">
      <c r="A581" s="1">
        <v>46051</v>
      </c>
      <c r="B581" t="s">
        <v>30</v>
      </c>
      <c r="C581" t="s">
        <v>7</v>
      </c>
      <c r="D581" t="str">
        <f>_xlfn.XLOOKUP(tblSales[[#This Row],[Store ID]],tblStores[Store ID],tblStores[Store Name])</f>
        <v>Nelspruit</v>
      </c>
      <c r="E581" t="str">
        <f>_xlfn.XLOOKUP(tblSales[[#This Row],[Store ID]],tblStores[Store ID],tblStores[Province])</f>
        <v>Mpumalanga</v>
      </c>
      <c r="F581" t="str">
        <f>_xlfn.XLOOKUP(tblSales[[#This Row],[Store ID]],tblStores[Store ID],tblStores[Manager])</f>
        <v>Olivia Turner</v>
      </c>
      <c r="G581" t="str">
        <f>_xlfn.XLOOKUP(tblSales[[#This Row],[Category ID]],tblCategories[Category ID],tblCategories[Category])</f>
        <v>Menswear</v>
      </c>
      <c r="H581">
        <v>37976</v>
      </c>
      <c r="I581">
        <v>36414</v>
      </c>
      <c r="J581">
        <v>101</v>
      </c>
      <c r="K581">
        <f>tblSales[[#This Row],[Sales]]-tblSales[[#This Row],[Budget]]</f>
        <v>1562</v>
      </c>
      <c r="L581" s="3">
        <f>(tblSales[[#This Row],[Sales]]-tblSales[[#This Row],[Budget]])/tblSales[[#This Row],[Budget]]</f>
        <v>4.2895589608392376E-2</v>
      </c>
      <c r="M581" s="2">
        <f>tblSales[[#This Row],[Sales]]/tblSales[[#This Row],[Transactions]]</f>
        <v>376</v>
      </c>
    </row>
    <row r="582" spans="1:13" x14ac:dyDescent="0.25">
      <c r="A582" s="1">
        <v>46052</v>
      </c>
      <c r="B582" t="s">
        <v>6</v>
      </c>
      <c r="C582" t="s">
        <v>22</v>
      </c>
      <c r="D582" t="str">
        <f>_xlfn.XLOOKUP(tblSales[[#This Row],[Store ID]],tblStores[Store ID],tblStores[Store Name])</f>
        <v>Durban CBD</v>
      </c>
      <c r="E582" t="str">
        <f>_xlfn.XLOOKUP(tblSales[[#This Row],[Store ID]],tblStores[Store ID],tblStores[Province])</f>
        <v>KZN</v>
      </c>
      <c r="F582" t="str">
        <f>_xlfn.XLOOKUP(tblSales[[#This Row],[Store ID]],tblStores[Store ID],tblStores[Manager])</f>
        <v>Sarah Adams</v>
      </c>
      <c r="G582" t="str">
        <f>_xlfn.XLOOKUP(tblSales[[#This Row],[Category ID]],tblCategories[Category ID],tblCategories[Category])</f>
        <v>Kids</v>
      </c>
      <c r="H582">
        <v>39746</v>
      </c>
      <c r="I582">
        <v>41559</v>
      </c>
      <c r="J582">
        <v>119</v>
      </c>
      <c r="K582">
        <f>tblSales[[#This Row],[Sales]]-tblSales[[#This Row],[Budget]]</f>
        <v>-1813</v>
      </c>
      <c r="L582" s="3">
        <f>(tblSales[[#This Row],[Sales]]-tblSales[[#This Row],[Budget]])/tblSales[[#This Row],[Budget]]</f>
        <v>-4.3624726292740439E-2</v>
      </c>
      <c r="M582" s="2">
        <f>tblSales[[#This Row],[Sales]]/tblSales[[#This Row],[Transactions]]</f>
        <v>334</v>
      </c>
    </row>
    <row r="583" spans="1:13" x14ac:dyDescent="0.25">
      <c r="A583" s="1">
        <v>46052</v>
      </c>
      <c r="B583" t="s">
        <v>8</v>
      </c>
      <c r="C583" t="s">
        <v>19</v>
      </c>
      <c r="D583" t="str">
        <f>_xlfn.XLOOKUP(tblSales[[#This Row],[Store ID]],tblStores[Store ID],tblStores[Store Name])</f>
        <v>Gateway</v>
      </c>
      <c r="E583" t="str">
        <f>_xlfn.XLOOKUP(tblSales[[#This Row],[Store ID]],tblStores[Store ID],tblStores[Province])</f>
        <v>KZN</v>
      </c>
      <c r="F583" t="str">
        <f>_xlfn.XLOOKUP(tblSales[[#This Row],[Store ID]],tblStores[Store ID],tblStores[Manager])</f>
        <v>Michael Jones</v>
      </c>
      <c r="G583" t="str">
        <f>_xlfn.XLOOKUP(tblSales[[#This Row],[Category ID]],tblCategories[Category ID],tblCategories[Category])</f>
        <v>Accessories</v>
      </c>
      <c r="H583">
        <v>11581</v>
      </c>
      <c r="I583">
        <v>12315</v>
      </c>
      <c r="J583">
        <v>37</v>
      </c>
      <c r="K583">
        <f>tblSales[[#This Row],[Sales]]-tblSales[[#This Row],[Budget]]</f>
        <v>-734</v>
      </c>
      <c r="L583" s="3">
        <f>(tblSales[[#This Row],[Sales]]-tblSales[[#This Row],[Budget]])/tblSales[[#This Row],[Budget]]</f>
        <v>-5.9602111246447424E-2</v>
      </c>
      <c r="M583" s="2">
        <f>tblSales[[#This Row],[Sales]]/tblSales[[#This Row],[Transactions]]</f>
        <v>313</v>
      </c>
    </row>
    <row r="584" spans="1:13" x14ac:dyDescent="0.25">
      <c r="A584" s="1">
        <v>46052</v>
      </c>
      <c r="B584" t="s">
        <v>10</v>
      </c>
      <c r="C584" t="s">
        <v>9</v>
      </c>
      <c r="D584" t="str">
        <f>_xlfn.XLOOKUP(tblSales[[#This Row],[Store ID]],tblStores[Store ID],tblStores[Store Name])</f>
        <v>Ballito</v>
      </c>
      <c r="E584" t="str">
        <f>_xlfn.XLOOKUP(tblSales[[#This Row],[Store ID]],tblStores[Store ID],tblStores[Province])</f>
        <v>KZN</v>
      </c>
      <c r="F584" t="str">
        <f>_xlfn.XLOOKUP(tblSales[[#This Row],[Store ID]],tblStores[Store ID],tblStores[Manager])</f>
        <v>Linda Smith</v>
      </c>
      <c r="G584" t="str">
        <f>_xlfn.XLOOKUP(tblSales[[#This Row],[Category ID]],tblCategories[Category ID],tblCategories[Category])</f>
        <v>Ladieswear</v>
      </c>
      <c r="H584">
        <v>12000</v>
      </c>
      <c r="I584">
        <v>12196</v>
      </c>
      <c r="J584">
        <v>50</v>
      </c>
      <c r="K584">
        <f>tblSales[[#This Row],[Sales]]-tblSales[[#This Row],[Budget]]</f>
        <v>-196</v>
      </c>
      <c r="L584" s="3">
        <f>(tblSales[[#This Row],[Sales]]-tblSales[[#This Row],[Budget]])/tblSales[[#This Row],[Budget]]</f>
        <v>-1.6070842899311249E-2</v>
      </c>
      <c r="M584" s="2">
        <f>tblSales[[#This Row],[Sales]]/tblSales[[#This Row],[Transactions]]</f>
        <v>240</v>
      </c>
    </row>
    <row r="585" spans="1:13" x14ac:dyDescent="0.25">
      <c r="A585" s="1">
        <v>46052</v>
      </c>
      <c r="B585" t="s">
        <v>12</v>
      </c>
      <c r="C585" t="s">
        <v>9</v>
      </c>
      <c r="D585" t="str">
        <f>_xlfn.XLOOKUP(tblSales[[#This Row],[Store ID]],tblStores[Store ID],tblStores[Store Name])</f>
        <v>Pietermaritzburg</v>
      </c>
      <c r="E585" t="str">
        <f>_xlfn.XLOOKUP(tblSales[[#This Row],[Store ID]],tblStores[Store ID],tblStores[Province])</f>
        <v>KZN</v>
      </c>
      <c r="F585" t="str">
        <f>_xlfn.XLOOKUP(tblSales[[#This Row],[Store ID]],tblStores[Store ID],tblStores[Manager])</f>
        <v>Peter Brown</v>
      </c>
      <c r="G585" t="str">
        <f>_xlfn.XLOOKUP(tblSales[[#This Row],[Category ID]],tblCategories[Category ID],tblCategories[Category])</f>
        <v>Ladieswear</v>
      </c>
      <c r="H585">
        <v>60306</v>
      </c>
      <c r="I585">
        <v>68192</v>
      </c>
      <c r="J585">
        <v>138</v>
      </c>
      <c r="K585">
        <f>tblSales[[#This Row],[Sales]]-tblSales[[#This Row],[Budget]]</f>
        <v>-7886</v>
      </c>
      <c r="L585" s="3">
        <f>(tblSales[[#This Row],[Sales]]-tblSales[[#This Row],[Budget]])/tblSales[[#This Row],[Budget]]</f>
        <v>-0.11564406381980291</v>
      </c>
      <c r="M585" s="2">
        <f>tblSales[[#This Row],[Sales]]/tblSales[[#This Row],[Transactions]]</f>
        <v>437</v>
      </c>
    </row>
    <row r="586" spans="1:13" x14ac:dyDescent="0.25">
      <c r="A586" s="1">
        <v>46052</v>
      </c>
      <c r="B586" t="s">
        <v>13</v>
      </c>
      <c r="C586" t="s">
        <v>22</v>
      </c>
      <c r="D586" t="str">
        <f>_xlfn.XLOOKUP(tblSales[[#This Row],[Store ID]],tblStores[Store ID],tblStores[Store Name])</f>
        <v>Richards Bay</v>
      </c>
      <c r="E586" t="str">
        <f>_xlfn.XLOOKUP(tblSales[[#This Row],[Store ID]],tblStores[Store ID],tblStores[Province])</f>
        <v>KZN</v>
      </c>
      <c r="F586" t="str">
        <f>_xlfn.XLOOKUP(tblSales[[#This Row],[Store ID]],tblStores[Store ID],tblStores[Manager])</f>
        <v>David Green</v>
      </c>
      <c r="G586" t="str">
        <f>_xlfn.XLOOKUP(tblSales[[#This Row],[Category ID]],tblCategories[Category ID],tblCategories[Category])</f>
        <v>Kids</v>
      </c>
      <c r="H586">
        <v>50640</v>
      </c>
      <c r="I586">
        <v>53662</v>
      </c>
      <c r="J586">
        <v>211</v>
      </c>
      <c r="K586">
        <f>tblSales[[#This Row],[Sales]]-tblSales[[#This Row],[Budget]]</f>
        <v>-3022</v>
      </c>
      <c r="L586" s="3">
        <f>(tblSales[[#This Row],[Sales]]-tblSales[[#This Row],[Budget]])/tblSales[[#This Row],[Budget]]</f>
        <v>-5.63154560023853E-2</v>
      </c>
      <c r="M586" s="2">
        <f>tblSales[[#This Row],[Sales]]/tblSales[[#This Row],[Transactions]]</f>
        <v>240</v>
      </c>
    </row>
    <row r="587" spans="1:13" x14ac:dyDescent="0.25">
      <c r="A587" s="1">
        <v>46052</v>
      </c>
      <c r="B587" t="s">
        <v>14</v>
      </c>
      <c r="C587" t="s">
        <v>22</v>
      </c>
      <c r="D587" t="str">
        <f>_xlfn.XLOOKUP(tblSales[[#This Row],[Store ID]],tblStores[Store ID],tblStores[Store Name])</f>
        <v>Sandton</v>
      </c>
      <c r="E587" t="str">
        <f>_xlfn.XLOOKUP(tblSales[[#This Row],[Store ID]],tblStores[Store ID],tblStores[Province])</f>
        <v>Gauteng</v>
      </c>
      <c r="F587" t="str">
        <f>_xlfn.XLOOKUP(tblSales[[#This Row],[Store ID]],tblStores[Store ID],tblStores[Manager])</f>
        <v>Karen White</v>
      </c>
      <c r="G587" t="str">
        <f>_xlfn.XLOOKUP(tblSales[[#This Row],[Category ID]],tblCategories[Category ID],tblCategories[Category])</f>
        <v>Kids</v>
      </c>
      <c r="H587">
        <v>63726</v>
      </c>
      <c r="I587">
        <v>60871</v>
      </c>
      <c r="J587">
        <v>129</v>
      </c>
      <c r="K587">
        <f>tblSales[[#This Row],[Sales]]-tblSales[[#This Row],[Budget]]</f>
        <v>2855</v>
      </c>
      <c r="L587" s="3">
        <f>(tblSales[[#This Row],[Sales]]-tblSales[[#This Row],[Budget]])/tblSales[[#This Row],[Budget]]</f>
        <v>4.6902465870447337E-2</v>
      </c>
      <c r="M587" s="2">
        <f>tblSales[[#This Row],[Sales]]/tblSales[[#This Row],[Transactions]]</f>
        <v>494</v>
      </c>
    </row>
    <row r="588" spans="1:13" x14ac:dyDescent="0.25">
      <c r="A588" s="1">
        <v>46052</v>
      </c>
      <c r="B588" t="s">
        <v>15</v>
      </c>
      <c r="C588" t="s">
        <v>9</v>
      </c>
      <c r="D588" t="str">
        <f>_xlfn.XLOOKUP(tblSales[[#This Row],[Store ID]],tblStores[Store ID],tblStores[Store Name])</f>
        <v>Rosebank</v>
      </c>
      <c r="E588" t="str">
        <f>_xlfn.XLOOKUP(tblSales[[#This Row],[Store ID]],tblStores[Store ID],tblStores[Province])</f>
        <v>Gauteng</v>
      </c>
      <c r="F588" t="str">
        <f>_xlfn.XLOOKUP(tblSales[[#This Row],[Store ID]],tblStores[Store ID],tblStores[Manager])</f>
        <v>James Taylor</v>
      </c>
      <c r="G588" t="str">
        <f>_xlfn.XLOOKUP(tblSales[[#This Row],[Category ID]],tblCategories[Category ID],tblCategories[Category])</f>
        <v>Ladieswear</v>
      </c>
      <c r="H588">
        <v>40506</v>
      </c>
      <c r="I588">
        <v>41062</v>
      </c>
      <c r="J588">
        <v>157</v>
      </c>
      <c r="K588">
        <f>tblSales[[#This Row],[Sales]]-tblSales[[#This Row],[Budget]]</f>
        <v>-556</v>
      </c>
      <c r="L588" s="3">
        <f>(tblSales[[#This Row],[Sales]]-tblSales[[#This Row],[Budget]])/tblSales[[#This Row],[Budget]]</f>
        <v>-1.3540499732112415E-2</v>
      </c>
      <c r="M588" s="2">
        <f>tblSales[[#This Row],[Sales]]/tblSales[[#This Row],[Transactions]]</f>
        <v>258</v>
      </c>
    </row>
    <row r="589" spans="1:13" x14ac:dyDescent="0.25">
      <c r="A589" s="1">
        <v>46052</v>
      </c>
      <c r="B589" t="s">
        <v>16</v>
      </c>
      <c r="C589" t="s">
        <v>19</v>
      </c>
      <c r="D589" t="str">
        <f>_xlfn.XLOOKUP(tblSales[[#This Row],[Store ID]],tblStores[Store ID],tblStores[Store Name])</f>
        <v>Pretoria</v>
      </c>
      <c r="E589" t="str">
        <f>_xlfn.XLOOKUP(tblSales[[#This Row],[Store ID]],tblStores[Store ID],tblStores[Province])</f>
        <v>Gauteng</v>
      </c>
      <c r="F589" t="str">
        <f>_xlfn.XLOOKUP(tblSales[[#This Row],[Store ID]],tblStores[Store ID],tblStores[Manager])</f>
        <v>Susan Clark</v>
      </c>
      <c r="G589" t="str">
        <f>_xlfn.XLOOKUP(tblSales[[#This Row],[Category ID]],tblCategories[Category ID],tblCategories[Category])</f>
        <v>Accessories</v>
      </c>
      <c r="H589">
        <v>50960</v>
      </c>
      <c r="I589">
        <v>54806</v>
      </c>
      <c r="J589">
        <v>130</v>
      </c>
      <c r="K589">
        <f>tblSales[[#This Row],[Sales]]-tblSales[[#This Row],[Budget]]</f>
        <v>-3846</v>
      </c>
      <c r="L589" s="3">
        <f>(tblSales[[#This Row],[Sales]]-tblSales[[#This Row],[Budget]])/tblSales[[#This Row],[Budget]]</f>
        <v>-7.0174798379739445E-2</v>
      </c>
      <c r="M589" s="2">
        <f>tblSales[[#This Row],[Sales]]/tblSales[[#This Row],[Transactions]]</f>
        <v>392</v>
      </c>
    </row>
    <row r="590" spans="1:13" x14ac:dyDescent="0.25">
      <c r="A590" s="1">
        <v>46052</v>
      </c>
      <c r="B590" t="s">
        <v>17</v>
      </c>
      <c r="C590" t="s">
        <v>11</v>
      </c>
      <c r="D590" t="str">
        <f>_xlfn.XLOOKUP(tblSales[[#This Row],[Store ID]],tblStores[Store ID],tblStores[Store Name])</f>
        <v>Centurion</v>
      </c>
      <c r="E590" t="str">
        <f>_xlfn.XLOOKUP(tblSales[[#This Row],[Store ID]],tblStores[Store ID],tblStores[Province])</f>
        <v>Gauteng</v>
      </c>
      <c r="F590" t="str">
        <f>_xlfn.XLOOKUP(tblSales[[#This Row],[Store ID]],tblStores[Store ID],tblStores[Manager])</f>
        <v>Mark Wilson</v>
      </c>
      <c r="G590" t="str">
        <f>_xlfn.XLOOKUP(tblSales[[#This Row],[Category ID]],tblCategories[Category ID],tblCategories[Category])</f>
        <v>Footwear</v>
      </c>
      <c r="H590">
        <v>89440</v>
      </c>
      <c r="I590">
        <v>98956</v>
      </c>
      <c r="J590">
        <v>172</v>
      </c>
      <c r="K590">
        <f>tblSales[[#This Row],[Sales]]-tblSales[[#This Row],[Budget]]</f>
        <v>-9516</v>
      </c>
      <c r="L590" s="3">
        <f>(tblSales[[#This Row],[Sales]]-tblSales[[#This Row],[Budget]])/tblSales[[#This Row],[Budget]]</f>
        <v>-9.6163951655281132E-2</v>
      </c>
      <c r="M590" s="2">
        <f>tblSales[[#This Row],[Sales]]/tblSales[[#This Row],[Transactions]]</f>
        <v>520</v>
      </c>
    </row>
    <row r="591" spans="1:13" x14ac:dyDescent="0.25">
      <c r="A591" s="1">
        <v>46052</v>
      </c>
      <c r="B591" t="s">
        <v>18</v>
      </c>
      <c r="C591" t="s">
        <v>9</v>
      </c>
      <c r="D591" t="str">
        <f>_xlfn.XLOOKUP(tblSales[[#This Row],[Store ID]],tblStores[Store ID],tblStores[Store Name])</f>
        <v>East Rand</v>
      </c>
      <c r="E591" t="str">
        <f>_xlfn.XLOOKUP(tblSales[[#This Row],[Store ID]],tblStores[Store ID],tblStores[Province])</f>
        <v>Gauteng</v>
      </c>
      <c r="F591" t="str">
        <f>_xlfn.XLOOKUP(tblSales[[#This Row],[Store ID]],tblStores[Store ID],tblStores[Manager])</f>
        <v>Lisa Young</v>
      </c>
      <c r="G591" t="str">
        <f>_xlfn.XLOOKUP(tblSales[[#This Row],[Category ID]],tblCategories[Category ID],tblCategories[Category])</f>
        <v>Ladieswear</v>
      </c>
      <c r="H591">
        <v>101365</v>
      </c>
      <c r="I591">
        <v>113354</v>
      </c>
      <c r="J591">
        <v>209</v>
      </c>
      <c r="K591">
        <f>tblSales[[#This Row],[Sales]]-tblSales[[#This Row],[Budget]]</f>
        <v>-11989</v>
      </c>
      <c r="L591" s="3">
        <f>(tblSales[[#This Row],[Sales]]-tblSales[[#This Row],[Budget]])/tblSales[[#This Row],[Budget]]</f>
        <v>-0.10576600737512572</v>
      </c>
      <c r="M591" s="2">
        <f>tblSales[[#This Row],[Sales]]/tblSales[[#This Row],[Transactions]]</f>
        <v>485</v>
      </c>
    </row>
    <row r="592" spans="1:13" x14ac:dyDescent="0.25">
      <c r="A592" s="1">
        <v>46052</v>
      </c>
      <c r="B592" t="s">
        <v>20</v>
      </c>
      <c r="C592" t="s">
        <v>7</v>
      </c>
      <c r="D592" t="str">
        <f>_xlfn.XLOOKUP(tblSales[[#This Row],[Store ID]],tblStores[Store ID],tblStores[Store Name])</f>
        <v>Cape Town CBD</v>
      </c>
      <c r="E592" t="str">
        <f>_xlfn.XLOOKUP(tblSales[[#This Row],[Store ID]],tblStores[Store ID],tblStores[Province])</f>
        <v>Western Cape</v>
      </c>
      <c r="F592" t="str">
        <f>_xlfn.XLOOKUP(tblSales[[#This Row],[Store ID]],tblStores[Store ID],tblStores[Manager])</f>
        <v>Brian Hall</v>
      </c>
      <c r="G592" t="str">
        <f>_xlfn.XLOOKUP(tblSales[[#This Row],[Category ID]],tblCategories[Category ID],tblCategories[Category])</f>
        <v>Menswear</v>
      </c>
      <c r="H592">
        <v>68952</v>
      </c>
      <c r="I592">
        <v>71161</v>
      </c>
      <c r="J592">
        <v>169</v>
      </c>
      <c r="K592">
        <f>tblSales[[#This Row],[Sales]]-tblSales[[#This Row],[Budget]]</f>
        <v>-2209</v>
      </c>
      <c r="L592" s="3">
        <f>(tblSales[[#This Row],[Sales]]-tblSales[[#This Row],[Budget]])/tblSales[[#This Row],[Budget]]</f>
        <v>-3.1042284397352484E-2</v>
      </c>
      <c r="M592" s="2">
        <f>tblSales[[#This Row],[Sales]]/tblSales[[#This Row],[Transactions]]</f>
        <v>408</v>
      </c>
    </row>
    <row r="593" spans="1:13" x14ac:dyDescent="0.25">
      <c r="A593" s="1">
        <v>46052</v>
      </c>
      <c r="B593" t="s">
        <v>21</v>
      </c>
      <c r="C593" t="s">
        <v>22</v>
      </c>
      <c r="D593" t="str">
        <f>_xlfn.XLOOKUP(tblSales[[#This Row],[Store ID]],tblStores[Store ID],tblStores[Store Name])</f>
        <v>Canal Walk</v>
      </c>
      <c r="E593" t="str">
        <f>_xlfn.XLOOKUP(tblSales[[#This Row],[Store ID]],tblStores[Store ID],tblStores[Province])</f>
        <v>Western Cape</v>
      </c>
      <c r="F593" t="str">
        <f>_xlfn.XLOOKUP(tblSales[[#This Row],[Store ID]],tblStores[Store ID],tblStores[Manager])</f>
        <v>Megan Scott</v>
      </c>
      <c r="G593" t="str">
        <f>_xlfn.XLOOKUP(tblSales[[#This Row],[Category ID]],tblCategories[Category ID],tblCategories[Category])</f>
        <v>Kids</v>
      </c>
      <c r="H593">
        <v>25272</v>
      </c>
      <c r="I593">
        <v>23453</v>
      </c>
      <c r="J593">
        <v>54</v>
      </c>
      <c r="K593">
        <f>tblSales[[#This Row],[Sales]]-tblSales[[#This Row],[Budget]]</f>
        <v>1819</v>
      </c>
      <c r="L593" s="3">
        <f>(tblSales[[#This Row],[Sales]]-tblSales[[#This Row],[Budget]])/tblSales[[#This Row],[Budget]]</f>
        <v>7.7559374067283499E-2</v>
      </c>
      <c r="M593" s="2">
        <f>tblSales[[#This Row],[Sales]]/tblSales[[#This Row],[Transactions]]</f>
        <v>468</v>
      </c>
    </row>
    <row r="594" spans="1:13" x14ac:dyDescent="0.25">
      <c r="A594" s="1">
        <v>46052</v>
      </c>
      <c r="B594" t="s">
        <v>23</v>
      </c>
      <c r="C594" t="s">
        <v>19</v>
      </c>
      <c r="D594" t="str">
        <f>_xlfn.XLOOKUP(tblSales[[#This Row],[Store ID]],tblStores[Store ID],tblStores[Store Name])</f>
        <v>Stellenbosch</v>
      </c>
      <c r="E594" t="str">
        <f>_xlfn.XLOOKUP(tblSales[[#This Row],[Store ID]],tblStores[Store ID],tblStores[Province])</f>
        <v>Western Cape</v>
      </c>
      <c r="F594" t="str">
        <f>_xlfn.XLOOKUP(tblSales[[#This Row],[Store ID]],tblStores[Store ID],tblStores[Manager])</f>
        <v>Jason King</v>
      </c>
      <c r="G594" t="str">
        <f>_xlfn.XLOOKUP(tblSales[[#This Row],[Category ID]],tblCategories[Category ID],tblCategories[Category])</f>
        <v>Accessories</v>
      </c>
      <c r="H594">
        <v>46412</v>
      </c>
      <c r="I594">
        <v>48415</v>
      </c>
      <c r="J594">
        <v>164</v>
      </c>
      <c r="K594">
        <f>tblSales[[#This Row],[Sales]]-tblSales[[#This Row],[Budget]]</f>
        <v>-2003</v>
      </c>
      <c r="L594" s="3">
        <f>(tblSales[[#This Row],[Sales]]-tblSales[[#This Row],[Budget]])/tblSales[[#This Row],[Budget]]</f>
        <v>-4.1371475782298876E-2</v>
      </c>
      <c r="M594" s="2">
        <f>tblSales[[#This Row],[Sales]]/tblSales[[#This Row],[Transactions]]</f>
        <v>283</v>
      </c>
    </row>
    <row r="595" spans="1:13" x14ac:dyDescent="0.25">
      <c r="A595" s="1">
        <v>46052</v>
      </c>
      <c r="B595" t="s">
        <v>24</v>
      </c>
      <c r="C595" t="s">
        <v>9</v>
      </c>
      <c r="D595" t="str">
        <f>_xlfn.XLOOKUP(tblSales[[#This Row],[Store ID]],tblStores[Store ID],tblStores[Store Name])</f>
        <v>George</v>
      </c>
      <c r="E595" t="str">
        <f>_xlfn.XLOOKUP(tblSales[[#This Row],[Store ID]],tblStores[Store ID],tblStores[Province])</f>
        <v>Western Cape</v>
      </c>
      <c r="F595" t="str">
        <f>_xlfn.XLOOKUP(tblSales[[#This Row],[Store ID]],tblStores[Store ID],tblStores[Manager])</f>
        <v>Chloe Hill</v>
      </c>
      <c r="G595" t="str">
        <f>_xlfn.XLOOKUP(tblSales[[#This Row],[Category ID]],tblCategories[Category ID],tblCategories[Category])</f>
        <v>Ladieswear</v>
      </c>
      <c r="H595">
        <v>26719</v>
      </c>
      <c r="I595">
        <v>29754</v>
      </c>
      <c r="J595">
        <v>77</v>
      </c>
      <c r="K595">
        <f>tblSales[[#This Row],[Sales]]-tblSales[[#This Row],[Budget]]</f>
        <v>-3035</v>
      </c>
      <c r="L595" s="3">
        <f>(tblSales[[#This Row],[Sales]]-tblSales[[#This Row],[Budget]])/tblSales[[#This Row],[Budget]]</f>
        <v>-0.10200309202124085</v>
      </c>
      <c r="M595" s="2">
        <f>tblSales[[#This Row],[Sales]]/tblSales[[#This Row],[Transactions]]</f>
        <v>347</v>
      </c>
    </row>
    <row r="596" spans="1:13" x14ac:dyDescent="0.25">
      <c r="A596" s="1">
        <v>46052</v>
      </c>
      <c r="B596" t="s">
        <v>25</v>
      </c>
      <c r="C596" t="s">
        <v>11</v>
      </c>
      <c r="D596" t="str">
        <f>_xlfn.XLOOKUP(tblSales[[#This Row],[Store ID]],tblStores[Store ID],tblStores[Store Name])</f>
        <v>Paarl</v>
      </c>
      <c r="E596" t="str">
        <f>_xlfn.XLOOKUP(tblSales[[#This Row],[Store ID]],tblStores[Store ID],tblStores[Province])</f>
        <v>Western Cape</v>
      </c>
      <c r="F596" t="str">
        <f>_xlfn.XLOOKUP(tblSales[[#This Row],[Store ID]],tblStores[Store ID],tblStores[Manager])</f>
        <v>Andrew Lee</v>
      </c>
      <c r="G596" t="str">
        <f>_xlfn.XLOOKUP(tblSales[[#This Row],[Category ID]],tblCategories[Category ID],tblCategories[Category])</f>
        <v>Footwear</v>
      </c>
      <c r="H596">
        <v>18240</v>
      </c>
      <c r="I596">
        <v>19685</v>
      </c>
      <c r="J596">
        <v>64</v>
      </c>
      <c r="K596">
        <f>tblSales[[#This Row],[Sales]]-tblSales[[#This Row],[Budget]]</f>
        <v>-1445</v>
      </c>
      <c r="L596" s="3">
        <f>(tblSales[[#This Row],[Sales]]-tblSales[[#This Row],[Budget]])/tblSales[[#This Row],[Budget]]</f>
        <v>-7.3406146812293627E-2</v>
      </c>
      <c r="M596" s="2">
        <f>tblSales[[#This Row],[Sales]]/tblSales[[#This Row],[Transactions]]</f>
        <v>285</v>
      </c>
    </row>
    <row r="597" spans="1:13" x14ac:dyDescent="0.25">
      <c r="A597" s="1">
        <v>46052</v>
      </c>
      <c r="B597" t="s">
        <v>26</v>
      </c>
      <c r="C597" t="s">
        <v>11</v>
      </c>
      <c r="D597" t="str">
        <f>_xlfn.XLOOKUP(tblSales[[#This Row],[Store ID]],tblStores[Store ID],tblStores[Store Name])</f>
        <v>Gqeberha</v>
      </c>
      <c r="E597" t="str">
        <f>_xlfn.XLOOKUP(tblSales[[#This Row],[Store ID]],tblStores[Store ID],tblStores[Province])</f>
        <v>Eastern Cape</v>
      </c>
      <c r="F597" t="str">
        <f>_xlfn.XLOOKUP(tblSales[[#This Row],[Store ID]],tblStores[Store ID],tblStores[Manager])</f>
        <v>Emma Baker</v>
      </c>
      <c r="G597" t="str">
        <f>_xlfn.XLOOKUP(tblSales[[#This Row],[Category ID]],tblCategories[Category ID],tblCategories[Category])</f>
        <v>Footwear</v>
      </c>
      <c r="H597">
        <v>25578</v>
      </c>
      <c r="I597">
        <v>25868</v>
      </c>
      <c r="J597">
        <v>58</v>
      </c>
      <c r="K597">
        <f>tblSales[[#This Row],[Sales]]-tblSales[[#This Row],[Budget]]</f>
        <v>-290</v>
      </c>
      <c r="L597" s="3">
        <f>(tblSales[[#This Row],[Sales]]-tblSales[[#This Row],[Budget]])/tblSales[[#This Row],[Budget]]</f>
        <v>-1.1210762331838564E-2</v>
      </c>
      <c r="M597" s="2">
        <f>tblSales[[#This Row],[Sales]]/tblSales[[#This Row],[Transactions]]</f>
        <v>441</v>
      </c>
    </row>
    <row r="598" spans="1:13" x14ac:dyDescent="0.25">
      <c r="A598" s="1">
        <v>46052</v>
      </c>
      <c r="B598" t="s">
        <v>27</v>
      </c>
      <c r="C598" t="s">
        <v>7</v>
      </c>
      <c r="D598" t="str">
        <f>_xlfn.XLOOKUP(tblSales[[#This Row],[Store ID]],tblStores[Store ID],tblStores[Store Name])</f>
        <v>East London</v>
      </c>
      <c r="E598" t="str">
        <f>_xlfn.XLOOKUP(tblSales[[#This Row],[Store ID]],tblStores[Store ID],tblStores[Province])</f>
        <v>Eastern Cape</v>
      </c>
      <c r="F598" t="str">
        <f>_xlfn.XLOOKUP(tblSales[[#This Row],[Store ID]],tblStores[Store ID],tblStores[Manager])</f>
        <v>Daniel Evans</v>
      </c>
      <c r="G598" t="str">
        <f>_xlfn.XLOOKUP(tblSales[[#This Row],[Category ID]],tblCategories[Category ID],tblCategories[Category])</f>
        <v>Menswear</v>
      </c>
      <c r="H598">
        <v>37297</v>
      </c>
      <c r="I598">
        <v>38352</v>
      </c>
      <c r="J598">
        <v>151</v>
      </c>
      <c r="K598">
        <f>tblSales[[#This Row],[Sales]]-tblSales[[#This Row],[Budget]]</f>
        <v>-1055</v>
      </c>
      <c r="L598" s="3">
        <f>(tblSales[[#This Row],[Sales]]-tblSales[[#This Row],[Budget]])/tblSales[[#This Row],[Budget]]</f>
        <v>-2.7508343763037131E-2</v>
      </c>
      <c r="M598" s="2">
        <f>tblSales[[#This Row],[Sales]]/tblSales[[#This Row],[Transactions]]</f>
        <v>247</v>
      </c>
    </row>
    <row r="599" spans="1:13" x14ac:dyDescent="0.25">
      <c r="A599" s="1">
        <v>46052</v>
      </c>
      <c r="B599" t="s">
        <v>28</v>
      </c>
      <c r="C599" t="s">
        <v>11</v>
      </c>
      <c r="D599" t="str">
        <f>_xlfn.XLOOKUP(tblSales[[#This Row],[Store ID]],tblStores[Store ID],tblStores[Store Name])</f>
        <v>Bloemfontein</v>
      </c>
      <c r="E599" t="str">
        <f>_xlfn.XLOOKUP(tblSales[[#This Row],[Store ID]],tblStores[Store ID],tblStores[Province])</f>
        <v>Free State</v>
      </c>
      <c r="F599" t="str">
        <f>_xlfn.XLOOKUP(tblSales[[#This Row],[Store ID]],tblStores[Store ID],tblStores[Manager])</f>
        <v>Rachel Moore</v>
      </c>
      <c r="G599" t="str">
        <f>_xlfn.XLOOKUP(tblSales[[#This Row],[Category ID]],tblCategories[Category ID],tblCategories[Category])</f>
        <v>Footwear</v>
      </c>
      <c r="H599">
        <v>37411</v>
      </c>
      <c r="I599">
        <v>38896</v>
      </c>
      <c r="J599">
        <v>179</v>
      </c>
      <c r="K599">
        <f>tblSales[[#This Row],[Sales]]-tblSales[[#This Row],[Budget]]</f>
        <v>-1485</v>
      </c>
      <c r="L599" s="3">
        <f>(tblSales[[#This Row],[Sales]]-tblSales[[#This Row],[Budget]])/tblSales[[#This Row],[Budget]]</f>
        <v>-3.8178733031674211E-2</v>
      </c>
      <c r="M599" s="2">
        <f>tblSales[[#This Row],[Sales]]/tblSales[[#This Row],[Transactions]]</f>
        <v>209</v>
      </c>
    </row>
    <row r="600" spans="1:13" x14ac:dyDescent="0.25">
      <c r="A600" s="1">
        <v>46052</v>
      </c>
      <c r="B600" t="s">
        <v>29</v>
      </c>
      <c r="C600" t="s">
        <v>22</v>
      </c>
      <c r="D600" t="str">
        <f>_xlfn.XLOOKUP(tblSales[[#This Row],[Store ID]],tblStores[Store ID],tblStores[Store Name])</f>
        <v>Polokwane</v>
      </c>
      <c r="E600" t="str">
        <f>_xlfn.XLOOKUP(tblSales[[#This Row],[Store ID]],tblStores[Store ID],tblStores[Province])</f>
        <v>Limpopo</v>
      </c>
      <c r="F600" t="str">
        <f>_xlfn.XLOOKUP(tblSales[[#This Row],[Store ID]],tblStores[Store ID],tblStores[Manager])</f>
        <v>Kevin Harris</v>
      </c>
      <c r="G600" t="str">
        <f>_xlfn.XLOOKUP(tblSales[[#This Row],[Category ID]],tblCategories[Category ID],tblCategories[Category])</f>
        <v>Kids</v>
      </c>
      <c r="H600">
        <v>42020</v>
      </c>
      <c r="I600">
        <v>41977</v>
      </c>
      <c r="J600">
        <v>220</v>
      </c>
      <c r="K600">
        <f>tblSales[[#This Row],[Sales]]-tblSales[[#This Row],[Budget]]</f>
        <v>43</v>
      </c>
      <c r="L600" s="3">
        <f>(tblSales[[#This Row],[Sales]]-tblSales[[#This Row],[Budget]])/tblSales[[#This Row],[Budget]]</f>
        <v>1.0243704886009005E-3</v>
      </c>
      <c r="M600" s="2">
        <f>tblSales[[#This Row],[Sales]]/tblSales[[#This Row],[Transactions]]</f>
        <v>191</v>
      </c>
    </row>
    <row r="601" spans="1:13" x14ac:dyDescent="0.25">
      <c r="A601" s="1">
        <v>46052</v>
      </c>
      <c r="B601" t="s">
        <v>30</v>
      </c>
      <c r="C601" t="s">
        <v>7</v>
      </c>
      <c r="D601" t="str">
        <f>_xlfn.XLOOKUP(tblSales[[#This Row],[Store ID]],tblStores[Store ID],tblStores[Store Name])</f>
        <v>Nelspruit</v>
      </c>
      <c r="E601" t="str">
        <f>_xlfn.XLOOKUP(tblSales[[#This Row],[Store ID]],tblStores[Store ID],tblStores[Province])</f>
        <v>Mpumalanga</v>
      </c>
      <c r="F601" t="str">
        <f>_xlfn.XLOOKUP(tblSales[[#This Row],[Store ID]],tblStores[Store ID],tblStores[Manager])</f>
        <v>Olivia Turner</v>
      </c>
      <c r="G601" t="str">
        <f>_xlfn.XLOOKUP(tblSales[[#This Row],[Category ID]],tblCategories[Category ID],tblCategories[Category])</f>
        <v>Menswear</v>
      </c>
      <c r="H601">
        <v>42840</v>
      </c>
      <c r="I601">
        <v>39338</v>
      </c>
      <c r="J601">
        <v>90</v>
      </c>
      <c r="K601">
        <f>tblSales[[#This Row],[Sales]]-tblSales[[#This Row],[Budget]]</f>
        <v>3502</v>
      </c>
      <c r="L601" s="3">
        <f>(tblSales[[#This Row],[Sales]]-tblSales[[#This Row],[Budget]])/tblSales[[#This Row],[Budget]]</f>
        <v>8.9023336214347451E-2</v>
      </c>
      <c r="M601" s="2">
        <f>tblSales[[#This Row],[Sales]]/tblSales[[#This Row],[Transactions]]</f>
        <v>476</v>
      </c>
    </row>
    <row r="602" spans="1:13" x14ac:dyDescent="0.25">
      <c r="A602" s="1">
        <v>46053</v>
      </c>
      <c r="B602" t="s">
        <v>6</v>
      </c>
      <c r="C602" t="s">
        <v>11</v>
      </c>
      <c r="D602" t="str">
        <f>_xlfn.XLOOKUP(tblSales[[#This Row],[Store ID]],tblStores[Store ID],tblStores[Store Name])</f>
        <v>Durban CBD</v>
      </c>
      <c r="E602" t="str">
        <f>_xlfn.XLOOKUP(tblSales[[#This Row],[Store ID]],tblStores[Store ID],tblStores[Province])</f>
        <v>KZN</v>
      </c>
      <c r="F602" t="str">
        <f>_xlfn.XLOOKUP(tblSales[[#This Row],[Store ID]],tblStores[Store ID],tblStores[Manager])</f>
        <v>Sarah Adams</v>
      </c>
      <c r="G602" t="str">
        <f>_xlfn.XLOOKUP(tblSales[[#This Row],[Category ID]],tblCategories[Category ID],tblCategories[Category])</f>
        <v>Footwear</v>
      </c>
      <c r="H602">
        <v>26076</v>
      </c>
      <c r="I602">
        <v>26996</v>
      </c>
      <c r="J602">
        <v>123</v>
      </c>
      <c r="K602">
        <f>tblSales[[#This Row],[Sales]]-tblSales[[#This Row],[Budget]]</f>
        <v>-920</v>
      </c>
      <c r="L602" s="3">
        <f>(tblSales[[#This Row],[Sales]]-tblSales[[#This Row],[Budget]])/tblSales[[#This Row],[Budget]]</f>
        <v>-3.4079122833012301E-2</v>
      </c>
      <c r="M602" s="2">
        <f>tblSales[[#This Row],[Sales]]/tblSales[[#This Row],[Transactions]]</f>
        <v>212</v>
      </c>
    </row>
    <row r="603" spans="1:13" x14ac:dyDescent="0.25">
      <c r="A603" s="1">
        <v>46053</v>
      </c>
      <c r="B603" t="s">
        <v>8</v>
      </c>
      <c r="C603" t="s">
        <v>7</v>
      </c>
      <c r="D603" t="str">
        <f>_xlfn.XLOOKUP(tblSales[[#This Row],[Store ID]],tblStores[Store ID],tblStores[Store Name])</f>
        <v>Gateway</v>
      </c>
      <c r="E603" t="str">
        <f>_xlfn.XLOOKUP(tblSales[[#This Row],[Store ID]],tblStores[Store ID],tblStores[Province])</f>
        <v>KZN</v>
      </c>
      <c r="F603" t="str">
        <f>_xlfn.XLOOKUP(tblSales[[#This Row],[Store ID]],tblStores[Store ID],tblStores[Manager])</f>
        <v>Michael Jones</v>
      </c>
      <c r="G603" t="str">
        <f>_xlfn.XLOOKUP(tblSales[[#This Row],[Category ID]],tblCategories[Category ID],tblCategories[Category])</f>
        <v>Menswear</v>
      </c>
      <c r="H603">
        <v>21892</v>
      </c>
      <c r="I603">
        <v>19876</v>
      </c>
      <c r="J603">
        <v>52</v>
      </c>
      <c r="K603">
        <f>tblSales[[#This Row],[Sales]]-tblSales[[#This Row],[Budget]]</f>
        <v>2016</v>
      </c>
      <c r="L603" s="3">
        <f>(tblSales[[#This Row],[Sales]]-tblSales[[#This Row],[Budget]])/tblSales[[#This Row],[Budget]]</f>
        <v>0.1014288589253371</v>
      </c>
      <c r="M603" s="2">
        <f>tblSales[[#This Row],[Sales]]/tblSales[[#This Row],[Transactions]]</f>
        <v>421</v>
      </c>
    </row>
    <row r="604" spans="1:13" x14ac:dyDescent="0.25">
      <c r="A604" s="1">
        <v>46053</v>
      </c>
      <c r="B604" t="s">
        <v>10</v>
      </c>
      <c r="C604" t="s">
        <v>11</v>
      </c>
      <c r="D604" t="str">
        <f>_xlfn.XLOOKUP(tblSales[[#This Row],[Store ID]],tblStores[Store ID],tblStores[Store Name])</f>
        <v>Ballito</v>
      </c>
      <c r="E604" t="str">
        <f>_xlfn.XLOOKUP(tblSales[[#This Row],[Store ID]],tblStores[Store ID],tblStores[Province])</f>
        <v>KZN</v>
      </c>
      <c r="F604" t="str">
        <f>_xlfn.XLOOKUP(tblSales[[#This Row],[Store ID]],tblStores[Store ID],tblStores[Manager])</f>
        <v>Linda Smith</v>
      </c>
      <c r="G604" t="str">
        <f>_xlfn.XLOOKUP(tblSales[[#This Row],[Category ID]],tblCategories[Category ID],tblCategories[Category])</f>
        <v>Footwear</v>
      </c>
      <c r="H604">
        <v>20169</v>
      </c>
      <c r="I604">
        <v>22013</v>
      </c>
      <c r="J604">
        <v>81</v>
      </c>
      <c r="K604">
        <f>tblSales[[#This Row],[Sales]]-tblSales[[#This Row],[Budget]]</f>
        <v>-1844</v>
      </c>
      <c r="L604" s="3">
        <f>(tblSales[[#This Row],[Sales]]-tblSales[[#This Row],[Budget]])/tblSales[[#This Row],[Budget]]</f>
        <v>-8.3768682142370418E-2</v>
      </c>
      <c r="M604" s="2">
        <f>tblSales[[#This Row],[Sales]]/tblSales[[#This Row],[Transactions]]</f>
        <v>249</v>
      </c>
    </row>
    <row r="605" spans="1:13" x14ac:dyDescent="0.25">
      <c r="A605" s="1">
        <v>46053</v>
      </c>
      <c r="B605" t="s">
        <v>12</v>
      </c>
      <c r="C605" t="s">
        <v>11</v>
      </c>
      <c r="D605" t="str">
        <f>_xlfn.XLOOKUP(tblSales[[#This Row],[Store ID]],tblStores[Store ID],tblStores[Store Name])</f>
        <v>Pietermaritzburg</v>
      </c>
      <c r="E605" t="str">
        <f>_xlfn.XLOOKUP(tblSales[[#This Row],[Store ID]],tblStores[Store ID],tblStores[Province])</f>
        <v>KZN</v>
      </c>
      <c r="F605" t="str">
        <f>_xlfn.XLOOKUP(tblSales[[#This Row],[Store ID]],tblStores[Store ID],tblStores[Manager])</f>
        <v>Peter Brown</v>
      </c>
      <c r="G605" t="str">
        <f>_xlfn.XLOOKUP(tblSales[[#This Row],[Category ID]],tblCategories[Category ID],tblCategories[Category])</f>
        <v>Footwear</v>
      </c>
      <c r="H605">
        <v>48750</v>
      </c>
      <c r="I605">
        <v>49341</v>
      </c>
      <c r="J605">
        <v>130</v>
      </c>
      <c r="K605">
        <f>tblSales[[#This Row],[Sales]]-tblSales[[#This Row],[Budget]]</f>
        <v>-591</v>
      </c>
      <c r="L605" s="3">
        <f>(tblSales[[#This Row],[Sales]]-tblSales[[#This Row],[Budget]])/tblSales[[#This Row],[Budget]]</f>
        <v>-1.1977868304250015E-2</v>
      </c>
      <c r="M605" s="2">
        <f>tblSales[[#This Row],[Sales]]/tblSales[[#This Row],[Transactions]]</f>
        <v>375</v>
      </c>
    </row>
    <row r="606" spans="1:13" x14ac:dyDescent="0.25">
      <c r="A606" s="1">
        <v>46053</v>
      </c>
      <c r="B606" t="s">
        <v>13</v>
      </c>
      <c r="C606" t="s">
        <v>11</v>
      </c>
      <c r="D606" t="str">
        <f>_xlfn.XLOOKUP(tblSales[[#This Row],[Store ID]],tblStores[Store ID],tblStores[Store Name])</f>
        <v>Richards Bay</v>
      </c>
      <c r="E606" t="str">
        <f>_xlfn.XLOOKUP(tblSales[[#This Row],[Store ID]],tblStores[Store ID],tblStores[Province])</f>
        <v>KZN</v>
      </c>
      <c r="F606" t="str">
        <f>_xlfn.XLOOKUP(tblSales[[#This Row],[Store ID]],tblStores[Store ID],tblStores[Manager])</f>
        <v>David Green</v>
      </c>
      <c r="G606" t="str">
        <f>_xlfn.XLOOKUP(tblSales[[#This Row],[Category ID]],tblCategories[Category ID],tblCategories[Category])</f>
        <v>Footwear</v>
      </c>
      <c r="H606">
        <v>28951</v>
      </c>
      <c r="I606">
        <v>30997</v>
      </c>
      <c r="J606">
        <v>131</v>
      </c>
      <c r="K606">
        <f>tblSales[[#This Row],[Sales]]-tblSales[[#This Row],[Budget]]</f>
        <v>-2046</v>
      </c>
      <c r="L606" s="3">
        <f>(tblSales[[#This Row],[Sales]]-tblSales[[#This Row],[Budget]])/tblSales[[#This Row],[Budget]]</f>
        <v>-6.6006387714940162E-2</v>
      </c>
      <c r="M606" s="2">
        <f>tblSales[[#This Row],[Sales]]/tblSales[[#This Row],[Transactions]]</f>
        <v>221</v>
      </c>
    </row>
    <row r="607" spans="1:13" x14ac:dyDescent="0.25">
      <c r="A607" s="1">
        <v>46053</v>
      </c>
      <c r="B607" t="s">
        <v>14</v>
      </c>
      <c r="C607" t="s">
        <v>19</v>
      </c>
      <c r="D607" t="str">
        <f>_xlfn.XLOOKUP(tblSales[[#This Row],[Store ID]],tblStores[Store ID],tblStores[Store Name])</f>
        <v>Sandton</v>
      </c>
      <c r="E607" t="str">
        <f>_xlfn.XLOOKUP(tblSales[[#This Row],[Store ID]],tblStores[Store ID],tblStores[Province])</f>
        <v>Gauteng</v>
      </c>
      <c r="F607" t="str">
        <f>_xlfn.XLOOKUP(tblSales[[#This Row],[Store ID]],tblStores[Store ID],tblStores[Manager])</f>
        <v>Karen White</v>
      </c>
      <c r="G607" t="str">
        <f>_xlfn.XLOOKUP(tblSales[[#This Row],[Category ID]],tblCategories[Category ID],tblCategories[Category])</f>
        <v>Accessories</v>
      </c>
      <c r="H607">
        <v>35466</v>
      </c>
      <c r="I607">
        <v>39547</v>
      </c>
      <c r="J607">
        <v>69</v>
      </c>
      <c r="K607">
        <f>tblSales[[#This Row],[Sales]]-tblSales[[#This Row],[Budget]]</f>
        <v>-4081</v>
      </c>
      <c r="L607" s="3">
        <f>(tblSales[[#This Row],[Sales]]-tblSales[[#This Row],[Budget]])/tblSales[[#This Row],[Budget]]</f>
        <v>-0.10319366829342301</v>
      </c>
      <c r="M607" s="2">
        <f>tblSales[[#This Row],[Sales]]/tblSales[[#This Row],[Transactions]]</f>
        <v>514</v>
      </c>
    </row>
    <row r="608" spans="1:13" x14ac:dyDescent="0.25">
      <c r="A608" s="1">
        <v>46053</v>
      </c>
      <c r="B608" t="s">
        <v>15</v>
      </c>
      <c r="C608" t="s">
        <v>7</v>
      </c>
      <c r="D608" t="str">
        <f>_xlfn.XLOOKUP(tblSales[[#This Row],[Store ID]],tblStores[Store ID],tblStores[Store Name])</f>
        <v>Rosebank</v>
      </c>
      <c r="E608" t="str">
        <f>_xlfn.XLOOKUP(tblSales[[#This Row],[Store ID]],tblStores[Store ID],tblStores[Province])</f>
        <v>Gauteng</v>
      </c>
      <c r="F608" t="str">
        <f>_xlfn.XLOOKUP(tblSales[[#This Row],[Store ID]],tblStores[Store ID],tblStores[Manager])</f>
        <v>James Taylor</v>
      </c>
      <c r="G608" t="str">
        <f>_xlfn.XLOOKUP(tblSales[[#This Row],[Category ID]],tblCategories[Category ID],tblCategories[Category])</f>
        <v>Menswear</v>
      </c>
      <c r="H608">
        <v>36400</v>
      </c>
      <c r="I608">
        <v>36336</v>
      </c>
      <c r="J608">
        <v>80</v>
      </c>
      <c r="K608">
        <f>tblSales[[#This Row],[Sales]]-tblSales[[#This Row],[Budget]]</f>
        <v>64</v>
      </c>
      <c r="L608" s="3">
        <f>(tblSales[[#This Row],[Sales]]-tblSales[[#This Row],[Budget]])/tblSales[[#This Row],[Budget]]</f>
        <v>1.7613386173491853E-3</v>
      </c>
      <c r="M608" s="2">
        <f>tblSales[[#This Row],[Sales]]/tblSales[[#This Row],[Transactions]]</f>
        <v>455</v>
      </c>
    </row>
    <row r="609" spans="1:13" x14ac:dyDescent="0.25">
      <c r="A609" s="1">
        <v>46053</v>
      </c>
      <c r="B609" t="s">
        <v>16</v>
      </c>
      <c r="C609" t="s">
        <v>9</v>
      </c>
      <c r="D609" t="str">
        <f>_xlfn.XLOOKUP(tblSales[[#This Row],[Store ID]],tblStores[Store ID],tblStores[Store Name])</f>
        <v>Pretoria</v>
      </c>
      <c r="E609" t="str">
        <f>_xlfn.XLOOKUP(tblSales[[#This Row],[Store ID]],tblStores[Store ID],tblStores[Province])</f>
        <v>Gauteng</v>
      </c>
      <c r="F609" t="str">
        <f>_xlfn.XLOOKUP(tblSales[[#This Row],[Store ID]],tblStores[Store ID],tblStores[Manager])</f>
        <v>Susan Clark</v>
      </c>
      <c r="G609" t="str">
        <f>_xlfn.XLOOKUP(tblSales[[#This Row],[Category ID]],tblCategories[Category ID],tblCategories[Category])</f>
        <v>Ladieswear</v>
      </c>
      <c r="H609">
        <v>16652</v>
      </c>
      <c r="I609">
        <v>18134</v>
      </c>
      <c r="J609">
        <v>92</v>
      </c>
      <c r="K609">
        <f>tblSales[[#This Row],[Sales]]-tblSales[[#This Row],[Budget]]</f>
        <v>-1482</v>
      </c>
      <c r="L609" s="3">
        <f>(tblSales[[#This Row],[Sales]]-tblSales[[#This Row],[Budget]])/tblSales[[#This Row],[Budget]]</f>
        <v>-8.172493658321385E-2</v>
      </c>
      <c r="M609" s="2">
        <f>tblSales[[#This Row],[Sales]]/tblSales[[#This Row],[Transactions]]</f>
        <v>181</v>
      </c>
    </row>
    <row r="610" spans="1:13" x14ac:dyDescent="0.25">
      <c r="A610" s="1">
        <v>46053</v>
      </c>
      <c r="B610" t="s">
        <v>17</v>
      </c>
      <c r="C610" t="s">
        <v>22</v>
      </c>
      <c r="D610" t="str">
        <f>_xlfn.XLOOKUP(tblSales[[#This Row],[Store ID]],tblStores[Store ID],tblStores[Store Name])</f>
        <v>Centurion</v>
      </c>
      <c r="E610" t="str">
        <f>_xlfn.XLOOKUP(tblSales[[#This Row],[Store ID]],tblStores[Store ID],tblStores[Province])</f>
        <v>Gauteng</v>
      </c>
      <c r="F610" t="str">
        <f>_xlfn.XLOOKUP(tblSales[[#This Row],[Store ID]],tblStores[Store ID],tblStores[Manager])</f>
        <v>Mark Wilson</v>
      </c>
      <c r="G610" t="str">
        <f>_xlfn.XLOOKUP(tblSales[[#This Row],[Category ID]],tblCategories[Category ID],tblCategories[Category])</f>
        <v>Kids</v>
      </c>
      <c r="H610">
        <v>70074</v>
      </c>
      <c r="I610">
        <v>70496</v>
      </c>
      <c r="J610">
        <v>153</v>
      </c>
      <c r="K610">
        <f>tblSales[[#This Row],[Sales]]-tblSales[[#This Row],[Budget]]</f>
        <v>-422</v>
      </c>
      <c r="L610" s="3">
        <f>(tblSales[[#This Row],[Sales]]-tblSales[[#This Row],[Budget]])/tblSales[[#This Row],[Budget]]</f>
        <v>-5.9861552428506579E-3</v>
      </c>
      <c r="M610" s="2">
        <f>tblSales[[#This Row],[Sales]]/tblSales[[#This Row],[Transactions]]</f>
        <v>458</v>
      </c>
    </row>
    <row r="611" spans="1:13" x14ac:dyDescent="0.25">
      <c r="A611" s="1">
        <v>46053</v>
      </c>
      <c r="B611" t="s">
        <v>18</v>
      </c>
      <c r="C611" t="s">
        <v>11</v>
      </c>
      <c r="D611" t="str">
        <f>_xlfn.XLOOKUP(tblSales[[#This Row],[Store ID]],tblStores[Store ID],tblStores[Store Name])</f>
        <v>East Rand</v>
      </c>
      <c r="E611" t="str">
        <f>_xlfn.XLOOKUP(tblSales[[#This Row],[Store ID]],tblStores[Store ID],tblStores[Province])</f>
        <v>Gauteng</v>
      </c>
      <c r="F611" t="str">
        <f>_xlfn.XLOOKUP(tblSales[[#This Row],[Store ID]],tblStores[Store ID],tblStores[Manager])</f>
        <v>Lisa Young</v>
      </c>
      <c r="G611" t="str">
        <f>_xlfn.XLOOKUP(tblSales[[#This Row],[Category ID]],tblCategories[Category ID],tblCategories[Category])</f>
        <v>Footwear</v>
      </c>
      <c r="H611">
        <v>28458</v>
      </c>
      <c r="I611">
        <v>28889</v>
      </c>
      <c r="J611">
        <v>93</v>
      </c>
      <c r="K611">
        <f>tblSales[[#This Row],[Sales]]-tblSales[[#This Row],[Budget]]</f>
        <v>-431</v>
      </c>
      <c r="L611" s="3">
        <f>(tblSales[[#This Row],[Sales]]-tblSales[[#This Row],[Budget]])/tblSales[[#This Row],[Budget]]</f>
        <v>-1.4919173387794662E-2</v>
      </c>
      <c r="M611" s="2">
        <f>tblSales[[#This Row],[Sales]]/tblSales[[#This Row],[Transactions]]</f>
        <v>306</v>
      </c>
    </row>
    <row r="612" spans="1:13" x14ac:dyDescent="0.25">
      <c r="A612" s="1">
        <v>46053</v>
      </c>
      <c r="B612" t="s">
        <v>20</v>
      </c>
      <c r="C612" t="s">
        <v>9</v>
      </c>
      <c r="D612" t="str">
        <f>_xlfn.XLOOKUP(tblSales[[#This Row],[Store ID]],tblStores[Store ID],tblStores[Store Name])</f>
        <v>Cape Town CBD</v>
      </c>
      <c r="E612" t="str">
        <f>_xlfn.XLOOKUP(tblSales[[#This Row],[Store ID]],tblStores[Store ID],tblStores[Province])</f>
        <v>Western Cape</v>
      </c>
      <c r="F612" t="str">
        <f>_xlfn.XLOOKUP(tblSales[[#This Row],[Store ID]],tblStores[Store ID],tblStores[Manager])</f>
        <v>Brian Hall</v>
      </c>
      <c r="G612" t="str">
        <f>_xlfn.XLOOKUP(tblSales[[#This Row],[Category ID]],tblCategories[Category ID],tblCategories[Category])</f>
        <v>Ladieswear</v>
      </c>
      <c r="H612">
        <v>28980</v>
      </c>
      <c r="I612">
        <v>32873</v>
      </c>
      <c r="J612">
        <v>105</v>
      </c>
      <c r="K612">
        <f>tblSales[[#This Row],[Sales]]-tblSales[[#This Row],[Budget]]</f>
        <v>-3893</v>
      </c>
      <c r="L612" s="3">
        <f>(tblSales[[#This Row],[Sales]]-tblSales[[#This Row],[Budget]])/tblSales[[#This Row],[Budget]]</f>
        <v>-0.1184254555410215</v>
      </c>
      <c r="M612" s="2">
        <f>tblSales[[#This Row],[Sales]]/tblSales[[#This Row],[Transactions]]</f>
        <v>276</v>
      </c>
    </row>
    <row r="613" spans="1:13" x14ac:dyDescent="0.25">
      <c r="A613" s="1">
        <v>46053</v>
      </c>
      <c r="B613" t="s">
        <v>21</v>
      </c>
      <c r="C613" t="s">
        <v>7</v>
      </c>
      <c r="D613" t="str">
        <f>_xlfn.XLOOKUP(tblSales[[#This Row],[Store ID]],tblStores[Store ID],tblStores[Store Name])</f>
        <v>Canal Walk</v>
      </c>
      <c r="E613" t="str">
        <f>_xlfn.XLOOKUP(tblSales[[#This Row],[Store ID]],tblStores[Store ID],tblStores[Province])</f>
        <v>Western Cape</v>
      </c>
      <c r="F613" t="str">
        <f>_xlfn.XLOOKUP(tblSales[[#This Row],[Store ID]],tblStores[Store ID],tblStores[Manager])</f>
        <v>Megan Scott</v>
      </c>
      <c r="G613" t="str">
        <f>_xlfn.XLOOKUP(tblSales[[#This Row],[Category ID]],tblCategories[Category ID],tblCategories[Category])</f>
        <v>Menswear</v>
      </c>
      <c r="H613">
        <v>22274</v>
      </c>
      <c r="I613">
        <v>22381</v>
      </c>
      <c r="J613">
        <v>43</v>
      </c>
      <c r="K613">
        <f>tblSales[[#This Row],[Sales]]-tblSales[[#This Row],[Budget]]</f>
        <v>-107</v>
      </c>
      <c r="L613" s="3">
        <f>(tblSales[[#This Row],[Sales]]-tblSales[[#This Row],[Budget]])/tblSales[[#This Row],[Budget]]</f>
        <v>-4.7808408918278899E-3</v>
      </c>
      <c r="M613" s="2">
        <f>tblSales[[#This Row],[Sales]]/tblSales[[#This Row],[Transactions]]</f>
        <v>518</v>
      </c>
    </row>
    <row r="614" spans="1:13" x14ac:dyDescent="0.25">
      <c r="A614" s="1">
        <v>46053</v>
      </c>
      <c r="B614" t="s">
        <v>23</v>
      </c>
      <c r="C614" t="s">
        <v>7</v>
      </c>
      <c r="D614" t="str">
        <f>_xlfn.XLOOKUP(tblSales[[#This Row],[Store ID]],tblStores[Store ID],tblStores[Store Name])</f>
        <v>Stellenbosch</v>
      </c>
      <c r="E614" t="str">
        <f>_xlfn.XLOOKUP(tblSales[[#This Row],[Store ID]],tblStores[Store ID],tblStores[Province])</f>
        <v>Western Cape</v>
      </c>
      <c r="F614" t="str">
        <f>_xlfn.XLOOKUP(tblSales[[#This Row],[Store ID]],tblStores[Store ID],tblStores[Manager])</f>
        <v>Jason King</v>
      </c>
      <c r="G614" t="str">
        <f>_xlfn.XLOOKUP(tblSales[[#This Row],[Category ID]],tblCategories[Category ID],tblCategories[Category])</f>
        <v>Menswear</v>
      </c>
      <c r="H614">
        <v>27360</v>
      </c>
      <c r="I614">
        <v>25084</v>
      </c>
      <c r="J614">
        <v>96</v>
      </c>
      <c r="K614">
        <f>tblSales[[#This Row],[Sales]]-tblSales[[#This Row],[Budget]]</f>
        <v>2276</v>
      </c>
      <c r="L614" s="3">
        <f>(tblSales[[#This Row],[Sales]]-tblSales[[#This Row],[Budget]])/tblSales[[#This Row],[Budget]]</f>
        <v>9.0735129963323238E-2</v>
      </c>
      <c r="M614" s="2">
        <f>tblSales[[#This Row],[Sales]]/tblSales[[#This Row],[Transactions]]</f>
        <v>285</v>
      </c>
    </row>
    <row r="615" spans="1:13" x14ac:dyDescent="0.25">
      <c r="A615" s="1">
        <v>46053</v>
      </c>
      <c r="B615" t="s">
        <v>24</v>
      </c>
      <c r="C615" t="s">
        <v>19</v>
      </c>
      <c r="D615" t="str">
        <f>_xlfn.XLOOKUP(tblSales[[#This Row],[Store ID]],tblStores[Store ID],tblStores[Store Name])</f>
        <v>George</v>
      </c>
      <c r="E615" t="str">
        <f>_xlfn.XLOOKUP(tblSales[[#This Row],[Store ID]],tblStores[Store ID],tblStores[Province])</f>
        <v>Western Cape</v>
      </c>
      <c r="F615" t="str">
        <f>_xlfn.XLOOKUP(tblSales[[#This Row],[Store ID]],tblStores[Store ID],tblStores[Manager])</f>
        <v>Chloe Hill</v>
      </c>
      <c r="G615" t="str">
        <f>_xlfn.XLOOKUP(tblSales[[#This Row],[Category ID]],tblCategories[Category ID],tblCategories[Category])</f>
        <v>Accessories</v>
      </c>
      <c r="H615">
        <v>17544</v>
      </c>
      <c r="I615">
        <v>18411</v>
      </c>
      <c r="J615">
        <v>43</v>
      </c>
      <c r="K615">
        <f>tblSales[[#This Row],[Sales]]-tblSales[[#This Row],[Budget]]</f>
        <v>-867</v>
      </c>
      <c r="L615" s="3">
        <f>(tblSales[[#This Row],[Sales]]-tblSales[[#This Row],[Budget]])/tblSales[[#This Row],[Budget]]</f>
        <v>-4.7091412742382273E-2</v>
      </c>
      <c r="M615" s="2">
        <f>tblSales[[#This Row],[Sales]]/tblSales[[#This Row],[Transactions]]</f>
        <v>408</v>
      </c>
    </row>
    <row r="616" spans="1:13" x14ac:dyDescent="0.25">
      <c r="A616" s="1">
        <v>46053</v>
      </c>
      <c r="B616" t="s">
        <v>25</v>
      </c>
      <c r="C616" t="s">
        <v>7</v>
      </c>
      <c r="D616" t="str">
        <f>_xlfn.XLOOKUP(tblSales[[#This Row],[Store ID]],tblStores[Store ID],tblStores[Store Name])</f>
        <v>Paarl</v>
      </c>
      <c r="E616" t="str">
        <f>_xlfn.XLOOKUP(tblSales[[#This Row],[Store ID]],tblStores[Store ID],tblStores[Province])</f>
        <v>Western Cape</v>
      </c>
      <c r="F616" t="str">
        <f>_xlfn.XLOOKUP(tblSales[[#This Row],[Store ID]],tblStores[Store ID],tblStores[Manager])</f>
        <v>Andrew Lee</v>
      </c>
      <c r="G616" t="str">
        <f>_xlfn.XLOOKUP(tblSales[[#This Row],[Category ID]],tblCategories[Category ID],tblCategories[Category])</f>
        <v>Menswear</v>
      </c>
      <c r="H616">
        <v>19594</v>
      </c>
      <c r="I616">
        <v>19605</v>
      </c>
      <c r="J616">
        <v>97</v>
      </c>
      <c r="K616">
        <f>tblSales[[#This Row],[Sales]]-tblSales[[#This Row],[Budget]]</f>
        <v>-11</v>
      </c>
      <c r="L616" s="3">
        <f>(tblSales[[#This Row],[Sales]]-tblSales[[#This Row],[Budget]])/tblSales[[#This Row],[Budget]]</f>
        <v>-5.6108135679673555E-4</v>
      </c>
      <c r="M616" s="2">
        <f>tblSales[[#This Row],[Sales]]/tblSales[[#This Row],[Transactions]]</f>
        <v>202</v>
      </c>
    </row>
    <row r="617" spans="1:13" x14ac:dyDescent="0.25">
      <c r="A617" s="1">
        <v>46053</v>
      </c>
      <c r="B617" t="s">
        <v>26</v>
      </c>
      <c r="C617" t="s">
        <v>9</v>
      </c>
      <c r="D617" t="str">
        <f>_xlfn.XLOOKUP(tblSales[[#This Row],[Store ID]],tblStores[Store ID],tblStores[Store Name])</f>
        <v>Gqeberha</v>
      </c>
      <c r="E617" t="str">
        <f>_xlfn.XLOOKUP(tblSales[[#This Row],[Store ID]],tblStores[Store ID],tblStores[Province])</f>
        <v>Eastern Cape</v>
      </c>
      <c r="F617" t="str">
        <f>_xlfn.XLOOKUP(tblSales[[#This Row],[Store ID]],tblStores[Store ID],tblStores[Manager])</f>
        <v>Emma Baker</v>
      </c>
      <c r="G617" t="str">
        <f>_xlfn.XLOOKUP(tblSales[[#This Row],[Category ID]],tblCategories[Category ID],tblCategories[Category])</f>
        <v>Ladieswear</v>
      </c>
      <c r="H617">
        <v>50343</v>
      </c>
      <c r="I617">
        <v>54803</v>
      </c>
      <c r="J617">
        <v>173</v>
      </c>
      <c r="K617">
        <f>tblSales[[#This Row],[Sales]]-tblSales[[#This Row],[Budget]]</f>
        <v>-4460</v>
      </c>
      <c r="L617" s="3">
        <f>(tblSales[[#This Row],[Sales]]-tblSales[[#This Row],[Budget]])/tblSales[[#This Row],[Budget]]</f>
        <v>-8.1382406072660257E-2</v>
      </c>
      <c r="M617" s="2">
        <f>tblSales[[#This Row],[Sales]]/tblSales[[#This Row],[Transactions]]</f>
        <v>291</v>
      </c>
    </row>
    <row r="618" spans="1:13" x14ac:dyDescent="0.25">
      <c r="A618" s="1">
        <v>46053</v>
      </c>
      <c r="B618" t="s">
        <v>27</v>
      </c>
      <c r="C618" t="s">
        <v>7</v>
      </c>
      <c r="D618" t="str">
        <f>_xlfn.XLOOKUP(tblSales[[#This Row],[Store ID]],tblStores[Store ID],tblStores[Store Name])</f>
        <v>East London</v>
      </c>
      <c r="E618" t="str">
        <f>_xlfn.XLOOKUP(tblSales[[#This Row],[Store ID]],tblStores[Store ID],tblStores[Province])</f>
        <v>Eastern Cape</v>
      </c>
      <c r="F618" t="str">
        <f>_xlfn.XLOOKUP(tblSales[[#This Row],[Store ID]],tblStores[Store ID],tblStores[Manager])</f>
        <v>Daniel Evans</v>
      </c>
      <c r="G618" t="str">
        <f>_xlfn.XLOOKUP(tblSales[[#This Row],[Category ID]],tblCategories[Category ID],tblCategories[Category])</f>
        <v>Menswear</v>
      </c>
      <c r="H618">
        <v>30590</v>
      </c>
      <c r="I618">
        <v>35128</v>
      </c>
      <c r="J618">
        <v>70</v>
      </c>
      <c r="K618">
        <f>tblSales[[#This Row],[Sales]]-tblSales[[#This Row],[Budget]]</f>
        <v>-4538</v>
      </c>
      <c r="L618" s="3">
        <f>(tblSales[[#This Row],[Sales]]-tblSales[[#This Row],[Budget]])/tblSales[[#This Row],[Budget]]</f>
        <v>-0.12918469596902757</v>
      </c>
      <c r="M618" s="2">
        <f>tblSales[[#This Row],[Sales]]/tblSales[[#This Row],[Transactions]]</f>
        <v>437</v>
      </c>
    </row>
    <row r="619" spans="1:13" x14ac:dyDescent="0.25">
      <c r="A619" s="1">
        <v>46053</v>
      </c>
      <c r="B619" t="s">
        <v>28</v>
      </c>
      <c r="C619" t="s">
        <v>9</v>
      </c>
      <c r="D619" t="str">
        <f>_xlfn.XLOOKUP(tblSales[[#This Row],[Store ID]],tblStores[Store ID],tblStores[Store Name])</f>
        <v>Bloemfontein</v>
      </c>
      <c r="E619" t="str">
        <f>_xlfn.XLOOKUP(tblSales[[#This Row],[Store ID]],tblStores[Store ID],tblStores[Province])</f>
        <v>Free State</v>
      </c>
      <c r="F619" t="str">
        <f>_xlfn.XLOOKUP(tblSales[[#This Row],[Store ID]],tblStores[Store ID],tblStores[Manager])</f>
        <v>Rachel Moore</v>
      </c>
      <c r="G619" t="str">
        <f>_xlfn.XLOOKUP(tblSales[[#This Row],[Category ID]],tblCategories[Category ID],tblCategories[Category])</f>
        <v>Ladieswear</v>
      </c>
      <c r="H619">
        <v>62426</v>
      </c>
      <c r="I619">
        <v>65195</v>
      </c>
      <c r="J619">
        <v>182</v>
      </c>
      <c r="K619">
        <f>tblSales[[#This Row],[Sales]]-tblSales[[#This Row],[Budget]]</f>
        <v>-2769</v>
      </c>
      <c r="L619" s="3">
        <f>(tblSales[[#This Row],[Sales]]-tblSales[[#This Row],[Budget]])/tblSales[[#This Row],[Budget]]</f>
        <v>-4.2472582253240278E-2</v>
      </c>
      <c r="M619" s="2">
        <f>tblSales[[#This Row],[Sales]]/tblSales[[#This Row],[Transactions]]</f>
        <v>343</v>
      </c>
    </row>
    <row r="620" spans="1:13" x14ac:dyDescent="0.25">
      <c r="A620" s="1">
        <v>46053</v>
      </c>
      <c r="B620" t="s">
        <v>29</v>
      </c>
      <c r="C620" t="s">
        <v>22</v>
      </c>
      <c r="D620" t="str">
        <f>_xlfn.XLOOKUP(tblSales[[#This Row],[Store ID]],tblStores[Store ID],tblStores[Store Name])</f>
        <v>Polokwane</v>
      </c>
      <c r="E620" t="str">
        <f>_xlfn.XLOOKUP(tblSales[[#This Row],[Store ID]],tblStores[Store ID],tblStores[Province])</f>
        <v>Limpopo</v>
      </c>
      <c r="F620" t="str">
        <f>_xlfn.XLOOKUP(tblSales[[#This Row],[Store ID]],tblStores[Store ID],tblStores[Manager])</f>
        <v>Kevin Harris</v>
      </c>
      <c r="G620" t="str">
        <f>_xlfn.XLOOKUP(tblSales[[#This Row],[Category ID]],tblCategories[Category ID],tblCategories[Category])</f>
        <v>Kids</v>
      </c>
      <c r="H620">
        <v>31730</v>
      </c>
      <c r="I620">
        <v>35507</v>
      </c>
      <c r="J620">
        <v>95</v>
      </c>
      <c r="K620">
        <f>tblSales[[#This Row],[Sales]]-tblSales[[#This Row],[Budget]]</f>
        <v>-3777</v>
      </c>
      <c r="L620" s="3">
        <f>(tblSales[[#This Row],[Sales]]-tblSales[[#This Row],[Budget]])/tblSales[[#This Row],[Budget]]</f>
        <v>-0.10637339116230603</v>
      </c>
      <c r="M620" s="2">
        <f>tblSales[[#This Row],[Sales]]/tblSales[[#This Row],[Transactions]]</f>
        <v>334</v>
      </c>
    </row>
    <row r="621" spans="1:13" x14ac:dyDescent="0.25">
      <c r="A621" s="1">
        <v>46053</v>
      </c>
      <c r="B621" t="s">
        <v>30</v>
      </c>
      <c r="C621" t="s">
        <v>19</v>
      </c>
      <c r="D621" t="str">
        <f>_xlfn.XLOOKUP(tblSales[[#This Row],[Store ID]],tblStores[Store ID],tblStores[Store Name])</f>
        <v>Nelspruit</v>
      </c>
      <c r="E621" t="str">
        <f>_xlfn.XLOOKUP(tblSales[[#This Row],[Store ID]],tblStores[Store ID],tblStores[Province])</f>
        <v>Mpumalanga</v>
      </c>
      <c r="F621" t="str">
        <f>_xlfn.XLOOKUP(tblSales[[#This Row],[Store ID]],tblStores[Store ID],tblStores[Manager])</f>
        <v>Olivia Turner</v>
      </c>
      <c r="G621" t="str">
        <f>_xlfn.XLOOKUP(tblSales[[#This Row],[Category ID]],tblCategories[Category ID],tblCategories[Category])</f>
        <v>Accessories</v>
      </c>
      <c r="H621">
        <v>35581</v>
      </c>
      <c r="I621">
        <v>34695</v>
      </c>
      <c r="J621">
        <v>91</v>
      </c>
      <c r="K621">
        <f>tblSales[[#This Row],[Sales]]-tblSales[[#This Row],[Budget]]</f>
        <v>886</v>
      </c>
      <c r="L621" s="3">
        <f>(tblSales[[#This Row],[Sales]]-tblSales[[#This Row],[Budget]])/tblSales[[#This Row],[Budget]]</f>
        <v>2.5536820867560168E-2</v>
      </c>
      <c r="M621" s="2">
        <f>tblSales[[#This Row],[Sales]]/tblSales[[#This Row],[Transactions]]</f>
        <v>391</v>
      </c>
    </row>
    <row r="622" spans="1:13" x14ac:dyDescent="0.25">
      <c r="A622" s="1">
        <v>46054</v>
      </c>
      <c r="B622" t="s">
        <v>6</v>
      </c>
      <c r="C622" t="s">
        <v>7</v>
      </c>
      <c r="D622" t="str">
        <f>_xlfn.XLOOKUP(tblSales[[#This Row],[Store ID]],tblStores[Store ID],tblStores[Store Name])</f>
        <v>Durban CBD</v>
      </c>
      <c r="E622" t="str">
        <f>_xlfn.XLOOKUP(tblSales[[#This Row],[Store ID]],tblStores[Store ID],tblStores[Province])</f>
        <v>KZN</v>
      </c>
      <c r="F622" t="str">
        <f>_xlfn.XLOOKUP(tblSales[[#This Row],[Store ID]],tblStores[Store ID],tblStores[Manager])</f>
        <v>Sarah Adams</v>
      </c>
      <c r="G622" t="str">
        <f>_xlfn.XLOOKUP(tblSales[[#This Row],[Category ID]],tblCategories[Category ID],tblCategories[Category])</f>
        <v>Menswear</v>
      </c>
      <c r="H622">
        <v>85314</v>
      </c>
      <c r="I622">
        <v>95545</v>
      </c>
      <c r="J622">
        <v>177</v>
      </c>
      <c r="K622">
        <f>tblSales[[#This Row],[Sales]]-tblSales[[#This Row],[Budget]]</f>
        <v>-10231</v>
      </c>
      <c r="L622" s="3">
        <f>(tblSales[[#This Row],[Sales]]-tblSales[[#This Row],[Budget]])/tblSales[[#This Row],[Budget]]</f>
        <v>-0.10708043330367889</v>
      </c>
      <c r="M622" s="2">
        <f>tblSales[[#This Row],[Sales]]/tblSales[[#This Row],[Transactions]]</f>
        <v>482</v>
      </c>
    </row>
    <row r="623" spans="1:13" x14ac:dyDescent="0.25">
      <c r="A623" s="1">
        <v>46054</v>
      </c>
      <c r="B623" t="s">
        <v>8</v>
      </c>
      <c r="C623" t="s">
        <v>9</v>
      </c>
      <c r="D623" t="str">
        <f>_xlfn.XLOOKUP(tblSales[[#This Row],[Store ID]],tblStores[Store ID],tblStores[Store Name])</f>
        <v>Gateway</v>
      </c>
      <c r="E623" t="str">
        <f>_xlfn.XLOOKUP(tblSales[[#This Row],[Store ID]],tblStores[Store ID],tblStores[Province])</f>
        <v>KZN</v>
      </c>
      <c r="F623" t="str">
        <f>_xlfn.XLOOKUP(tblSales[[#This Row],[Store ID]],tblStores[Store ID],tblStores[Manager])</f>
        <v>Michael Jones</v>
      </c>
      <c r="G623" t="str">
        <f>_xlfn.XLOOKUP(tblSales[[#This Row],[Category ID]],tblCategories[Category ID],tblCategories[Category])</f>
        <v>Ladieswear</v>
      </c>
      <c r="H623">
        <v>77610</v>
      </c>
      <c r="I623">
        <v>80633</v>
      </c>
      <c r="J623">
        <v>195</v>
      </c>
      <c r="K623">
        <f>tblSales[[#This Row],[Sales]]-tblSales[[#This Row],[Budget]]</f>
        <v>-3023</v>
      </c>
      <c r="L623" s="3">
        <f>(tblSales[[#This Row],[Sales]]-tblSales[[#This Row],[Budget]])/tblSales[[#This Row],[Budget]]</f>
        <v>-3.7490853620726003E-2</v>
      </c>
      <c r="M623" s="2">
        <f>tblSales[[#This Row],[Sales]]/tblSales[[#This Row],[Transactions]]</f>
        <v>398</v>
      </c>
    </row>
    <row r="624" spans="1:13" x14ac:dyDescent="0.25">
      <c r="A624" s="1">
        <v>46054</v>
      </c>
      <c r="B624" t="s">
        <v>10</v>
      </c>
      <c r="C624" t="s">
        <v>7</v>
      </c>
      <c r="D624" t="str">
        <f>_xlfn.XLOOKUP(tblSales[[#This Row],[Store ID]],tblStores[Store ID],tblStores[Store Name])</f>
        <v>Ballito</v>
      </c>
      <c r="E624" t="str">
        <f>_xlfn.XLOOKUP(tblSales[[#This Row],[Store ID]],tblStores[Store ID],tblStores[Province])</f>
        <v>KZN</v>
      </c>
      <c r="F624" t="str">
        <f>_xlfn.XLOOKUP(tblSales[[#This Row],[Store ID]],tblStores[Store ID],tblStores[Manager])</f>
        <v>Linda Smith</v>
      </c>
      <c r="G624" t="str">
        <f>_xlfn.XLOOKUP(tblSales[[#This Row],[Category ID]],tblCategories[Category ID],tblCategories[Category])</f>
        <v>Menswear</v>
      </c>
      <c r="H624">
        <v>62607</v>
      </c>
      <c r="I624">
        <v>66853</v>
      </c>
      <c r="J624">
        <v>123</v>
      </c>
      <c r="K624">
        <f>tblSales[[#This Row],[Sales]]-tblSales[[#This Row],[Budget]]</f>
        <v>-4246</v>
      </c>
      <c r="L624" s="3">
        <f>(tblSales[[#This Row],[Sales]]-tblSales[[#This Row],[Budget]])/tblSales[[#This Row],[Budget]]</f>
        <v>-6.351248261110197E-2</v>
      </c>
      <c r="M624" s="2">
        <f>tblSales[[#This Row],[Sales]]/tblSales[[#This Row],[Transactions]]</f>
        <v>509</v>
      </c>
    </row>
    <row r="625" spans="1:13" x14ac:dyDescent="0.25">
      <c r="A625" s="1">
        <v>46054</v>
      </c>
      <c r="B625" t="s">
        <v>12</v>
      </c>
      <c r="C625" t="s">
        <v>19</v>
      </c>
      <c r="D625" t="str">
        <f>_xlfn.XLOOKUP(tblSales[[#This Row],[Store ID]],tblStores[Store ID],tblStores[Store Name])</f>
        <v>Pietermaritzburg</v>
      </c>
      <c r="E625" t="str">
        <f>_xlfn.XLOOKUP(tblSales[[#This Row],[Store ID]],tblStores[Store ID],tblStores[Province])</f>
        <v>KZN</v>
      </c>
      <c r="F625" t="str">
        <f>_xlfn.XLOOKUP(tblSales[[#This Row],[Store ID]],tblStores[Store ID],tblStores[Manager])</f>
        <v>Peter Brown</v>
      </c>
      <c r="G625" t="str">
        <f>_xlfn.XLOOKUP(tblSales[[#This Row],[Category ID]],tblCategories[Category ID],tblCategories[Category])</f>
        <v>Accessories</v>
      </c>
      <c r="H625">
        <v>45588</v>
      </c>
      <c r="I625">
        <v>45682</v>
      </c>
      <c r="J625">
        <v>116</v>
      </c>
      <c r="K625">
        <f>tblSales[[#This Row],[Sales]]-tblSales[[#This Row],[Budget]]</f>
        <v>-94</v>
      </c>
      <c r="L625" s="3">
        <f>(tblSales[[#This Row],[Sales]]-tblSales[[#This Row],[Budget]])/tblSales[[#This Row],[Budget]]</f>
        <v>-2.0577032529223763E-3</v>
      </c>
      <c r="M625" s="2">
        <f>tblSales[[#This Row],[Sales]]/tblSales[[#This Row],[Transactions]]</f>
        <v>393</v>
      </c>
    </row>
    <row r="626" spans="1:13" x14ac:dyDescent="0.25">
      <c r="A626" s="1">
        <v>46054</v>
      </c>
      <c r="B626" t="s">
        <v>13</v>
      </c>
      <c r="C626" t="s">
        <v>22</v>
      </c>
      <c r="D626" t="str">
        <f>_xlfn.XLOOKUP(tblSales[[#This Row],[Store ID]],tblStores[Store ID],tblStores[Store Name])</f>
        <v>Richards Bay</v>
      </c>
      <c r="E626" t="str">
        <f>_xlfn.XLOOKUP(tblSales[[#This Row],[Store ID]],tblStores[Store ID],tblStores[Province])</f>
        <v>KZN</v>
      </c>
      <c r="F626" t="str">
        <f>_xlfn.XLOOKUP(tblSales[[#This Row],[Store ID]],tblStores[Store ID],tblStores[Manager])</f>
        <v>David Green</v>
      </c>
      <c r="G626" t="str">
        <f>_xlfn.XLOOKUP(tblSales[[#This Row],[Category ID]],tblCategories[Category ID],tblCategories[Category])</f>
        <v>Kids</v>
      </c>
      <c r="H626">
        <v>35894</v>
      </c>
      <c r="I626">
        <v>39074</v>
      </c>
      <c r="J626">
        <v>131</v>
      </c>
      <c r="K626">
        <f>tblSales[[#This Row],[Sales]]-tblSales[[#This Row],[Budget]]</f>
        <v>-3180</v>
      </c>
      <c r="L626" s="3">
        <f>(tblSales[[#This Row],[Sales]]-tblSales[[#This Row],[Budget]])/tblSales[[#This Row],[Budget]]</f>
        <v>-8.1384040538465471E-2</v>
      </c>
      <c r="M626" s="2">
        <f>tblSales[[#This Row],[Sales]]/tblSales[[#This Row],[Transactions]]</f>
        <v>274</v>
      </c>
    </row>
    <row r="627" spans="1:13" x14ac:dyDescent="0.25">
      <c r="A627" s="1">
        <v>46054</v>
      </c>
      <c r="B627" t="s">
        <v>14</v>
      </c>
      <c r="C627" t="s">
        <v>11</v>
      </c>
      <c r="D627" t="str">
        <f>_xlfn.XLOOKUP(tblSales[[#This Row],[Store ID]],tblStores[Store ID],tblStores[Store Name])</f>
        <v>Sandton</v>
      </c>
      <c r="E627" t="str">
        <f>_xlfn.XLOOKUP(tblSales[[#This Row],[Store ID]],tblStores[Store ID],tblStores[Province])</f>
        <v>Gauteng</v>
      </c>
      <c r="F627" t="str">
        <f>_xlfn.XLOOKUP(tblSales[[#This Row],[Store ID]],tblStores[Store ID],tblStores[Manager])</f>
        <v>Karen White</v>
      </c>
      <c r="G627" t="str">
        <f>_xlfn.XLOOKUP(tblSales[[#This Row],[Category ID]],tblCategories[Category ID],tblCategories[Category])</f>
        <v>Footwear</v>
      </c>
      <c r="H627">
        <v>28320</v>
      </c>
      <c r="I627">
        <v>27617</v>
      </c>
      <c r="J627">
        <v>96</v>
      </c>
      <c r="K627">
        <f>tblSales[[#This Row],[Sales]]-tblSales[[#This Row],[Budget]]</f>
        <v>703</v>
      </c>
      <c r="L627" s="3">
        <f>(tblSales[[#This Row],[Sales]]-tblSales[[#This Row],[Budget]])/tblSales[[#This Row],[Budget]]</f>
        <v>2.5455335481768475E-2</v>
      </c>
      <c r="M627" s="2">
        <f>tblSales[[#This Row],[Sales]]/tblSales[[#This Row],[Transactions]]</f>
        <v>295</v>
      </c>
    </row>
    <row r="628" spans="1:13" x14ac:dyDescent="0.25">
      <c r="A628" s="1">
        <v>46054</v>
      </c>
      <c r="B628" t="s">
        <v>15</v>
      </c>
      <c r="C628" t="s">
        <v>9</v>
      </c>
      <c r="D628" t="str">
        <f>_xlfn.XLOOKUP(tblSales[[#This Row],[Store ID]],tblStores[Store ID],tblStores[Store Name])</f>
        <v>Rosebank</v>
      </c>
      <c r="E628" t="str">
        <f>_xlfn.XLOOKUP(tblSales[[#This Row],[Store ID]],tblStores[Store ID],tblStores[Province])</f>
        <v>Gauteng</v>
      </c>
      <c r="F628" t="str">
        <f>_xlfn.XLOOKUP(tblSales[[#This Row],[Store ID]],tblStores[Store ID],tblStores[Manager])</f>
        <v>James Taylor</v>
      </c>
      <c r="G628" t="str">
        <f>_xlfn.XLOOKUP(tblSales[[#This Row],[Category ID]],tblCategories[Category ID],tblCategories[Category])</f>
        <v>Ladieswear</v>
      </c>
      <c r="H628">
        <v>31977</v>
      </c>
      <c r="I628">
        <v>33275</v>
      </c>
      <c r="J628">
        <v>153</v>
      </c>
      <c r="K628">
        <f>tblSales[[#This Row],[Sales]]-tblSales[[#This Row],[Budget]]</f>
        <v>-1298</v>
      </c>
      <c r="L628" s="3">
        <f>(tblSales[[#This Row],[Sales]]-tblSales[[#This Row],[Budget]])/tblSales[[#This Row],[Budget]]</f>
        <v>-3.9008264462809916E-2</v>
      </c>
      <c r="M628" s="2">
        <f>tblSales[[#This Row],[Sales]]/tblSales[[#This Row],[Transactions]]</f>
        <v>209</v>
      </c>
    </row>
    <row r="629" spans="1:13" x14ac:dyDescent="0.25">
      <c r="A629" s="1">
        <v>46054</v>
      </c>
      <c r="B629" t="s">
        <v>16</v>
      </c>
      <c r="C629" t="s">
        <v>11</v>
      </c>
      <c r="D629" t="str">
        <f>_xlfn.XLOOKUP(tblSales[[#This Row],[Store ID]],tblStores[Store ID],tblStores[Store Name])</f>
        <v>Pretoria</v>
      </c>
      <c r="E629" t="str">
        <f>_xlfn.XLOOKUP(tblSales[[#This Row],[Store ID]],tblStores[Store ID],tblStores[Province])</f>
        <v>Gauteng</v>
      </c>
      <c r="F629" t="str">
        <f>_xlfn.XLOOKUP(tblSales[[#This Row],[Store ID]],tblStores[Store ID],tblStores[Manager])</f>
        <v>Susan Clark</v>
      </c>
      <c r="G629" t="str">
        <f>_xlfn.XLOOKUP(tblSales[[#This Row],[Category ID]],tblCategories[Category ID],tblCategories[Category])</f>
        <v>Footwear</v>
      </c>
      <c r="H629">
        <v>79827</v>
      </c>
      <c r="I629">
        <v>74520</v>
      </c>
      <c r="J629">
        <v>177</v>
      </c>
      <c r="K629">
        <f>tblSales[[#This Row],[Sales]]-tblSales[[#This Row],[Budget]]</f>
        <v>5307</v>
      </c>
      <c r="L629" s="3">
        <f>(tblSales[[#This Row],[Sales]]-tblSales[[#This Row],[Budget]])/tblSales[[#This Row],[Budget]]</f>
        <v>7.1215780998389697E-2</v>
      </c>
      <c r="M629" s="2">
        <f>tblSales[[#This Row],[Sales]]/tblSales[[#This Row],[Transactions]]</f>
        <v>451</v>
      </c>
    </row>
    <row r="630" spans="1:13" x14ac:dyDescent="0.25">
      <c r="A630" s="1">
        <v>46054</v>
      </c>
      <c r="B630" t="s">
        <v>17</v>
      </c>
      <c r="C630" t="s">
        <v>9</v>
      </c>
      <c r="D630" t="str">
        <f>_xlfn.XLOOKUP(tblSales[[#This Row],[Store ID]],tblStores[Store ID],tblStores[Store Name])</f>
        <v>Centurion</v>
      </c>
      <c r="E630" t="str">
        <f>_xlfn.XLOOKUP(tblSales[[#This Row],[Store ID]],tblStores[Store ID],tblStores[Province])</f>
        <v>Gauteng</v>
      </c>
      <c r="F630" t="str">
        <f>_xlfn.XLOOKUP(tblSales[[#This Row],[Store ID]],tblStores[Store ID],tblStores[Manager])</f>
        <v>Mark Wilson</v>
      </c>
      <c r="G630" t="str">
        <f>_xlfn.XLOOKUP(tblSales[[#This Row],[Category ID]],tblCategories[Category ID],tblCategories[Category])</f>
        <v>Ladieswear</v>
      </c>
      <c r="H630">
        <v>28400</v>
      </c>
      <c r="I630">
        <v>27904</v>
      </c>
      <c r="J630">
        <v>100</v>
      </c>
      <c r="K630">
        <f>tblSales[[#This Row],[Sales]]-tblSales[[#This Row],[Budget]]</f>
        <v>496</v>
      </c>
      <c r="L630" s="3">
        <f>(tblSales[[#This Row],[Sales]]-tblSales[[#This Row],[Budget]])/tblSales[[#This Row],[Budget]]</f>
        <v>1.7775229357798166E-2</v>
      </c>
      <c r="M630" s="2">
        <f>tblSales[[#This Row],[Sales]]/tblSales[[#This Row],[Transactions]]</f>
        <v>284</v>
      </c>
    </row>
    <row r="631" spans="1:13" x14ac:dyDescent="0.25">
      <c r="A631" s="1">
        <v>46054</v>
      </c>
      <c r="B631" t="s">
        <v>18</v>
      </c>
      <c r="C631" t="s">
        <v>7</v>
      </c>
      <c r="D631" t="str">
        <f>_xlfn.XLOOKUP(tblSales[[#This Row],[Store ID]],tblStores[Store ID],tblStores[Store Name])</f>
        <v>East Rand</v>
      </c>
      <c r="E631" t="str">
        <f>_xlfn.XLOOKUP(tblSales[[#This Row],[Store ID]],tblStores[Store ID],tblStores[Province])</f>
        <v>Gauteng</v>
      </c>
      <c r="F631" t="str">
        <f>_xlfn.XLOOKUP(tblSales[[#This Row],[Store ID]],tblStores[Store ID],tblStores[Manager])</f>
        <v>Lisa Young</v>
      </c>
      <c r="G631" t="str">
        <f>_xlfn.XLOOKUP(tblSales[[#This Row],[Category ID]],tblCategories[Category ID],tblCategories[Category])</f>
        <v>Menswear</v>
      </c>
      <c r="H631">
        <v>55350</v>
      </c>
      <c r="I631">
        <v>51094</v>
      </c>
      <c r="J631">
        <v>150</v>
      </c>
      <c r="K631">
        <f>tblSales[[#This Row],[Sales]]-tblSales[[#This Row],[Budget]]</f>
        <v>4256</v>
      </c>
      <c r="L631" s="3">
        <f>(tblSales[[#This Row],[Sales]]-tblSales[[#This Row],[Budget]])/tblSales[[#This Row],[Budget]]</f>
        <v>8.329745175558774E-2</v>
      </c>
      <c r="M631" s="2">
        <f>tblSales[[#This Row],[Sales]]/tblSales[[#This Row],[Transactions]]</f>
        <v>369</v>
      </c>
    </row>
    <row r="632" spans="1:13" x14ac:dyDescent="0.25">
      <c r="A632" s="1">
        <v>46054</v>
      </c>
      <c r="B632" t="s">
        <v>20</v>
      </c>
      <c r="C632" t="s">
        <v>9</v>
      </c>
      <c r="D632" t="str">
        <f>_xlfn.XLOOKUP(tblSales[[#This Row],[Store ID]],tblStores[Store ID],tblStores[Store Name])</f>
        <v>Cape Town CBD</v>
      </c>
      <c r="E632" t="str">
        <f>_xlfn.XLOOKUP(tblSales[[#This Row],[Store ID]],tblStores[Store ID],tblStores[Province])</f>
        <v>Western Cape</v>
      </c>
      <c r="F632" t="str">
        <f>_xlfn.XLOOKUP(tblSales[[#This Row],[Store ID]],tblStores[Store ID],tblStores[Manager])</f>
        <v>Brian Hall</v>
      </c>
      <c r="G632" t="str">
        <f>_xlfn.XLOOKUP(tblSales[[#This Row],[Category ID]],tblCategories[Category ID],tblCategories[Category])</f>
        <v>Ladieswear</v>
      </c>
      <c r="H632">
        <v>15216</v>
      </c>
      <c r="I632">
        <v>15129</v>
      </c>
      <c r="J632">
        <v>48</v>
      </c>
      <c r="K632">
        <f>tblSales[[#This Row],[Sales]]-tblSales[[#This Row],[Budget]]</f>
        <v>87</v>
      </c>
      <c r="L632" s="3">
        <f>(tblSales[[#This Row],[Sales]]-tblSales[[#This Row],[Budget]])/tblSales[[#This Row],[Budget]]</f>
        <v>5.7505453103311524E-3</v>
      </c>
      <c r="M632" s="2">
        <f>tblSales[[#This Row],[Sales]]/tblSales[[#This Row],[Transactions]]</f>
        <v>317</v>
      </c>
    </row>
    <row r="633" spans="1:13" x14ac:dyDescent="0.25">
      <c r="A633" s="1">
        <v>46054</v>
      </c>
      <c r="B633" t="s">
        <v>21</v>
      </c>
      <c r="C633" t="s">
        <v>19</v>
      </c>
      <c r="D633" t="str">
        <f>_xlfn.XLOOKUP(tblSales[[#This Row],[Store ID]],tblStores[Store ID],tblStores[Store Name])</f>
        <v>Canal Walk</v>
      </c>
      <c r="E633" t="str">
        <f>_xlfn.XLOOKUP(tblSales[[#This Row],[Store ID]],tblStores[Store ID],tblStores[Province])</f>
        <v>Western Cape</v>
      </c>
      <c r="F633" t="str">
        <f>_xlfn.XLOOKUP(tblSales[[#This Row],[Store ID]],tblStores[Store ID],tblStores[Manager])</f>
        <v>Megan Scott</v>
      </c>
      <c r="G633" t="str">
        <f>_xlfn.XLOOKUP(tblSales[[#This Row],[Category ID]],tblCategories[Category ID],tblCategories[Category])</f>
        <v>Accessories</v>
      </c>
      <c r="H633">
        <v>37800</v>
      </c>
      <c r="I633">
        <v>42275</v>
      </c>
      <c r="J633">
        <v>189</v>
      </c>
      <c r="K633">
        <f>tblSales[[#This Row],[Sales]]-tblSales[[#This Row],[Budget]]</f>
        <v>-4475</v>
      </c>
      <c r="L633" s="3">
        <f>(tblSales[[#This Row],[Sales]]-tblSales[[#This Row],[Budget]])/tblSales[[#This Row],[Budget]]</f>
        <v>-0.10585452395032525</v>
      </c>
      <c r="M633" s="2">
        <f>tblSales[[#This Row],[Sales]]/tblSales[[#This Row],[Transactions]]</f>
        <v>200</v>
      </c>
    </row>
    <row r="634" spans="1:13" x14ac:dyDescent="0.25">
      <c r="A634" s="1">
        <v>46054</v>
      </c>
      <c r="B634" t="s">
        <v>23</v>
      </c>
      <c r="C634" t="s">
        <v>9</v>
      </c>
      <c r="D634" t="str">
        <f>_xlfn.XLOOKUP(tblSales[[#This Row],[Store ID]],tblStores[Store ID],tblStores[Store Name])</f>
        <v>Stellenbosch</v>
      </c>
      <c r="E634" t="str">
        <f>_xlfn.XLOOKUP(tblSales[[#This Row],[Store ID]],tblStores[Store ID],tblStores[Province])</f>
        <v>Western Cape</v>
      </c>
      <c r="F634" t="str">
        <f>_xlfn.XLOOKUP(tblSales[[#This Row],[Store ID]],tblStores[Store ID],tblStores[Manager])</f>
        <v>Jason King</v>
      </c>
      <c r="G634" t="str">
        <f>_xlfn.XLOOKUP(tblSales[[#This Row],[Category ID]],tblCategories[Category ID],tblCategories[Category])</f>
        <v>Ladieswear</v>
      </c>
      <c r="H634">
        <v>86210</v>
      </c>
      <c r="I634">
        <v>82266</v>
      </c>
      <c r="J634">
        <v>185</v>
      </c>
      <c r="K634">
        <f>tblSales[[#This Row],[Sales]]-tblSales[[#This Row],[Budget]]</f>
        <v>3944</v>
      </c>
      <c r="L634" s="3">
        <f>(tblSales[[#This Row],[Sales]]-tblSales[[#This Row],[Budget]])/tblSales[[#This Row],[Budget]]</f>
        <v>4.7942041669705587E-2</v>
      </c>
      <c r="M634" s="2">
        <f>tblSales[[#This Row],[Sales]]/tblSales[[#This Row],[Transactions]]</f>
        <v>466</v>
      </c>
    </row>
    <row r="635" spans="1:13" x14ac:dyDescent="0.25">
      <c r="A635" s="1">
        <v>46054</v>
      </c>
      <c r="B635" t="s">
        <v>24</v>
      </c>
      <c r="C635" t="s">
        <v>9</v>
      </c>
      <c r="D635" t="str">
        <f>_xlfn.XLOOKUP(tblSales[[#This Row],[Store ID]],tblStores[Store ID],tblStores[Store Name])</f>
        <v>George</v>
      </c>
      <c r="E635" t="str">
        <f>_xlfn.XLOOKUP(tblSales[[#This Row],[Store ID]],tblStores[Store ID],tblStores[Province])</f>
        <v>Western Cape</v>
      </c>
      <c r="F635" t="str">
        <f>_xlfn.XLOOKUP(tblSales[[#This Row],[Store ID]],tblStores[Store ID],tblStores[Manager])</f>
        <v>Chloe Hill</v>
      </c>
      <c r="G635" t="str">
        <f>_xlfn.XLOOKUP(tblSales[[#This Row],[Category ID]],tblCategories[Category ID],tblCategories[Category])</f>
        <v>Ladieswear</v>
      </c>
      <c r="H635">
        <v>40200</v>
      </c>
      <c r="I635">
        <v>45798</v>
      </c>
      <c r="J635">
        <v>120</v>
      </c>
      <c r="K635">
        <f>tblSales[[#This Row],[Sales]]-tblSales[[#This Row],[Budget]]</f>
        <v>-5598</v>
      </c>
      <c r="L635" s="3">
        <f>(tblSales[[#This Row],[Sales]]-tblSales[[#This Row],[Budget]])/tblSales[[#This Row],[Budget]]</f>
        <v>-0.12223241189571597</v>
      </c>
      <c r="M635" s="2">
        <f>tblSales[[#This Row],[Sales]]/tblSales[[#This Row],[Transactions]]</f>
        <v>335</v>
      </c>
    </row>
    <row r="636" spans="1:13" x14ac:dyDescent="0.25">
      <c r="A636" s="1">
        <v>46054</v>
      </c>
      <c r="B636" t="s">
        <v>25</v>
      </c>
      <c r="C636" t="s">
        <v>7</v>
      </c>
      <c r="D636" t="str">
        <f>_xlfn.XLOOKUP(tblSales[[#This Row],[Store ID]],tblStores[Store ID],tblStores[Store Name])</f>
        <v>Paarl</v>
      </c>
      <c r="E636" t="str">
        <f>_xlfn.XLOOKUP(tblSales[[#This Row],[Store ID]],tblStores[Store ID],tblStores[Province])</f>
        <v>Western Cape</v>
      </c>
      <c r="F636" t="str">
        <f>_xlfn.XLOOKUP(tblSales[[#This Row],[Store ID]],tblStores[Store ID],tblStores[Manager])</f>
        <v>Andrew Lee</v>
      </c>
      <c r="G636" t="str">
        <f>_xlfn.XLOOKUP(tblSales[[#This Row],[Category ID]],tblCategories[Category ID],tblCategories[Category])</f>
        <v>Menswear</v>
      </c>
      <c r="H636">
        <v>24653</v>
      </c>
      <c r="I636">
        <v>28117</v>
      </c>
      <c r="J636">
        <v>89</v>
      </c>
      <c r="K636">
        <f>tblSales[[#This Row],[Sales]]-tblSales[[#This Row],[Budget]]</f>
        <v>-3464</v>
      </c>
      <c r="L636" s="3">
        <f>(tblSales[[#This Row],[Sales]]-tblSales[[#This Row],[Budget]])/tblSales[[#This Row],[Budget]]</f>
        <v>-0.12319948785432301</v>
      </c>
      <c r="M636" s="2">
        <f>tblSales[[#This Row],[Sales]]/tblSales[[#This Row],[Transactions]]</f>
        <v>277</v>
      </c>
    </row>
    <row r="637" spans="1:13" x14ac:dyDescent="0.25">
      <c r="A637" s="1">
        <v>46054</v>
      </c>
      <c r="B637" t="s">
        <v>26</v>
      </c>
      <c r="C637" t="s">
        <v>7</v>
      </c>
      <c r="D637" t="str">
        <f>_xlfn.XLOOKUP(tblSales[[#This Row],[Store ID]],tblStores[Store ID],tblStores[Store Name])</f>
        <v>Gqeberha</v>
      </c>
      <c r="E637" t="str">
        <f>_xlfn.XLOOKUP(tblSales[[#This Row],[Store ID]],tblStores[Store ID],tblStores[Province])</f>
        <v>Eastern Cape</v>
      </c>
      <c r="F637" t="str">
        <f>_xlfn.XLOOKUP(tblSales[[#This Row],[Store ID]],tblStores[Store ID],tblStores[Manager])</f>
        <v>Emma Baker</v>
      </c>
      <c r="G637" t="str">
        <f>_xlfn.XLOOKUP(tblSales[[#This Row],[Category ID]],tblCategories[Category ID],tblCategories[Category])</f>
        <v>Menswear</v>
      </c>
      <c r="H637">
        <v>47728</v>
      </c>
      <c r="I637">
        <v>51255</v>
      </c>
      <c r="J637">
        <v>157</v>
      </c>
      <c r="K637">
        <f>tblSales[[#This Row],[Sales]]-tblSales[[#This Row],[Budget]]</f>
        <v>-3527</v>
      </c>
      <c r="L637" s="3">
        <f>(tblSales[[#This Row],[Sales]]-tblSales[[#This Row],[Budget]])/tblSales[[#This Row],[Budget]]</f>
        <v>-6.8812798751341331E-2</v>
      </c>
      <c r="M637" s="2">
        <f>tblSales[[#This Row],[Sales]]/tblSales[[#This Row],[Transactions]]</f>
        <v>304</v>
      </c>
    </row>
    <row r="638" spans="1:13" x14ac:dyDescent="0.25">
      <c r="A638" s="1">
        <v>46054</v>
      </c>
      <c r="B638" t="s">
        <v>27</v>
      </c>
      <c r="C638" t="s">
        <v>9</v>
      </c>
      <c r="D638" t="str">
        <f>_xlfn.XLOOKUP(tblSales[[#This Row],[Store ID]],tblStores[Store ID],tblStores[Store Name])</f>
        <v>East London</v>
      </c>
      <c r="E638" t="str">
        <f>_xlfn.XLOOKUP(tblSales[[#This Row],[Store ID]],tblStores[Store ID],tblStores[Province])</f>
        <v>Eastern Cape</v>
      </c>
      <c r="F638" t="str">
        <f>_xlfn.XLOOKUP(tblSales[[#This Row],[Store ID]],tblStores[Store ID],tblStores[Manager])</f>
        <v>Daniel Evans</v>
      </c>
      <c r="G638" t="str">
        <f>_xlfn.XLOOKUP(tblSales[[#This Row],[Category ID]],tblCategories[Category ID],tblCategories[Category])</f>
        <v>Ladieswear</v>
      </c>
      <c r="H638">
        <v>41072</v>
      </c>
      <c r="I638">
        <v>42633</v>
      </c>
      <c r="J638">
        <v>136</v>
      </c>
      <c r="K638">
        <f>tblSales[[#This Row],[Sales]]-tblSales[[#This Row],[Budget]]</f>
        <v>-1561</v>
      </c>
      <c r="L638" s="3">
        <f>(tblSales[[#This Row],[Sales]]-tblSales[[#This Row],[Budget]])/tblSales[[#This Row],[Budget]]</f>
        <v>-3.661482888841977E-2</v>
      </c>
      <c r="M638" s="2">
        <f>tblSales[[#This Row],[Sales]]/tblSales[[#This Row],[Transactions]]</f>
        <v>302</v>
      </c>
    </row>
    <row r="639" spans="1:13" x14ac:dyDescent="0.25">
      <c r="A639" s="1">
        <v>46054</v>
      </c>
      <c r="B639" t="s">
        <v>28</v>
      </c>
      <c r="C639" t="s">
        <v>22</v>
      </c>
      <c r="D639" t="str">
        <f>_xlfn.XLOOKUP(tblSales[[#This Row],[Store ID]],tblStores[Store ID],tblStores[Store Name])</f>
        <v>Bloemfontein</v>
      </c>
      <c r="E639" t="str">
        <f>_xlfn.XLOOKUP(tblSales[[#This Row],[Store ID]],tblStores[Store ID],tblStores[Province])</f>
        <v>Free State</v>
      </c>
      <c r="F639" t="str">
        <f>_xlfn.XLOOKUP(tblSales[[#This Row],[Store ID]],tblStores[Store ID],tblStores[Manager])</f>
        <v>Rachel Moore</v>
      </c>
      <c r="G639" t="str">
        <f>_xlfn.XLOOKUP(tblSales[[#This Row],[Category ID]],tblCategories[Category ID],tblCategories[Category])</f>
        <v>Kids</v>
      </c>
      <c r="H639">
        <v>55176</v>
      </c>
      <c r="I639">
        <v>57019</v>
      </c>
      <c r="J639">
        <v>132</v>
      </c>
      <c r="K639">
        <f>tblSales[[#This Row],[Sales]]-tblSales[[#This Row],[Budget]]</f>
        <v>-1843</v>
      </c>
      <c r="L639" s="3">
        <f>(tblSales[[#This Row],[Sales]]-tblSales[[#This Row],[Budget]])/tblSales[[#This Row],[Budget]]</f>
        <v>-3.2322559146951015E-2</v>
      </c>
      <c r="M639" s="2">
        <f>tblSales[[#This Row],[Sales]]/tblSales[[#This Row],[Transactions]]</f>
        <v>418</v>
      </c>
    </row>
    <row r="640" spans="1:13" x14ac:dyDescent="0.25">
      <c r="A640" s="1">
        <v>46054</v>
      </c>
      <c r="B640" t="s">
        <v>29</v>
      </c>
      <c r="C640" t="s">
        <v>22</v>
      </c>
      <c r="D640" t="str">
        <f>_xlfn.XLOOKUP(tblSales[[#This Row],[Store ID]],tblStores[Store ID],tblStores[Store Name])</f>
        <v>Polokwane</v>
      </c>
      <c r="E640" t="str">
        <f>_xlfn.XLOOKUP(tblSales[[#This Row],[Store ID]],tblStores[Store ID],tblStores[Province])</f>
        <v>Limpopo</v>
      </c>
      <c r="F640" t="str">
        <f>_xlfn.XLOOKUP(tblSales[[#This Row],[Store ID]],tblStores[Store ID],tblStores[Manager])</f>
        <v>Kevin Harris</v>
      </c>
      <c r="G640" t="str">
        <f>_xlfn.XLOOKUP(tblSales[[#This Row],[Category ID]],tblCategories[Category ID],tblCategories[Category])</f>
        <v>Kids</v>
      </c>
      <c r="H640">
        <v>35369</v>
      </c>
      <c r="I640">
        <v>35012</v>
      </c>
      <c r="J640">
        <v>113</v>
      </c>
      <c r="K640">
        <f>tblSales[[#This Row],[Sales]]-tblSales[[#This Row],[Budget]]</f>
        <v>357</v>
      </c>
      <c r="L640" s="3">
        <f>(tblSales[[#This Row],[Sales]]-tblSales[[#This Row],[Budget]])/tblSales[[#This Row],[Budget]]</f>
        <v>1.0196504055752313E-2</v>
      </c>
      <c r="M640" s="2">
        <f>tblSales[[#This Row],[Sales]]/tblSales[[#This Row],[Transactions]]</f>
        <v>313</v>
      </c>
    </row>
    <row r="641" spans="1:13" x14ac:dyDescent="0.25">
      <c r="A641" s="1">
        <v>46054</v>
      </c>
      <c r="B641" t="s">
        <v>30</v>
      </c>
      <c r="C641" t="s">
        <v>11</v>
      </c>
      <c r="D641" t="str">
        <f>_xlfn.XLOOKUP(tblSales[[#This Row],[Store ID]],tblStores[Store ID],tblStores[Store Name])</f>
        <v>Nelspruit</v>
      </c>
      <c r="E641" t="str">
        <f>_xlfn.XLOOKUP(tblSales[[#This Row],[Store ID]],tblStores[Store ID],tblStores[Province])</f>
        <v>Mpumalanga</v>
      </c>
      <c r="F641" t="str">
        <f>_xlfn.XLOOKUP(tblSales[[#This Row],[Store ID]],tblStores[Store ID],tblStores[Manager])</f>
        <v>Olivia Turner</v>
      </c>
      <c r="G641" t="str">
        <f>_xlfn.XLOOKUP(tblSales[[#This Row],[Category ID]],tblCategories[Category ID],tblCategories[Category])</f>
        <v>Footwear</v>
      </c>
      <c r="H641">
        <v>35420</v>
      </c>
      <c r="I641">
        <v>38986</v>
      </c>
      <c r="J641">
        <v>154</v>
      </c>
      <c r="K641">
        <f>tblSales[[#This Row],[Sales]]-tblSales[[#This Row],[Budget]]</f>
        <v>-3566</v>
      </c>
      <c r="L641" s="3">
        <f>(tblSales[[#This Row],[Sales]]-tblSales[[#This Row],[Budget]])/tblSales[[#This Row],[Budget]]</f>
        <v>-9.1468732365464531E-2</v>
      </c>
      <c r="M641" s="2">
        <f>tblSales[[#This Row],[Sales]]/tblSales[[#This Row],[Transactions]]</f>
        <v>230</v>
      </c>
    </row>
    <row r="642" spans="1:13" x14ac:dyDescent="0.25">
      <c r="A642" s="1">
        <v>46055</v>
      </c>
      <c r="B642" t="s">
        <v>6</v>
      </c>
      <c r="C642" t="s">
        <v>11</v>
      </c>
      <c r="D642" t="str">
        <f>_xlfn.XLOOKUP(tblSales[[#This Row],[Store ID]],tblStores[Store ID],tblStores[Store Name])</f>
        <v>Durban CBD</v>
      </c>
      <c r="E642" t="str">
        <f>_xlfn.XLOOKUP(tblSales[[#This Row],[Store ID]],tblStores[Store ID],tblStores[Province])</f>
        <v>KZN</v>
      </c>
      <c r="F642" t="str">
        <f>_xlfn.XLOOKUP(tblSales[[#This Row],[Store ID]],tblStores[Store ID],tblStores[Manager])</f>
        <v>Sarah Adams</v>
      </c>
      <c r="G642" t="str">
        <f>_xlfn.XLOOKUP(tblSales[[#This Row],[Category ID]],tblCategories[Category ID],tblCategories[Category])</f>
        <v>Footwear</v>
      </c>
      <c r="H642">
        <v>32944</v>
      </c>
      <c r="I642">
        <v>32702</v>
      </c>
      <c r="J642">
        <v>116</v>
      </c>
      <c r="K642">
        <f>tblSales[[#This Row],[Sales]]-tblSales[[#This Row],[Budget]]</f>
        <v>242</v>
      </c>
      <c r="L642" s="3">
        <f>(tblSales[[#This Row],[Sales]]-tblSales[[#This Row],[Budget]])/tblSales[[#This Row],[Budget]]</f>
        <v>7.4001590116812427E-3</v>
      </c>
      <c r="M642" s="2">
        <f>tblSales[[#This Row],[Sales]]/tblSales[[#This Row],[Transactions]]</f>
        <v>284</v>
      </c>
    </row>
    <row r="643" spans="1:13" x14ac:dyDescent="0.25">
      <c r="A643" s="1">
        <v>46055</v>
      </c>
      <c r="B643" t="s">
        <v>8</v>
      </c>
      <c r="C643" t="s">
        <v>11</v>
      </c>
      <c r="D643" t="str">
        <f>_xlfn.XLOOKUP(tblSales[[#This Row],[Store ID]],tblStores[Store ID],tblStores[Store Name])</f>
        <v>Gateway</v>
      </c>
      <c r="E643" t="str">
        <f>_xlfn.XLOOKUP(tblSales[[#This Row],[Store ID]],tblStores[Store ID],tblStores[Province])</f>
        <v>KZN</v>
      </c>
      <c r="F643" t="str">
        <f>_xlfn.XLOOKUP(tblSales[[#This Row],[Store ID]],tblStores[Store ID],tblStores[Manager])</f>
        <v>Michael Jones</v>
      </c>
      <c r="G643" t="str">
        <f>_xlfn.XLOOKUP(tblSales[[#This Row],[Category ID]],tblCategories[Category ID],tblCategories[Category])</f>
        <v>Footwear</v>
      </c>
      <c r="H643">
        <v>21528</v>
      </c>
      <c r="I643">
        <v>24025</v>
      </c>
      <c r="J643">
        <v>46</v>
      </c>
      <c r="K643">
        <f>tblSales[[#This Row],[Sales]]-tblSales[[#This Row],[Budget]]</f>
        <v>-2497</v>
      </c>
      <c r="L643" s="3">
        <f>(tblSales[[#This Row],[Sales]]-tblSales[[#This Row],[Budget]])/tblSales[[#This Row],[Budget]]</f>
        <v>-0.10393340270551508</v>
      </c>
      <c r="M643" s="2">
        <f>tblSales[[#This Row],[Sales]]/tblSales[[#This Row],[Transactions]]</f>
        <v>468</v>
      </c>
    </row>
    <row r="644" spans="1:13" x14ac:dyDescent="0.25">
      <c r="A644" s="1">
        <v>46055</v>
      </c>
      <c r="B644" t="s">
        <v>10</v>
      </c>
      <c r="C644" t="s">
        <v>9</v>
      </c>
      <c r="D644" t="str">
        <f>_xlfn.XLOOKUP(tblSales[[#This Row],[Store ID]],tblStores[Store ID],tblStores[Store Name])</f>
        <v>Ballito</v>
      </c>
      <c r="E644" t="str">
        <f>_xlfn.XLOOKUP(tblSales[[#This Row],[Store ID]],tblStores[Store ID],tblStores[Province])</f>
        <v>KZN</v>
      </c>
      <c r="F644" t="str">
        <f>_xlfn.XLOOKUP(tblSales[[#This Row],[Store ID]],tblStores[Store ID],tblStores[Manager])</f>
        <v>Linda Smith</v>
      </c>
      <c r="G644" t="str">
        <f>_xlfn.XLOOKUP(tblSales[[#This Row],[Category ID]],tblCategories[Category ID],tblCategories[Category])</f>
        <v>Ladieswear</v>
      </c>
      <c r="H644">
        <v>12207</v>
      </c>
      <c r="I644">
        <v>12674</v>
      </c>
      <c r="J644">
        <v>39</v>
      </c>
      <c r="K644">
        <f>tblSales[[#This Row],[Sales]]-tblSales[[#This Row],[Budget]]</f>
        <v>-467</v>
      </c>
      <c r="L644" s="3">
        <f>(tblSales[[#This Row],[Sales]]-tblSales[[#This Row],[Budget]])/tblSales[[#This Row],[Budget]]</f>
        <v>-3.6847088527694492E-2</v>
      </c>
      <c r="M644" s="2">
        <f>tblSales[[#This Row],[Sales]]/tblSales[[#This Row],[Transactions]]</f>
        <v>313</v>
      </c>
    </row>
    <row r="645" spans="1:13" x14ac:dyDescent="0.25">
      <c r="A645" s="1">
        <v>46055</v>
      </c>
      <c r="B645" t="s">
        <v>12</v>
      </c>
      <c r="C645" t="s">
        <v>19</v>
      </c>
      <c r="D645" t="str">
        <f>_xlfn.XLOOKUP(tblSales[[#This Row],[Store ID]],tblStores[Store ID],tblStores[Store Name])</f>
        <v>Pietermaritzburg</v>
      </c>
      <c r="E645" t="str">
        <f>_xlfn.XLOOKUP(tblSales[[#This Row],[Store ID]],tblStores[Store ID],tblStores[Province])</f>
        <v>KZN</v>
      </c>
      <c r="F645" t="str">
        <f>_xlfn.XLOOKUP(tblSales[[#This Row],[Store ID]],tblStores[Store ID],tblStores[Manager])</f>
        <v>Peter Brown</v>
      </c>
      <c r="G645" t="str">
        <f>_xlfn.XLOOKUP(tblSales[[#This Row],[Category ID]],tblCategories[Category ID],tblCategories[Category])</f>
        <v>Accessories</v>
      </c>
      <c r="H645">
        <v>71919</v>
      </c>
      <c r="I645">
        <v>70034</v>
      </c>
      <c r="J645">
        <v>183</v>
      </c>
      <c r="K645">
        <f>tblSales[[#This Row],[Sales]]-tblSales[[#This Row],[Budget]]</f>
        <v>1885</v>
      </c>
      <c r="L645" s="3">
        <f>(tblSales[[#This Row],[Sales]]-tblSales[[#This Row],[Budget]])/tblSales[[#This Row],[Budget]]</f>
        <v>2.6915498186595083E-2</v>
      </c>
      <c r="M645" s="2">
        <f>tblSales[[#This Row],[Sales]]/tblSales[[#This Row],[Transactions]]</f>
        <v>393</v>
      </c>
    </row>
    <row r="646" spans="1:13" x14ac:dyDescent="0.25">
      <c r="A646" s="1">
        <v>46055</v>
      </c>
      <c r="B646" t="s">
        <v>13</v>
      </c>
      <c r="C646" t="s">
        <v>9</v>
      </c>
      <c r="D646" t="str">
        <f>_xlfn.XLOOKUP(tblSales[[#This Row],[Store ID]],tblStores[Store ID],tblStores[Store Name])</f>
        <v>Richards Bay</v>
      </c>
      <c r="E646" t="str">
        <f>_xlfn.XLOOKUP(tblSales[[#This Row],[Store ID]],tblStores[Store ID],tblStores[Province])</f>
        <v>KZN</v>
      </c>
      <c r="F646" t="str">
        <f>_xlfn.XLOOKUP(tblSales[[#This Row],[Store ID]],tblStores[Store ID],tblStores[Manager])</f>
        <v>David Green</v>
      </c>
      <c r="G646" t="str">
        <f>_xlfn.XLOOKUP(tblSales[[#This Row],[Category ID]],tblCategories[Category ID],tblCategories[Category])</f>
        <v>Ladieswear</v>
      </c>
      <c r="H646">
        <v>35343</v>
      </c>
      <c r="I646">
        <v>35164</v>
      </c>
      <c r="J646">
        <v>119</v>
      </c>
      <c r="K646">
        <f>tblSales[[#This Row],[Sales]]-tblSales[[#This Row],[Budget]]</f>
        <v>179</v>
      </c>
      <c r="L646" s="3">
        <f>(tblSales[[#This Row],[Sales]]-tblSales[[#This Row],[Budget]])/tblSales[[#This Row],[Budget]]</f>
        <v>5.0904333977931978E-3</v>
      </c>
      <c r="M646" s="2">
        <f>tblSales[[#This Row],[Sales]]/tblSales[[#This Row],[Transactions]]</f>
        <v>297</v>
      </c>
    </row>
    <row r="647" spans="1:13" x14ac:dyDescent="0.25">
      <c r="A647" s="1">
        <v>46055</v>
      </c>
      <c r="B647" t="s">
        <v>14</v>
      </c>
      <c r="C647" t="s">
        <v>9</v>
      </c>
      <c r="D647" t="str">
        <f>_xlfn.XLOOKUP(tblSales[[#This Row],[Store ID]],tblStores[Store ID],tblStores[Store Name])</f>
        <v>Sandton</v>
      </c>
      <c r="E647" t="str">
        <f>_xlfn.XLOOKUP(tblSales[[#This Row],[Store ID]],tblStores[Store ID],tblStores[Province])</f>
        <v>Gauteng</v>
      </c>
      <c r="F647" t="str">
        <f>_xlfn.XLOOKUP(tblSales[[#This Row],[Store ID]],tblStores[Store ID],tblStores[Manager])</f>
        <v>Karen White</v>
      </c>
      <c r="G647" t="str">
        <f>_xlfn.XLOOKUP(tblSales[[#This Row],[Category ID]],tblCategories[Category ID],tblCategories[Category])</f>
        <v>Ladieswear</v>
      </c>
      <c r="H647">
        <v>74682</v>
      </c>
      <c r="I647">
        <v>79435</v>
      </c>
      <c r="J647">
        <v>162</v>
      </c>
      <c r="K647">
        <f>tblSales[[#This Row],[Sales]]-tblSales[[#This Row],[Budget]]</f>
        <v>-4753</v>
      </c>
      <c r="L647" s="3">
        <f>(tblSales[[#This Row],[Sales]]-tblSales[[#This Row],[Budget]])/tblSales[[#This Row],[Budget]]</f>
        <v>-5.9835085289859632E-2</v>
      </c>
      <c r="M647" s="2">
        <f>tblSales[[#This Row],[Sales]]/tblSales[[#This Row],[Transactions]]</f>
        <v>461</v>
      </c>
    </row>
    <row r="648" spans="1:13" x14ac:dyDescent="0.25">
      <c r="A648" s="1">
        <v>46055</v>
      </c>
      <c r="B648" t="s">
        <v>15</v>
      </c>
      <c r="C648" t="s">
        <v>22</v>
      </c>
      <c r="D648" t="str">
        <f>_xlfn.XLOOKUP(tblSales[[#This Row],[Store ID]],tblStores[Store ID],tblStores[Store Name])</f>
        <v>Rosebank</v>
      </c>
      <c r="E648" t="str">
        <f>_xlfn.XLOOKUP(tblSales[[#This Row],[Store ID]],tblStores[Store ID],tblStores[Province])</f>
        <v>Gauteng</v>
      </c>
      <c r="F648" t="str">
        <f>_xlfn.XLOOKUP(tblSales[[#This Row],[Store ID]],tblStores[Store ID],tblStores[Manager])</f>
        <v>James Taylor</v>
      </c>
      <c r="G648" t="str">
        <f>_xlfn.XLOOKUP(tblSales[[#This Row],[Category ID]],tblCategories[Category ID],tblCategories[Category])</f>
        <v>Kids</v>
      </c>
      <c r="H648">
        <v>43000</v>
      </c>
      <c r="I648">
        <v>49089</v>
      </c>
      <c r="J648">
        <v>100</v>
      </c>
      <c r="K648">
        <f>tblSales[[#This Row],[Sales]]-tblSales[[#This Row],[Budget]]</f>
        <v>-6089</v>
      </c>
      <c r="L648" s="3">
        <f>(tblSales[[#This Row],[Sales]]-tblSales[[#This Row],[Budget]])/tblSales[[#This Row],[Budget]]</f>
        <v>-0.12404000896331153</v>
      </c>
      <c r="M648" s="2">
        <f>tblSales[[#This Row],[Sales]]/tblSales[[#This Row],[Transactions]]</f>
        <v>430</v>
      </c>
    </row>
    <row r="649" spans="1:13" x14ac:dyDescent="0.25">
      <c r="A649" s="1">
        <v>46055</v>
      </c>
      <c r="B649" t="s">
        <v>16</v>
      </c>
      <c r="C649" t="s">
        <v>11</v>
      </c>
      <c r="D649" t="str">
        <f>_xlfn.XLOOKUP(tblSales[[#This Row],[Store ID]],tblStores[Store ID],tblStores[Store Name])</f>
        <v>Pretoria</v>
      </c>
      <c r="E649" t="str">
        <f>_xlfn.XLOOKUP(tblSales[[#This Row],[Store ID]],tblStores[Store ID],tblStores[Province])</f>
        <v>Gauteng</v>
      </c>
      <c r="F649" t="str">
        <f>_xlfn.XLOOKUP(tblSales[[#This Row],[Store ID]],tblStores[Store ID],tblStores[Manager])</f>
        <v>Susan Clark</v>
      </c>
      <c r="G649" t="str">
        <f>_xlfn.XLOOKUP(tblSales[[#This Row],[Category ID]],tblCategories[Category ID],tblCategories[Category])</f>
        <v>Footwear</v>
      </c>
      <c r="H649">
        <v>40432</v>
      </c>
      <c r="I649">
        <v>43795</v>
      </c>
      <c r="J649">
        <v>152</v>
      </c>
      <c r="K649">
        <f>tblSales[[#This Row],[Sales]]-tblSales[[#This Row],[Budget]]</f>
        <v>-3363</v>
      </c>
      <c r="L649" s="3">
        <f>(tblSales[[#This Row],[Sales]]-tblSales[[#This Row],[Budget]])/tblSales[[#This Row],[Budget]]</f>
        <v>-7.6789587852494581E-2</v>
      </c>
      <c r="M649" s="2">
        <f>tblSales[[#This Row],[Sales]]/tblSales[[#This Row],[Transactions]]</f>
        <v>266</v>
      </c>
    </row>
    <row r="650" spans="1:13" x14ac:dyDescent="0.25">
      <c r="A650" s="1">
        <v>46055</v>
      </c>
      <c r="B650" t="s">
        <v>17</v>
      </c>
      <c r="C650" t="s">
        <v>22</v>
      </c>
      <c r="D650" t="str">
        <f>_xlfn.XLOOKUP(tblSales[[#This Row],[Store ID]],tblStores[Store ID],tblStores[Store Name])</f>
        <v>Centurion</v>
      </c>
      <c r="E650" t="str">
        <f>_xlfn.XLOOKUP(tblSales[[#This Row],[Store ID]],tblStores[Store ID],tblStores[Province])</f>
        <v>Gauteng</v>
      </c>
      <c r="F650" t="str">
        <f>_xlfn.XLOOKUP(tblSales[[#This Row],[Store ID]],tblStores[Store ID],tblStores[Manager])</f>
        <v>Mark Wilson</v>
      </c>
      <c r="G650" t="str">
        <f>_xlfn.XLOOKUP(tblSales[[#This Row],[Category ID]],tblCategories[Category ID],tblCategories[Category])</f>
        <v>Kids</v>
      </c>
      <c r="H650">
        <v>19578</v>
      </c>
      <c r="I650">
        <v>21145</v>
      </c>
      <c r="J650">
        <v>78</v>
      </c>
      <c r="K650">
        <f>tblSales[[#This Row],[Sales]]-tblSales[[#This Row],[Budget]]</f>
        <v>-1567</v>
      </c>
      <c r="L650" s="3">
        <f>(tblSales[[#This Row],[Sales]]-tblSales[[#This Row],[Budget]])/tblSales[[#This Row],[Budget]]</f>
        <v>-7.410735398439347E-2</v>
      </c>
      <c r="M650" s="2">
        <f>tblSales[[#This Row],[Sales]]/tblSales[[#This Row],[Transactions]]</f>
        <v>251</v>
      </c>
    </row>
    <row r="651" spans="1:13" x14ac:dyDescent="0.25">
      <c r="A651" s="1">
        <v>46055</v>
      </c>
      <c r="B651" t="s">
        <v>18</v>
      </c>
      <c r="C651" t="s">
        <v>11</v>
      </c>
      <c r="D651" t="str">
        <f>_xlfn.XLOOKUP(tblSales[[#This Row],[Store ID]],tblStores[Store ID],tblStores[Store Name])</f>
        <v>East Rand</v>
      </c>
      <c r="E651" t="str">
        <f>_xlfn.XLOOKUP(tblSales[[#This Row],[Store ID]],tblStores[Store ID],tblStores[Province])</f>
        <v>Gauteng</v>
      </c>
      <c r="F651" t="str">
        <f>_xlfn.XLOOKUP(tblSales[[#This Row],[Store ID]],tblStores[Store ID],tblStores[Manager])</f>
        <v>Lisa Young</v>
      </c>
      <c r="G651" t="str">
        <f>_xlfn.XLOOKUP(tblSales[[#This Row],[Category ID]],tblCategories[Category ID],tblCategories[Category])</f>
        <v>Footwear</v>
      </c>
      <c r="H651">
        <v>37474</v>
      </c>
      <c r="I651">
        <v>43004</v>
      </c>
      <c r="J651">
        <v>82</v>
      </c>
      <c r="K651">
        <f>tblSales[[#This Row],[Sales]]-tblSales[[#This Row],[Budget]]</f>
        <v>-5530</v>
      </c>
      <c r="L651" s="3">
        <f>(tblSales[[#This Row],[Sales]]-tblSales[[#This Row],[Budget]])/tblSales[[#This Row],[Budget]]</f>
        <v>-0.12859268905218119</v>
      </c>
      <c r="M651" s="2">
        <f>tblSales[[#This Row],[Sales]]/tblSales[[#This Row],[Transactions]]</f>
        <v>457</v>
      </c>
    </row>
    <row r="652" spans="1:13" x14ac:dyDescent="0.25">
      <c r="A652" s="1">
        <v>46055</v>
      </c>
      <c r="B652" t="s">
        <v>20</v>
      </c>
      <c r="C652" t="s">
        <v>7</v>
      </c>
      <c r="D652" t="str">
        <f>_xlfn.XLOOKUP(tblSales[[#This Row],[Store ID]],tblStores[Store ID],tblStores[Store Name])</f>
        <v>Cape Town CBD</v>
      </c>
      <c r="E652" t="str">
        <f>_xlfn.XLOOKUP(tblSales[[#This Row],[Store ID]],tblStores[Store ID],tblStores[Province])</f>
        <v>Western Cape</v>
      </c>
      <c r="F652" t="str">
        <f>_xlfn.XLOOKUP(tblSales[[#This Row],[Store ID]],tblStores[Store ID],tblStores[Manager])</f>
        <v>Brian Hall</v>
      </c>
      <c r="G652" t="str">
        <f>_xlfn.XLOOKUP(tblSales[[#This Row],[Category ID]],tblCategories[Category ID],tblCategories[Category])</f>
        <v>Menswear</v>
      </c>
      <c r="H652">
        <v>33293</v>
      </c>
      <c r="I652">
        <v>36947</v>
      </c>
      <c r="J652">
        <v>169</v>
      </c>
      <c r="K652">
        <f>tblSales[[#This Row],[Sales]]-tblSales[[#This Row],[Budget]]</f>
        <v>-3654</v>
      </c>
      <c r="L652" s="3">
        <f>(tblSales[[#This Row],[Sales]]-tblSales[[#This Row],[Budget]])/tblSales[[#This Row],[Budget]]</f>
        <v>-9.8898422064037678E-2</v>
      </c>
      <c r="M652" s="2">
        <f>tblSales[[#This Row],[Sales]]/tblSales[[#This Row],[Transactions]]</f>
        <v>197</v>
      </c>
    </row>
    <row r="653" spans="1:13" x14ac:dyDescent="0.25">
      <c r="A653" s="1">
        <v>46055</v>
      </c>
      <c r="B653" t="s">
        <v>21</v>
      </c>
      <c r="C653" t="s">
        <v>7</v>
      </c>
      <c r="D653" t="str">
        <f>_xlfn.XLOOKUP(tblSales[[#This Row],[Store ID]],tblStores[Store ID],tblStores[Store Name])</f>
        <v>Canal Walk</v>
      </c>
      <c r="E653" t="str">
        <f>_xlfn.XLOOKUP(tblSales[[#This Row],[Store ID]],tblStores[Store ID],tblStores[Province])</f>
        <v>Western Cape</v>
      </c>
      <c r="F653" t="str">
        <f>_xlfn.XLOOKUP(tblSales[[#This Row],[Store ID]],tblStores[Store ID],tblStores[Manager])</f>
        <v>Megan Scott</v>
      </c>
      <c r="G653" t="str">
        <f>_xlfn.XLOOKUP(tblSales[[#This Row],[Category ID]],tblCategories[Category ID],tblCategories[Category])</f>
        <v>Menswear</v>
      </c>
      <c r="H653">
        <v>42024</v>
      </c>
      <c r="I653">
        <v>45851</v>
      </c>
      <c r="J653">
        <v>206</v>
      </c>
      <c r="K653">
        <f>tblSales[[#This Row],[Sales]]-tblSales[[#This Row],[Budget]]</f>
        <v>-3827</v>
      </c>
      <c r="L653" s="3">
        <f>(tblSales[[#This Row],[Sales]]-tblSales[[#This Row],[Budget]])/tblSales[[#This Row],[Budget]]</f>
        <v>-8.3466009465442415E-2</v>
      </c>
      <c r="M653" s="2">
        <f>tblSales[[#This Row],[Sales]]/tblSales[[#This Row],[Transactions]]</f>
        <v>204</v>
      </c>
    </row>
    <row r="654" spans="1:13" x14ac:dyDescent="0.25">
      <c r="A654" s="1">
        <v>46055</v>
      </c>
      <c r="B654" t="s">
        <v>23</v>
      </c>
      <c r="C654" t="s">
        <v>11</v>
      </c>
      <c r="D654" t="str">
        <f>_xlfn.XLOOKUP(tblSales[[#This Row],[Store ID]],tblStores[Store ID],tblStores[Store Name])</f>
        <v>Stellenbosch</v>
      </c>
      <c r="E654" t="str">
        <f>_xlfn.XLOOKUP(tblSales[[#This Row],[Store ID]],tblStores[Store ID],tblStores[Province])</f>
        <v>Western Cape</v>
      </c>
      <c r="F654" t="str">
        <f>_xlfn.XLOOKUP(tblSales[[#This Row],[Store ID]],tblStores[Store ID],tblStores[Manager])</f>
        <v>Jason King</v>
      </c>
      <c r="G654" t="str">
        <f>_xlfn.XLOOKUP(tblSales[[#This Row],[Category ID]],tblCategories[Category ID],tblCategories[Category])</f>
        <v>Footwear</v>
      </c>
      <c r="H654">
        <v>35140</v>
      </c>
      <c r="I654">
        <v>33659</v>
      </c>
      <c r="J654">
        <v>70</v>
      </c>
      <c r="K654">
        <f>tblSales[[#This Row],[Sales]]-tblSales[[#This Row],[Budget]]</f>
        <v>1481</v>
      </c>
      <c r="L654" s="3">
        <f>(tblSales[[#This Row],[Sales]]-tblSales[[#This Row],[Budget]])/tblSales[[#This Row],[Budget]]</f>
        <v>4.4000118838943524E-2</v>
      </c>
      <c r="M654" s="2">
        <f>tblSales[[#This Row],[Sales]]/tblSales[[#This Row],[Transactions]]</f>
        <v>502</v>
      </c>
    </row>
    <row r="655" spans="1:13" x14ac:dyDescent="0.25">
      <c r="A655" s="1">
        <v>46055</v>
      </c>
      <c r="B655" t="s">
        <v>24</v>
      </c>
      <c r="C655" t="s">
        <v>9</v>
      </c>
      <c r="D655" t="str">
        <f>_xlfn.XLOOKUP(tblSales[[#This Row],[Store ID]],tblStores[Store ID],tblStores[Store Name])</f>
        <v>George</v>
      </c>
      <c r="E655" t="str">
        <f>_xlfn.XLOOKUP(tblSales[[#This Row],[Store ID]],tblStores[Store ID],tblStores[Province])</f>
        <v>Western Cape</v>
      </c>
      <c r="F655" t="str">
        <f>_xlfn.XLOOKUP(tblSales[[#This Row],[Store ID]],tblStores[Store ID],tblStores[Manager])</f>
        <v>Chloe Hill</v>
      </c>
      <c r="G655" t="str">
        <f>_xlfn.XLOOKUP(tblSales[[#This Row],[Category ID]],tblCategories[Category ID],tblCategories[Category])</f>
        <v>Ladieswear</v>
      </c>
      <c r="H655">
        <v>10767</v>
      </c>
      <c r="I655">
        <v>11051</v>
      </c>
      <c r="J655">
        <v>37</v>
      </c>
      <c r="K655">
        <f>tblSales[[#This Row],[Sales]]-tblSales[[#This Row],[Budget]]</f>
        <v>-284</v>
      </c>
      <c r="L655" s="3">
        <f>(tblSales[[#This Row],[Sales]]-tblSales[[#This Row],[Budget]])/tblSales[[#This Row],[Budget]]</f>
        <v>-2.5699031761831508E-2</v>
      </c>
      <c r="M655" s="2">
        <f>tblSales[[#This Row],[Sales]]/tblSales[[#This Row],[Transactions]]</f>
        <v>291</v>
      </c>
    </row>
    <row r="656" spans="1:13" x14ac:dyDescent="0.25">
      <c r="A656" s="1">
        <v>46055</v>
      </c>
      <c r="B656" t="s">
        <v>25</v>
      </c>
      <c r="C656" t="s">
        <v>22</v>
      </c>
      <c r="D656" t="str">
        <f>_xlfn.XLOOKUP(tblSales[[#This Row],[Store ID]],tblStores[Store ID],tblStores[Store Name])</f>
        <v>Paarl</v>
      </c>
      <c r="E656" t="str">
        <f>_xlfn.XLOOKUP(tblSales[[#This Row],[Store ID]],tblStores[Store ID],tblStores[Province])</f>
        <v>Western Cape</v>
      </c>
      <c r="F656" t="str">
        <f>_xlfn.XLOOKUP(tblSales[[#This Row],[Store ID]],tblStores[Store ID],tblStores[Manager])</f>
        <v>Andrew Lee</v>
      </c>
      <c r="G656" t="str">
        <f>_xlfn.XLOOKUP(tblSales[[#This Row],[Category ID]],tblCategories[Category ID],tblCategories[Category])</f>
        <v>Kids</v>
      </c>
      <c r="H656">
        <v>24800</v>
      </c>
      <c r="I656">
        <v>26273</v>
      </c>
      <c r="J656">
        <v>50</v>
      </c>
      <c r="K656">
        <f>tblSales[[#This Row],[Sales]]-tblSales[[#This Row],[Budget]]</f>
        <v>-1473</v>
      </c>
      <c r="L656" s="3">
        <f>(tblSales[[#This Row],[Sales]]-tblSales[[#This Row],[Budget]])/tblSales[[#This Row],[Budget]]</f>
        <v>-5.6065161953336128E-2</v>
      </c>
      <c r="M656" s="2">
        <f>tblSales[[#This Row],[Sales]]/tblSales[[#This Row],[Transactions]]</f>
        <v>496</v>
      </c>
    </row>
    <row r="657" spans="1:13" x14ac:dyDescent="0.25">
      <c r="A657" s="1">
        <v>46055</v>
      </c>
      <c r="B657" t="s">
        <v>26</v>
      </c>
      <c r="C657" t="s">
        <v>19</v>
      </c>
      <c r="D657" t="str">
        <f>_xlfn.XLOOKUP(tblSales[[#This Row],[Store ID]],tblStores[Store ID],tblStores[Store Name])</f>
        <v>Gqeberha</v>
      </c>
      <c r="E657" t="str">
        <f>_xlfn.XLOOKUP(tblSales[[#This Row],[Store ID]],tblStores[Store ID],tblStores[Province])</f>
        <v>Eastern Cape</v>
      </c>
      <c r="F657" t="str">
        <f>_xlfn.XLOOKUP(tblSales[[#This Row],[Store ID]],tblStores[Store ID],tblStores[Manager])</f>
        <v>Emma Baker</v>
      </c>
      <c r="G657" t="str">
        <f>_xlfn.XLOOKUP(tblSales[[#This Row],[Category ID]],tblCategories[Category ID],tblCategories[Category])</f>
        <v>Accessories</v>
      </c>
      <c r="H657">
        <v>81686</v>
      </c>
      <c r="I657">
        <v>83480</v>
      </c>
      <c r="J657">
        <v>158</v>
      </c>
      <c r="K657">
        <f>tblSales[[#This Row],[Sales]]-tblSales[[#This Row],[Budget]]</f>
        <v>-1794</v>
      </c>
      <c r="L657" s="3">
        <f>(tblSales[[#This Row],[Sales]]-tblSales[[#This Row],[Budget]])/tblSales[[#This Row],[Budget]]</f>
        <v>-2.1490177287973169E-2</v>
      </c>
      <c r="M657" s="2">
        <f>tblSales[[#This Row],[Sales]]/tblSales[[#This Row],[Transactions]]</f>
        <v>517</v>
      </c>
    </row>
    <row r="658" spans="1:13" x14ac:dyDescent="0.25">
      <c r="A658" s="1">
        <v>46055</v>
      </c>
      <c r="B658" t="s">
        <v>27</v>
      </c>
      <c r="C658" t="s">
        <v>7</v>
      </c>
      <c r="D658" t="str">
        <f>_xlfn.XLOOKUP(tblSales[[#This Row],[Store ID]],tblStores[Store ID],tblStores[Store Name])</f>
        <v>East London</v>
      </c>
      <c r="E658" t="str">
        <f>_xlfn.XLOOKUP(tblSales[[#This Row],[Store ID]],tblStores[Store ID],tblStores[Province])</f>
        <v>Eastern Cape</v>
      </c>
      <c r="F658" t="str">
        <f>_xlfn.XLOOKUP(tblSales[[#This Row],[Store ID]],tblStores[Store ID],tblStores[Manager])</f>
        <v>Daniel Evans</v>
      </c>
      <c r="G658" t="str">
        <f>_xlfn.XLOOKUP(tblSales[[#This Row],[Category ID]],tblCategories[Category ID],tblCategories[Category])</f>
        <v>Menswear</v>
      </c>
      <c r="H658">
        <v>79002</v>
      </c>
      <c r="I658">
        <v>79225</v>
      </c>
      <c r="J658">
        <v>171</v>
      </c>
      <c r="K658">
        <f>tblSales[[#This Row],[Sales]]-tblSales[[#This Row],[Budget]]</f>
        <v>-223</v>
      </c>
      <c r="L658" s="3">
        <f>(tblSales[[#This Row],[Sales]]-tblSales[[#This Row],[Budget]])/tblSales[[#This Row],[Budget]]</f>
        <v>-2.8147680656358471E-3</v>
      </c>
      <c r="M658" s="2">
        <f>tblSales[[#This Row],[Sales]]/tblSales[[#This Row],[Transactions]]</f>
        <v>462</v>
      </c>
    </row>
    <row r="659" spans="1:13" x14ac:dyDescent="0.25">
      <c r="A659" s="1">
        <v>46055</v>
      </c>
      <c r="B659" t="s">
        <v>28</v>
      </c>
      <c r="C659" t="s">
        <v>7</v>
      </c>
      <c r="D659" t="str">
        <f>_xlfn.XLOOKUP(tblSales[[#This Row],[Store ID]],tblStores[Store ID],tblStores[Store Name])</f>
        <v>Bloemfontein</v>
      </c>
      <c r="E659" t="str">
        <f>_xlfn.XLOOKUP(tblSales[[#This Row],[Store ID]],tblStores[Store ID],tblStores[Province])</f>
        <v>Free State</v>
      </c>
      <c r="F659" t="str">
        <f>_xlfn.XLOOKUP(tblSales[[#This Row],[Store ID]],tblStores[Store ID],tblStores[Manager])</f>
        <v>Rachel Moore</v>
      </c>
      <c r="G659" t="str">
        <f>_xlfn.XLOOKUP(tblSales[[#This Row],[Category ID]],tblCategories[Category ID],tblCategories[Category])</f>
        <v>Menswear</v>
      </c>
      <c r="H659">
        <v>54400</v>
      </c>
      <c r="I659">
        <v>56246</v>
      </c>
      <c r="J659">
        <v>170</v>
      </c>
      <c r="K659">
        <f>tblSales[[#This Row],[Sales]]-tblSales[[#This Row],[Budget]]</f>
        <v>-1846</v>
      </c>
      <c r="L659" s="3">
        <f>(tblSales[[#This Row],[Sales]]-tblSales[[#This Row],[Budget]])/tblSales[[#This Row],[Budget]]</f>
        <v>-3.2820111652384167E-2</v>
      </c>
      <c r="M659" s="2">
        <f>tblSales[[#This Row],[Sales]]/tblSales[[#This Row],[Transactions]]</f>
        <v>320</v>
      </c>
    </row>
    <row r="660" spans="1:13" x14ac:dyDescent="0.25">
      <c r="A660" s="1">
        <v>46055</v>
      </c>
      <c r="B660" t="s">
        <v>29</v>
      </c>
      <c r="C660" t="s">
        <v>22</v>
      </c>
      <c r="D660" t="str">
        <f>_xlfn.XLOOKUP(tblSales[[#This Row],[Store ID]],tblStores[Store ID],tblStores[Store Name])</f>
        <v>Polokwane</v>
      </c>
      <c r="E660" t="str">
        <f>_xlfn.XLOOKUP(tblSales[[#This Row],[Store ID]],tblStores[Store ID],tblStores[Province])</f>
        <v>Limpopo</v>
      </c>
      <c r="F660" t="str">
        <f>_xlfn.XLOOKUP(tblSales[[#This Row],[Store ID]],tblStores[Store ID],tblStores[Manager])</f>
        <v>Kevin Harris</v>
      </c>
      <c r="G660" t="str">
        <f>_xlfn.XLOOKUP(tblSales[[#This Row],[Category ID]],tblCategories[Category ID],tblCategories[Category])</f>
        <v>Kids</v>
      </c>
      <c r="H660">
        <v>17043</v>
      </c>
      <c r="I660">
        <v>18803</v>
      </c>
      <c r="J660">
        <v>39</v>
      </c>
      <c r="K660">
        <f>tblSales[[#This Row],[Sales]]-tblSales[[#This Row],[Budget]]</f>
        <v>-1760</v>
      </c>
      <c r="L660" s="3">
        <f>(tblSales[[#This Row],[Sales]]-tblSales[[#This Row],[Budget]])/tblSales[[#This Row],[Budget]]</f>
        <v>-9.3602084773706323E-2</v>
      </c>
      <c r="M660" s="2">
        <f>tblSales[[#This Row],[Sales]]/tblSales[[#This Row],[Transactions]]</f>
        <v>437</v>
      </c>
    </row>
    <row r="661" spans="1:13" x14ac:dyDescent="0.25">
      <c r="A661" s="1">
        <v>46055</v>
      </c>
      <c r="B661" t="s">
        <v>30</v>
      </c>
      <c r="C661" t="s">
        <v>11</v>
      </c>
      <c r="D661" t="str">
        <f>_xlfn.XLOOKUP(tblSales[[#This Row],[Store ID]],tblStores[Store ID],tblStores[Store Name])</f>
        <v>Nelspruit</v>
      </c>
      <c r="E661" t="str">
        <f>_xlfn.XLOOKUP(tblSales[[#This Row],[Store ID]],tblStores[Store ID],tblStores[Province])</f>
        <v>Mpumalanga</v>
      </c>
      <c r="F661" t="str">
        <f>_xlfn.XLOOKUP(tblSales[[#This Row],[Store ID]],tblStores[Store ID],tblStores[Manager])</f>
        <v>Olivia Turner</v>
      </c>
      <c r="G661" t="str">
        <f>_xlfn.XLOOKUP(tblSales[[#This Row],[Category ID]],tblCategories[Category ID],tblCategories[Category])</f>
        <v>Footwear</v>
      </c>
      <c r="H661">
        <v>18720</v>
      </c>
      <c r="I661">
        <v>21144</v>
      </c>
      <c r="J661">
        <v>80</v>
      </c>
      <c r="K661">
        <f>tblSales[[#This Row],[Sales]]-tblSales[[#This Row],[Budget]]</f>
        <v>-2424</v>
      </c>
      <c r="L661" s="3">
        <f>(tblSales[[#This Row],[Sales]]-tblSales[[#This Row],[Budget]])/tblSales[[#This Row],[Budget]]</f>
        <v>-0.11464245175936436</v>
      </c>
      <c r="M661" s="2">
        <f>tblSales[[#This Row],[Sales]]/tblSales[[#This Row],[Transactions]]</f>
        <v>234</v>
      </c>
    </row>
    <row r="662" spans="1:13" x14ac:dyDescent="0.25">
      <c r="A662" s="1">
        <v>46056</v>
      </c>
      <c r="B662" t="s">
        <v>6</v>
      </c>
      <c r="C662" t="s">
        <v>19</v>
      </c>
      <c r="D662" t="str">
        <f>_xlfn.XLOOKUP(tblSales[[#This Row],[Store ID]],tblStores[Store ID],tblStores[Store Name])</f>
        <v>Durban CBD</v>
      </c>
      <c r="E662" t="str">
        <f>_xlfn.XLOOKUP(tblSales[[#This Row],[Store ID]],tblStores[Store ID],tblStores[Province])</f>
        <v>KZN</v>
      </c>
      <c r="F662" t="str">
        <f>_xlfn.XLOOKUP(tblSales[[#This Row],[Store ID]],tblStores[Store ID],tblStores[Manager])</f>
        <v>Sarah Adams</v>
      </c>
      <c r="G662" t="str">
        <f>_xlfn.XLOOKUP(tblSales[[#This Row],[Category ID]],tblCategories[Category ID],tblCategories[Category])</f>
        <v>Accessories</v>
      </c>
      <c r="H662">
        <v>22119</v>
      </c>
      <c r="I662">
        <v>20968</v>
      </c>
      <c r="J662">
        <v>73</v>
      </c>
      <c r="K662">
        <f>tblSales[[#This Row],[Sales]]-tblSales[[#This Row],[Budget]]</f>
        <v>1151</v>
      </c>
      <c r="L662" s="3">
        <f>(tblSales[[#This Row],[Sales]]-tblSales[[#This Row],[Budget]])/tblSales[[#This Row],[Budget]]</f>
        <v>5.4893170545593284E-2</v>
      </c>
      <c r="M662" s="2">
        <f>tblSales[[#This Row],[Sales]]/tblSales[[#This Row],[Transactions]]</f>
        <v>303</v>
      </c>
    </row>
    <row r="663" spans="1:13" x14ac:dyDescent="0.25">
      <c r="A663" s="1">
        <v>46056</v>
      </c>
      <c r="B663" t="s">
        <v>8</v>
      </c>
      <c r="C663" t="s">
        <v>19</v>
      </c>
      <c r="D663" t="str">
        <f>_xlfn.XLOOKUP(tblSales[[#This Row],[Store ID]],tblStores[Store ID],tblStores[Store Name])</f>
        <v>Gateway</v>
      </c>
      <c r="E663" t="str">
        <f>_xlfn.XLOOKUP(tblSales[[#This Row],[Store ID]],tblStores[Store ID],tblStores[Province])</f>
        <v>KZN</v>
      </c>
      <c r="F663" t="str">
        <f>_xlfn.XLOOKUP(tblSales[[#This Row],[Store ID]],tblStores[Store ID],tblStores[Manager])</f>
        <v>Michael Jones</v>
      </c>
      <c r="G663" t="str">
        <f>_xlfn.XLOOKUP(tblSales[[#This Row],[Category ID]],tblCategories[Category ID],tblCategories[Category])</f>
        <v>Accessories</v>
      </c>
      <c r="H663">
        <v>35739</v>
      </c>
      <c r="I663">
        <v>34553</v>
      </c>
      <c r="J663">
        <v>99</v>
      </c>
      <c r="K663">
        <f>tblSales[[#This Row],[Sales]]-tblSales[[#This Row],[Budget]]</f>
        <v>1186</v>
      </c>
      <c r="L663" s="3">
        <f>(tblSales[[#This Row],[Sales]]-tblSales[[#This Row],[Budget]])/tblSales[[#This Row],[Budget]]</f>
        <v>3.4324081845281164E-2</v>
      </c>
      <c r="M663" s="2">
        <f>tblSales[[#This Row],[Sales]]/tblSales[[#This Row],[Transactions]]</f>
        <v>361</v>
      </c>
    </row>
    <row r="664" spans="1:13" x14ac:dyDescent="0.25">
      <c r="A664" s="1">
        <v>46056</v>
      </c>
      <c r="B664" t="s">
        <v>10</v>
      </c>
      <c r="C664" t="s">
        <v>11</v>
      </c>
      <c r="D664" t="str">
        <f>_xlfn.XLOOKUP(tblSales[[#This Row],[Store ID]],tblStores[Store ID],tblStores[Store Name])</f>
        <v>Ballito</v>
      </c>
      <c r="E664" t="str">
        <f>_xlfn.XLOOKUP(tblSales[[#This Row],[Store ID]],tblStores[Store ID],tblStores[Province])</f>
        <v>KZN</v>
      </c>
      <c r="F664" t="str">
        <f>_xlfn.XLOOKUP(tblSales[[#This Row],[Store ID]],tblStores[Store ID],tblStores[Manager])</f>
        <v>Linda Smith</v>
      </c>
      <c r="G664" t="str">
        <f>_xlfn.XLOOKUP(tblSales[[#This Row],[Category ID]],tblCategories[Category ID],tblCategories[Category])</f>
        <v>Footwear</v>
      </c>
      <c r="H664">
        <v>20405</v>
      </c>
      <c r="I664">
        <v>23258</v>
      </c>
      <c r="J664">
        <v>55</v>
      </c>
      <c r="K664">
        <f>tblSales[[#This Row],[Sales]]-tblSales[[#This Row],[Budget]]</f>
        <v>-2853</v>
      </c>
      <c r="L664" s="3">
        <f>(tblSales[[#This Row],[Sales]]-tblSales[[#This Row],[Budget]])/tblSales[[#This Row],[Budget]]</f>
        <v>-0.12266746925788975</v>
      </c>
      <c r="M664" s="2">
        <f>tblSales[[#This Row],[Sales]]/tblSales[[#This Row],[Transactions]]</f>
        <v>371</v>
      </c>
    </row>
    <row r="665" spans="1:13" x14ac:dyDescent="0.25">
      <c r="A665" s="1">
        <v>46056</v>
      </c>
      <c r="B665" t="s">
        <v>12</v>
      </c>
      <c r="C665" t="s">
        <v>11</v>
      </c>
      <c r="D665" t="str">
        <f>_xlfn.XLOOKUP(tblSales[[#This Row],[Store ID]],tblStores[Store ID],tblStores[Store Name])</f>
        <v>Pietermaritzburg</v>
      </c>
      <c r="E665" t="str">
        <f>_xlfn.XLOOKUP(tblSales[[#This Row],[Store ID]],tblStores[Store ID],tblStores[Province])</f>
        <v>KZN</v>
      </c>
      <c r="F665" t="str">
        <f>_xlfn.XLOOKUP(tblSales[[#This Row],[Store ID]],tblStores[Store ID],tblStores[Manager])</f>
        <v>Peter Brown</v>
      </c>
      <c r="G665" t="str">
        <f>_xlfn.XLOOKUP(tblSales[[#This Row],[Category ID]],tblCategories[Category ID],tblCategories[Category])</f>
        <v>Footwear</v>
      </c>
      <c r="H665">
        <v>54416</v>
      </c>
      <c r="I665">
        <v>62445</v>
      </c>
      <c r="J665">
        <v>179</v>
      </c>
      <c r="K665">
        <f>tblSales[[#This Row],[Sales]]-tblSales[[#This Row],[Budget]]</f>
        <v>-8029</v>
      </c>
      <c r="L665" s="3">
        <f>(tblSales[[#This Row],[Sales]]-tblSales[[#This Row],[Budget]])/tblSales[[#This Row],[Budget]]</f>
        <v>-0.12857714789014332</v>
      </c>
      <c r="M665" s="2">
        <f>tblSales[[#This Row],[Sales]]/tblSales[[#This Row],[Transactions]]</f>
        <v>304</v>
      </c>
    </row>
    <row r="666" spans="1:13" x14ac:dyDescent="0.25">
      <c r="A666" s="1">
        <v>46056</v>
      </c>
      <c r="B666" t="s">
        <v>13</v>
      </c>
      <c r="C666" t="s">
        <v>9</v>
      </c>
      <c r="D666" t="str">
        <f>_xlfn.XLOOKUP(tblSales[[#This Row],[Store ID]],tblStores[Store ID],tblStores[Store Name])</f>
        <v>Richards Bay</v>
      </c>
      <c r="E666" t="str">
        <f>_xlfn.XLOOKUP(tblSales[[#This Row],[Store ID]],tblStores[Store ID],tblStores[Province])</f>
        <v>KZN</v>
      </c>
      <c r="F666" t="str">
        <f>_xlfn.XLOOKUP(tblSales[[#This Row],[Store ID]],tblStores[Store ID],tblStores[Manager])</f>
        <v>David Green</v>
      </c>
      <c r="G666" t="str">
        <f>_xlfn.XLOOKUP(tblSales[[#This Row],[Category ID]],tblCategories[Category ID],tblCategories[Category])</f>
        <v>Ladieswear</v>
      </c>
      <c r="H666">
        <v>24531</v>
      </c>
      <c r="I666">
        <v>26087</v>
      </c>
      <c r="J666">
        <v>111</v>
      </c>
      <c r="K666">
        <f>tblSales[[#This Row],[Sales]]-tblSales[[#This Row],[Budget]]</f>
        <v>-1556</v>
      </c>
      <c r="L666" s="3">
        <f>(tblSales[[#This Row],[Sales]]-tblSales[[#This Row],[Budget]])/tblSales[[#This Row],[Budget]]</f>
        <v>-5.964656725572124E-2</v>
      </c>
      <c r="M666" s="2">
        <f>tblSales[[#This Row],[Sales]]/tblSales[[#This Row],[Transactions]]</f>
        <v>221</v>
      </c>
    </row>
    <row r="667" spans="1:13" x14ac:dyDescent="0.25">
      <c r="A667" s="1">
        <v>46056</v>
      </c>
      <c r="B667" t="s">
        <v>14</v>
      </c>
      <c r="C667" t="s">
        <v>7</v>
      </c>
      <c r="D667" t="str">
        <f>_xlfn.XLOOKUP(tblSales[[#This Row],[Store ID]],tblStores[Store ID],tblStores[Store Name])</f>
        <v>Sandton</v>
      </c>
      <c r="E667" t="str">
        <f>_xlfn.XLOOKUP(tblSales[[#This Row],[Store ID]],tblStores[Store ID],tblStores[Province])</f>
        <v>Gauteng</v>
      </c>
      <c r="F667" t="str">
        <f>_xlfn.XLOOKUP(tblSales[[#This Row],[Store ID]],tblStores[Store ID],tblStores[Manager])</f>
        <v>Karen White</v>
      </c>
      <c r="G667" t="str">
        <f>_xlfn.XLOOKUP(tblSales[[#This Row],[Category ID]],tblCategories[Category ID],tblCategories[Category])</f>
        <v>Menswear</v>
      </c>
      <c r="H667">
        <v>22446</v>
      </c>
      <c r="I667">
        <v>22329</v>
      </c>
      <c r="J667">
        <v>58</v>
      </c>
      <c r="K667">
        <f>tblSales[[#This Row],[Sales]]-tblSales[[#This Row],[Budget]]</f>
        <v>117</v>
      </c>
      <c r="L667" s="3">
        <f>(tblSales[[#This Row],[Sales]]-tblSales[[#This Row],[Budget]])/tblSales[[#This Row],[Budget]]</f>
        <v>5.2398226521563887E-3</v>
      </c>
      <c r="M667" s="2">
        <f>tblSales[[#This Row],[Sales]]/tblSales[[#This Row],[Transactions]]</f>
        <v>387</v>
      </c>
    </row>
    <row r="668" spans="1:13" x14ac:dyDescent="0.25">
      <c r="A668" s="1">
        <v>46056</v>
      </c>
      <c r="B668" t="s">
        <v>15</v>
      </c>
      <c r="C668" t="s">
        <v>19</v>
      </c>
      <c r="D668" t="str">
        <f>_xlfn.XLOOKUP(tblSales[[#This Row],[Store ID]],tblStores[Store ID],tblStores[Store Name])</f>
        <v>Rosebank</v>
      </c>
      <c r="E668" t="str">
        <f>_xlfn.XLOOKUP(tblSales[[#This Row],[Store ID]],tblStores[Store ID],tblStores[Province])</f>
        <v>Gauteng</v>
      </c>
      <c r="F668" t="str">
        <f>_xlfn.XLOOKUP(tblSales[[#This Row],[Store ID]],tblStores[Store ID],tblStores[Manager])</f>
        <v>James Taylor</v>
      </c>
      <c r="G668" t="str">
        <f>_xlfn.XLOOKUP(tblSales[[#This Row],[Category ID]],tblCategories[Category ID],tblCategories[Category])</f>
        <v>Accessories</v>
      </c>
      <c r="H668">
        <v>32448</v>
      </c>
      <c r="I668">
        <v>34368</v>
      </c>
      <c r="J668">
        <v>156</v>
      </c>
      <c r="K668">
        <f>tblSales[[#This Row],[Sales]]-tblSales[[#This Row],[Budget]]</f>
        <v>-1920</v>
      </c>
      <c r="L668" s="3">
        <f>(tblSales[[#This Row],[Sales]]-tblSales[[#This Row],[Budget]])/tblSales[[#This Row],[Budget]]</f>
        <v>-5.5865921787709494E-2</v>
      </c>
      <c r="M668" s="2">
        <f>tblSales[[#This Row],[Sales]]/tblSales[[#This Row],[Transactions]]</f>
        <v>208</v>
      </c>
    </row>
    <row r="669" spans="1:13" x14ac:dyDescent="0.25">
      <c r="A669" s="1">
        <v>46056</v>
      </c>
      <c r="B669" t="s">
        <v>16</v>
      </c>
      <c r="C669" t="s">
        <v>9</v>
      </c>
      <c r="D669" t="str">
        <f>_xlfn.XLOOKUP(tblSales[[#This Row],[Store ID]],tblStores[Store ID],tblStores[Store Name])</f>
        <v>Pretoria</v>
      </c>
      <c r="E669" t="str">
        <f>_xlfn.XLOOKUP(tblSales[[#This Row],[Store ID]],tblStores[Store ID],tblStores[Province])</f>
        <v>Gauteng</v>
      </c>
      <c r="F669" t="str">
        <f>_xlfn.XLOOKUP(tblSales[[#This Row],[Store ID]],tblStores[Store ID],tblStores[Manager])</f>
        <v>Susan Clark</v>
      </c>
      <c r="G669" t="str">
        <f>_xlfn.XLOOKUP(tblSales[[#This Row],[Category ID]],tblCategories[Category ID],tblCategories[Category])</f>
        <v>Ladieswear</v>
      </c>
      <c r="H669">
        <v>24360</v>
      </c>
      <c r="I669">
        <v>27072</v>
      </c>
      <c r="J669">
        <v>56</v>
      </c>
      <c r="K669">
        <f>tblSales[[#This Row],[Sales]]-tblSales[[#This Row],[Budget]]</f>
        <v>-2712</v>
      </c>
      <c r="L669" s="3">
        <f>(tblSales[[#This Row],[Sales]]-tblSales[[#This Row],[Budget]])/tblSales[[#This Row],[Budget]]</f>
        <v>-0.10017730496453901</v>
      </c>
      <c r="M669" s="2">
        <f>tblSales[[#This Row],[Sales]]/tblSales[[#This Row],[Transactions]]</f>
        <v>435</v>
      </c>
    </row>
    <row r="670" spans="1:13" x14ac:dyDescent="0.25">
      <c r="A670" s="1">
        <v>46056</v>
      </c>
      <c r="B670" t="s">
        <v>17</v>
      </c>
      <c r="C670" t="s">
        <v>22</v>
      </c>
      <c r="D670" t="str">
        <f>_xlfn.XLOOKUP(tblSales[[#This Row],[Store ID]],tblStores[Store ID],tblStores[Store Name])</f>
        <v>Centurion</v>
      </c>
      <c r="E670" t="str">
        <f>_xlfn.XLOOKUP(tblSales[[#This Row],[Store ID]],tblStores[Store ID],tblStores[Province])</f>
        <v>Gauteng</v>
      </c>
      <c r="F670" t="str">
        <f>_xlfn.XLOOKUP(tblSales[[#This Row],[Store ID]],tblStores[Store ID],tblStores[Manager])</f>
        <v>Mark Wilson</v>
      </c>
      <c r="G670" t="str">
        <f>_xlfn.XLOOKUP(tblSales[[#This Row],[Category ID]],tblCategories[Category ID],tblCategories[Category])</f>
        <v>Kids</v>
      </c>
      <c r="H670">
        <v>40812</v>
      </c>
      <c r="I670">
        <v>45860</v>
      </c>
      <c r="J670">
        <v>179</v>
      </c>
      <c r="K670">
        <f>tblSales[[#This Row],[Sales]]-tblSales[[#This Row],[Budget]]</f>
        <v>-5048</v>
      </c>
      <c r="L670" s="3">
        <f>(tblSales[[#This Row],[Sales]]-tblSales[[#This Row],[Budget]])/tblSales[[#This Row],[Budget]]</f>
        <v>-0.1100741386829481</v>
      </c>
      <c r="M670" s="2">
        <f>tblSales[[#This Row],[Sales]]/tblSales[[#This Row],[Transactions]]</f>
        <v>228</v>
      </c>
    </row>
    <row r="671" spans="1:13" x14ac:dyDescent="0.25">
      <c r="A671" s="1">
        <v>46056</v>
      </c>
      <c r="B671" t="s">
        <v>18</v>
      </c>
      <c r="C671" t="s">
        <v>7</v>
      </c>
      <c r="D671" t="str">
        <f>_xlfn.XLOOKUP(tblSales[[#This Row],[Store ID]],tblStores[Store ID],tblStores[Store Name])</f>
        <v>East Rand</v>
      </c>
      <c r="E671" t="str">
        <f>_xlfn.XLOOKUP(tblSales[[#This Row],[Store ID]],tblStores[Store ID],tblStores[Province])</f>
        <v>Gauteng</v>
      </c>
      <c r="F671" t="str">
        <f>_xlfn.XLOOKUP(tblSales[[#This Row],[Store ID]],tblStores[Store ID],tblStores[Manager])</f>
        <v>Lisa Young</v>
      </c>
      <c r="G671" t="str">
        <f>_xlfn.XLOOKUP(tblSales[[#This Row],[Category ID]],tblCategories[Category ID],tblCategories[Category])</f>
        <v>Menswear</v>
      </c>
      <c r="H671">
        <v>26784</v>
      </c>
      <c r="I671">
        <v>30140</v>
      </c>
      <c r="J671">
        <v>93</v>
      </c>
      <c r="K671">
        <f>tblSales[[#This Row],[Sales]]-tblSales[[#This Row],[Budget]]</f>
        <v>-3356</v>
      </c>
      <c r="L671" s="3">
        <f>(tblSales[[#This Row],[Sales]]-tblSales[[#This Row],[Budget]])/tblSales[[#This Row],[Budget]]</f>
        <v>-0.11134704711347047</v>
      </c>
      <c r="M671" s="2">
        <f>tblSales[[#This Row],[Sales]]/tblSales[[#This Row],[Transactions]]</f>
        <v>288</v>
      </c>
    </row>
    <row r="672" spans="1:13" x14ac:dyDescent="0.25">
      <c r="A672" s="1">
        <v>46056</v>
      </c>
      <c r="B672" t="s">
        <v>20</v>
      </c>
      <c r="C672" t="s">
        <v>19</v>
      </c>
      <c r="D672" t="str">
        <f>_xlfn.XLOOKUP(tblSales[[#This Row],[Store ID]],tblStores[Store ID],tblStores[Store Name])</f>
        <v>Cape Town CBD</v>
      </c>
      <c r="E672" t="str">
        <f>_xlfn.XLOOKUP(tblSales[[#This Row],[Store ID]],tblStores[Store ID],tblStores[Province])</f>
        <v>Western Cape</v>
      </c>
      <c r="F672" t="str">
        <f>_xlfn.XLOOKUP(tblSales[[#This Row],[Store ID]],tblStores[Store ID],tblStores[Manager])</f>
        <v>Brian Hall</v>
      </c>
      <c r="G672" t="str">
        <f>_xlfn.XLOOKUP(tblSales[[#This Row],[Category ID]],tblCategories[Category ID],tblCategories[Category])</f>
        <v>Accessories</v>
      </c>
      <c r="H672">
        <v>49608</v>
      </c>
      <c r="I672">
        <v>45224</v>
      </c>
      <c r="J672">
        <v>156</v>
      </c>
      <c r="K672">
        <f>tblSales[[#This Row],[Sales]]-tblSales[[#This Row],[Budget]]</f>
        <v>4384</v>
      </c>
      <c r="L672" s="3">
        <f>(tblSales[[#This Row],[Sales]]-tblSales[[#This Row],[Budget]])/tblSales[[#This Row],[Budget]]</f>
        <v>9.6939678047054667E-2</v>
      </c>
      <c r="M672" s="2">
        <f>tblSales[[#This Row],[Sales]]/tblSales[[#This Row],[Transactions]]</f>
        <v>318</v>
      </c>
    </row>
    <row r="673" spans="1:13" x14ac:dyDescent="0.25">
      <c r="A673" s="1">
        <v>46056</v>
      </c>
      <c r="B673" t="s">
        <v>21</v>
      </c>
      <c r="C673" t="s">
        <v>7</v>
      </c>
      <c r="D673" t="str">
        <f>_xlfn.XLOOKUP(tblSales[[#This Row],[Store ID]],tblStores[Store ID],tblStores[Store Name])</f>
        <v>Canal Walk</v>
      </c>
      <c r="E673" t="str">
        <f>_xlfn.XLOOKUP(tblSales[[#This Row],[Store ID]],tblStores[Store ID],tblStores[Province])</f>
        <v>Western Cape</v>
      </c>
      <c r="F673" t="str">
        <f>_xlfn.XLOOKUP(tblSales[[#This Row],[Store ID]],tblStores[Store ID],tblStores[Manager])</f>
        <v>Megan Scott</v>
      </c>
      <c r="G673" t="str">
        <f>_xlfn.XLOOKUP(tblSales[[#This Row],[Category ID]],tblCategories[Category ID],tblCategories[Category])</f>
        <v>Menswear</v>
      </c>
      <c r="H673">
        <v>67830</v>
      </c>
      <c r="I673">
        <v>76297</v>
      </c>
      <c r="J673">
        <v>210</v>
      </c>
      <c r="K673">
        <f>tblSales[[#This Row],[Sales]]-tblSales[[#This Row],[Budget]]</f>
        <v>-8467</v>
      </c>
      <c r="L673" s="3">
        <f>(tblSales[[#This Row],[Sales]]-tblSales[[#This Row],[Budget]])/tblSales[[#This Row],[Budget]]</f>
        <v>-0.1109742191698232</v>
      </c>
      <c r="M673" s="2">
        <f>tblSales[[#This Row],[Sales]]/tblSales[[#This Row],[Transactions]]</f>
        <v>323</v>
      </c>
    </row>
    <row r="674" spans="1:13" x14ac:dyDescent="0.25">
      <c r="A674" s="1">
        <v>46056</v>
      </c>
      <c r="B674" t="s">
        <v>23</v>
      </c>
      <c r="C674" t="s">
        <v>19</v>
      </c>
      <c r="D674" t="str">
        <f>_xlfn.XLOOKUP(tblSales[[#This Row],[Store ID]],tblStores[Store ID],tblStores[Store Name])</f>
        <v>Stellenbosch</v>
      </c>
      <c r="E674" t="str">
        <f>_xlfn.XLOOKUP(tblSales[[#This Row],[Store ID]],tblStores[Store ID],tblStores[Province])</f>
        <v>Western Cape</v>
      </c>
      <c r="F674" t="str">
        <f>_xlfn.XLOOKUP(tblSales[[#This Row],[Store ID]],tblStores[Store ID],tblStores[Manager])</f>
        <v>Jason King</v>
      </c>
      <c r="G674" t="str">
        <f>_xlfn.XLOOKUP(tblSales[[#This Row],[Category ID]],tblCategories[Category ID],tblCategories[Category])</f>
        <v>Accessories</v>
      </c>
      <c r="H674">
        <v>39788</v>
      </c>
      <c r="I674">
        <v>37593</v>
      </c>
      <c r="J674">
        <v>203</v>
      </c>
      <c r="K674">
        <f>tblSales[[#This Row],[Sales]]-tblSales[[#This Row],[Budget]]</f>
        <v>2195</v>
      </c>
      <c r="L674" s="3">
        <f>(tblSales[[#This Row],[Sales]]-tblSales[[#This Row],[Budget]])/tblSales[[#This Row],[Budget]]</f>
        <v>5.8388529779480225E-2</v>
      </c>
      <c r="M674" s="2">
        <f>tblSales[[#This Row],[Sales]]/tblSales[[#This Row],[Transactions]]</f>
        <v>196</v>
      </c>
    </row>
    <row r="675" spans="1:13" x14ac:dyDescent="0.25">
      <c r="A675" s="1">
        <v>46056</v>
      </c>
      <c r="B675" t="s">
        <v>24</v>
      </c>
      <c r="C675" t="s">
        <v>22</v>
      </c>
      <c r="D675" t="str">
        <f>_xlfn.XLOOKUP(tblSales[[#This Row],[Store ID]],tblStores[Store ID],tblStores[Store Name])</f>
        <v>George</v>
      </c>
      <c r="E675" t="str">
        <f>_xlfn.XLOOKUP(tblSales[[#This Row],[Store ID]],tblStores[Store ID],tblStores[Province])</f>
        <v>Western Cape</v>
      </c>
      <c r="F675" t="str">
        <f>_xlfn.XLOOKUP(tblSales[[#This Row],[Store ID]],tblStores[Store ID],tblStores[Manager])</f>
        <v>Chloe Hill</v>
      </c>
      <c r="G675" t="str">
        <f>_xlfn.XLOOKUP(tblSales[[#This Row],[Category ID]],tblCategories[Category ID],tblCategories[Category])</f>
        <v>Kids</v>
      </c>
      <c r="H675">
        <v>11154</v>
      </c>
      <c r="I675">
        <v>11675</v>
      </c>
      <c r="J675">
        <v>39</v>
      </c>
      <c r="K675">
        <f>tblSales[[#This Row],[Sales]]-tblSales[[#This Row],[Budget]]</f>
        <v>-521</v>
      </c>
      <c r="L675" s="3">
        <f>(tblSales[[#This Row],[Sales]]-tblSales[[#This Row],[Budget]])/tblSales[[#This Row],[Budget]]</f>
        <v>-4.4625267665952893E-2</v>
      </c>
      <c r="M675" s="2">
        <f>tblSales[[#This Row],[Sales]]/tblSales[[#This Row],[Transactions]]</f>
        <v>286</v>
      </c>
    </row>
    <row r="676" spans="1:13" x14ac:dyDescent="0.25">
      <c r="A676" s="1">
        <v>46056</v>
      </c>
      <c r="B676" t="s">
        <v>25</v>
      </c>
      <c r="C676" t="s">
        <v>11</v>
      </c>
      <c r="D676" t="str">
        <f>_xlfn.XLOOKUP(tblSales[[#This Row],[Store ID]],tblStores[Store ID],tblStores[Store Name])</f>
        <v>Paarl</v>
      </c>
      <c r="E676" t="str">
        <f>_xlfn.XLOOKUP(tblSales[[#This Row],[Store ID]],tblStores[Store ID],tblStores[Province])</f>
        <v>Western Cape</v>
      </c>
      <c r="F676" t="str">
        <f>_xlfn.XLOOKUP(tblSales[[#This Row],[Store ID]],tblStores[Store ID],tblStores[Manager])</f>
        <v>Andrew Lee</v>
      </c>
      <c r="G676" t="str">
        <f>_xlfn.XLOOKUP(tblSales[[#This Row],[Category ID]],tblCategories[Category ID],tblCategories[Category])</f>
        <v>Footwear</v>
      </c>
      <c r="H676">
        <v>17982</v>
      </c>
      <c r="I676">
        <v>16914</v>
      </c>
      <c r="J676">
        <v>54</v>
      </c>
      <c r="K676">
        <f>tblSales[[#This Row],[Sales]]-tblSales[[#This Row],[Budget]]</f>
        <v>1068</v>
      </c>
      <c r="L676" s="3">
        <f>(tblSales[[#This Row],[Sales]]-tblSales[[#This Row],[Budget]])/tblSales[[#This Row],[Budget]]</f>
        <v>6.314295849592054E-2</v>
      </c>
      <c r="M676" s="2">
        <f>tblSales[[#This Row],[Sales]]/tblSales[[#This Row],[Transactions]]</f>
        <v>333</v>
      </c>
    </row>
    <row r="677" spans="1:13" x14ac:dyDescent="0.25">
      <c r="A677" s="1">
        <v>46056</v>
      </c>
      <c r="B677" t="s">
        <v>26</v>
      </c>
      <c r="C677" t="s">
        <v>9</v>
      </c>
      <c r="D677" t="str">
        <f>_xlfn.XLOOKUP(tblSales[[#This Row],[Store ID]],tblStores[Store ID],tblStores[Store Name])</f>
        <v>Gqeberha</v>
      </c>
      <c r="E677" t="str">
        <f>_xlfn.XLOOKUP(tblSales[[#This Row],[Store ID]],tblStores[Store ID],tblStores[Province])</f>
        <v>Eastern Cape</v>
      </c>
      <c r="F677" t="str">
        <f>_xlfn.XLOOKUP(tblSales[[#This Row],[Store ID]],tblStores[Store ID],tblStores[Manager])</f>
        <v>Emma Baker</v>
      </c>
      <c r="G677" t="str">
        <f>_xlfn.XLOOKUP(tblSales[[#This Row],[Category ID]],tblCategories[Category ID],tblCategories[Category])</f>
        <v>Ladieswear</v>
      </c>
      <c r="H677">
        <v>68220</v>
      </c>
      <c r="I677">
        <v>72944</v>
      </c>
      <c r="J677">
        <v>180</v>
      </c>
      <c r="K677">
        <f>tblSales[[#This Row],[Sales]]-tblSales[[#This Row],[Budget]]</f>
        <v>-4724</v>
      </c>
      <c r="L677" s="3">
        <f>(tblSales[[#This Row],[Sales]]-tblSales[[#This Row],[Budget]])/tblSales[[#This Row],[Budget]]</f>
        <v>-6.4762009212546615E-2</v>
      </c>
      <c r="M677" s="2">
        <f>tblSales[[#This Row],[Sales]]/tblSales[[#This Row],[Transactions]]</f>
        <v>379</v>
      </c>
    </row>
    <row r="678" spans="1:13" x14ac:dyDescent="0.25">
      <c r="A678" s="1">
        <v>46056</v>
      </c>
      <c r="B678" t="s">
        <v>27</v>
      </c>
      <c r="C678" t="s">
        <v>19</v>
      </c>
      <c r="D678" t="str">
        <f>_xlfn.XLOOKUP(tblSales[[#This Row],[Store ID]],tblStores[Store ID],tblStores[Store Name])</f>
        <v>East London</v>
      </c>
      <c r="E678" t="str">
        <f>_xlfn.XLOOKUP(tblSales[[#This Row],[Store ID]],tblStores[Store ID],tblStores[Province])</f>
        <v>Eastern Cape</v>
      </c>
      <c r="F678" t="str">
        <f>_xlfn.XLOOKUP(tblSales[[#This Row],[Store ID]],tblStores[Store ID],tblStores[Manager])</f>
        <v>Daniel Evans</v>
      </c>
      <c r="G678" t="str">
        <f>_xlfn.XLOOKUP(tblSales[[#This Row],[Category ID]],tblCategories[Category ID],tblCategories[Category])</f>
        <v>Accessories</v>
      </c>
      <c r="H678">
        <v>44744</v>
      </c>
      <c r="I678">
        <v>48721</v>
      </c>
      <c r="J678">
        <v>119</v>
      </c>
      <c r="K678">
        <f>tblSales[[#This Row],[Sales]]-tblSales[[#This Row],[Budget]]</f>
        <v>-3977</v>
      </c>
      <c r="L678" s="3">
        <f>(tblSales[[#This Row],[Sales]]-tblSales[[#This Row],[Budget]])/tblSales[[#This Row],[Budget]]</f>
        <v>-8.1628045401366964E-2</v>
      </c>
      <c r="M678" s="2">
        <f>tblSales[[#This Row],[Sales]]/tblSales[[#This Row],[Transactions]]</f>
        <v>376</v>
      </c>
    </row>
    <row r="679" spans="1:13" x14ac:dyDescent="0.25">
      <c r="A679" s="1">
        <v>46056</v>
      </c>
      <c r="B679" t="s">
        <v>28</v>
      </c>
      <c r="C679" t="s">
        <v>9</v>
      </c>
      <c r="D679" t="str">
        <f>_xlfn.XLOOKUP(tblSales[[#This Row],[Store ID]],tblStores[Store ID],tblStores[Store Name])</f>
        <v>Bloemfontein</v>
      </c>
      <c r="E679" t="str">
        <f>_xlfn.XLOOKUP(tblSales[[#This Row],[Store ID]],tblStores[Store ID],tblStores[Province])</f>
        <v>Free State</v>
      </c>
      <c r="F679" t="str">
        <f>_xlfn.XLOOKUP(tblSales[[#This Row],[Store ID]],tblStores[Store ID],tblStores[Manager])</f>
        <v>Rachel Moore</v>
      </c>
      <c r="G679" t="str">
        <f>_xlfn.XLOOKUP(tblSales[[#This Row],[Category ID]],tblCategories[Category ID],tblCategories[Category])</f>
        <v>Ladieswear</v>
      </c>
      <c r="H679">
        <v>46420</v>
      </c>
      <c r="I679">
        <v>47589</v>
      </c>
      <c r="J679">
        <v>211</v>
      </c>
      <c r="K679">
        <f>tblSales[[#This Row],[Sales]]-tblSales[[#This Row],[Budget]]</f>
        <v>-1169</v>
      </c>
      <c r="L679" s="3">
        <f>(tblSales[[#This Row],[Sales]]-tblSales[[#This Row],[Budget]])/tblSales[[#This Row],[Budget]]</f>
        <v>-2.4564500199625965E-2</v>
      </c>
      <c r="M679" s="2">
        <f>tblSales[[#This Row],[Sales]]/tblSales[[#This Row],[Transactions]]</f>
        <v>220</v>
      </c>
    </row>
    <row r="680" spans="1:13" x14ac:dyDescent="0.25">
      <c r="A680" s="1">
        <v>46056</v>
      </c>
      <c r="B680" t="s">
        <v>29</v>
      </c>
      <c r="C680" t="s">
        <v>22</v>
      </c>
      <c r="D680" t="str">
        <f>_xlfn.XLOOKUP(tblSales[[#This Row],[Store ID]],tblStores[Store ID],tblStores[Store Name])</f>
        <v>Polokwane</v>
      </c>
      <c r="E680" t="str">
        <f>_xlfn.XLOOKUP(tblSales[[#This Row],[Store ID]],tblStores[Store ID],tblStores[Province])</f>
        <v>Limpopo</v>
      </c>
      <c r="F680" t="str">
        <f>_xlfn.XLOOKUP(tblSales[[#This Row],[Store ID]],tblStores[Store ID],tblStores[Manager])</f>
        <v>Kevin Harris</v>
      </c>
      <c r="G680" t="str">
        <f>_xlfn.XLOOKUP(tblSales[[#This Row],[Category ID]],tblCategories[Category ID],tblCategories[Category])</f>
        <v>Kids</v>
      </c>
      <c r="H680">
        <v>11040</v>
      </c>
      <c r="I680">
        <v>11142</v>
      </c>
      <c r="J680">
        <v>48</v>
      </c>
      <c r="K680">
        <f>tblSales[[#This Row],[Sales]]-tblSales[[#This Row],[Budget]]</f>
        <v>-102</v>
      </c>
      <c r="L680" s="3">
        <f>(tblSales[[#This Row],[Sales]]-tblSales[[#This Row],[Budget]])/tblSales[[#This Row],[Budget]]</f>
        <v>-9.154550350026925E-3</v>
      </c>
      <c r="M680" s="2">
        <f>tblSales[[#This Row],[Sales]]/tblSales[[#This Row],[Transactions]]</f>
        <v>230</v>
      </c>
    </row>
    <row r="681" spans="1:13" x14ac:dyDescent="0.25">
      <c r="A681" s="1">
        <v>46056</v>
      </c>
      <c r="B681" t="s">
        <v>30</v>
      </c>
      <c r="C681" t="s">
        <v>7</v>
      </c>
      <c r="D681" t="str">
        <f>_xlfn.XLOOKUP(tblSales[[#This Row],[Store ID]],tblStores[Store ID],tblStores[Store Name])</f>
        <v>Nelspruit</v>
      </c>
      <c r="E681" t="str">
        <f>_xlfn.XLOOKUP(tblSales[[#This Row],[Store ID]],tblStores[Store ID],tblStores[Province])</f>
        <v>Mpumalanga</v>
      </c>
      <c r="F681" t="str">
        <f>_xlfn.XLOOKUP(tblSales[[#This Row],[Store ID]],tblStores[Store ID],tblStores[Manager])</f>
        <v>Olivia Turner</v>
      </c>
      <c r="G681" t="str">
        <f>_xlfn.XLOOKUP(tblSales[[#This Row],[Category ID]],tblCategories[Category ID],tblCategories[Category])</f>
        <v>Menswear</v>
      </c>
      <c r="H681">
        <v>59658</v>
      </c>
      <c r="I681">
        <v>65161</v>
      </c>
      <c r="J681">
        <v>122</v>
      </c>
      <c r="K681">
        <f>tblSales[[#This Row],[Sales]]-tblSales[[#This Row],[Budget]]</f>
        <v>-5503</v>
      </c>
      <c r="L681" s="3">
        <f>(tblSales[[#This Row],[Sales]]-tblSales[[#This Row],[Budget]])/tblSales[[#This Row],[Budget]]</f>
        <v>-8.4452356470895162E-2</v>
      </c>
      <c r="M681" s="2">
        <f>tblSales[[#This Row],[Sales]]/tblSales[[#This Row],[Transactions]]</f>
        <v>489</v>
      </c>
    </row>
    <row r="682" spans="1:13" x14ac:dyDescent="0.25">
      <c r="A682" s="1">
        <v>46057</v>
      </c>
      <c r="B682" t="s">
        <v>6</v>
      </c>
      <c r="C682" t="s">
        <v>19</v>
      </c>
      <c r="D682" t="str">
        <f>_xlfn.XLOOKUP(tblSales[[#This Row],[Store ID]],tblStores[Store ID],tblStores[Store Name])</f>
        <v>Durban CBD</v>
      </c>
      <c r="E682" t="str">
        <f>_xlfn.XLOOKUP(tblSales[[#This Row],[Store ID]],tblStores[Store ID],tblStores[Province])</f>
        <v>KZN</v>
      </c>
      <c r="F682" t="str">
        <f>_xlfn.XLOOKUP(tblSales[[#This Row],[Store ID]],tblStores[Store ID],tblStores[Manager])</f>
        <v>Sarah Adams</v>
      </c>
      <c r="G682" t="str">
        <f>_xlfn.XLOOKUP(tblSales[[#This Row],[Category ID]],tblCategories[Category ID],tblCategories[Category])</f>
        <v>Accessories</v>
      </c>
      <c r="H682">
        <v>47192</v>
      </c>
      <c r="I682">
        <v>42822</v>
      </c>
      <c r="J682">
        <v>136</v>
      </c>
      <c r="K682">
        <f>tblSales[[#This Row],[Sales]]-tblSales[[#This Row],[Budget]]</f>
        <v>4370</v>
      </c>
      <c r="L682" s="3">
        <f>(tblSales[[#This Row],[Sales]]-tblSales[[#This Row],[Budget]])/tblSales[[#This Row],[Budget]]</f>
        <v>0.10205034795198729</v>
      </c>
      <c r="M682" s="2">
        <f>tblSales[[#This Row],[Sales]]/tblSales[[#This Row],[Transactions]]</f>
        <v>347</v>
      </c>
    </row>
    <row r="683" spans="1:13" x14ac:dyDescent="0.25">
      <c r="A683" s="1">
        <v>46057</v>
      </c>
      <c r="B683" t="s">
        <v>8</v>
      </c>
      <c r="C683" t="s">
        <v>22</v>
      </c>
      <c r="D683" t="str">
        <f>_xlfn.XLOOKUP(tblSales[[#This Row],[Store ID]],tblStores[Store ID],tblStores[Store Name])</f>
        <v>Gateway</v>
      </c>
      <c r="E683" t="str">
        <f>_xlfn.XLOOKUP(tblSales[[#This Row],[Store ID]],tblStores[Store ID],tblStores[Province])</f>
        <v>KZN</v>
      </c>
      <c r="F683" t="str">
        <f>_xlfn.XLOOKUP(tblSales[[#This Row],[Store ID]],tblStores[Store ID],tblStores[Manager])</f>
        <v>Michael Jones</v>
      </c>
      <c r="G683" t="str">
        <f>_xlfn.XLOOKUP(tblSales[[#This Row],[Category ID]],tblCategories[Category ID],tblCategories[Category])</f>
        <v>Kids</v>
      </c>
      <c r="H683">
        <v>64650</v>
      </c>
      <c r="I683">
        <v>61872</v>
      </c>
      <c r="J683">
        <v>150</v>
      </c>
      <c r="K683">
        <f>tblSales[[#This Row],[Sales]]-tblSales[[#This Row],[Budget]]</f>
        <v>2778</v>
      </c>
      <c r="L683" s="3">
        <f>(tblSales[[#This Row],[Sales]]-tblSales[[#This Row],[Budget]])/tblSales[[#This Row],[Budget]]</f>
        <v>4.4899146625290924E-2</v>
      </c>
      <c r="M683" s="2">
        <f>tblSales[[#This Row],[Sales]]/tblSales[[#This Row],[Transactions]]</f>
        <v>431</v>
      </c>
    </row>
    <row r="684" spans="1:13" x14ac:dyDescent="0.25">
      <c r="A684" s="1">
        <v>46057</v>
      </c>
      <c r="B684" t="s">
        <v>10</v>
      </c>
      <c r="C684" t="s">
        <v>19</v>
      </c>
      <c r="D684" t="str">
        <f>_xlfn.XLOOKUP(tblSales[[#This Row],[Store ID]],tblStores[Store ID],tblStores[Store Name])</f>
        <v>Ballito</v>
      </c>
      <c r="E684" t="str">
        <f>_xlfn.XLOOKUP(tblSales[[#This Row],[Store ID]],tblStores[Store ID],tblStores[Province])</f>
        <v>KZN</v>
      </c>
      <c r="F684" t="str">
        <f>_xlfn.XLOOKUP(tblSales[[#This Row],[Store ID]],tblStores[Store ID],tblStores[Manager])</f>
        <v>Linda Smith</v>
      </c>
      <c r="G684" t="str">
        <f>_xlfn.XLOOKUP(tblSales[[#This Row],[Category ID]],tblCategories[Category ID],tblCategories[Category])</f>
        <v>Accessories</v>
      </c>
      <c r="H684">
        <v>52531</v>
      </c>
      <c r="I684">
        <v>49717</v>
      </c>
      <c r="J684">
        <v>131</v>
      </c>
      <c r="K684">
        <f>tblSales[[#This Row],[Sales]]-tblSales[[#This Row],[Budget]]</f>
        <v>2814</v>
      </c>
      <c r="L684" s="3">
        <f>(tblSales[[#This Row],[Sales]]-tblSales[[#This Row],[Budget]])/tblSales[[#This Row],[Budget]]</f>
        <v>5.6600358026429591E-2</v>
      </c>
      <c r="M684" s="2">
        <f>tblSales[[#This Row],[Sales]]/tblSales[[#This Row],[Transactions]]</f>
        <v>401</v>
      </c>
    </row>
    <row r="685" spans="1:13" x14ac:dyDescent="0.25">
      <c r="A685" s="1">
        <v>46057</v>
      </c>
      <c r="B685" t="s">
        <v>12</v>
      </c>
      <c r="C685" t="s">
        <v>19</v>
      </c>
      <c r="D685" t="str">
        <f>_xlfn.XLOOKUP(tblSales[[#This Row],[Store ID]],tblStores[Store ID],tblStores[Store Name])</f>
        <v>Pietermaritzburg</v>
      </c>
      <c r="E685" t="str">
        <f>_xlfn.XLOOKUP(tblSales[[#This Row],[Store ID]],tblStores[Store ID],tblStores[Province])</f>
        <v>KZN</v>
      </c>
      <c r="F685" t="str">
        <f>_xlfn.XLOOKUP(tblSales[[#This Row],[Store ID]],tblStores[Store ID],tblStores[Manager])</f>
        <v>Peter Brown</v>
      </c>
      <c r="G685" t="str">
        <f>_xlfn.XLOOKUP(tblSales[[#This Row],[Category ID]],tblCategories[Category ID],tblCategories[Category])</f>
        <v>Accessories</v>
      </c>
      <c r="H685">
        <v>76296</v>
      </c>
      <c r="I685">
        <v>70300</v>
      </c>
      <c r="J685">
        <v>204</v>
      </c>
      <c r="K685">
        <f>tblSales[[#This Row],[Sales]]-tblSales[[#This Row],[Budget]]</f>
        <v>5996</v>
      </c>
      <c r="L685" s="3">
        <f>(tblSales[[#This Row],[Sales]]-tblSales[[#This Row],[Budget]])/tblSales[[#This Row],[Budget]]</f>
        <v>8.5291607396870556E-2</v>
      </c>
      <c r="M685" s="2">
        <f>tblSales[[#This Row],[Sales]]/tblSales[[#This Row],[Transactions]]</f>
        <v>374</v>
      </c>
    </row>
    <row r="686" spans="1:13" x14ac:dyDescent="0.25">
      <c r="A686" s="1">
        <v>46057</v>
      </c>
      <c r="B686" t="s">
        <v>13</v>
      </c>
      <c r="C686" t="s">
        <v>19</v>
      </c>
      <c r="D686" t="str">
        <f>_xlfn.XLOOKUP(tblSales[[#This Row],[Store ID]],tblStores[Store ID],tblStores[Store Name])</f>
        <v>Richards Bay</v>
      </c>
      <c r="E686" t="str">
        <f>_xlfn.XLOOKUP(tblSales[[#This Row],[Store ID]],tblStores[Store ID],tblStores[Province])</f>
        <v>KZN</v>
      </c>
      <c r="F686" t="str">
        <f>_xlfn.XLOOKUP(tblSales[[#This Row],[Store ID]],tblStores[Store ID],tblStores[Manager])</f>
        <v>David Green</v>
      </c>
      <c r="G686" t="str">
        <f>_xlfn.XLOOKUP(tblSales[[#This Row],[Category ID]],tblCategories[Category ID],tblCategories[Category])</f>
        <v>Accessories</v>
      </c>
      <c r="H686">
        <v>33660</v>
      </c>
      <c r="I686">
        <v>36294</v>
      </c>
      <c r="J686">
        <v>110</v>
      </c>
      <c r="K686">
        <f>tblSales[[#This Row],[Sales]]-tblSales[[#This Row],[Budget]]</f>
        <v>-2634</v>
      </c>
      <c r="L686" s="3">
        <f>(tblSales[[#This Row],[Sales]]-tblSales[[#This Row],[Budget]])/tblSales[[#This Row],[Budget]]</f>
        <v>-7.2573979170110756E-2</v>
      </c>
      <c r="M686" s="2">
        <f>tblSales[[#This Row],[Sales]]/tblSales[[#This Row],[Transactions]]</f>
        <v>306</v>
      </c>
    </row>
    <row r="687" spans="1:13" x14ac:dyDescent="0.25">
      <c r="A687" s="1">
        <v>46057</v>
      </c>
      <c r="B687" t="s">
        <v>14</v>
      </c>
      <c r="C687" t="s">
        <v>7</v>
      </c>
      <c r="D687" t="str">
        <f>_xlfn.XLOOKUP(tblSales[[#This Row],[Store ID]],tblStores[Store ID],tblStores[Store Name])</f>
        <v>Sandton</v>
      </c>
      <c r="E687" t="str">
        <f>_xlfn.XLOOKUP(tblSales[[#This Row],[Store ID]],tblStores[Store ID],tblStores[Province])</f>
        <v>Gauteng</v>
      </c>
      <c r="F687" t="str">
        <f>_xlfn.XLOOKUP(tblSales[[#This Row],[Store ID]],tblStores[Store ID],tblStores[Manager])</f>
        <v>Karen White</v>
      </c>
      <c r="G687" t="str">
        <f>_xlfn.XLOOKUP(tblSales[[#This Row],[Category ID]],tblCategories[Category ID],tblCategories[Category])</f>
        <v>Menswear</v>
      </c>
      <c r="H687">
        <v>26574</v>
      </c>
      <c r="I687">
        <v>26441</v>
      </c>
      <c r="J687">
        <v>103</v>
      </c>
      <c r="K687">
        <f>tblSales[[#This Row],[Sales]]-tblSales[[#This Row],[Budget]]</f>
        <v>133</v>
      </c>
      <c r="L687" s="3">
        <f>(tblSales[[#This Row],[Sales]]-tblSales[[#This Row],[Budget]])/tblSales[[#This Row],[Budget]]</f>
        <v>5.0300669414923794E-3</v>
      </c>
      <c r="M687" s="2">
        <f>tblSales[[#This Row],[Sales]]/tblSales[[#This Row],[Transactions]]</f>
        <v>258</v>
      </c>
    </row>
    <row r="688" spans="1:13" x14ac:dyDescent="0.25">
      <c r="A688" s="1">
        <v>46057</v>
      </c>
      <c r="B688" t="s">
        <v>15</v>
      </c>
      <c r="C688" t="s">
        <v>9</v>
      </c>
      <c r="D688" t="str">
        <f>_xlfn.XLOOKUP(tblSales[[#This Row],[Store ID]],tblStores[Store ID],tblStores[Store Name])</f>
        <v>Rosebank</v>
      </c>
      <c r="E688" t="str">
        <f>_xlfn.XLOOKUP(tblSales[[#This Row],[Store ID]],tblStores[Store ID],tblStores[Province])</f>
        <v>Gauteng</v>
      </c>
      <c r="F688" t="str">
        <f>_xlfn.XLOOKUP(tblSales[[#This Row],[Store ID]],tblStores[Store ID],tblStores[Manager])</f>
        <v>James Taylor</v>
      </c>
      <c r="G688" t="str">
        <f>_xlfn.XLOOKUP(tblSales[[#This Row],[Category ID]],tblCategories[Category ID],tblCategories[Category])</f>
        <v>Ladieswear</v>
      </c>
      <c r="H688">
        <v>45828</v>
      </c>
      <c r="I688">
        <v>45377</v>
      </c>
      <c r="J688">
        <v>134</v>
      </c>
      <c r="K688">
        <f>tblSales[[#This Row],[Sales]]-tblSales[[#This Row],[Budget]]</f>
        <v>451</v>
      </c>
      <c r="L688" s="3">
        <f>(tblSales[[#This Row],[Sales]]-tblSales[[#This Row],[Budget]])/tblSales[[#This Row],[Budget]]</f>
        <v>9.9389558586949339E-3</v>
      </c>
      <c r="M688" s="2">
        <f>tblSales[[#This Row],[Sales]]/tblSales[[#This Row],[Transactions]]</f>
        <v>342</v>
      </c>
    </row>
    <row r="689" spans="1:13" x14ac:dyDescent="0.25">
      <c r="A689" s="1">
        <v>46057</v>
      </c>
      <c r="B689" t="s">
        <v>16</v>
      </c>
      <c r="C689" t="s">
        <v>7</v>
      </c>
      <c r="D689" t="str">
        <f>_xlfn.XLOOKUP(tblSales[[#This Row],[Store ID]],tblStores[Store ID],tblStores[Store Name])</f>
        <v>Pretoria</v>
      </c>
      <c r="E689" t="str">
        <f>_xlfn.XLOOKUP(tblSales[[#This Row],[Store ID]],tblStores[Store ID],tblStores[Province])</f>
        <v>Gauteng</v>
      </c>
      <c r="F689" t="str">
        <f>_xlfn.XLOOKUP(tblSales[[#This Row],[Store ID]],tblStores[Store ID],tblStores[Manager])</f>
        <v>Susan Clark</v>
      </c>
      <c r="G689" t="str">
        <f>_xlfn.XLOOKUP(tblSales[[#This Row],[Category ID]],tblCategories[Category ID],tblCategories[Category])</f>
        <v>Menswear</v>
      </c>
      <c r="H689">
        <v>12132</v>
      </c>
      <c r="I689">
        <v>12267</v>
      </c>
      <c r="J689">
        <v>36</v>
      </c>
      <c r="K689">
        <f>tblSales[[#This Row],[Sales]]-tblSales[[#This Row],[Budget]]</f>
        <v>-135</v>
      </c>
      <c r="L689" s="3">
        <f>(tblSales[[#This Row],[Sales]]-tblSales[[#This Row],[Budget]])/tblSales[[#This Row],[Budget]]</f>
        <v>-1.1005135730007337E-2</v>
      </c>
      <c r="M689" s="2">
        <f>tblSales[[#This Row],[Sales]]/tblSales[[#This Row],[Transactions]]</f>
        <v>337</v>
      </c>
    </row>
    <row r="690" spans="1:13" x14ac:dyDescent="0.25">
      <c r="A690" s="1">
        <v>46057</v>
      </c>
      <c r="B690" t="s">
        <v>17</v>
      </c>
      <c r="C690" t="s">
        <v>22</v>
      </c>
      <c r="D690" t="str">
        <f>_xlfn.XLOOKUP(tblSales[[#This Row],[Store ID]],tblStores[Store ID],tblStores[Store Name])</f>
        <v>Centurion</v>
      </c>
      <c r="E690" t="str">
        <f>_xlfn.XLOOKUP(tblSales[[#This Row],[Store ID]],tblStores[Store ID],tblStores[Province])</f>
        <v>Gauteng</v>
      </c>
      <c r="F690" t="str">
        <f>_xlfn.XLOOKUP(tblSales[[#This Row],[Store ID]],tblStores[Store ID],tblStores[Manager])</f>
        <v>Mark Wilson</v>
      </c>
      <c r="G690" t="str">
        <f>_xlfn.XLOOKUP(tblSales[[#This Row],[Category ID]],tblCategories[Category ID],tblCategories[Category])</f>
        <v>Kids</v>
      </c>
      <c r="H690">
        <v>15067</v>
      </c>
      <c r="I690">
        <v>13889</v>
      </c>
      <c r="J690">
        <v>61</v>
      </c>
      <c r="K690">
        <f>tblSales[[#This Row],[Sales]]-tblSales[[#This Row],[Budget]]</f>
        <v>1178</v>
      </c>
      <c r="L690" s="3">
        <f>(tblSales[[#This Row],[Sales]]-tblSales[[#This Row],[Budget]])/tblSales[[#This Row],[Budget]]</f>
        <v>8.4815321477428179E-2</v>
      </c>
      <c r="M690" s="2">
        <f>tblSales[[#This Row],[Sales]]/tblSales[[#This Row],[Transactions]]</f>
        <v>247</v>
      </c>
    </row>
    <row r="691" spans="1:13" x14ac:dyDescent="0.25">
      <c r="A691" s="1">
        <v>46057</v>
      </c>
      <c r="B691" t="s">
        <v>18</v>
      </c>
      <c r="C691" t="s">
        <v>11</v>
      </c>
      <c r="D691" t="str">
        <f>_xlfn.XLOOKUP(tblSales[[#This Row],[Store ID]],tblStores[Store ID],tblStores[Store Name])</f>
        <v>East Rand</v>
      </c>
      <c r="E691" t="str">
        <f>_xlfn.XLOOKUP(tblSales[[#This Row],[Store ID]],tblStores[Store ID],tblStores[Province])</f>
        <v>Gauteng</v>
      </c>
      <c r="F691" t="str">
        <f>_xlfn.XLOOKUP(tblSales[[#This Row],[Store ID]],tblStores[Store ID],tblStores[Manager])</f>
        <v>Lisa Young</v>
      </c>
      <c r="G691" t="str">
        <f>_xlfn.XLOOKUP(tblSales[[#This Row],[Category ID]],tblCategories[Category ID],tblCategories[Category])</f>
        <v>Footwear</v>
      </c>
      <c r="H691">
        <v>69285</v>
      </c>
      <c r="I691">
        <v>71965</v>
      </c>
      <c r="J691">
        <v>149</v>
      </c>
      <c r="K691">
        <f>tblSales[[#This Row],[Sales]]-tblSales[[#This Row],[Budget]]</f>
        <v>-2680</v>
      </c>
      <c r="L691" s="3">
        <f>(tblSales[[#This Row],[Sales]]-tblSales[[#This Row],[Budget]])/tblSales[[#This Row],[Budget]]</f>
        <v>-3.7240325158062949E-2</v>
      </c>
      <c r="M691" s="2">
        <f>tblSales[[#This Row],[Sales]]/tblSales[[#This Row],[Transactions]]</f>
        <v>465</v>
      </c>
    </row>
    <row r="692" spans="1:13" x14ac:dyDescent="0.25">
      <c r="A692" s="1">
        <v>46057</v>
      </c>
      <c r="B692" t="s">
        <v>20</v>
      </c>
      <c r="C692" t="s">
        <v>11</v>
      </c>
      <c r="D692" t="str">
        <f>_xlfn.XLOOKUP(tblSales[[#This Row],[Store ID]],tblStores[Store ID],tblStores[Store Name])</f>
        <v>Cape Town CBD</v>
      </c>
      <c r="E692" t="str">
        <f>_xlfn.XLOOKUP(tblSales[[#This Row],[Store ID]],tblStores[Store ID],tblStores[Province])</f>
        <v>Western Cape</v>
      </c>
      <c r="F692" t="str">
        <f>_xlfn.XLOOKUP(tblSales[[#This Row],[Store ID]],tblStores[Store ID],tblStores[Manager])</f>
        <v>Brian Hall</v>
      </c>
      <c r="G692" t="str">
        <f>_xlfn.XLOOKUP(tblSales[[#This Row],[Category ID]],tblCategories[Category ID],tblCategories[Category])</f>
        <v>Footwear</v>
      </c>
      <c r="H692">
        <v>11773</v>
      </c>
      <c r="I692">
        <v>10859</v>
      </c>
      <c r="J692">
        <v>61</v>
      </c>
      <c r="K692">
        <f>tblSales[[#This Row],[Sales]]-tblSales[[#This Row],[Budget]]</f>
        <v>914</v>
      </c>
      <c r="L692" s="3">
        <f>(tblSales[[#This Row],[Sales]]-tblSales[[#This Row],[Budget]])/tblSales[[#This Row],[Budget]]</f>
        <v>8.4169813058292658E-2</v>
      </c>
      <c r="M692" s="2">
        <f>tblSales[[#This Row],[Sales]]/tblSales[[#This Row],[Transactions]]</f>
        <v>193</v>
      </c>
    </row>
    <row r="693" spans="1:13" x14ac:dyDescent="0.25">
      <c r="A693" s="1">
        <v>46057</v>
      </c>
      <c r="B693" t="s">
        <v>21</v>
      </c>
      <c r="C693" t="s">
        <v>19</v>
      </c>
      <c r="D693" t="str">
        <f>_xlfn.XLOOKUP(tblSales[[#This Row],[Store ID]],tblStores[Store ID],tblStores[Store Name])</f>
        <v>Canal Walk</v>
      </c>
      <c r="E693" t="str">
        <f>_xlfn.XLOOKUP(tblSales[[#This Row],[Store ID]],tblStores[Store ID],tblStores[Province])</f>
        <v>Western Cape</v>
      </c>
      <c r="F693" t="str">
        <f>_xlfn.XLOOKUP(tblSales[[#This Row],[Store ID]],tblStores[Store ID],tblStores[Manager])</f>
        <v>Megan Scott</v>
      </c>
      <c r="G693" t="str">
        <f>_xlfn.XLOOKUP(tblSales[[#This Row],[Category ID]],tblCategories[Category ID],tblCategories[Category])</f>
        <v>Accessories</v>
      </c>
      <c r="H693">
        <v>28130</v>
      </c>
      <c r="I693">
        <v>29522</v>
      </c>
      <c r="J693">
        <v>58</v>
      </c>
      <c r="K693">
        <f>tblSales[[#This Row],[Sales]]-tblSales[[#This Row],[Budget]]</f>
        <v>-1392</v>
      </c>
      <c r="L693" s="3">
        <f>(tblSales[[#This Row],[Sales]]-tblSales[[#This Row],[Budget]])/tblSales[[#This Row],[Budget]]</f>
        <v>-4.7151277013752456E-2</v>
      </c>
      <c r="M693" s="2">
        <f>tblSales[[#This Row],[Sales]]/tblSales[[#This Row],[Transactions]]</f>
        <v>485</v>
      </c>
    </row>
    <row r="694" spans="1:13" x14ac:dyDescent="0.25">
      <c r="A694" s="1">
        <v>46057</v>
      </c>
      <c r="B694" t="s">
        <v>23</v>
      </c>
      <c r="C694" t="s">
        <v>22</v>
      </c>
      <c r="D694" t="str">
        <f>_xlfn.XLOOKUP(tblSales[[#This Row],[Store ID]],tblStores[Store ID],tblStores[Store Name])</f>
        <v>Stellenbosch</v>
      </c>
      <c r="E694" t="str">
        <f>_xlfn.XLOOKUP(tblSales[[#This Row],[Store ID]],tblStores[Store ID],tblStores[Province])</f>
        <v>Western Cape</v>
      </c>
      <c r="F694" t="str">
        <f>_xlfn.XLOOKUP(tblSales[[#This Row],[Store ID]],tblStores[Store ID],tblStores[Manager])</f>
        <v>Jason King</v>
      </c>
      <c r="G694" t="str">
        <f>_xlfn.XLOOKUP(tblSales[[#This Row],[Category ID]],tblCategories[Category ID],tblCategories[Category])</f>
        <v>Kids</v>
      </c>
      <c r="H694">
        <v>24738</v>
      </c>
      <c r="I694">
        <v>24069</v>
      </c>
      <c r="J694">
        <v>133</v>
      </c>
      <c r="K694">
        <f>tblSales[[#This Row],[Sales]]-tblSales[[#This Row],[Budget]]</f>
        <v>669</v>
      </c>
      <c r="L694" s="3">
        <f>(tblSales[[#This Row],[Sales]]-tblSales[[#This Row],[Budget]])/tblSales[[#This Row],[Budget]]</f>
        <v>2.7795089118783499E-2</v>
      </c>
      <c r="M694" s="2">
        <f>tblSales[[#This Row],[Sales]]/tblSales[[#This Row],[Transactions]]</f>
        <v>186</v>
      </c>
    </row>
    <row r="695" spans="1:13" x14ac:dyDescent="0.25">
      <c r="A695" s="1">
        <v>46057</v>
      </c>
      <c r="B695" t="s">
        <v>24</v>
      </c>
      <c r="C695" t="s">
        <v>11</v>
      </c>
      <c r="D695" t="str">
        <f>_xlfn.XLOOKUP(tblSales[[#This Row],[Store ID]],tblStores[Store ID],tblStores[Store Name])</f>
        <v>George</v>
      </c>
      <c r="E695" t="str">
        <f>_xlfn.XLOOKUP(tblSales[[#This Row],[Store ID]],tblStores[Store ID],tblStores[Province])</f>
        <v>Western Cape</v>
      </c>
      <c r="F695" t="str">
        <f>_xlfn.XLOOKUP(tblSales[[#This Row],[Store ID]],tblStores[Store ID],tblStores[Manager])</f>
        <v>Chloe Hill</v>
      </c>
      <c r="G695" t="str">
        <f>_xlfn.XLOOKUP(tblSales[[#This Row],[Category ID]],tblCategories[Category ID],tblCategories[Category])</f>
        <v>Footwear</v>
      </c>
      <c r="H695">
        <v>26096</v>
      </c>
      <c r="I695">
        <v>29391</v>
      </c>
      <c r="J695">
        <v>56</v>
      </c>
      <c r="K695">
        <f>tblSales[[#This Row],[Sales]]-tblSales[[#This Row],[Budget]]</f>
        <v>-3295</v>
      </c>
      <c r="L695" s="3">
        <f>(tblSales[[#This Row],[Sales]]-tblSales[[#This Row],[Budget]])/tblSales[[#This Row],[Budget]]</f>
        <v>-0.11210914905923582</v>
      </c>
      <c r="M695" s="2">
        <f>tblSales[[#This Row],[Sales]]/tblSales[[#This Row],[Transactions]]</f>
        <v>466</v>
      </c>
    </row>
    <row r="696" spans="1:13" x14ac:dyDescent="0.25">
      <c r="A696" s="1">
        <v>46057</v>
      </c>
      <c r="B696" t="s">
        <v>25</v>
      </c>
      <c r="C696" t="s">
        <v>9</v>
      </c>
      <c r="D696" t="str">
        <f>_xlfn.XLOOKUP(tblSales[[#This Row],[Store ID]],tblStores[Store ID],tblStores[Store Name])</f>
        <v>Paarl</v>
      </c>
      <c r="E696" t="str">
        <f>_xlfn.XLOOKUP(tblSales[[#This Row],[Store ID]],tblStores[Store ID],tblStores[Province])</f>
        <v>Western Cape</v>
      </c>
      <c r="F696" t="str">
        <f>_xlfn.XLOOKUP(tblSales[[#This Row],[Store ID]],tblStores[Store ID],tblStores[Manager])</f>
        <v>Andrew Lee</v>
      </c>
      <c r="G696" t="str">
        <f>_xlfn.XLOOKUP(tblSales[[#This Row],[Category ID]],tblCategories[Category ID],tblCategories[Category])</f>
        <v>Ladieswear</v>
      </c>
      <c r="H696">
        <v>80726</v>
      </c>
      <c r="I696">
        <v>76075</v>
      </c>
      <c r="J696">
        <v>181</v>
      </c>
      <c r="K696">
        <f>tblSales[[#This Row],[Sales]]-tblSales[[#This Row],[Budget]]</f>
        <v>4651</v>
      </c>
      <c r="L696" s="3">
        <f>(tblSales[[#This Row],[Sales]]-tblSales[[#This Row],[Budget]])/tblSales[[#This Row],[Budget]]</f>
        <v>6.1137035819914559E-2</v>
      </c>
      <c r="M696" s="2">
        <f>tblSales[[#This Row],[Sales]]/tblSales[[#This Row],[Transactions]]</f>
        <v>446</v>
      </c>
    </row>
    <row r="697" spans="1:13" x14ac:dyDescent="0.25">
      <c r="A697" s="1">
        <v>46057</v>
      </c>
      <c r="B697" t="s">
        <v>26</v>
      </c>
      <c r="C697" t="s">
        <v>11</v>
      </c>
      <c r="D697" t="str">
        <f>_xlfn.XLOOKUP(tblSales[[#This Row],[Store ID]],tblStores[Store ID],tblStores[Store Name])</f>
        <v>Gqeberha</v>
      </c>
      <c r="E697" t="str">
        <f>_xlfn.XLOOKUP(tblSales[[#This Row],[Store ID]],tblStores[Store ID],tblStores[Province])</f>
        <v>Eastern Cape</v>
      </c>
      <c r="F697" t="str">
        <f>_xlfn.XLOOKUP(tblSales[[#This Row],[Store ID]],tblStores[Store ID],tblStores[Manager])</f>
        <v>Emma Baker</v>
      </c>
      <c r="G697" t="str">
        <f>_xlfn.XLOOKUP(tblSales[[#This Row],[Category ID]],tblCategories[Category ID],tblCategories[Category])</f>
        <v>Footwear</v>
      </c>
      <c r="H697">
        <v>19578</v>
      </c>
      <c r="I697">
        <v>18936</v>
      </c>
      <c r="J697">
        <v>78</v>
      </c>
      <c r="K697">
        <f>tblSales[[#This Row],[Sales]]-tblSales[[#This Row],[Budget]]</f>
        <v>642</v>
      </c>
      <c r="L697" s="3">
        <f>(tblSales[[#This Row],[Sales]]-tblSales[[#This Row],[Budget]])/tblSales[[#This Row],[Budget]]</f>
        <v>3.390367553865653E-2</v>
      </c>
      <c r="M697" s="2">
        <f>tblSales[[#This Row],[Sales]]/tblSales[[#This Row],[Transactions]]</f>
        <v>251</v>
      </c>
    </row>
    <row r="698" spans="1:13" x14ac:dyDescent="0.25">
      <c r="A698" s="1">
        <v>46057</v>
      </c>
      <c r="B698" t="s">
        <v>27</v>
      </c>
      <c r="C698" t="s">
        <v>22</v>
      </c>
      <c r="D698" t="str">
        <f>_xlfn.XLOOKUP(tblSales[[#This Row],[Store ID]],tblStores[Store ID],tblStores[Store Name])</f>
        <v>East London</v>
      </c>
      <c r="E698" t="str">
        <f>_xlfn.XLOOKUP(tblSales[[#This Row],[Store ID]],tblStores[Store ID],tblStores[Province])</f>
        <v>Eastern Cape</v>
      </c>
      <c r="F698" t="str">
        <f>_xlfn.XLOOKUP(tblSales[[#This Row],[Store ID]],tblStores[Store ID],tblStores[Manager])</f>
        <v>Daniel Evans</v>
      </c>
      <c r="G698" t="str">
        <f>_xlfn.XLOOKUP(tblSales[[#This Row],[Category ID]],tblCategories[Category ID],tblCategories[Category])</f>
        <v>Kids</v>
      </c>
      <c r="H698">
        <v>40894</v>
      </c>
      <c r="I698">
        <v>37451</v>
      </c>
      <c r="J698">
        <v>161</v>
      </c>
      <c r="K698">
        <f>tblSales[[#This Row],[Sales]]-tblSales[[#This Row],[Budget]]</f>
        <v>3443</v>
      </c>
      <c r="L698" s="3">
        <f>(tblSales[[#This Row],[Sales]]-tblSales[[#This Row],[Budget]])/tblSales[[#This Row],[Budget]]</f>
        <v>9.1933459720701716E-2</v>
      </c>
      <c r="M698" s="2">
        <f>tblSales[[#This Row],[Sales]]/tblSales[[#This Row],[Transactions]]</f>
        <v>254</v>
      </c>
    </row>
    <row r="699" spans="1:13" x14ac:dyDescent="0.25">
      <c r="A699" s="1">
        <v>46057</v>
      </c>
      <c r="B699" t="s">
        <v>28</v>
      </c>
      <c r="C699" t="s">
        <v>11</v>
      </c>
      <c r="D699" t="str">
        <f>_xlfn.XLOOKUP(tblSales[[#This Row],[Store ID]],tblStores[Store ID],tblStores[Store Name])</f>
        <v>Bloemfontein</v>
      </c>
      <c r="E699" t="str">
        <f>_xlfn.XLOOKUP(tblSales[[#This Row],[Store ID]],tblStores[Store ID],tblStores[Province])</f>
        <v>Free State</v>
      </c>
      <c r="F699" t="str">
        <f>_xlfn.XLOOKUP(tblSales[[#This Row],[Store ID]],tblStores[Store ID],tblStores[Manager])</f>
        <v>Rachel Moore</v>
      </c>
      <c r="G699" t="str">
        <f>_xlfn.XLOOKUP(tblSales[[#This Row],[Category ID]],tblCategories[Category ID],tblCategories[Category])</f>
        <v>Footwear</v>
      </c>
      <c r="H699">
        <v>41475</v>
      </c>
      <c r="I699">
        <v>40435</v>
      </c>
      <c r="J699">
        <v>105</v>
      </c>
      <c r="K699">
        <f>tblSales[[#This Row],[Sales]]-tblSales[[#This Row],[Budget]]</f>
        <v>1040</v>
      </c>
      <c r="L699" s="3">
        <f>(tblSales[[#This Row],[Sales]]-tblSales[[#This Row],[Budget]])/tblSales[[#This Row],[Budget]]</f>
        <v>2.572029182638803E-2</v>
      </c>
      <c r="M699" s="2">
        <f>tblSales[[#This Row],[Sales]]/tblSales[[#This Row],[Transactions]]</f>
        <v>395</v>
      </c>
    </row>
    <row r="700" spans="1:13" x14ac:dyDescent="0.25">
      <c r="A700" s="1">
        <v>46057</v>
      </c>
      <c r="B700" t="s">
        <v>29</v>
      </c>
      <c r="C700" t="s">
        <v>7</v>
      </c>
      <c r="D700" t="str">
        <f>_xlfn.XLOOKUP(tblSales[[#This Row],[Store ID]],tblStores[Store ID],tblStores[Store Name])</f>
        <v>Polokwane</v>
      </c>
      <c r="E700" t="str">
        <f>_xlfn.XLOOKUP(tblSales[[#This Row],[Store ID]],tblStores[Store ID],tblStores[Province])</f>
        <v>Limpopo</v>
      </c>
      <c r="F700" t="str">
        <f>_xlfn.XLOOKUP(tblSales[[#This Row],[Store ID]],tblStores[Store ID],tblStores[Manager])</f>
        <v>Kevin Harris</v>
      </c>
      <c r="G700" t="str">
        <f>_xlfn.XLOOKUP(tblSales[[#This Row],[Category ID]],tblCategories[Category ID],tblCategories[Category])</f>
        <v>Menswear</v>
      </c>
      <c r="H700">
        <v>39116</v>
      </c>
      <c r="I700">
        <v>44437</v>
      </c>
      <c r="J700">
        <v>127</v>
      </c>
      <c r="K700">
        <f>tblSales[[#This Row],[Sales]]-tblSales[[#This Row],[Budget]]</f>
        <v>-5321</v>
      </c>
      <c r="L700" s="3">
        <f>(tblSales[[#This Row],[Sales]]-tblSales[[#This Row],[Budget]])/tblSales[[#This Row],[Budget]]</f>
        <v>-0.11974255687827712</v>
      </c>
      <c r="M700" s="2">
        <f>tblSales[[#This Row],[Sales]]/tblSales[[#This Row],[Transactions]]</f>
        <v>308</v>
      </c>
    </row>
    <row r="701" spans="1:13" x14ac:dyDescent="0.25">
      <c r="A701" s="1">
        <v>46057</v>
      </c>
      <c r="B701" t="s">
        <v>30</v>
      </c>
      <c r="C701" t="s">
        <v>11</v>
      </c>
      <c r="D701" t="str">
        <f>_xlfn.XLOOKUP(tblSales[[#This Row],[Store ID]],tblStores[Store ID],tblStores[Store Name])</f>
        <v>Nelspruit</v>
      </c>
      <c r="E701" t="str">
        <f>_xlfn.XLOOKUP(tblSales[[#This Row],[Store ID]],tblStores[Store ID],tblStores[Province])</f>
        <v>Mpumalanga</v>
      </c>
      <c r="F701" t="str">
        <f>_xlfn.XLOOKUP(tblSales[[#This Row],[Store ID]],tblStores[Store ID],tblStores[Manager])</f>
        <v>Olivia Turner</v>
      </c>
      <c r="G701" t="str">
        <f>_xlfn.XLOOKUP(tblSales[[#This Row],[Category ID]],tblCategories[Category ID],tblCategories[Category])</f>
        <v>Footwear</v>
      </c>
      <c r="H701">
        <v>92565</v>
      </c>
      <c r="I701">
        <v>87833</v>
      </c>
      <c r="J701">
        <v>187</v>
      </c>
      <c r="K701">
        <f>tblSales[[#This Row],[Sales]]-tblSales[[#This Row],[Budget]]</f>
        <v>4732</v>
      </c>
      <c r="L701" s="3">
        <f>(tblSales[[#This Row],[Sales]]-tblSales[[#This Row],[Budget]])/tblSales[[#This Row],[Budget]]</f>
        <v>5.3874967267427958E-2</v>
      </c>
      <c r="M701" s="2">
        <f>tblSales[[#This Row],[Sales]]/tblSales[[#This Row],[Transactions]]</f>
        <v>495</v>
      </c>
    </row>
    <row r="702" spans="1:13" x14ac:dyDescent="0.25">
      <c r="A702" s="1">
        <v>46058</v>
      </c>
      <c r="B702" t="s">
        <v>6</v>
      </c>
      <c r="C702" t="s">
        <v>7</v>
      </c>
      <c r="D702" t="str">
        <f>_xlfn.XLOOKUP(tblSales[[#This Row],[Store ID]],tblStores[Store ID],tblStores[Store Name])</f>
        <v>Durban CBD</v>
      </c>
      <c r="E702" t="str">
        <f>_xlfn.XLOOKUP(tblSales[[#This Row],[Store ID]],tblStores[Store ID],tblStores[Province])</f>
        <v>KZN</v>
      </c>
      <c r="F702" t="str">
        <f>_xlfn.XLOOKUP(tblSales[[#This Row],[Store ID]],tblStores[Store ID],tblStores[Manager])</f>
        <v>Sarah Adams</v>
      </c>
      <c r="G702" t="str">
        <f>_xlfn.XLOOKUP(tblSales[[#This Row],[Category ID]],tblCategories[Category ID],tblCategories[Category])</f>
        <v>Menswear</v>
      </c>
      <c r="H702">
        <v>23115</v>
      </c>
      <c r="I702">
        <v>20842</v>
      </c>
      <c r="J702">
        <v>69</v>
      </c>
      <c r="K702">
        <f>tblSales[[#This Row],[Sales]]-tblSales[[#This Row],[Budget]]</f>
        <v>2273</v>
      </c>
      <c r="L702" s="3">
        <f>(tblSales[[#This Row],[Sales]]-tblSales[[#This Row],[Budget]])/tblSales[[#This Row],[Budget]]</f>
        <v>0.10905863160925056</v>
      </c>
      <c r="M702" s="2">
        <f>tblSales[[#This Row],[Sales]]/tblSales[[#This Row],[Transactions]]</f>
        <v>335</v>
      </c>
    </row>
    <row r="703" spans="1:13" x14ac:dyDescent="0.25">
      <c r="A703" s="1">
        <v>46058</v>
      </c>
      <c r="B703" t="s">
        <v>8</v>
      </c>
      <c r="C703" t="s">
        <v>11</v>
      </c>
      <c r="D703" t="str">
        <f>_xlfn.XLOOKUP(tblSales[[#This Row],[Store ID]],tblStores[Store ID],tblStores[Store Name])</f>
        <v>Gateway</v>
      </c>
      <c r="E703" t="str">
        <f>_xlfn.XLOOKUP(tblSales[[#This Row],[Store ID]],tblStores[Store ID],tblStores[Province])</f>
        <v>KZN</v>
      </c>
      <c r="F703" t="str">
        <f>_xlfn.XLOOKUP(tblSales[[#This Row],[Store ID]],tblStores[Store ID],tblStores[Manager])</f>
        <v>Michael Jones</v>
      </c>
      <c r="G703" t="str">
        <f>_xlfn.XLOOKUP(tblSales[[#This Row],[Category ID]],tblCategories[Category ID],tblCategories[Category])</f>
        <v>Footwear</v>
      </c>
      <c r="H703">
        <v>59640</v>
      </c>
      <c r="I703">
        <v>59340</v>
      </c>
      <c r="J703">
        <v>120</v>
      </c>
      <c r="K703">
        <f>tblSales[[#This Row],[Sales]]-tblSales[[#This Row],[Budget]]</f>
        <v>300</v>
      </c>
      <c r="L703" s="3">
        <f>(tblSales[[#This Row],[Sales]]-tblSales[[#This Row],[Budget]])/tblSales[[#This Row],[Budget]]</f>
        <v>5.0556117290192111E-3</v>
      </c>
      <c r="M703" s="2">
        <f>tblSales[[#This Row],[Sales]]/tblSales[[#This Row],[Transactions]]</f>
        <v>497</v>
      </c>
    </row>
    <row r="704" spans="1:13" x14ac:dyDescent="0.25">
      <c r="A704" s="1">
        <v>46058</v>
      </c>
      <c r="B704" t="s">
        <v>10</v>
      </c>
      <c r="C704" t="s">
        <v>22</v>
      </c>
      <c r="D704" t="str">
        <f>_xlfn.XLOOKUP(tblSales[[#This Row],[Store ID]],tblStores[Store ID],tblStores[Store Name])</f>
        <v>Ballito</v>
      </c>
      <c r="E704" t="str">
        <f>_xlfn.XLOOKUP(tblSales[[#This Row],[Store ID]],tblStores[Store ID],tblStores[Province])</f>
        <v>KZN</v>
      </c>
      <c r="F704" t="str">
        <f>_xlfn.XLOOKUP(tblSales[[#This Row],[Store ID]],tblStores[Store ID],tblStores[Manager])</f>
        <v>Linda Smith</v>
      </c>
      <c r="G704" t="str">
        <f>_xlfn.XLOOKUP(tblSales[[#This Row],[Category ID]],tblCategories[Category ID],tblCategories[Category])</f>
        <v>Kids</v>
      </c>
      <c r="H704">
        <v>51597</v>
      </c>
      <c r="I704">
        <v>51991</v>
      </c>
      <c r="J704">
        <v>147</v>
      </c>
      <c r="K704">
        <f>tblSales[[#This Row],[Sales]]-tblSales[[#This Row],[Budget]]</f>
        <v>-394</v>
      </c>
      <c r="L704" s="3">
        <f>(tblSales[[#This Row],[Sales]]-tblSales[[#This Row],[Budget]])/tblSales[[#This Row],[Budget]]</f>
        <v>-7.5782346944663495E-3</v>
      </c>
      <c r="M704" s="2">
        <f>tblSales[[#This Row],[Sales]]/tblSales[[#This Row],[Transactions]]</f>
        <v>351</v>
      </c>
    </row>
    <row r="705" spans="1:13" x14ac:dyDescent="0.25">
      <c r="A705" s="1">
        <v>46058</v>
      </c>
      <c r="B705" t="s">
        <v>12</v>
      </c>
      <c r="C705" t="s">
        <v>19</v>
      </c>
      <c r="D705" t="str">
        <f>_xlfn.XLOOKUP(tblSales[[#This Row],[Store ID]],tblStores[Store ID],tblStores[Store Name])</f>
        <v>Pietermaritzburg</v>
      </c>
      <c r="E705" t="str">
        <f>_xlfn.XLOOKUP(tblSales[[#This Row],[Store ID]],tblStores[Store ID],tblStores[Province])</f>
        <v>KZN</v>
      </c>
      <c r="F705" t="str">
        <f>_xlfn.XLOOKUP(tblSales[[#This Row],[Store ID]],tblStores[Store ID],tblStores[Manager])</f>
        <v>Peter Brown</v>
      </c>
      <c r="G705" t="str">
        <f>_xlfn.XLOOKUP(tblSales[[#This Row],[Category ID]],tblCategories[Category ID],tblCategories[Category])</f>
        <v>Accessories</v>
      </c>
      <c r="H705">
        <v>22977</v>
      </c>
      <c r="I705">
        <v>22521</v>
      </c>
      <c r="J705">
        <v>69</v>
      </c>
      <c r="K705">
        <f>tblSales[[#This Row],[Sales]]-tblSales[[#This Row],[Budget]]</f>
        <v>456</v>
      </c>
      <c r="L705" s="3">
        <f>(tblSales[[#This Row],[Sales]]-tblSales[[#This Row],[Budget]])/tblSales[[#This Row],[Budget]]</f>
        <v>2.0247768749167443E-2</v>
      </c>
      <c r="M705" s="2">
        <f>tblSales[[#This Row],[Sales]]/tblSales[[#This Row],[Transactions]]</f>
        <v>333</v>
      </c>
    </row>
    <row r="706" spans="1:13" x14ac:dyDescent="0.25">
      <c r="A706" s="1">
        <v>46058</v>
      </c>
      <c r="B706" t="s">
        <v>13</v>
      </c>
      <c r="C706" t="s">
        <v>9</v>
      </c>
      <c r="D706" t="str">
        <f>_xlfn.XLOOKUP(tblSales[[#This Row],[Store ID]],tblStores[Store ID],tblStores[Store Name])</f>
        <v>Richards Bay</v>
      </c>
      <c r="E706" t="str">
        <f>_xlfn.XLOOKUP(tblSales[[#This Row],[Store ID]],tblStores[Store ID],tblStores[Province])</f>
        <v>KZN</v>
      </c>
      <c r="F706" t="str">
        <f>_xlfn.XLOOKUP(tblSales[[#This Row],[Store ID]],tblStores[Store ID],tblStores[Manager])</f>
        <v>David Green</v>
      </c>
      <c r="G706" t="str">
        <f>_xlfn.XLOOKUP(tblSales[[#This Row],[Category ID]],tblCategories[Category ID],tblCategories[Category])</f>
        <v>Ladieswear</v>
      </c>
      <c r="H706">
        <v>53380</v>
      </c>
      <c r="I706">
        <v>50412</v>
      </c>
      <c r="J706">
        <v>157</v>
      </c>
      <c r="K706">
        <f>tblSales[[#This Row],[Sales]]-tblSales[[#This Row],[Budget]]</f>
        <v>2968</v>
      </c>
      <c r="L706" s="3">
        <f>(tblSales[[#This Row],[Sales]]-tblSales[[#This Row],[Budget]])/tblSales[[#This Row],[Budget]]</f>
        <v>5.8874871062445447E-2</v>
      </c>
      <c r="M706" s="2">
        <f>tblSales[[#This Row],[Sales]]/tblSales[[#This Row],[Transactions]]</f>
        <v>340</v>
      </c>
    </row>
    <row r="707" spans="1:13" x14ac:dyDescent="0.25">
      <c r="A707" s="1">
        <v>46058</v>
      </c>
      <c r="B707" t="s">
        <v>14</v>
      </c>
      <c r="C707" t="s">
        <v>11</v>
      </c>
      <c r="D707" t="str">
        <f>_xlfn.XLOOKUP(tblSales[[#This Row],[Store ID]],tblStores[Store ID],tblStores[Store Name])</f>
        <v>Sandton</v>
      </c>
      <c r="E707" t="str">
        <f>_xlfn.XLOOKUP(tblSales[[#This Row],[Store ID]],tblStores[Store ID],tblStores[Province])</f>
        <v>Gauteng</v>
      </c>
      <c r="F707" t="str">
        <f>_xlfn.XLOOKUP(tblSales[[#This Row],[Store ID]],tblStores[Store ID],tblStores[Manager])</f>
        <v>Karen White</v>
      </c>
      <c r="G707" t="str">
        <f>_xlfn.XLOOKUP(tblSales[[#This Row],[Category ID]],tblCategories[Category ID],tblCategories[Category])</f>
        <v>Footwear</v>
      </c>
      <c r="H707">
        <v>38164</v>
      </c>
      <c r="I707">
        <v>41359</v>
      </c>
      <c r="J707">
        <v>116</v>
      </c>
      <c r="K707">
        <f>tblSales[[#This Row],[Sales]]-tblSales[[#This Row],[Budget]]</f>
        <v>-3195</v>
      </c>
      <c r="L707" s="3">
        <f>(tblSales[[#This Row],[Sales]]-tblSales[[#This Row],[Budget]])/tblSales[[#This Row],[Budget]]</f>
        <v>-7.7250417079716624E-2</v>
      </c>
      <c r="M707" s="2">
        <f>tblSales[[#This Row],[Sales]]/tblSales[[#This Row],[Transactions]]</f>
        <v>329</v>
      </c>
    </row>
    <row r="708" spans="1:13" x14ac:dyDescent="0.25">
      <c r="A708" s="1">
        <v>46058</v>
      </c>
      <c r="B708" t="s">
        <v>15</v>
      </c>
      <c r="C708" t="s">
        <v>11</v>
      </c>
      <c r="D708" t="str">
        <f>_xlfn.XLOOKUP(tblSales[[#This Row],[Store ID]],tblStores[Store ID],tblStores[Store Name])</f>
        <v>Rosebank</v>
      </c>
      <c r="E708" t="str">
        <f>_xlfn.XLOOKUP(tblSales[[#This Row],[Store ID]],tblStores[Store ID],tblStores[Province])</f>
        <v>Gauteng</v>
      </c>
      <c r="F708" t="str">
        <f>_xlfn.XLOOKUP(tblSales[[#This Row],[Store ID]],tblStores[Store ID],tblStores[Manager])</f>
        <v>James Taylor</v>
      </c>
      <c r="G708" t="str">
        <f>_xlfn.XLOOKUP(tblSales[[#This Row],[Category ID]],tblCategories[Category ID],tblCategories[Category])</f>
        <v>Footwear</v>
      </c>
      <c r="H708">
        <v>55328</v>
      </c>
      <c r="I708">
        <v>54302</v>
      </c>
      <c r="J708">
        <v>182</v>
      </c>
      <c r="K708">
        <f>tblSales[[#This Row],[Sales]]-tblSales[[#This Row],[Budget]]</f>
        <v>1026</v>
      </c>
      <c r="L708" s="3">
        <f>(tblSales[[#This Row],[Sales]]-tblSales[[#This Row],[Budget]])/tblSales[[#This Row],[Budget]]</f>
        <v>1.8894331700489854E-2</v>
      </c>
      <c r="M708" s="2">
        <f>tblSales[[#This Row],[Sales]]/tblSales[[#This Row],[Transactions]]</f>
        <v>304</v>
      </c>
    </row>
    <row r="709" spans="1:13" x14ac:dyDescent="0.25">
      <c r="A709" s="1">
        <v>46058</v>
      </c>
      <c r="B709" t="s">
        <v>16</v>
      </c>
      <c r="C709" t="s">
        <v>22</v>
      </c>
      <c r="D709" t="str">
        <f>_xlfn.XLOOKUP(tblSales[[#This Row],[Store ID]],tblStores[Store ID],tblStores[Store Name])</f>
        <v>Pretoria</v>
      </c>
      <c r="E709" t="str">
        <f>_xlfn.XLOOKUP(tblSales[[#This Row],[Store ID]],tblStores[Store ID],tblStores[Province])</f>
        <v>Gauteng</v>
      </c>
      <c r="F709" t="str">
        <f>_xlfn.XLOOKUP(tblSales[[#This Row],[Store ID]],tblStores[Store ID],tblStores[Manager])</f>
        <v>Susan Clark</v>
      </c>
      <c r="G709" t="str">
        <f>_xlfn.XLOOKUP(tblSales[[#This Row],[Category ID]],tblCategories[Category ID],tblCategories[Category])</f>
        <v>Kids</v>
      </c>
      <c r="H709">
        <v>49410</v>
      </c>
      <c r="I709">
        <v>45875</v>
      </c>
      <c r="J709">
        <v>135</v>
      </c>
      <c r="K709">
        <f>tblSales[[#This Row],[Sales]]-tblSales[[#This Row],[Budget]]</f>
        <v>3535</v>
      </c>
      <c r="L709" s="3">
        <f>(tblSales[[#This Row],[Sales]]-tblSales[[#This Row],[Budget]])/tblSales[[#This Row],[Budget]]</f>
        <v>7.7057220708446866E-2</v>
      </c>
      <c r="M709" s="2">
        <f>tblSales[[#This Row],[Sales]]/tblSales[[#This Row],[Transactions]]</f>
        <v>366</v>
      </c>
    </row>
    <row r="710" spans="1:13" x14ac:dyDescent="0.25">
      <c r="A710" s="1">
        <v>46058</v>
      </c>
      <c r="B710" t="s">
        <v>17</v>
      </c>
      <c r="C710" t="s">
        <v>19</v>
      </c>
      <c r="D710" t="str">
        <f>_xlfn.XLOOKUP(tblSales[[#This Row],[Store ID]],tblStores[Store ID],tblStores[Store Name])</f>
        <v>Centurion</v>
      </c>
      <c r="E710" t="str">
        <f>_xlfn.XLOOKUP(tblSales[[#This Row],[Store ID]],tblStores[Store ID],tblStores[Province])</f>
        <v>Gauteng</v>
      </c>
      <c r="F710" t="str">
        <f>_xlfn.XLOOKUP(tblSales[[#This Row],[Store ID]],tblStores[Store ID],tblStores[Manager])</f>
        <v>Mark Wilson</v>
      </c>
      <c r="G710" t="str">
        <f>_xlfn.XLOOKUP(tblSales[[#This Row],[Category ID]],tblCategories[Category ID],tblCategories[Category])</f>
        <v>Accessories</v>
      </c>
      <c r="H710">
        <v>41538</v>
      </c>
      <c r="I710">
        <v>47740</v>
      </c>
      <c r="J710">
        <v>86</v>
      </c>
      <c r="K710">
        <f>tblSales[[#This Row],[Sales]]-tblSales[[#This Row],[Budget]]</f>
        <v>-6202</v>
      </c>
      <c r="L710" s="3">
        <f>(tblSales[[#This Row],[Sales]]-tblSales[[#This Row],[Budget]])/tblSales[[#This Row],[Budget]]</f>
        <v>-0.12991202346041056</v>
      </c>
      <c r="M710" s="2">
        <f>tblSales[[#This Row],[Sales]]/tblSales[[#This Row],[Transactions]]</f>
        <v>483</v>
      </c>
    </row>
    <row r="711" spans="1:13" x14ac:dyDescent="0.25">
      <c r="A711" s="1">
        <v>46058</v>
      </c>
      <c r="B711" t="s">
        <v>18</v>
      </c>
      <c r="C711" t="s">
        <v>9</v>
      </c>
      <c r="D711" t="str">
        <f>_xlfn.XLOOKUP(tblSales[[#This Row],[Store ID]],tblStores[Store ID],tblStores[Store Name])</f>
        <v>East Rand</v>
      </c>
      <c r="E711" t="str">
        <f>_xlfn.XLOOKUP(tblSales[[#This Row],[Store ID]],tblStores[Store ID],tblStores[Province])</f>
        <v>Gauteng</v>
      </c>
      <c r="F711" t="str">
        <f>_xlfn.XLOOKUP(tblSales[[#This Row],[Store ID]],tblStores[Store ID],tblStores[Manager])</f>
        <v>Lisa Young</v>
      </c>
      <c r="G711" t="str">
        <f>_xlfn.XLOOKUP(tblSales[[#This Row],[Category ID]],tblCategories[Category ID],tblCategories[Category])</f>
        <v>Ladieswear</v>
      </c>
      <c r="H711">
        <v>96349</v>
      </c>
      <c r="I711">
        <v>87362</v>
      </c>
      <c r="J711">
        <v>209</v>
      </c>
      <c r="K711">
        <f>tblSales[[#This Row],[Sales]]-tblSales[[#This Row],[Budget]]</f>
        <v>8987</v>
      </c>
      <c r="L711" s="3">
        <f>(tblSales[[#This Row],[Sales]]-tblSales[[#This Row],[Budget]])/tblSales[[#This Row],[Budget]]</f>
        <v>0.10287081339712918</v>
      </c>
      <c r="M711" s="2">
        <f>tblSales[[#This Row],[Sales]]/tblSales[[#This Row],[Transactions]]</f>
        <v>461</v>
      </c>
    </row>
    <row r="712" spans="1:13" x14ac:dyDescent="0.25">
      <c r="A712" s="1">
        <v>46058</v>
      </c>
      <c r="B712" t="s">
        <v>20</v>
      </c>
      <c r="C712" t="s">
        <v>11</v>
      </c>
      <c r="D712" t="str">
        <f>_xlfn.XLOOKUP(tblSales[[#This Row],[Store ID]],tblStores[Store ID],tblStores[Store Name])</f>
        <v>Cape Town CBD</v>
      </c>
      <c r="E712" t="str">
        <f>_xlfn.XLOOKUP(tblSales[[#This Row],[Store ID]],tblStores[Store ID],tblStores[Province])</f>
        <v>Western Cape</v>
      </c>
      <c r="F712" t="str">
        <f>_xlfn.XLOOKUP(tblSales[[#This Row],[Store ID]],tblStores[Store ID],tblStores[Manager])</f>
        <v>Brian Hall</v>
      </c>
      <c r="G712" t="str">
        <f>_xlfn.XLOOKUP(tblSales[[#This Row],[Category ID]],tblCategories[Category ID],tblCategories[Category])</f>
        <v>Footwear</v>
      </c>
      <c r="H712">
        <v>61992</v>
      </c>
      <c r="I712">
        <v>62587</v>
      </c>
      <c r="J712">
        <v>216</v>
      </c>
      <c r="K712">
        <f>tblSales[[#This Row],[Sales]]-tblSales[[#This Row],[Budget]]</f>
        <v>-595</v>
      </c>
      <c r="L712" s="3">
        <f>(tblSales[[#This Row],[Sales]]-tblSales[[#This Row],[Budget]])/tblSales[[#This Row],[Budget]]</f>
        <v>-9.5067665809193611E-3</v>
      </c>
      <c r="M712" s="2">
        <f>tblSales[[#This Row],[Sales]]/tblSales[[#This Row],[Transactions]]</f>
        <v>287</v>
      </c>
    </row>
    <row r="713" spans="1:13" x14ac:dyDescent="0.25">
      <c r="A713" s="1">
        <v>46058</v>
      </c>
      <c r="B713" t="s">
        <v>21</v>
      </c>
      <c r="C713" t="s">
        <v>22</v>
      </c>
      <c r="D713" t="str">
        <f>_xlfn.XLOOKUP(tblSales[[#This Row],[Store ID]],tblStores[Store ID],tblStores[Store Name])</f>
        <v>Canal Walk</v>
      </c>
      <c r="E713" t="str">
        <f>_xlfn.XLOOKUP(tblSales[[#This Row],[Store ID]],tblStores[Store ID],tblStores[Province])</f>
        <v>Western Cape</v>
      </c>
      <c r="F713" t="str">
        <f>_xlfn.XLOOKUP(tblSales[[#This Row],[Store ID]],tblStores[Store ID],tblStores[Manager])</f>
        <v>Megan Scott</v>
      </c>
      <c r="G713" t="str">
        <f>_xlfn.XLOOKUP(tblSales[[#This Row],[Category ID]],tblCategories[Category ID],tblCategories[Category])</f>
        <v>Kids</v>
      </c>
      <c r="H713">
        <v>45580</v>
      </c>
      <c r="I713">
        <v>50354</v>
      </c>
      <c r="J713">
        <v>212</v>
      </c>
      <c r="K713">
        <f>tblSales[[#This Row],[Sales]]-tblSales[[#This Row],[Budget]]</f>
        <v>-4774</v>
      </c>
      <c r="L713" s="3">
        <f>(tblSales[[#This Row],[Sales]]-tblSales[[#This Row],[Budget]])/tblSales[[#This Row],[Budget]]</f>
        <v>-9.480875402152758E-2</v>
      </c>
      <c r="M713" s="2">
        <f>tblSales[[#This Row],[Sales]]/tblSales[[#This Row],[Transactions]]</f>
        <v>215</v>
      </c>
    </row>
    <row r="714" spans="1:13" x14ac:dyDescent="0.25">
      <c r="A714" s="1">
        <v>46058</v>
      </c>
      <c r="B714" t="s">
        <v>23</v>
      </c>
      <c r="C714" t="s">
        <v>11</v>
      </c>
      <c r="D714" t="str">
        <f>_xlfn.XLOOKUP(tblSales[[#This Row],[Store ID]],tblStores[Store ID],tblStores[Store Name])</f>
        <v>Stellenbosch</v>
      </c>
      <c r="E714" t="str">
        <f>_xlfn.XLOOKUP(tblSales[[#This Row],[Store ID]],tblStores[Store ID],tblStores[Province])</f>
        <v>Western Cape</v>
      </c>
      <c r="F714" t="str">
        <f>_xlfn.XLOOKUP(tblSales[[#This Row],[Store ID]],tblStores[Store ID],tblStores[Manager])</f>
        <v>Jason King</v>
      </c>
      <c r="G714" t="str">
        <f>_xlfn.XLOOKUP(tblSales[[#This Row],[Category ID]],tblCategories[Category ID],tblCategories[Category])</f>
        <v>Footwear</v>
      </c>
      <c r="H714">
        <v>90045</v>
      </c>
      <c r="I714">
        <v>84173</v>
      </c>
      <c r="J714">
        <v>207</v>
      </c>
      <c r="K714">
        <f>tblSales[[#This Row],[Sales]]-tblSales[[#This Row],[Budget]]</f>
        <v>5872</v>
      </c>
      <c r="L714" s="3">
        <f>(tblSales[[#This Row],[Sales]]-tblSales[[#This Row],[Budget]])/tblSales[[#This Row],[Budget]]</f>
        <v>6.976108728452117E-2</v>
      </c>
      <c r="M714" s="2">
        <f>tblSales[[#This Row],[Sales]]/tblSales[[#This Row],[Transactions]]</f>
        <v>435</v>
      </c>
    </row>
    <row r="715" spans="1:13" x14ac:dyDescent="0.25">
      <c r="A715" s="1">
        <v>46058</v>
      </c>
      <c r="B715" t="s">
        <v>24</v>
      </c>
      <c r="C715" t="s">
        <v>22</v>
      </c>
      <c r="D715" t="str">
        <f>_xlfn.XLOOKUP(tblSales[[#This Row],[Store ID]],tblStores[Store ID],tblStores[Store Name])</f>
        <v>George</v>
      </c>
      <c r="E715" t="str">
        <f>_xlfn.XLOOKUP(tblSales[[#This Row],[Store ID]],tblStores[Store ID],tblStores[Province])</f>
        <v>Western Cape</v>
      </c>
      <c r="F715" t="str">
        <f>_xlfn.XLOOKUP(tblSales[[#This Row],[Store ID]],tblStores[Store ID],tblStores[Manager])</f>
        <v>Chloe Hill</v>
      </c>
      <c r="G715" t="str">
        <f>_xlfn.XLOOKUP(tblSales[[#This Row],[Category ID]],tblCategories[Category ID],tblCategories[Category])</f>
        <v>Kids</v>
      </c>
      <c r="H715">
        <v>29664</v>
      </c>
      <c r="I715">
        <v>31582</v>
      </c>
      <c r="J715">
        <v>96</v>
      </c>
      <c r="K715">
        <f>tblSales[[#This Row],[Sales]]-tblSales[[#This Row],[Budget]]</f>
        <v>-1918</v>
      </c>
      <c r="L715" s="3">
        <f>(tblSales[[#This Row],[Sales]]-tblSales[[#This Row],[Budget]])/tblSales[[#This Row],[Budget]]</f>
        <v>-6.0730796023051106E-2</v>
      </c>
      <c r="M715" s="2">
        <f>tblSales[[#This Row],[Sales]]/tblSales[[#This Row],[Transactions]]</f>
        <v>309</v>
      </c>
    </row>
    <row r="716" spans="1:13" x14ac:dyDescent="0.25">
      <c r="A716" s="1">
        <v>46058</v>
      </c>
      <c r="B716" t="s">
        <v>25</v>
      </c>
      <c r="C716" t="s">
        <v>11</v>
      </c>
      <c r="D716" t="str">
        <f>_xlfn.XLOOKUP(tblSales[[#This Row],[Store ID]],tblStores[Store ID],tblStores[Store Name])</f>
        <v>Paarl</v>
      </c>
      <c r="E716" t="str">
        <f>_xlfn.XLOOKUP(tblSales[[#This Row],[Store ID]],tblStores[Store ID],tblStores[Province])</f>
        <v>Western Cape</v>
      </c>
      <c r="F716" t="str">
        <f>_xlfn.XLOOKUP(tblSales[[#This Row],[Store ID]],tblStores[Store ID],tblStores[Manager])</f>
        <v>Andrew Lee</v>
      </c>
      <c r="G716" t="str">
        <f>_xlfn.XLOOKUP(tblSales[[#This Row],[Category ID]],tblCategories[Category ID],tblCategories[Category])</f>
        <v>Footwear</v>
      </c>
      <c r="H716">
        <v>28427</v>
      </c>
      <c r="I716">
        <v>28775</v>
      </c>
      <c r="J716">
        <v>131</v>
      </c>
      <c r="K716">
        <f>tblSales[[#This Row],[Sales]]-tblSales[[#This Row],[Budget]]</f>
        <v>-348</v>
      </c>
      <c r="L716" s="3">
        <f>(tblSales[[#This Row],[Sales]]-tblSales[[#This Row],[Budget]])/tblSales[[#This Row],[Budget]]</f>
        <v>-1.209383145091225E-2</v>
      </c>
      <c r="M716" s="2">
        <f>tblSales[[#This Row],[Sales]]/tblSales[[#This Row],[Transactions]]</f>
        <v>217</v>
      </c>
    </row>
    <row r="717" spans="1:13" x14ac:dyDescent="0.25">
      <c r="A717" s="1">
        <v>46058</v>
      </c>
      <c r="B717" t="s">
        <v>26</v>
      </c>
      <c r="C717" t="s">
        <v>19</v>
      </c>
      <c r="D717" t="str">
        <f>_xlfn.XLOOKUP(tblSales[[#This Row],[Store ID]],tblStores[Store ID],tblStores[Store Name])</f>
        <v>Gqeberha</v>
      </c>
      <c r="E717" t="str">
        <f>_xlfn.XLOOKUP(tblSales[[#This Row],[Store ID]],tblStores[Store ID],tblStores[Province])</f>
        <v>Eastern Cape</v>
      </c>
      <c r="F717" t="str">
        <f>_xlfn.XLOOKUP(tblSales[[#This Row],[Store ID]],tblStores[Store ID],tblStores[Manager])</f>
        <v>Emma Baker</v>
      </c>
      <c r="G717" t="str">
        <f>_xlfn.XLOOKUP(tblSales[[#This Row],[Category ID]],tblCategories[Category ID],tblCategories[Category])</f>
        <v>Accessories</v>
      </c>
      <c r="H717">
        <v>75046</v>
      </c>
      <c r="I717">
        <v>75061</v>
      </c>
      <c r="J717">
        <v>157</v>
      </c>
      <c r="K717">
        <f>tblSales[[#This Row],[Sales]]-tblSales[[#This Row],[Budget]]</f>
        <v>-15</v>
      </c>
      <c r="L717" s="3">
        <f>(tblSales[[#This Row],[Sales]]-tblSales[[#This Row],[Budget]])/tblSales[[#This Row],[Budget]]</f>
        <v>-1.998374655280372E-4</v>
      </c>
      <c r="M717" s="2">
        <f>tblSales[[#This Row],[Sales]]/tblSales[[#This Row],[Transactions]]</f>
        <v>478</v>
      </c>
    </row>
    <row r="718" spans="1:13" x14ac:dyDescent="0.25">
      <c r="A718" s="1">
        <v>46058</v>
      </c>
      <c r="B718" t="s">
        <v>27</v>
      </c>
      <c r="C718" t="s">
        <v>19</v>
      </c>
      <c r="D718" t="str">
        <f>_xlfn.XLOOKUP(tblSales[[#This Row],[Store ID]],tblStores[Store ID],tblStores[Store Name])</f>
        <v>East London</v>
      </c>
      <c r="E718" t="str">
        <f>_xlfn.XLOOKUP(tblSales[[#This Row],[Store ID]],tblStores[Store ID],tblStores[Province])</f>
        <v>Eastern Cape</v>
      </c>
      <c r="F718" t="str">
        <f>_xlfn.XLOOKUP(tblSales[[#This Row],[Store ID]],tblStores[Store ID],tblStores[Manager])</f>
        <v>Daniel Evans</v>
      </c>
      <c r="G718" t="str">
        <f>_xlfn.XLOOKUP(tblSales[[#This Row],[Category ID]],tblCategories[Category ID],tblCategories[Category])</f>
        <v>Accessories</v>
      </c>
      <c r="H718">
        <v>83528</v>
      </c>
      <c r="I718">
        <v>86527</v>
      </c>
      <c r="J718">
        <v>212</v>
      </c>
      <c r="K718">
        <f>tblSales[[#This Row],[Sales]]-tblSales[[#This Row],[Budget]]</f>
        <v>-2999</v>
      </c>
      <c r="L718" s="3">
        <f>(tblSales[[#This Row],[Sales]]-tblSales[[#This Row],[Budget]])/tblSales[[#This Row],[Budget]]</f>
        <v>-3.4659701596033606E-2</v>
      </c>
      <c r="M718" s="2">
        <f>tblSales[[#This Row],[Sales]]/tblSales[[#This Row],[Transactions]]</f>
        <v>394</v>
      </c>
    </row>
    <row r="719" spans="1:13" x14ac:dyDescent="0.25">
      <c r="A719" s="1">
        <v>46058</v>
      </c>
      <c r="B719" t="s">
        <v>28</v>
      </c>
      <c r="C719" t="s">
        <v>22</v>
      </c>
      <c r="D719" t="str">
        <f>_xlfn.XLOOKUP(tblSales[[#This Row],[Store ID]],tblStores[Store ID],tblStores[Store Name])</f>
        <v>Bloemfontein</v>
      </c>
      <c r="E719" t="str">
        <f>_xlfn.XLOOKUP(tblSales[[#This Row],[Store ID]],tblStores[Store ID],tblStores[Province])</f>
        <v>Free State</v>
      </c>
      <c r="F719" t="str">
        <f>_xlfn.XLOOKUP(tblSales[[#This Row],[Store ID]],tblStores[Store ID],tblStores[Manager])</f>
        <v>Rachel Moore</v>
      </c>
      <c r="G719" t="str">
        <f>_xlfn.XLOOKUP(tblSales[[#This Row],[Category ID]],tblCategories[Category ID],tblCategories[Category])</f>
        <v>Kids</v>
      </c>
      <c r="H719">
        <v>97156</v>
      </c>
      <c r="I719">
        <v>101863</v>
      </c>
      <c r="J719">
        <v>214</v>
      </c>
      <c r="K719">
        <f>tblSales[[#This Row],[Sales]]-tblSales[[#This Row],[Budget]]</f>
        <v>-4707</v>
      </c>
      <c r="L719" s="3">
        <f>(tblSales[[#This Row],[Sales]]-tblSales[[#This Row],[Budget]])/tblSales[[#This Row],[Budget]]</f>
        <v>-4.6209124019516407E-2</v>
      </c>
      <c r="M719" s="2">
        <f>tblSales[[#This Row],[Sales]]/tblSales[[#This Row],[Transactions]]</f>
        <v>454</v>
      </c>
    </row>
    <row r="720" spans="1:13" x14ac:dyDescent="0.25">
      <c r="A720" s="1">
        <v>46058</v>
      </c>
      <c r="B720" t="s">
        <v>29</v>
      </c>
      <c r="C720" t="s">
        <v>7</v>
      </c>
      <c r="D720" t="str">
        <f>_xlfn.XLOOKUP(tblSales[[#This Row],[Store ID]],tblStores[Store ID],tblStores[Store Name])</f>
        <v>Polokwane</v>
      </c>
      <c r="E720" t="str">
        <f>_xlfn.XLOOKUP(tblSales[[#This Row],[Store ID]],tblStores[Store ID],tblStores[Province])</f>
        <v>Limpopo</v>
      </c>
      <c r="F720" t="str">
        <f>_xlfn.XLOOKUP(tblSales[[#This Row],[Store ID]],tblStores[Store ID],tblStores[Manager])</f>
        <v>Kevin Harris</v>
      </c>
      <c r="G720" t="str">
        <f>_xlfn.XLOOKUP(tblSales[[#This Row],[Category ID]],tblCategories[Category ID],tblCategories[Category])</f>
        <v>Menswear</v>
      </c>
      <c r="H720">
        <v>19034</v>
      </c>
      <c r="I720">
        <v>20259</v>
      </c>
      <c r="J720">
        <v>62</v>
      </c>
      <c r="K720">
        <f>tblSales[[#This Row],[Sales]]-tblSales[[#This Row],[Budget]]</f>
        <v>-1225</v>
      </c>
      <c r="L720" s="3">
        <f>(tblSales[[#This Row],[Sales]]-tblSales[[#This Row],[Budget]])/tblSales[[#This Row],[Budget]]</f>
        <v>-6.0466952959178637E-2</v>
      </c>
      <c r="M720" s="2">
        <f>tblSales[[#This Row],[Sales]]/tblSales[[#This Row],[Transactions]]</f>
        <v>307</v>
      </c>
    </row>
    <row r="721" spans="1:13" x14ac:dyDescent="0.25">
      <c r="A721" s="1">
        <v>46058</v>
      </c>
      <c r="B721" t="s">
        <v>30</v>
      </c>
      <c r="C721" t="s">
        <v>22</v>
      </c>
      <c r="D721" t="str">
        <f>_xlfn.XLOOKUP(tblSales[[#This Row],[Store ID]],tblStores[Store ID],tblStores[Store Name])</f>
        <v>Nelspruit</v>
      </c>
      <c r="E721" t="str">
        <f>_xlfn.XLOOKUP(tblSales[[#This Row],[Store ID]],tblStores[Store ID],tblStores[Province])</f>
        <v>Mpumalanga</v>
      </c>
      <c r="F721" t="str">
        <f>_xlfn.XLOOKUP(tblSales[[#This Row],[Store ID]],tblStores[Store ID],tblStores[Manager])</f>
        <v>Olivia Turner</v>
      </c>
      <c r="G721" t="str">
        <f>_xlfn.XLOOKUP(tblSales[[#This Row],[Category ID]],tblCategories[Category ID],tblCategories[Category])</f>
        <v>Kids</v>
      </c>
      <c r="H721">
        <v>39347</v>
      </c>
      <c r="I721">
        <v>41439</v>
      </c>
      <c r="J721">
        <v>77</v>
      </c>
      <c r="K721">
        <f>tblSales[[#This Row],[Sales]]-tblSales[[#This Row],[Budget]]</f>
        <v>-2092</v>
      </c>
      <c r="L721" s="3">
        <f>(tblSales[[#This Row],[Sales]]-tblSales[[#This Row],[Budget]])/tblSales[[#This Row],[Budget]]</f>
        <v>-5.0483843722097542E-2</v>
      </c>
      <c r="M721" s="2">
        <f>tblSales[[#This Row],[Sales]]/tblSales[[#This Row],[Transactions]]</f>
        <v>511</v>
      </c>
    </row>
    <row r="722" spans="1:13" x14ac:dyDescent="0.25">
      <c r="A722" s="1">
        <v>46059</v>
      </c>
      <c r="B722" t="s">
        <v>6</v>
      </c>
      <c r="C722" t="s">
        <v>19</v>
      </c>
      <c r="D722" t="str">
        <f>_xlfn.XLOOKUP(tblSales[[#This Row],[Store ID]],tblStores[Store ID],tblStores[Store Name])</f>
        <v>Durban CBD</v>
      </c>
      <c r="E722" t="str">
        <f>_xlfn.XLOOKUP(tblSales[[#This Row],[Store ID]],tblStores[Store ID],tblStores[Province])</f>
        <v>KZN</v>
      </c>
      <c r="F722" t="str">
        <f>_xlfn.XLOOKUP(tblSales[[#This Row],[Store ID]],tblStores[Store ID],tblStores[Manager])</f>
        <v>Sarah Adams</v>
      </c>
      <c r="G722" t="str">
        <f>_xlfn.XLOOKUP(tblSales[[#This Row],[Category ID]],tblCategories[Category ID],tblCategories[Category])</f>
        <v>Accessories</v>
      </c>
      <c r="H722">
        <v>102200</v>
      </c>
      <c r="I722">
        <v>102190</v>
      </c>
      <c r="J722">
        <v>200</v>
      </c>
      <c r="K722">
        <f>tblSales[[#This Row],[Sales]]-tblSales[[#This Row],[Budget]]</f>
        <v>10</v>
      </c>
      <c r="L722" s="3">
        <f>(tblSales[[#This Row],[Sales]]-tblSales[[#This Row],[Budget]])/tblSales[[#This Row],[Budget]]</f>
        <v>9.7856933163714655E-5</v>
      </c>
      <c r="M722" s="2">
        <f>tblSales[[#This Row],[Sales]]/tblSales[[#This Row],[Transactions]]</f>
        <v>511</v>
      </c>
    </row>
    <row r="723" spans="1:13" x14ac:dyDescent="0.25">
      <c r="A723" s="1">
        <v>46059</v>
      </c>
      <c r="B723" t="s">
        <v>8</v>
      </c>
      <c r="C723" t="s">
        <v>22</v>
      </c>
      <c r="D723" t="str">
        <f>_xlfn.XLOOKUP(tblSales[[#This Row],[Store ID]],tblStores[Store ID],tblStores[Store Name])</f>
        <v>Gateway</v>
      </c>
      <c r="E723" t="str">
        <f>_xlfn.XLOOKUP(tblSales[[#This Row],[Store ID]],tblStores[Store ID],tblStores[Province])</f>
        <v>KZN</v>
      </c>
      <c r="F723" t="str">
        <f>_xlfn.XLOOKUP(tblSales[[#This Row],[Store ID]],tblStores[Store ID],tblStores[Manager])</f>
        <v>Michael Jones</v>
      </c>
      <c r="G723" t="str">
        <f>_xlfn.XLOOKUP(tblSales[[#This Row],[Category ID]],tblCategories[Category ID],tblCategories[Category])</f>
        <v>Kids</v>
      </c>
      <c r="H723">
        <v>33930</v>
      </c>
      <c r="I723">
        <v>30626</v>
      </c>
      <c r="J723">
        <v>145</v>
      </c>
      <c r="K723">
        <f>tblSales[[#This Row],[Sales]]-tblSales[[#This Row],[Budget]]</f>
        <v>3304</v>
      </c>
      <c r="L723" s="3">
        <f>(tblSales[[#This Row],[Sales]]-tblSales[[#This Row],[Budget]])/tblSales[[#This Row],[Budget]]</f>
        <v>0.10788219160190687</v>
      </c>
      <c r="M723" s="2">
        <f>tblSales[[#This Row],[Sales]]/tblSales[[#This Row],[Transactions]]</f>
        <v>234</v>
      </c>
    </row>
    <row r="724" spans="1:13" x14ac:dyDescent="0.25">
      <c r="A724" s="1">
        <v>46059</v>
      </c>
      <c r="B724" t="s">
        <v>10</v>
      </c>
      <c r="C724" t="s">
        <v>22</v>
      </c>
      <c r="D724" t="str">
        <f>_xlfn.XLOOKUP(tblSales[[#This Row],[Store ID]],tblStores[Store ID],tblStores[Store Name])</f>
        <v>Ballito</v>
      </c>
      <c r="E724" t="str">
        <f>_xlfn.XLOOKUP(tblSales[[#This Row],[Store ID]],tblStores[Store ID],tblStores[Province])</f>
        <v>KZN</v>
      </c>
      <c r="F724" t="str">
        <f>_xlfn.XLOOKUP(tblSales[[#This Row],[Store ID]],tblStores[Store ID],tblStores[Manager])</f>
        <v>Linda Smith</v>
      </c>
      <c r="G724" t="str">
        <f>_xlfn.XLOOKUP(tblSales[[#This Row],[Category ID]],tblCategories[Category ID],tblCategories[Category])</f>
        <v>Kids</v>
      </c>
      <c r="H724">
        <v>40131</v>
      </c>
      <c r="I724">
        <v>43610</v>
      </c>
      <c r="J724">
        <v>91</v>
      </c>
      <c r="K724">
        <f>tblSales[[#This Row],[Sales]]-tblSales[[#This Row],[Budget]]</f>
        <v>-3479</v>
      </c>
      <c r="L724" s="3">
        <f>(tblSales[[#This Row],[Sales]]-tblSales[[#This Row],[Budget]])/tblSales[[#This Row],[Budget]]</f>
        <v>-7.9775280898876408E-2</v>
      </c>
      <c r="M724" s="2">
        <f>tblSales[[#This Row],[Sales]]/tblSales[[#This Row],[Transactions]]</f>
        <v>441</v>
      </c>
    </row>
    <row r="725" spans="1:13" x14ac:dyDescent="0.25">
      <c r="A725" s="1">
        <v>46059</v>
      </c>
      <c r="B725" t="s">
        <v>12</v>
      </c>
      <c r="C725" t="s">
        <v>19</v>
      </c>
      <c r="D725" t="str">
        <f>_xlfn.XLOOKUP(tblSales[[#This Row],[Store ID]],tblStores[Store ID],tblStores[Store Name])</f>
        <v>Pietermaritzburg</v>
      </c>
      <c r="E725" t="str">
        <f>_xlfn.XLOOKUP(tblSales[[#This Row],[Store ID]],tblStores[Store ID],tblStores[Province])</f>
        <v>KZN</v>
      </c>
      <c r="F725" t="str">
        <f>_xlfn.XLOOKUP(tblSales[[#This Row],[Store ID]],tblStores[Store ID],tblStores[Manager])</f>
        <v>Peter Brown</v>
      </c>
      <c r="G725" t="str">
        <f>_xlfn.XLOOKUP(tblSales[[#This Row],[Category ID]],tblCategories[Category ID],tblCategories[Category])</f>
        <v>Accessories</v>
      </c>
      <c r="H725">
        <v>86742</v>
      </c>
      <c r="I725">
        <v>82860</v>
      </c>
      <c r="J725">
        <v>183</v>
      </c>
      <c r="K725">
        <f>tblSales[[#This Row],[Sales]]-tblSales[[#This Row],[Budget]]</f>
        <v>3882</v>
      </c>
      <c r="L725" s="3">
        <f>(tblSales[[#This Row],[Sales]]-tblSales[[#This Row],[Budget]])/tblSales[[#This Row],[Budget]]</f>
        <v>4.685010861694424E-2</v>
      </c>
      <c r="M725" s="2">
        <f>tblSales[[#This Row],[Sales]]/tblSales[[#This Row],[Transactions]]</f>
        <v>474</v>
      </c>
    </row>
    <row r="726" spans="1:13" x14ac:dyDescent="0.25">
      <c r="A726" s="1">
        <v>46059</v>
      </c>
      <c r="B726" t="s">
        <v>13</v>
      </c>
      <c r="C726" t="s">
        <v>22</v>
      </c>
      <c r="D726" t="str">
        <f>_xlfn.XLOOKUP(tblSales[[#This Row],[Store ID]],tblStores[Store ID],tblStores[Store Name])</f>
        <v>Richards Bay</v>
      </c>
      <c r="E726" t="str">
        <f>_xlfn.XLOOKUP(tblSales[[#This Row],[Store ID]],tblStores[Store ID],tblStores[Province])</f>
        <v>KZN</v>
      </c>
      <c r="F726" t="str">
        <f>_xlfn.XLOOKUP(tblSales[[#This Row],[Store ID]],tblStores[Store ID],tblStores[Manager])</f>
        <v>David Green</v>
      </c>
      <c r="G726" t="str">
        <f>_xlfn.XLOOKUP(tblSales[[#This Row],[Category ID]],tblCategories[Category ID],tblCategories[Category])</f>
        <v>Kids</v>
      </c>
      <c r="H726">
        <v>56295</v>
      </c>
      <c r="I726">
        <v>61535</v>
      </c>
      <c r="J726">
        <v>135</v>
      </c>
      <c r="K726">
        <f>tblSales[[#This Row],[Sales]]-tblSales[[#This Row],[Budget]]</f>
        <v>-5240</v>
      </c>
      <c r="L726" s="3">
        <f>(tblSales[[#This Row],[Sales]]-tblSales[[#This Row],[Budget]])/tblSales[[#This Row],[Budget]]</f>
        <v>-8.5154789956935081E-2</v>
      </c>
      <c r="M726" s="2">
        <f>tblSales[[#This Row],[Sales]]/tblSales[[#This Row],[Transactions]]</f>
        <v>417</v>
      </c>
    </row>
    <row r="727" spans="1:13" x14ac:dyDescent="0.25">
      <c r="A727" s="1">
        <v>46059</v>
      </c>
      <c r="B727" t="s">
        <v>14</v>
      </c>
      <c r="C727" t="s">
        <v>19</v>
      </c>
      <c r="D727" t="str">
        <f>_xlfn.XLOOKUP(tblSales[[#This Row],[Store ID]],tblStores[Store ID],tblStores[Store Name])</f>
        <v>Sandton</v>
      </c>
      <c r="E727" t="str">
        <f>_xlfn.XLOOKUP(tblSales[[#This Row],[Store ID]],tblStores[Store ID],tblStores[Province])</f>
        <v>Gauteng</v>
      </c>
      <c r="F727" t="str">
        <f>_xlfn.XLOOKUP(tblSales[[#This Row],[Store ID]],tblStores[Store ID],tblStores[Manager])</f>
        <v>Karen White</v>
      </c>
      <c r="G727" t="str">
        <f>_xlfn.XLOOKUP(tblSales[[#This Row],[Category ID]],tblCategories[Category ID],tblCategories[Category])</f>
        <v>Accessories</v>
      </c>
      <c r="H727">
        <v>91996</v>
      </c>
      <c r="I727">
        <v>86263</v>
      </c>
      <c r="J727">
        <v>211</v>
      </c>
      <c r="K727">
        <f>tblSales[[#This Row],[Sales]]-tblSales[[#This Row],[Budget]]</f>
        <v>5733</v>
      </c>
      <c r="L727" s="3">
        <f>(tblSales[[#This Row],[Sales]]-tblSales[[#This Row],[Budget]])/tblSales[[#This Row],[Budget]]</f>
        <v>6.6459548126079543E-2</v>
      </c>
      <c r="M727" s="2">
        <f>tblSales[[#This Row],[Sales]]/tblSales[[#This Row],[Transactions]]</f>
        <v>436</v>
      </c>
    </row>
    <row r="728" spans="1:13" x14ac:dyDescent="0.25">
      <c r="A728" s="1">
        <v>46059</v>
      </c>
      <c r="B728" t="s">
        <v>15</v>
      </c>
      <c r="C728" t="s">
        <v>7</v>
      </c>
      <c r="D728" t="str">
        <f>_xlfn.XLOOKUP(tblSales[[#This Row],[Store ID]],tblStores[Store ID],tblStores[Store Name])</f>
        <v>Rosebank</v>
      </c>
      <c r="E728" t="str">
        <f>_xlfn.XLOOKUP(tblSales[[#This Row],[Store ID]],tblStores[Store ID],tblStores[Province])</f>
        <v>Gauteng</v>
      </c>
      <c r="F728" t="str">
        <f>_xlfn.XLOOKUP(tblSales[[#This Row],[Store ID]],tblStores[Store ID],tblStores[Manager])</f>
        <v>James Taylor</v>
      </c>
      <c r="G728" t="str">
        <f>_xlfn.XLOOKUP(tblSales[[#This Row],[Category ID]],tblCategories[Category ID],tblCategories[Category])</f>
        <v>Menswear</v>
      </c>
      <c r="H728">
        <v>36814</v>
      </c>
      <c r="I728">
        <v>35851</v>
      </c>
      <c r="J728">
        <v>158</v>
      </c>
      <c r="K728">
        <f>tblSales[[#This Row],[Sales]]-tblSales[[#This Row],[Budget]]</f>
        <v>963</v>
      </c>
      <c r="L728" s="3">
        <f>(tblSales[[#This Row],[Sales]]-tblSales[[#This Row],[Budget]])/tblSales[[#This Row],[Budget]]</f>
        <v>2.6861175420490362E-2</v>
      </c>
      <c r="M728" s="2">
        <f>tblSales[[#This Row],[Sales]]/tblSales[[#This Row],[Transactions]]</f>
        <v>233</v>
      </c>
    </row>
    <row r="729" spans="1:13" x14ac:dyDescent="0.25">
      <c r="A729" s="1">
        <v>46059</v>
      </c>
      <c r="B729" t="s">
        <v>16</v>
      </c>
      <c r="C729" t="s">
        <v>7</v>
      </c>
      <c r="D729" t="str">
        <f>_xlfn.XLOOKUP(tblSales[[#This Row],[Store ID]],tblStores[Store ID],tblStores[Store Name])</f>
        <v>Pretoria</v>
      </c>
      <c r="E729" t="str">
        <f>_xlfn.XLOOKUP(tblSales[[#This Row],[Store ID]],tblStores[Store ID],tblStores[Province])</f>
        <v>Gauteng</v>
      </c>
      <c r="F729" t="str">
        <f>_xlfn.XLOOKUP(tblSales[[#This Row],[Store ID]],tblStores[Store ID],tblStores[Manager])</f>
        <v>Susan Clark</v>
      </c>
      <c r="G729" t="str">
        <f>_xlfn.XLOOKUP(tblSales[[#This Row],[Category ID]],tblCategories[Category ID],tblCategories[Category])</f>
        <v>Menswear</v>
      </c>
      <c r="H729">
        <v>16128</v>
      </c>
      <c r="I729">
        <v>15919</v>
      </c>
      <c r="J729">
        <v>64</v>
      </c>
      <c r="K729">
        <f>tblSales[[#This Row],[Sales]]-tblSales[[#This Row],[Budget]]</f>
        <v>209</v>
      </c>
      <c r="L729" s="3">
        <f>(tblSales[[#This Row],[Sales]]-tblSales[[#This Row],[Budget]])/tblSales[[#This Row],[Budget]]</f>
        <v>1.3128965387273071E-2</v>
      </c>
      <c r="M729" s="2">
        <f>tblSales[[#This Row],[Sales]]/tblSales[[#This Row],[Transactions]]</f>
        <v>252</v>
      </c>
    </row>
    <row r="730" spans="1:13" x14ac:dyDescent="0.25">
      <c r="A730" s="1">
        <v>46059</v>
      </c>
      <c r="B730" t="s">
        <v>17</v>
      </c>
      <c r="C730" t="s">
        <v>22</v>
      </c>
      <c r="D730" t="str">
        <f>_xlfn.XLOOKUP(tblSales[[#This Row],[Store ID]],tblStores[Store ID],tblStores[Store Name])</f>
        <v>Centurion</v>
      </c>
      <c r="E730" t="str">
        <f>_xlfn.XLOOKUP(tblSales[[#This Row],[Store ID]],tblStores[Store ID],tblStores[Province])</f>
        <v>Gauteng</v>
      </c>
      <c r="F730" t="str">
        <f>_xlfn.XLOOKUP(tblSales[[#This Row],[Store ID]],tblStores[Store ID],tblStores[Manager])</f>
        <v>Mark Wilson</v>
      </c>
      <c r="G730" t="str">
        <f>_xlfn.XLOOKUP(tblSales[[#This Row],[Category ID]],tblCategories[Category ID],tblCategories[Category])</f>
        <v>Kids</v>
      </c>
      <c r="H730">
        <v>43035</v>
      </c>
      <c r="I730">
        <v>44338</v>
      </c>
      <c r="J730">
        <v>151</v>
      </c>
      <c r="K730">
        <f>tblSales[[#This Row],[Sales]]-tblSales[[#This Row],[Budget]]</f>
        <v>-1303</v>
      </c>
      <c r="L730" s="3">
        <f>(tblSales[[#This Row],[Sales]]-tblSales[[#This Row],[Budget]])/tblSales[[#This Row],[Budget]]</f>
        <v>-2.9387883982137219E-2</v>
      </c>
      <c r="M730" s="2">
        <f>tblSales[[#This Row],[Sales]]/tblSales[[#This Row],[Transactions]]</f>
        <v>285</v>
      </c>
    </row>
    <row r="731" spans="1:13" x14ac:dyDescent="0.25">
      <c r="A731" s="1">
        <v>46059</v>
      </c>
      <c r="B731" t="s">
        <v>18</v>
      </c>
      <c r="C731" t="s">
        <v>22</v>
      </c>
      <c r="D731" t="str">
        <f>_xlfn.XLOOKUP(tblSales[[#This Row],[Store ID]],tblStores[Store ID],tblStores[Store Name])</f>
        <v>East Rand</v>
      </c>
      <c r="E731" t="str">
        <f>_xlfn.XLOOKUP(tblSales[[#This Row],[Store ID]],tblStores[Store ID],tblStores[Province])</f>
        <v>Gauteng</v>
      </c>
      <c r="F731" t="str">
        <f>_xlfn.XLOOKUP(tblSales[[#This Row],[Store ID]],tblStores[Store ID],tblStores[Manager])</f>
        <v>Lisa Young</v>
      </c>
      <c r="G731" t="str">
        <f>_xlfn.XLOOKUP(tblSales[[#This Row],[Category ID]],tblCategories[Category ID],tblCategories[Category])</f>
        <v>Kids</v>
      </c>
      <c r="H731">
        <v>35724</v>
      </c>
      <c r="I731">
        <v>36064</v>
      </c>
      <c r="J731">
        <v>156</v>
      </c>
      <c r="K731">
        <f>tblSales[[#This Row],[Sales]]-tblSales[[#This Row],[Budget]]</f>
        <v>-340</v>
      </c>
      <c r="L731" s="3">
        <f>(tblSales[[#This Row],[Sales]]-tblSales[[#This Row],[Budget]])/tblSales[[#This Row],[Budget]]</f>
        <v>-9.4276841171251104E-3</v>
      </c>
      <c r="M731" s="2">
        <f>tblSales[[#This Row],[Sales]]/tblSales[[#This Row],[Transactions]]</f>
        <v>229</v>
      </c>
    </row>
    <row r="732" spans="1:13" x14ac:dyDescent="0.25">
      <c r="A732" s="1">
        <v>46059</v>
      </c>
      <c r="B732" t="s">
        <v>20</v>
      </c>
      <c r="C732" t="s">
        <v>11</v>
      </c>
      <c r="D732" t="str">
        <f>_xlfn.XLOOKUP(tblSales[[#This Row],[Store ID]],tblStores[Store ID],tblStores[Store Name])</f>
        <v>Cape Town CBD</v>
      </c>
      <c r="E732" t="str">
        <f>_xlfn.XLOOKUP(tblSales[[#This Row],[Store ID]],tblStores[Store ID],tblStores[Province])</f>
        <v>Western Cape</v>
      </c>
      <c r="F732" t="str">
        <f>_xlfn.XLOOKUP(tblSales[[#This Row],[Store ID]],tblStores[Store ID],tblStores[Manager])</f>
        <v>Brian Hall</v>
      </c>
      <c r="G732" t="str">
        <f>_xlfn.XLOOKUP(tblSales[[#This Row],[Category ID]],tblCategories[Category ID],tblCategories[Category])</f>
        <v>Footwear</v>
      </c>
      <c r="H732">
        <v>24824</v>
      </c>
      <c r="I732">
        <v>24205</v>
      </c>
      <c r="J732">
        <v>116</v>
      </c>
      <c r="K732">
        <f>tblSales[[#This Row],[Sales]]-tblSales[[#This Row],[Budget]]</f>
        <v>619</v>
      </c>
      <c r="L732" s="3">
        <f>(tblSales[[#This Row],[Sales]]-tblSales[[#This Row],[Budget]])/tblSales[[#This Row],[Budget]]</f>
        <v>2.5573228671762031E-2</v>
      </c>
      <c r="M732" s="2">
        <f>tblSales[[#This Row],[Sales]]/tblSales[[#This Row],[Transactions]]</f>
        <v>214</v>
      </c>
    </row>
    <row r="733" spans="1:13" x14ac:dyDescent="0.25">
      <c r="A733" s="1">
        <v>46059</v>
      </c>
      <c r="B733" t="s">
        <v>21</v>
      </c>
      <c r="C733" t="s">
        <v>7</v>
      </c>
      <c r="D733" t="str">
        <f>_xlfn.XLOOKUP(tblSales[[#This Row],[Store ID]],tblStores[Store ID],tblStores[Store Name])</f>
        <v>Canal Walk</v>
      </c>
      <c r="E733" t="str">
        <f>_xlfn.XLOOKUP(tblSales[[#This Row],[Store ID]],tblStores[Store ID],tblStores[Province])</f>
        <v>Western Cape</v>
      </c>
      <c r="F733" t="str">
        <f>_xlfn.XLOOKUP(tblSales[[#This Row],[Store ID]],tblStores[Store ID],tblStores[Manager])</f>
        <v>Megan Scott</v>
      </c>
      <c r="G733" t="str">
        <f>_xlfn.XLOOKUP(tblSales[[#This Row],[Category ID]],tblCategories[Category ID],tblCategories[Category])</f>
        <v>Menswear</v>
      </c>
      <c r="H733">
        <v>14200</v>
      </c>
      <c r="I733">
        <v>15080</v>
      </c>
      <c r="J733">
        <v>40</v>
      </c>
      <c r="K733">
        <f>tblSales[[#This Row],[Sales]]-tblSales[[#This Row],[Budget]]</f>
        <v>-880</v>
      </c>
      <c r="L733" s="3">
        <f>(tblSales[[#This Row],[Sales]]-tblSales[[#This Row],[Budget]])/tblSales[[#This Row],[Budget]]</f>
        <v>-5.8355437665782495E-2</v>
      </c>
      <c r="M733" s="2">
        <f>tblSales[[#This Row],[Sales]]/tblSales[[#This Row],[Transactions]]</f>
        <v>355</v>
      </c>
    </row>
    <row r="734" spans="1:13" x14ac:dyDescent="0.25">
      <c r="A734" s="1">
        <v>46059</v>
      </c>
      <c r="B734" t="s">
        <v>23</v>
      </c>
      <c r="C734" t="s">
        <v>9</v>
      </c>
      <c r="D734" t="str">
        <f>_xlfn.XLOOKUP(tblSales[[#This Row],[Store ID]],tblStores[Store ID],tblStores[Store Name])</f>
        <v>Stellenbosch</v>
      </c>
      <c r="E734" t="str">
        <f>_xlfn.XLOOKUP(tblSales[[#This Row],[Store ID]],tblStores[Store ID],tblStores[Province])</f>
        <v>Western Cape</v>
      </c>
      <c r="F734" t="str">
        <f>_xlfn.XLOOKUP(tblSales[[#This Row],[Store ID]],tblStores[Store ID],tblStores[Manager])</f>
        <v>Jason King</v>
      </c>
      <c r="G734" t="str">
        <f>_xlfn.XLOOKUP(tblSales[[#This Row],[Category ID]],tblCategories[Category ID],tblCategories[Category])</f>
        <v>Ladieswear</v>
      </c>
      <c r="H734">
        <v>43068</v>
      </c>
      <c r="I734">
        <v>40639</v>
      </c>
      <c r="J734">
        <v>97</v>
      </c>
      <c r="K734">
        <f>tblSales[[#This Row],[Sales]]-tblSales[[#This Row],[Budget]]</f>
        <v>2429</v>
      </c>
      <c r="L734" s="3">
        <f>(tblSales[[#This Row],[Sales]]-tblSales[[#This Row],[Budget]])/tblSales[[#This Row],[Budget]]</f>
        <v>5.9770171510125744E-2</v>
      </c>
      <c r="M734" s="2">
        <f>tblSales[[#This Row],[Sales]]/tblSales[[#This Row],[Transactions]]</f>
        <v>444</v>
      </c>
    </row>
    <row r="735" spans="1:13" x14ac:dyDescent="0.25">
      <c r="A735" s="1">
        <v>46059</v>
      </c>
      <c r="B735" t="s">
        <v>24</v>
      </c>
      <c r="C735" t="s">
        <v>9</v>
      </c>
      <c r="D735" t="str">
        <f>_xlfn.XLOOKUP(tblSales[[#This Row],[Store ID]],tblStores[Store ID],tblStores[Store Name])</f>
        <v>George</v>
      </c>
      <c r="E735" t="str">
        <f>_xlfn.XLOOKUP(tblSales[[#This Row],[Store ID]],tblStores[Store ID],tblStores[Province])</f>
        <v>Western Cape</v>
      </c>
      <c r="F735" t="str">
        <f>_xlfn.XLOOKUP(tblSales[[#This Row],[Store ID]],tblStores[Store ID],tblStores[Manager])</f>
        <v>Chloe Hill</v>
      </c>
      <c r="G735" t="str">
        <f>_xlfn.XLOOKUP(tblSales[[#This Row],[Category ID]],tblCategories[Category ID],tblCategories[Category])</f>
        <v>Ladieswear</v>
      </c>
      <c r="H735">
        <v>55454</v>
      </c>
      <c r="I735">
        <v>55819</v>
      </c>
      <c r="J735">
        <v>119</v>
      </c>
      <c r="K735">
        <f>tblSales[[#This Row],[Sales]]-tblSales[[#This Row],[Budget]]</f>
        <v>-365</v>
      </c>
      <c r="L735" s="3">
        <f>(tblSales[[#This Row],[Sales]]-tblSales[[#This Row],[Budget]])/tblSales[[#This Row],[Budget]]</f>
        <v>-6.53899209946434E-3</v>
      </c>
      <c r="M735" s="2">
        <f>tblSales[[#This Row],[Sales]]/tblSales[[#This Row],[Transactions]]</f>
        <v>466</v>
      </c>
    </row>
    <row r="736" spans="1:13" x14ac:dyDescent="0.25">
      <c r="A736" s="1">
        <v>46059</v>
      </c>
      <c r="B736" t="s">
        <v>25</v>
      </c>
      <c r="C736" t="s">
        <v>11</v>
      </c>
      <c r="D736" t="str">
        <f>_xlfn.XLOOKUP(tblSales[[#This Row],[Store ID]],tblStores[Store ID],tblStores[Store Name])</f>
        <v>Paarl</v>
      </c>
      <c r="E736" t="str">
        <f>_xlfn.XLOOKUP(tblSales[[#This Row],[Store ID]],tblStores[Store ID],tblStores[Province])</f>
        <v>Western Cape</v>
      </c>
      <c r="F736" t="str">
        <f>_xlfn.XLOOKUP(tblSales[[#This Row],[Store ID]],tblStores[Store ID],tblStores[Manager])</f>
        <v>Andrew Lee</v>
      </c>
      <c r="G736" t="str">
        <f>_xlfn.XLOOKUP(tblSales[[#This Row],[Category ID]],tblCategories[Category ID],tblCategories[Category])</f>
        <v>Footwear</v>
      </c>
      <c r="H736">
        <v>36378</v>
      </c>
      <c r="I736">
        <v>38467</v>
      </c>
      <c r="J736">
        <v>94</v>
      </c>
      <c r="K736">
        <f>tblSales[[#This Row],[Sales]]-tblSales[[#This Row],[Budget]]</f>
        <v>-2089</v>
      </c>
      <c r="L736" s="3">
        <f>(tblSales[[#This Row],[Sales]]-tblSales[[#This Row],[Budget]])/tblSales[[#This Row],[Budget]]</f>
        <v>-5.4306288507032001E-2</v>
      </c>
      <c r="M736" s="2">
        <f>tblSales[[#This Row],[Sales]]/tblSales[[#This Row],[Transactions]]</f>
        <v>387</v>
      </c>
    </row>
    <row r="737" spans="1:13" x14ac:dyDescent="0.25">
      <c r="A737" s="1">
        <v>46059</v>
      </c>
      <c r="B737" t="s">
        <v>26</v>
      </c>
      <c r="C737" t="s">
        <v>9</v>
      </c>
      <c r="D737" t="str">
        <f>_xlfn.XLOOKUP(tblSales[[#This Row],[Store ID]],tblStores[Store ID],tblStores[Store Name])</f>
        <v>Gqeberha</v>
      </c>
      <c r="E737" t="str">
        <f>_xlfn.XLOOKUP(tblSales[[#This Row],[Store ID]],tblStores[Store ID],tblStores[Province])</f>
        <v>Eastern Cape</v>
      </c>
      <c r="F737" t="str">
        <f>_xlfn.XLOOKUP(tblSales[[#This Row],[Store ID]],tblStores[Store ID],tblStores[Manager])</f>
        <v>Emma Baker</v>
      </c>
      <c r="G737" t="str">
        <f>_xlfn.XLOOKUP(tblSales[[#This Row],[Category ID]],tblCategories[Category ID],tblCategories[Category])</f>
        <v>Ladieswear</v>
      </c>
      <c r="H737">
        <v>102168</v>
      </c>
      <c r="I737">
        <v>102988</v>
      </c>
      <c r="J737">
        <v>198</v>
      </c>
      <c r="K737">
        <f>tblSales[[#This Row],[Sales]]-tblSales[[#This Row],[Budget]]</f>
        <v>-820</v>
      </c>
      <c r="L737" s="3">
        <f>(tblSales[[#This Row],[Sales]]-tblSales[[#This Row],[Budget]])/tblSales[[#This Row],[Budget]]</f>
        <v>-7.9620926709907947E-3</v>
      </c>
      <c r="M737" s="2">
        <f>tblSales[[#This Row],[Sales]]/tblSales[[#This Row],[Transactions]]</f>
        <v>516</v>
      </c>
    </row>
    <row r="738" spans="1:13" x14ac:dyDescent="0.25">
      <c r="A738" s="1">
        <v>46059</v>
      </c>
      <c r="B738" t="s">
        <v>27</v>
      </c>
      <c r="C738" t="s">
        <v>7</v>
      </c>
      <c r="D738" t="str">
        <f>_xlfn.XLOOKUP(tblSales[[#This Row],[Store ID]],tblStores[Store ID],tblStores[Store Name])</f>
        <v>East London</v>
      </c>
      <c r="E738" t="str">
        <f>_xlfn.XLOOKUP(tblSales[[#This Row],[Store ID]],tblStores[Store ID],tblStores[Province])</f>
        <v>Eastern Cape</v>
      </c>
      <c r="F738" t="str">
        <f>_xlfn.XLOOKUP(tblSales[[#This Row],[Store ID]],tblStores[Store ID],tblStores[Manager])</f>
        <v>Daniel Evans</v>
      </c>
      <c r="G738" t="str">
        <f>_xlfn.XLOOKUP(tblSales[[#This Row],[Category ID]],tblCategories[Category ID],tblCategories[Category])</f>
        <v>Menswear</v>
      </c>
      <c r="H738">
        <v>53952</v>
      </c>
      <c r="I738">
        <v>54620</v>
      </c>
      <c r="J738">
        <v>192</v>
      </c>
      <c r="K738">
        <f>tblSales[[#This Row],[Sales]]-tblSales[[#This Row],[Budget]]</f>
        <v>-668</v>
      </c>
      <c r="L738" s="3">
        <f>(tblSales[[#This Row],[Sales]]-tblSales[[#This Row],[Budget]])/tblSales[[#This Row],[Budget]]</f>
        <v>-1.2229952398388869E-2</v>
      </c>
      <c r="M738" s="2">
        <f>tblSales[[#This Row],[Sales]]/tblSales[[#This Row],[Transactions]]</f>
        <v>281</v>
      </c>
    </row>
    <row r="739" spans="1:13" x14ac:dyDescent="0.25">
      <c r="A739" s="1">
        <v>46059</v>
      </c>
      <c r="B739" t="s">
        <v>28</v>
      </c>
      <c r="C739" t="s">
        <v>11</v>
      </c>
      <c r="D739" t="str">
        <f>_xlfn.XLOOKUP(tblSales[[#This Row],[Store ID]],tblStores[Store ID],tblStores[Store Name])</f>
        <v>Bloemfontein</v>
      </c>
      <c r="E739" t="str">
        <f>_xlfn.XLOOKUP(tblSales[[#This Row],[Store ID]],tblStores[Store ID],tblStores[Province])</f>
        <v>Free State</v>
      </c>
      <c r="F739" t="str">
        <f>_xlfn.XLOOKUP(tblSales[[#This Row],[Store ID]],tblStores[Store ID],tblStores[Manager])</f>
        <v>Rachel Moore</v>
      </c>
      <c r="G739" t="str">
        <f>_xlfn.XLOOKUP(tblSales[[#This Row],[Category ID]],tblCategories[Category ID],tblCategories[Category])</f>
        <v>Footwear</v>
      </c>
      <c r="H739">
        <v>24388</v>
      </c>
      <c r="I739">
        <v>26245</v>
      </c>
      <c r="J739">
        <v>134</v>
      </c>
      <c r="K739">
        <f>tblSales[[#This Row],[Sales]]-tblSales[[#This Row],[Budget]]</f>
        <v>-1857</v>
      </c>
      <c r="L739" s="3">
        <f>(tblSales[[#This Row],[Sales]]-tblSales[[#This Row],[Budget]])/tblSales[[#This Row],[Budget]]</f>
        <v>-7.0756334539912369E-2</v>
      </c>
      <c r="M739" s="2">
        <f>tblSales[[#This Row],[Sales]]/tblSales[[#This Row],[Transactions]]</f>
        <v>182</v>
      </c>
    </row>
    <row r="740" spans="1:13" x14ac:dyDescent="0.25">
      <c r="A740" s="1">
        <v>46059</v>
      </c>
      <c r="B740" t="s">
        <v>29</v>
      </c>
      <c r="C740" t="s">
        <v>9</v>
      </c>
      <c r="D740" t="str">
        <f>_xlfn.XLOOKUP(tblSales[[#This Row],[Store ID]],tblStores[Store ID],tblStores[Store Name])</f>
        <v>Polokwane</v>
      </c>
      <c r="E740" t="str">
        <f>_xlfn.XLOOKUP(tblSales[[#This Row],[Store ID]],tblStores[Store ID],tblStores[Province])</f>
        <v>Limpopo</v>
      </c>
      <c r="F740" t="str">
        <f>_xlfn.XLOOKUP(tblSales[[#This Row],[Store ID]],tblStores[Store ID],tblStores[Manager])</f>
        <v>Kevin Harris</v>
      </c>
      <c r="G740" t="str">
        <f>_xlfn.XLOOKUP(tblSales[[#This Row],[Category ID]],tblCategories[Category ID],tblCategories[Category])</f>
        <v>Ladieswear</v>
      </c>
      <c r="H740">
        <v>22472</v>
      </c>
      <c r="I740">
        <v>23468</v>
      </c>
      <c r="J740">
        <v>106</v>
      </c>
      <c r="K740">
        <f>tblSales[[#This Row],[Sales]]-tblSales[[#This Row],[Budget]]</f>
        <v>-996</v>
      </c>
      <c r="L740" s="3">
        <f>(tblSales[[#This Row],[Sales]]-tblSales[[#This Row],[Budget]])/tblSales[[#This Row],[Budget]]</f>
        <v>-4.2440770410772113E-2</v>
      </c>
      <c r="M740" s="2">
        <f>tblSales[[#This Row],[Sales]]/tblSales[[#This Row],[Transactions]]</f>
        <v>212</v>
      </c>
    </row>
    <row r="741" spans="1:13" x14ac:dyDescent="0.25">
      <c r="A741" s="1">
        <v>46059</v>
      </c>
      <c r="B741" t="s">
        <v>30</v>
      </c>
      <c r="C741" t="s">
        <v>19</v>
      </c>
      <c r="D741" t="str">
        <f>_xlfn.XLOOKUP(tblSales[[#This Row],[Store ID]],tblStores[Store ID],tblStores[Store Name])</f>
        <v>Nelspruit</v>
      </c>
      <c r="E741" t="str">
        <f>_xlfn.XLOOKUP(tblSales[[#This Row],[Store ID]],tblStores[Store ID],tblStores[Province])</f>
        <v>Mpumalanga</v>
      </c>
      <c r="F741" t="str">
        <f>_xlfn.XLOOKUP(tblSales[[#This Row],[Store ID]],tblStores[Store ID],tblStores[Manager])</f>
        <v>Olivia Turner</v>
      </c>
      <c r="G741" t="str">
        <f>_xlfn.XLOOKUP(tblSales[[#This Row],[Category ID]],tblCategories[Category ID],tblCategories[Category])</f>
        <v>Accessories</v>
      </c>
      <c r="H741">
        <v>30094</v>
      </c>
      <c r="I741">
        <v>29537</v>
      </c>
      <c r="J741">
        <v>82</v>
      </c>
      <c r="K741">
        <f>tblSales[[#This Row],[Sales]]-tblSales[[#This Row],[Budget]]</f>
        <v>557</v>
      </c>
      <c r="L741" s="3">
        <f>(tblSales[[#This Row],[Sales]]-tblSales[[#This Row],[Budget]])/tblSales[[#This Row],[Budget]]</f>
        <v>1.8857703896807396E-2</v>
      </c>
      <c r="M741" s="2">
        <f>tblSales[[#This Row],[Sales]]/tblSales[[#This Row],[Transactions]]</f>
        <v>367</v>
      </c>
    </row>
    <row r="742" spans="1:13" x14ac:dyDescent="0.25">
      <c r="A742" s="1">
        <v>46060</v>
      </c>
      <c r="B742" t="s">
        <v>6</v>
      </c>
      <c r="C742" t="s">
        <v>11</v>
      </c>
      <c r="D742" t="str">
        <f>_xlfn.XLOOKUP(tblSales[[#This Row],[Store ID]],tblStores[Store ID],tblStores[Store Name])</f>
        <v>Durban CBD</v>
      </c>
      <c r="E742" t="str">
        <f>_xlfn.XLOOKUP(tblSales[[#This Row],[Store ID]],tblStores[Store ID],tblStores[Province])</f>
        <v>KZN</v>
      </c>
      <c r="F742" t="str">
        <f>_xlfn.XLOOKUP(tblSales[[#This Row],[Store ID]],tblStores[Store ID],tblStores[Manager])</f>
        <v>Sarah Adams</v>
      </c>
      <c r="G742" t="str">
        <f>_xlfn.XLOOKUP(tblSales[[#This Row],[Category ID]],tblCategories[Category ID],tblCategories[Category])</f>
        <v>Footwear</v>
      </c>
      <c r="H742">
        <v>20096</v>
      </c>
      <c r="I742">
        <v>21456</v>
      </c>
      <c r="J742">
        <v>64</v>
      </c>
      <c r="K742">
        <f>tblSales[[#This Row],[Sales]]-tblSales[[#This Row],[Budget]]</f>
        <v>-1360</v>
      </c>
      <c r="L742" s="3">
        <f>(tblSales[[#This Row],[Sales]]-tblSales[[#This Row],[Budget]])/tblSales[[#This Row],[Budget]]</f>
        <v>-6.3385533184190906E-2</v>
      </c>
      <c r="M742" s="2">
        <f>tblSales[[#This Row],[Sales]]/tblSales[[#This Row],[Transactions]]</f>
        <v>314</v>
      </c>
    </row>
    <row r="743" spans="1:13" x14ac:dyDescent="0.25">
      <c r="A743" s="1">
        <v>46060</v>
      </c>
      <c r="B743" t="s">
        <v>8</v>
      </c>
      <c r="C743" t="s">
        <v>11</v>
      </c>
      <c r="D743" t="str">
        <f>_xlfn.XLOOKUP(tblSales[[#This Row],[Store ID]],tblStores[Store ID],tblStores[Store Name])</f>
        <v>Gateway</v>
      </c>
      <c r="E743" t="str">
        <f>_xlfn.XLOOKUP(tblSales[[#This Row],[Store ID]],tblStores[Store ID],tblStores[Province])</f>
        <v>KZN</v>
      </c>
      <c r="F743" t="str">
        <f>_xlfn.XLOOKUP(tblSales[[#This Row],[Store ID]],tblStores[Store ID],tblStores[Manager])</f>
        <v>Michael Jones</v>
      </c>
      <c r="G743" t="str">
        <f>_xlfn.XLOOKUP(tblSales[[#This Row],[Category ID]],tblCategories[Category ID],tblCategories[Category])</f>
        <v>Footwear</v>
      </c>
      <c r="H743">
        <v>86190</v>
      </c>
      <c r="I743">
        <v>84324</v>
      </c>
      <c r="J743">
        <v>170</v>
      </c>
      <c r="K743">
        <f>tblSales[[#This Row],[Sales]]-tblSales[[#This Row],[Budget]]</f>
        <v>1866</v>
      </c>
      <c r="L743" s="3">
        <f>(tblSales[[#This Row],[Sales]]-tblSales[[#This Row],[Budget]])/tblSales[[#This Row],[Budget]]</f>
        <v>2.212893126512025E-2</v>
      </c>
      <c r="M743" s="2">
        <f>tblSales[[#This Row],[Sales]]/tblSales[[#This Row],[Transactions]]</f>
        <v>507</v>
      </c>
    </row>
    <row r="744" spans="1:13" x14ac:dyDescent="0.25">
      <c r="A744" s="1">
        <v>46060</v>
      </c>
      <c r="B744" t="s">
        <v>10</v>
      </c>
      <c r="C744" t="s">
        <v>11</v>
      </c>
      <c r="D744" t="str">
        <f>_xlfn.XLOOKUP(tblSales[[#This Row],[Store ID]],tblStores[Store ID],tblStores[Store Name])</f>
        <v>Ballito</v>
      </c>
      <c r="E744" t="str">
        <f>_xlfn.XLOOKUP(tblSales[[#This Row],[Store ID]],tblStores[Store ID],tblStores[Province])</f>
        <v>KZN</v>
      </c>
      <c r="F744" t="str">
        <f>_xlfn.XLOOKUP(tblSales[[#This Row],[Store ID]],tblStores[Store ID],tblStores[Manager])</f>
        <v>Linda Smith</v>
      </c>
      <c r="G744" t="str">
        <f>_xlfn.XLOOKUP(tblSales[[#This Row],[Category ID]],tblCategories[Category ID],tblCategories[Category])</f>
        <v>Footwear</v>
      </c>
      <c r="H744">
        <v>72580</v>
      </c>
      <c r="I744">
        <v>75973</v>
      </c>
      <c r="J744">
        <v>191</v>
      </c>
      <c r="K744">
        <f>tblSales[[#This Row],[Sales]]-tblSales[[#This Row],[Budget]]</f>
        <v>-3393</v>
      </c>
      <c r="L744" s="3">
        <f>(tblSales[[#This Row],[Sales]]-tblSales[[#This Row],[Budget]])/tblSales[[#This Row],[Budget]]</f>
        <v>-4.4660603108999247E-2</v>
      </c>
      <c r="M744" s="2">
        <f>tblSales[[#This Row],[Sales]]/tblSales[[#This Row],[Transactions]]</f>
        <v>380</v>
      </c>
    </row>
    <row r="745" spans="1:13" x14ac:dyDescent="0.25">
      <c r="A745" s="1">
        <v>46060</v>
      </c>
      <c r="B745" t="s">
        <v>12</v>
      </c>
      <c r="C745" t="s">
        <v>22</v>
      </c>
      <c r="D745" t="str">
        <f>_xlfn.XLOOKUP(tblSales[[#This Row],[Store ID]],tblStores[Store ID],tblStores[Store Name])</f>
        <v>Pietermaritzburg</v>
      </c>
      <c r="E745" t="str">
        <f>_xlfn.XLOOKUP(tblSales[[#This Row],[Store ID]],tblStores[Store ID],tblStores[Province])</f>
        <v>KZN</v>
      </c>
      <c r="F745" t="str">
        <f>_xlfn.XLOOKUP(tblSales[[#This Row],[Store ID]],tblStores[Store ID],tblStores[Manager])</f>
        <v>Peter Brown</v>
      </c>
      <c r="G745" t="str">
        <f>_xlfn.XLOOKUP(tblSales[[#This Row],[Category ID]],tblCategories[Category ID],tblCategories[Category])</f>
        <v>Kids</v>
      </c>
      <c r="H745">
        <v>51750</v>
      </c>
      <c r="I745">
        <v>54562</v>
      </c>
      <c r="J745">
        <v>125</v>
      </c>
      <c r="K745">
        <f>tblSales[[#This Row],[Sales]]-tblSales[[#This Row],[Budget]]</f>
        <v>-2812</v>
      </c>
      <c r="L745" s="3">
        <f>(tblSales[[#This Row],[Sales]]-tblSales[[#This Row],[Budget]])/tblSales[[#This Row],[Budget]]</f>
        <v>-5.1537700230929955E-2</v>
      </c>
      <c r="M745" s="2">
        <f>tblSales[[#This Row],[Sales]]/tblSales[[#This Row],[Transactions]]</f>
        <v>414</v>
      </c>
    </row>
    <row r="746" spans="1:13" x14ac:dyDescent="0.25">
      <c r="A746" s="1">
        <v>46060</v>
      </c>
      <c r="B746" t="s">
        <v>13</v>
      </c>
      <c r="C746" t="s">
        <v>22</v>
      </c>
      <c r="D746" t="str">
        <f>_xlfn.XLOOKUP(tblSales[[#This Row],[Store ID]],tblStores[Store ID],tblStores[Store Name])</f>
        <v>Richards Bay</v>
      </c>
      <c r="E746" t="str">
        <f>_xlfn.XLOOKUP(tblSales[[#This Row],[Store ID]],tblStores[Store ID],tblStores[Province])</f>
        <v>KZN</v>
      </c>
      <c r="F746" t="str">
        <f>_xlfn.XLOOKUP(tblSales[[#This Row],[Store ID]],tblStores[Store ID],tblStores[Manager])</f>
        <v>David Green</v>
      </c>
      <c r="G746" t="str">
        <f>_xlfn.XLOOKUP(tblSales[[#This Row],[Category ID]],tblCategories[Category ID],tblCategories[Category])</f>
        <v>Kids</v>
      </c>
      <c r="H746">
        <v>92544</v>
      </c>
      <c r="I746">
        <v>85250</v>
      </c>
      <c r="J746">
        <v>192</v>
      </c>
      <c r="K746">
        <f>tblSales[[#This Row],[Sales]]-tblSales[[#This Row],[Budget]]</f>
        <v>7294</v>
      </c>
      <c r="L746" s="3">
        <f>(tblSales[[#This Row],[Sales]]-tblSales[[#This Row],[Budget]])/tblSales[[#This Row],[Budget]]</f>
        <v>8.5560117302052791E-2</v>
      </c>
      <c r="M746" s="2">
        <f>tblSales[[#This Row],[Sales]]/tblSales[[#This Row],[Transactions]]</f>
        <v>482</v>
      </c>
    </row>
    <row r="747" spans="1:13" x14ac:dyDescent="0.25">
      <c r="A747" s="1">
        <v>46060</v>
      </c>
      <c r="B747" t="s">
        <v>14</v>
      </c>
      <c r="C747" t="s">
        <v>9</v>
      </c>
      <c r="D747" t="str">
        <f>_xlfn.XLOOKUP(tblSales[[#This Row],[Store ID]],tblStores[Store ID],tblStores[Store Name])</f>
        <v>Sandton</v>
      </c>
      <c r="E747" t="str">
        <f>_xlfn.XLOOKUP(tblSales[[#This Row],[Store ID]],tblStores[Store ID],tblStores[Province])</f>
        <v>Gauteng</v>
      </c>
      <c r="F747" t="str">
        <f>_xlfn.XLOOKUP(tblSales[[#This Row],[Store ID]],tblStores[Store ID],tblStores[Manager])</f>
        <v>Karen White</v>
      </c>
      <c r="G747" t="str">
        <f>_xlfn.XLOOKUP(tblSales[[#This Row],[Category ID]],tblCategories[Category ID],tblCategories[Category])</f>
        <v>Ladieswear</v>
      </c>
      <c r="H747">
        <v>27600</v>
      </c>
      <c r="I747">
        <v>26486</v>
      </c>
      <c r="J747">
        <v>115</v>
      </c>
      <c r="K747">
        <f>tblSales[[#This Row],[Sales]]-tblSales[[#This Row],[Budget]]</f>
        <v>1114</v>
      </c>
      <c r="L747" s="3">
        <f>(tblSales[[#This Row],[Sales]]-tblSales[[#This Row],[Budget]])/tblSales[[#This Row],[Budget]]</f>
        <v>4.2059956203277203E-2</v>
      </c>
      <c r="M747" s="2">
        <f>tblSales[[#This Row],[Sales]]/tblSales[[#This Row],[Transactions]]</f>
        <v>240</v>
      </c>
    </row>
    <row r="748" spans="1:13" x14ac:dyDescent="0.25">
      <c r="A748" s="1">
        <v>46060</v>
      </c>
      <c r="B748" t="s">
        <v>15</v>
      </c>
      <c r="C748" t="s">
        <v>7</v>
      </c>
      <c r="D748" t="str">
        <f>_xlfn.XLOOKUP(tblSales[[#This Row],[Store ID]],tblStores[Store ID],tblStores[Store Name])</f>
        <v>Rosebank</v>
      </c>
      <c r="E748" t="str">
        <f>_xlfn.XLOOKUP(tblSales[[#This Row],[Store ID]],tblStores[Store ID],tblStores[Province])</f>
        <v>Gauteng</v>
      </c>
      <c r="F748" t="str">
        <f>_xlfn.XLOOKUP(tblSales[[#This Row],[Store ID]],tblStores[Store ID],tblStores[Manager])</f>
        <v>James Taylor</v>
      </c>
      <c r="G748" t="str">
        <f>_xlfn.XLOOKUP(tblSales[[#This Row],[Category ID]],tblCategories[Category ID],tblCategories[Category])</f>
        <v>Menswear</v>
      </c>
      <c r="H748">
        <v>30051</v>
      </c>
      <c r="I748">
        <v>32255</v>
      </c>
      <c r="J748">
        <v>81</v>
      </c>
      <c r="K748">
        <f>tblSales[[#This Row],[Sales]]-tblSales[[#This Row],[Budget]]</f>
        <v>-2204</v>
      </c>
      <c r="L748" s="3">
        <f>(tblSales[[#This Row],[Sales]]-tblSales[[#This Row],[Budget]])/tblSales[[#This Row],[Budget]]</f>
        <v>-6.833049139668268E-2</v>
      </c>
      <c r="M748" s="2">
        <f>tblSales[[#This Row],[Sales]]/tblSales[[#This Row],[Transactions]]</f>
        <v>371</v>
      </c>
    </row>
    <row r="749" spans="1:13" x14ac:dyDescent="0.25">
      <c r="A749" s="1">
        <v>46060</v>
      </c>
      <c r="B749" t="s">
        <v>16</v>
      </c>
      <c r="C749" t="s">
        <v>19</v>
      </c>
      <c r="D749" t="str">
        <f>_xlfn.XLOOKUP(tblSales[[#This Row],[Store ID]],tblStores[Store ID],tblStores[Store Name])</f>
        <v>Pretoria</v>
      </c>
      <c r="E749" t="str">
        <f>_xlfn.XLOOKUP(tblSales[[#This Row],[Store ID]],tblStores[Store ID],tblStores[Province])</f>
        <v>Gauteng</v>
      </c>
      <c r="F749" t="str">
        <f>_xlfn.XLOOKUP(tblSales[[#This Row],[Store ID]],tblStores[Store ID],tblStores[Manager])</f>
        <v>Susan Clark</v>
      </c>
      <c r="G749" t="str">
        <f>_xlfn.XLOOKUP(tblSales[[#This Row],[Category ID]],tblCategories[Category ID],tblCategories[Category])</f>
        <v>Accessories</v>
      </c>
      <c r="H749">
        <v>52796</v>
      </c>
      <c r="I749">
        <v>55388</v>
      </c>
      <c r="J749">
        <v>134</v>
      </c>
      <c r="K749">
        <f>tblSales[[#This Row],[Sales]]-tblSales[[#This Row],[Budget]]</f>
        <v>-2592</v>
      </c>
      <c r="L749" s="3">
        <f>(tblSales[[#This Row],[Sales]]-tblSales[[#This Row],[Budget]])/tblSales[[#This Row],[Budget]]</f>
        <v>-4.6797140174767098E-2</v>
      </c>
      <c r="M749" s="2">
        <f>tblSales[[#This Row],[Sales]]/tblSales[[#This Row],[Transactions]]</f>
        <v>394</v>
      </c>
    </row>
    <row r="750" spans="1:13" x14ac:dyDescent="0.25">
      <c r="A750" s="1">
        <v>46060</v>
      </c>
      <c r="B750" t="s">
        <v>17</v>
      </c>
      <c r="C750" t="s">
        <v>19</v>
      </c>
      <c r="D750" t="str">
        <f>_xlfn.XLOOKUP(tblSales[[#This Row],[Store ID]],tblStores[Store ID],tblStores[Store Name])</f>
        <v>Centurion</v>
      </c>
      <c r="E750" t="str">
        <f>_xlfn.XLOOKUP(tblSales[[#This Row],[Store ID]],tblStores[Store ID],tblStores[Province])</f>
        <v>Gauteng</v>
      </c>
      <c r="F750" t="str">
        <f>_xlfn.XLOOKUP(tblSales[[#This Row],[Store ID]],tblStores[Store ID],tblStores[Manager])</f>
        <v>Mark Wilson</v>
      </c>
      <c r="G750" t="str">
        <f>_xlfn.XLOOKUP(tblSales[[#This Row],[Category ID]],tblCategories[Category ID],tblCategories[Category])</f>
        <v>Accessories</v>
      </c>
      <c r="H750">
        <v>52668</v>
      </c>
      <c r="I750">
        <v>49847</v>
      </c>
      <c r="J750">
        <v>133</v>
      </c>
      <c r="K750">
        <f>tblSales[[#This Row],[Sales]]-tblSales[[#This Row],[Budget]]</f>
        <v>2821</v>
      </c>
      <c r="L750" s="3">
        <f>(tblSales[[#This Row],[Sales]]-tblSales[[#This Row],[Budget]])/tblSales[[#This Row],[Budget]]</f>
        <v>5.6593175115854516E-2</v>
      </c>
      <c r="M750" s="2">
        <f>tblSales[[#This Row],[Sales]]/tblSales[[#This Row],[Transactions]]</f>
        <v>396</v>
      </c>
    </row>
    <row r="751" spans="1:13" x14ac:dyDescent="0.25">
      <c r="A751" s="1">
        <v>46060</v>
      </c>
      <c r="B751" t="s">
        <v>18</v>
      </c>
      <c r="C751" t="s">
        <v>19</v>
      </c>
      <c r="D751" t="str">
        <f>_xlfn.XLOOKUP(tblSales[[#This Row],[Store ID]],tblStores[Store ID],tblStores[Store Name])</f>
        <v>East Rand</v>
      </c>
      <c r="E751" t="str">
        <f>_xlfn.XLOOKUP(tblSales[[#This Row],[Store ID]],tblStores[Store ID],tblStores[Province])</f>
        <v>Gauteng</v>
      </c>
      <c r="F751" t="str">
        <f>_xlfn.XLOOKUP(tblSales[[#This Row],[Store ID]],tblStores[Store ID],tblStores[Manager])</f>
        <v>Lisa Young</v>
      </c>
      <c r="G751" t="str">
        <f>_xlfn.XLOOKUP(tblSales[[#This Row],[Category ID]],tblCategories[Category ID],tblCategories[Category])</f>
        <v>Accessories</v>
      </c>
      <c r="H751">
        <v>108120</v>
      </c>
      <c r="I751">
        <v>122464</v>
      </c>
      <c r="J751">
        <v>212</v>
      </c>
      <c r="K751">
        <f>tblSales[[#This Row],[Sales]]-tblSales[[#This Row],[Budget]]</f>
        <v>-14344</v>
      </c>
      <c r="L751" s="3">
        <f>(tblSales[[#This Row],[Sales]]-tblSales[[#This Row],[Budget]])/tblSales[[#This Row],[Budget]]</f>
        <v>-0.11712829892866475</v>
      </c>
      <c r="M751" s="2">
        <f>tblSales[[#This Row],[Sales]]/tblSales[[#This Row],[Transactions]]</f>
        <v>510</v>
      </c>
    </row>
    <row r="752" spans="1:13" x14ac:dyDescent="0.25">
      <c r="A752" s="1">
        <v>46060</v>
      </c>
      <c r="B752" t="s">
        <v>20</v>
      </c>
      <c r="C752" t="s">
        <v>9</v>
      </c>
      <c r="D752" t="str">
        <f>_xlfn.XLOOKUP(tblSales[[#This Row],[Store ID]],tblStores[Store ID],tblStores[Store Name])</f>
        <v>Cape Town CBD</v>
      </c>
      <c r="E752" t="str">
        <f>_xlfn.XLOOKUP(tblSales[[#This Row],[Store ID]],tblStores[Store ID],tblStores[Province])</f>
        <v>Western Cape</v>
      </c>
      <c r="F752" t="str">
        <f>_xlfn.XLOOKUP(tblSales[[#This Row],[Store ID]],tblStores[Store ID],tblStores[Manager])</f>
        <v>Brian Hall</v>
      </c>
      <c r="G752" t="str">
        <f>_xlfn.XLOOKUP(tblSales[[#This Row],[Category ID]],tblCategories[Category ID],tblCategories[Category])</f>
        <v>Ladieswear</v>
      </c>
      <c r="H752">
        <v>46905</v>
      </c>
      <c r="I752">
        <v>47956</v>
      </c>
      <c r="J752">
        <v>177</v>
      </c>
      <c r="K752">
        <f>tblSales[[#This Row],[Sales]]-tblSales[[#This Row],[Budget]]</f>
        <v>-1051</v>
      </c>
      <c r="L752" s="3">
        <f>(tblSales[[#This Row],[Sales]]-tblSales[[#This Row],[Budget]])/tblSales[[#This Row],[Budget]]</f>
        <v>-2.1915922929351905E-2</v>
      </c>
      <c r="M752" s="2">
        <f>tblSales[[#This Row],[Sales]]/tblSales[[#This Row],[Transactions]]</f>
        <v>265</v>
      </c>
    </row>
    <row r="753" spans="1:13" x14ac:dyDescent="0.25">
      <c r="A753" s="1">
        <v>46060</v>
      </c>
      <c r="B753" t="s">
        <v>21</v>
      </c>
      <c r="C753" t="s">
        <v>9</v>
      </c>
      <c r="D753" t="str">
        <f>_xlfn.XLOOKUP(tblSales[[#This Row],[Store ID]],tblStores[Store ID],tblStores[Store Name])</f>
        <v>Canal Walk</v>
      </c>
      <c r="E753" t="str">
        <f>_xlfn.XLOOKUP(tblSales[[#This Row],[Store ID]],tblStores[Store ID],tblStores[Province])</f>
        <v>Western Cape</v>
      </c>
      <c r="F753" t="str">
        <f>_xlfn.XLOOKUP(tblSales[[#This Row],[Store ID]],tblStores[Store ID],tblStores[Manager])</f>
        <v>Megan Scott</v>
      </c>
      <c r="G753" t="str">
        <f>_xlfn.XLOOKUP(tblSales[[#This Row],[Category ID]],tblCategories[Category ID],tblCategories[Category])</f>
        <v>Ladieswear</v>
      </c>
      <c r="H753">
        <v>27962</v>
      </c>
      <c r="I753">
        <v>31051</v>
      </c>
      <c r="J753">
        <v>82</v>
      </c>
      <c r="K753">
        <f>tblSales[[#This Row],[Sales]]-tblSales[[#This Row],[Budget]]</f>
        <v>-3089</v>
      </c>
      <c r="L753" s="3">
        <f>(tblSales[[#This Row],[Sales]]-tblSales[[#This Row],[Budget]])/tblSales[[#This Row],[Budget]]</f>
        <v>-9.9481498180412867E-2</v>
      </c>
      <c r="M753" s="2">
        <f>tblSales[[#This Row],[Sales]]/tblSales[[#This Row],[Transactions]]</f>
        <v>341</v>
      </c>
    </row>
    <row r="754" spans="1:13" x14ac:dyDescent="0.25">
      <c r="A754" s="1">
        <v>46060</v>
      </c>
      <c r="B754" t="s">
        <v>23</v>
      </c>
      <c r="C754" t="s">
        <v>19</v>
      </c>
      <c r="D754" t="str">
        <f>_xlfn.XLOOKUP(tblSales[[#This Row],[Store ID]],tblStores[Store ID],tblStores[Store Name])</f>
        <v>Stellenbosch</v>
      </c>
      <c r="E754" t="str">
        <f>_xlfn.XLOOKUP(tblSales[[#This Row],[Store ID]],tblStores[Store ID],tblStores[Province])</f>
        <v>Western Cape</v>
      </c>
      <c r="F754" t="str">
        <f>_xlfn.XLOOKUP(tblSales[[#This Row],[Store ID]],tblStores[Store ID],tblStores[Manager])</f>
        <v>Jason King</v>
      </c>
      <c r="G754" t="str">
        <f>_xlfn.XLOOKUP(tblSales[[#This Row],[Category ID]],tblCategories[Category ID],tblCategories[Category])</f>
        <v>Accessories</v>
      </c>
      <c r="H754">
        <v>17424</v>
      </c>
      <c r="I754">
        <v>19827</v>
      </c>
      <c r="J754">
        <v>48</v>
      </c>
      <c r="K754">
        <f>tblSales[[#This Row],[Sales]]-tblSales[[#This Row],[Budget]]</f>
        <v>-2403</v>
      </c>
      <c r="L754" s="3">
        <f>(tblSales[[#This Row],[Sales]]-tblSales[[#This Row],[Budget]])/tblSales[[#This Row],[Budget]]</f>
        <v>-0.12119836586472992</v>
      </c>
      <c r="M754" s="2">
        <f>tblSales[[#This Row],[Sales]]/tblSales[[#This Row],[Transactions]]</f>
        <v>363</v>
      </c>
    </row>
    <row r="755" spans="1:13" x14ac:dyDescent="0.25">
      <c r="A755" s="1">
        <v>46060</v>
      </c>
      <c r="B755" t="s">
        <v>24</v>
      </c>
      <c r="C755" t="s">
        <v>11</v>
      </c>
      <c r="D755" t="str">
        <f>_xlfn.XLOOKUP(tblSales[[#This Row],[Store ID]],tblStores[Store ID],tblStores[Store Name])</f>
        <v>George</v>
      </c>
      <c r="E755" t="str">
        <f>_xlfn.XLOOKUP(tblSales[[#This Row],[Store ID]],tblStores[Store ID],tblStores[Province])</f>
        <v>Western Cape</v>
      </c>
      <c r="F755" t="str">
        <f>_xlfn.XLOOKUP(tblSales[[#This Row],[Store ID]],tblStores[Store ID],tblStores[Manager])</f>
        <v>Chloe Hill</v>
      </c>
      <c r="G755" t="str">
        <f>_xlfn.XLOOKUP(tblSales[[#This Row],[Category ID]],tblCategories[Category ID],tblCategories[Category])</f>
        <v>Footwear</v>
      </c>
      <c r="H755">
        <v>19251</v>
      </c>
      <c r="I755">
        <v>21249</v>
      </c>
      <c r="J755">
        <v>69</v>
      </c>
      <c r="K755">
        <f>tblSales[[#This Row],[Sales]]-tblSales[[#This Row],[Budget]]</f>
        <v>-1998</v>
      </c>
      <c r="L755" s="3">
        <f>(tblSales[[#This Row],[Sales]]-tblSales[[#This Row],[Budget]])/tblSales[[#This Row],[Budget]]</f>
        <v>-9.4027954256670904E-2</v>
      </c>
      <c r="M755" s="2">
        <f>tblSales[[#This Row],[Sales]]/tblSales[[#This Row],[Transactions]]</f>
        <v>279</v>
      </c>
    </row>
    <row r="756" spans="1:13" x14ac:dyDescent="0.25">
      <c r="A756" s="1">
        <v>46060</v>
      </c>
      <c r="B756" t="s">
        <v>25</v>
      </c>
      <c r="C756" t="s">
        <v>19</v>
      </c>
      <c r="D756" t="str">
        <f>_xlfn.XLOOKUP(tblSales[[#This Row],[Store ID]],tblStores[Store ID],tblStores[Store Name])</f>
        <v>Paarl</v>
      </c>
      <c r="E756" t="str">
        <f>_xlfn.XLOOKUP(tblSales[[#This Row],[Store ID]],tblStores[Store ID],tblStores[Province])</f>
        <v>Western Cape</v>
      </c>
      <c r="F756" t="str">
        <f>_xlfn.XLOOKUP(tblSales[[#This Row],[Store ID]],tblStores[Store ID],tblStores[Manager])</f>
        <v>Andrew Lee</v>
      </c>
      <c r="G756" t="str">
        <f>_xlfn.XLOOKUP(tblSales[[#This Row],[Category ID]],tblCategories[Category ID],tblCategories[Category])</f>
        <v>Accessories</v>
      </c>
      <c r="H756">
        <v>84296</v>
      </c>
      <c r="I756">
        <v>86297</v>
      </c>
      <c r="J756">
        <v>164</v>
      </c>
      <c r="K756">
        <f>tblSales[[#This Row],[Sales]]-tblSales[[#This Row],[Budget]]</f>
        <v>-2001</v>
      </c>
      <c r="L756" s="3">
        <f>(tblSales[[#This Row],[Sales]]-tblSales[[#This Row],[Budget]])/tblSales[[#This Row],[Budget]]</f>
        <v>-2.3187364566555037E-2</v>
      </c>
      <c r="M756" s="2">
        <f>tblSales[[#This Row],[Sales]]/tblSales[[#This Row],[Transactions]]</f>
        <v>514</v>
      </c>
    </row>
    <row r="757" spans="1:13" x14ac:dyDescent="0.25">
      <c r="A757" s="1">
        <v>46060</v>
      </c>
      <c r="B757" t="s">
        <v>26</v>
      </c>
      <c r="C757" t="s">
        <v>11</v>
      </c>
      <c r="D757" t="str">
        <f>_xlfn.XLOOKUP(tblSales[[#This Row],[Store ID]],tblStores[Store ID],tblStores[Store Name])</f>
        <v>Gqeberha</v>
      </c>
      <c r="E757" t="str">
        <f>_xlfn.XLOOKUP(tblSales[[#This Row],[Store ID]],tblStores[Store ID],tblStores[Province])</f>
        <v>Eastern Cape</v>
      </c>
      <c r="F757" t="str">
        <f>_xlfn.XLOOKUP(tblSales[[#This Row],[Store ID]],tblStores[Store ID],tblStores[Manager])</f>
        <v>Emma Baker</v>
      </c>
      <c r="G757" t="str">
        <f>_xlfn.XLOOKUP(tblSales[[#This Row],[Category ID]],tblCategories[Category ID],tblCategories[Category])</f>
        <v>Footwear</v>
      </c>
      <c r="H757">
        <v>57387</v>
      </c>
      <c r="I757">
        <v>58659</v>
      </c>
      <c r="J757">
        <v>141</v>
      </c>
      <c r="K757">
        <f>tblSales[[#This Row],[Sales]]-tblSales[[#This Row],[Budget]]</f>
        <v>-1272</v>
      </c>
      <c r="L757" s="3">
        <f>(tblSales[[#This Row],[Sales]]-tblSales[[#This Row],[Budget]])/tblSales[[#This Row],[Budget]]</f>
        <v>-2.1684651971564467E-2</v>
      </c>
      <c r="M757" s="2">
        <f>tblSales[[#This Row],[Sales]]/tblSales[[#This Row],[Transactions]]</f>
        <v>407</v>
      </c>
    </row>
    <row r="758" spans="1:13" x14ac:dyDescent="0.25">
      <c r="A758" s="1">
        <v>46060</v>
      </c>
      <c r="B758" t="s">
        <v>27</v>
      </c>
      <c r="C758" t="s">
        <v>7</v>
      </c>
      <c r="D758" t="str">
        <f>_xlfn.XLOOKUP(tblSales[[#This Row],[Store ID]],tblStores[Store ID],tblStores[Store Name])</f>
        <v>East London</v>
      </c>
      <c r="E758" t="str">
        <f>_xlfn.XLOOKUP(tblSales[[#This Row],[Store ID]],tblStores[Store ID],tblStores[Province])</f>
        <v>Eastern Cape</v>
      </c>
      <c r="F758" t="str">
        <f>_xlfn.XLOOKUP(tblSales[[#This Row],[Store ID]],tblStores[Store ID],tblStores[Manager])</f>
        <v>Daniel Evans</v>
      </c>
      <c r="G758" t="str">
        <f>_xlfn.XLOOKUP(tblSales[[#This Row],[Category ID]],tblCategories[Category ID],tblCategories[Category])</f>
        <v>Menswear</v>
      </c>
      <c r="H758">
        <v>34905</v>
      </c>
      <c r="I758">
        <v>38359</v>
      </c>
      <c r="J758">
        <v>179</v>
      </c>
      <c r="K758">
        <f>tblSales[[#This Row],[Sales]]-tblSales[[#This Row],[Budget]]</f>
        <v>-3454</v>
      </c>
      <c r="L758" s="3">
        <f>(tblSales[[#This Row],[Sales]]-tblSales[[#This Row],[Budget]])/tblSales[[#This Row],[Budget]]</f>
        <v>-9.0044057457180846E-2</v>
      </c>
      <c r="M758" s="2">
        <f>tblSales[[#This Row],[Sales]]/tblSales[[#This Row],[Transactions]]</f>
        <v>195</v>
      </c>
    </row>
    <row r="759" spans="1:13" x14ac:dyDescent="0.25">
      <c r="A759" s="1">
        <v>46060</v>
      </c>
      <c r="B759" t="s">
        <v>28</v>
      </c>
      <c r="C759" t="s">
        <v>9</v>
      </c>
      <c r="D759" t="str">
        <f>_xlfn.XLOOKUP(tblSales[[#This Row],[Store ID]],tblStores[Store ID],tblStores[Store Name])</f>
        <v>Bloemfontein</v>
      </c>
      <c r="E759" t="str">
        <f>_xlfn.XLOOKUP(tblSales[[#This Row],[Store ID]],tblStores[Store ID],tblStores[Province])</f>
        <v>Free State</v>
      </c>
      <c r="F759" t="str">
        <f>_xlfn.XLOOKUP(tblSales[[#This Row],[Store ID]],tblStores[Store ID],tblStores[Manager])</f>
        <v>Rachel Moore</v>
      </c>
      <c r="G759" t="str">
        <f>_xlfn.XLOOKUP(tblSales[[#This Row],[Category ID]],tblCategories[Category ID],tblCategories[Category])</f>
        <v>Ladieswear</v>
      </c>
      <c r="H759">
        <v>21364</v>
      </c>
      <c r="I759">
        <v>20695</v>
      </c>
      <c r="J759">
        <v>109</v>
      </c>
      <c r="K759">
        <f>tblSales[[#This Row],[Sales]]-tblSales[[#This Row],[Budget]]</f>
        <v>669</v>
      </c>
      <c r="L759" s="3">
        <f>(tblSales[[#This Row],[Sales]]-tblSales[[#This Row],[Budget]])/tblSales[[#This Row],[Budget]]</f>
        <v>3.23266489490215E-2</v>
      </c>
      <c r="M759" s="2">
        <f>tblSales[[#This Row],[Sales]]/tblSales[[#This Row],[Transactions]]</f>
        <v>196</v>
      </c>
    </row>
    <row r="760" spans="1:13" x14ac:dyDescent="0.25">
      <c r="A760" s="1">
        <v>46060</v>
      </c>
      <c r="B760" t="s">
        <v>29</v>
      </c>
      <c r="C760" t="s">
        <v>19</v>
      </c>
      <c r="D760" t="str">
        <f>_xlfn.XLOOKUP(tblSales[[#This Row],[Store ID]],tblStores[Store ID],tblStores[Store Name])</f>
        <v>Polokwane</v>
      </c>
      <c r="E760" t="str">
        <f>_xlfn.XLOOKUP(tblSales[[#This Row],[Store ID]],tblStores[Store ID],tblStores[Province])</f>
        <v>Limpopo</v>
      </c>
      <c r="F760" t="str">
        <f>_xlfn.XLOOKUP(tblSales[[#This Row],[Store ID]],tblStores[Store ID],tblStores[Manager])</f>
        <v>Kevin Harris</v>
      </c>
      <c r="G760" t="str">
        <f>_xlfn.XLOOKUP(tblSales[[#This Row],[Category ID]],tblCategories[Category ID],tblCategories[Category])</f>
        <v>Accessories</v>
      </c>
      <c r="H760">
        <v>28728</v>
      </c>
      <c r="I760">
        <v>31462</v>
      </c>
      <c r="J760">
        <v>108</v>
      </c>
      <c r="K760">
        <f>tblSales[[#This Row],[Sales]]-tblSales[[#This Row],[Budget]]</f>
        <v>-2734</v>
      </c>
      <c r="L760" s="3">
        <f>(tblSales[[#This Row],[Sales]]-tblSales[[#This Row],[Budget]])/tblSales[[#This Row],[Budget]]</f>
        <v>-8.6898480706884496E-2</v>
      </c>
      <c r="M760" s="2">
        <f>tblSales[[#This Row],[Sales]]/tblSales[[#This Row],[Transactions]]</f>
        <v>266</v>
      </c>
    </row>
    <row r="761" spans="1:13" x14ac:dyDescent="0.25">
      <c r="A761" s="1">
        <v>46060</v>
      </c>
      <c r="B761" t="s">
        <v>30</v>
      </c>
      <c r="C761" t="s">
        <v>19</v>
      </c>
      <c r="D761" t="str">
        <f>_xlfn.XLOOKUP(tblSales[[#This Row],[Store ID]],tblStores[Store ID],tblStores[Store Name])</f>
        <v>Nelspruit</v>
      </c>
      <c r="E761" t="str">
        <f>_xlfn.XLOOKUP(tblSales[[#This Row],[Store ID]],tblStores[Store ID],tblStores[Province])</f>
        <v>Mpumalanga</v>
      </c>
      <c r="F761" t="str">
        <f>_xlfn.XLOOKUP(tblSales[[#This Row],[Store ID]],tblStores[Store ID],tblStores[Manager])</f>
        <v>Olivia Turner</v>
      </c>
      <c r="G761" t="str">
        <f>_xlfn.XLOOKUP(tblSales[[#This Row],[Category ID]],tblCategories[Category ID],tblCategories[Category])</f>
        <v>Accessories</v>
      </c>
      <c r="H761">
        <v>74221</v>
      </c>
      <c r="I761">
        <v>76277</v>
      </c>
      <c r="J761">
        <v>161</v>
      </c>
      <c r="K761">
        <f>tblSales[[#This Row],[Sales]]-tblSales[[#This Row],[Budget]]</f>
        <v>-2056</v>
      </c>
      <c r="L761" s="3">
        <f>(tblSales[[#This Row],[Sales]]-tblSales[[#This Row],[Budget]])/tblSales[[#This Row],[Budget]]</f>
        <v>-2.6954389920946027E-2</v>
      </c>
      <c r="M761" s="2">
        <f>tblSales[[#This Row],[Sales]]/tblSales[[#This Row],[Transactions]]</f>
        <v>461</v>
      </c>
    </row>
    <row r="762" spans="1:13" x14ac:dyDescent="0.25">
      <c r="A762" s="1">
        <v>46061</v>
      </c>
      <c r="B762" t="s">
        <v>6</v>
      </c>
      <c r="C762" t="s">
        <v>19</v>
      </c>
      <c r="D762" t="str">
        <f>_xlfn.XLOOKUP(tblSales[[#This Row],[Store ID]],tblStores[Store ID],tblStores[Store Name])</f>
        <v>Durban CBD</v>
      </c>
      <c r="E762" t="str">
        <f>_xlfn.XLOOKUP(tblSales[[#This Row],[Store ID]],tblStores[Store ID],tblStores[Province])</f>
        <v>KZN</v>
      </c>
      <c r="F762" t="str">
        <f>_xlfn.XLOOKUP(tblSales[[#This Row],[Store ID]],tblStores[Store ID],tblStores[Manager])</f>
        <v>Sarah Adams</v>
      </c>
      <c r="G762" t="str">
        <f>_xlfn.XLOOKUP(tblSales[[#This Row],[Category ID]],tblCategories[Category ID],tblCategories[Category])</f>
        <v>Accessories</v>
      </c>
      <c r="H762">
        <v>20288</v>
      </c>
      <c r="I762">
        <v>22190</v>
      </c>
      <c r="J762">
        <v>64</v>
      </c>
      <c r="K762">
        <f>tblSales[[#This Row],[Sales]]-tblSales[[#This Row],[Budget]]</f>
        <v>-1902</v>
      </c>
      <c r="L762" s="3">
        <f>(tblSales[[#This Row],[Sales]]-tblSales[[#This Row],[Budget]])/tblSales[[#This Row],[Budget]]</f>
        <v>-8.5714285714285715E-2</v>
      </c>
      <c r="M762" s="2">
        <f>tblSales[[#This Row],[Sales]]/tblSales[[#This Row],[Transactions]]</f>
        <v>317</v>
      </c>
    </row>
    <row r="763" spans="1:13" x14ac:dyDescent="0.25">
      <c r="A763" s="1">
        <v>46061</v>
      </c>
      <c r="B763" t="s">
        <v>8</v>
      </c>
      <c r="C763" t="s">
        <v>22</v>
      </c>
      <c r="D763" t="str">
        <f>_xlfn.XLOOKUP(tblSales[[#This Row],[Store ID]],tblStores[Store ID],tblStores[Store Name])</f>
        <v>Gateway</v>
      </c>
      <c r="E763" t="str">
        <f>_xlfn.XLOOKUP(tblSales[[#This Row],[Store ID]],tblStores[Store ID],tblStores[Province])</f>
        <v>KZN</v>
      </c>
      <c r="F763" t="str">
        <f>_xlfn.XLOOKUP(tblSales[[#This Row],[Store ID]],tblStores[Store ID],tblStores[Manager])</f>
        <v>Michael Jones</v>
      </c>
      <c r="G763" t="str">
        <f>_xlfn.XLOOKUP(tblSales[[#This Row],[Category ID]],tblCategories[Category ID],tblCategories[Category])</f>
        <v>Kids</v>
      </c>
      <c r="H763">
        <v>34773</v>
      </c>
      <c r="I763">
        <v>37902</v>
      </c>
      <c r="J763">
        <v>173</v>
      </c>
      <c r="K763">
        <f>tblSales[[#This Row],[Sales]]-tblSales[[#This Row],[Budget]]</f>
        <v>-3129</v>
      </c>
      <c r="L763" s="3">
        <f>(tblSales[[#This Row],[Sales]]-tblSales[[#This Row],[Budget]])/tblSales[[#This Row],[Budget]]</f>
        <v>-8.2555010289694475E-2</v>
      </c>
      <c r="M763" s="2">
        <f>tblSales[[#This Row],[Sales]]/tblSales[[#This Row],[Transactions]]</f>
        <v>201</v>
      </c>
    </row>
    <row r="764" spans="1:13" x14ac:dyDescent="0.25">
      <c r="A764" s="1">
        <v>46061</v>
      </c>
      <c r="B764" t="s">
        <v>10</v>
      </c>
      <c r="C764" t="s">
        <v>11</v>
      </c>
      <c r="D764" t="str">
        <f>_xlfn.XLOOKUP(tblSales[[#This Row],[Store ID]],tblStores[Store ID],tblStores[Store Name])</f>
        <v>Ballito</v>
      </c>
      <c r="E764" t="str">
        <f>_xlfn.XLOOKUP(tblSales[[#This Row],[Store ID]],tblStores[Store ID],tblStores[Province])</f>
        <v>KZN</v>
      </c>
      <c r="F764" t="str">
        <f>_xlfn.XLOOKUP(tblSales[[#This Row],[Store ID]],tblStores[Store ID],tblStores[Manager])</f>
        <v>Linda Smith</v>
      </c>
      <c r="G764" t="str">
        <f>_xlfn.XLOOKUP(tblSales[[#This Row],[Category ID]],tblCategories[Category ID],tblCategories[Category])</f>
        <v>Footwear</v>
      </c>
      <c r="H764">
        <v>50634</v>
      </c>
      <c r="I764">
        <v>58099</v>
      </c>
      <c r="J764">
        <v>174</v>
      </c>
      <c r="K764">
        <f>tblSales[[#This Row],[Sales]]-tblSales[[#This Row],[Budget]]</f>
        <v>-7465</v>
      </c>
      <c r="L764" s="3">
        <f>(tblSales[[#This Row],[Sales]]-tblSales[[#This Row],[Budget]])/tblSales[[#This Row],[Budget]]</f>
        <v>-0.12848758154185097</v>
      </c>
      <c r="M764" s="2">
        <f>tblSales[[#This Row],[Sales]]/tblSales[[#This Row],[Transactions]]</f>
        <v>291</v>
      </c>
    </row>
    <row r="765" spans="1:13" x14ac:dyDescent="0.25">
      <c r="A765" s="1">
        <v>46061</v>
      </c>
      <c r="B765" t="s">
        <v>12</v>
      </c>
      <c r="C765" t="s">
        <v>7</v>
      </c>
      <c r="D765" t="str">
        <f>_xlfn.XLOOKUP(tblSales[[#This Row],[Store ID]],tblStores[Store ID],tblStores[Store Name])</f>
        <v>Pietermaritzburg</v>
      </c>
      <c r="E765" t="str">
        <f>_xlfn.XLOOKUP(tblSales[[#This Row],[Store ID]],tblStores[Store ID],tblStores[Province])</f>
        <v>KZN</v>
      </c>
      <c r="F765" t="str">
        <f>_xlfn.XLOOKUP(tblSales[[#This Row],[Store ID]],tblStores[Store ID],tblStores[Manager])</f>
        <v>Peter Brown</v>
      </c>
      <c r="G765" t="str">
        <f>_xlfn.XLOOKUP(tblSales[[#This Row],[Category ID]],tblCategories[Category ID],tblCategories[Category])</f>
        <v>Menswear</v>
      </c>
      <c r="H765">
        <v>61812</v>
      </c>
      <c r="I765">
        <v>60231</v>
      </c>
      <c r="J765">
        <v>202</v>
      </c>
      <c r="K765">
        <f>tblSales[[#This Row],[Sales]]-tblSales[[#This Row],[Budget]]</f>
        <v>1581</v>
      </c>
      <c r="L765" s="3">
        <f>(tblSales[[#This Row],[Sales]]-tblSales[[#This Row],[Budget]])/tblSales[[#This Row],[Budget]]</f>
        <v>2.6248941574936496E-2</v>
      </c>
      <c r="M765" s="2">
        <f>tblSales[[#This Row],[Sales]]/tblSales[[#This Row],[Transactions]]</f>
        <v>306</v>
      </c>
    </row>
    <row r="766" spans="1:13" x14ac:dyDescent="0.25">
      <c r="A766" s="1">
        <v>46061</v>
      </c>
      <c r="B766" t="s">
        <v>13</v>
      </c>
      <c r="C766" t="s">
        <v>7</v>
      </c>
      <c r="D766" t="str">
        <f>_xlfn.XLOOKUP(tblSales[[#This Row],[Store ID]],tblStores[Store ID],tblStores[Store Name])</f>
        <v>Richards Bay</v>
      </c>
      <c r="E766" t="str">
        <f>_xlfn.XLOOKUP(tblSales[[#This Row],[Store ID]],tblStores[Store ID],tblStores[Province])</f>
        <v>KZN</v>
      </c>
      <c r="F766" t="str">
        <f>_xlfn.XLOOKUP(tblSales[[#This Row],[Store ID]],tblStores[Store ID],tblStores[Manager])</f>
        <v>David Green</v>
      </c>
      <c r="G766" t="str">
        <f>_xlfn.XLOOKUP(tblSales[[#This Row],[Category ID]],tblCategories[Category ID],tblCategories[Category])</f>
        <v>Menswear</v>
      </c>
      <c r="H766">
        <v>47100</v>
      </c>
      <c r="I766">
        <v>46494</v>
      </c>
      <c r="J766">
        <v>150</v>
      </c>
      <c r="K766">
        <f>tblSales[[#This Row],[Sales]]-tblSales[[#This Row],[Budget]]</f>
        <v>606</v>
      </c>
      <c r="L766" s="3">
        <f>(tblSales[[#This Row],[Sales]]-tblSales[[#This Row],[Budget]])/tblSales[[#This Row],[Budget]]</f>
        <v>1.3033939863208156E-2</v>
      </c>
      <c r="M766" s="2">
        <f>tblSales[[#This Row],[Sales]]/tblSales[[#This Row],[Transactions]]</f>
        <v>314</v>
      </c>
    </row>
    <row r="767" spans="1:13" x14ac:dyDescent="0.25">
      <c r="A767" s="1">
        <v>46061</v>
      </c>
      <c r="B767" t="s">
        <v>14</v>
      </c>
      <c r="C767" t="s">
        <v>7</v>
      </c>
      <c r="D767" t="str">
        <f>_xlfn.XLOOKUP(tblSales[[#This Row],[Store ID]],tblStores[Store ID],tblStores[Store Name])</f>
        <v>Sandton</v>
      </c>
      <c r="E767" t="str">
        <f>_xlfn.XLOOKUP(tblSales[[#This Row],[Store ID]],tblStores[Store ID],tblStores[Province])</f>
        <v>Gauteng</v>
      </c>
      <c r="F767" t="str">
        <f>_xlfn.XLOOKUP(tblSales[[#This Row],[Store ID]],tblStores[Store ID],tblStores[Manager])</f>
        <v>Karen White</v>
      </c>
      <c r="G767" t="str">
        <f>_xlfn.XLOOKUP(tblSales[[#This Row],[Category ID]],tblCategories[Category ID],tblCategories[Category])</f>
        <v>Menswear</v>
      </c>
      <c r="H767">
        <v>35280</v>
      </c>
      <c r="I767">
        <v>38593</v>
      </c>
      <c r="J767">
        <v>147</v>
      </c>
      <c r="K767">
        <f>tblSales[[#This Row],[Sales]]-tblSales[[#This Row],[Budget]]</f>
        <v>-3313</v>
      </c>
      <c r="L767" s="3">
        <f>(tblSales[[#This Row],[Sales]]-tblSales[[#This Row],[Budget]])/tblSales[[#This Row],[Budget]]</f>
        <v>-8.5844583214572584E-2</v>
      </c>
      <c r="M767" s="2">
        <f>tblSales[[#This Row],[Sales]]/tblSales[[#This Row],[Transactions]]</f>
        <v>240</v>
      </c>
    </row>
    <row r="768" spans="1:13" x14ac:dyDescent="0.25">
      <c r="A768" s="1">
        <v>46061</v>
      </c>
      <c r="B768" t="s">
        <v>15</v>
      </c>
      <c r="C768" t="s">
        <v>9</v>
      </c>
      <c r="D768" t="str">
        <f>_xlfn.XLOOKUP(tblSales[[#This Row],[Store ID]],tblStores[Store ID],tblStores[Store Name])</f>
        <v>Rosebank</v>
      </c>
      <c r="E768" t="str">
        <f>_xlfn.XLOOKUP(tblSales[[#This Row],[Store ID]],tblStores[Store ID],tblStores[Province])</f>
        <v>Gauteng</v>
      </c>
      <c r="F768" t="str">
        <f>_xlfn.XLOOKUP(tblSales[[#This Row],[Store ID]],tblStores[Store ID],tblStores[Manager])</f>
        <v>James Taylor</v>
      </c>
      <c r="G768" t="str">
        <f>_xlfn.XLOOKUP(tblSales[[#This Row],[Category ID]],tblCategories[Category ID],tblCategories[Category])</f>
        <v>Ladieswear</v>
      </c>
      <c r="H768">
        <v>42328</v>
      </c>
      <c r="I768">
        <v>45387</v>
      </c>
      <c r="J768">
        <v>88</v>
      </c>
      <c r="K768">
        <f>tblSales[[#This Row],[Sales]]-tblSales[[#This Row],[Budget]]</f>
        <v>-3059</v>
      </c>
      <c r="L768" s="3">
        <f>(tblSales[[#This Row],[Sales]]-tblSales[[#This Row],[Budget]])/tblSales[[#This Row],[Budget]]</f>
        <v>-6.7398153656333309E-2</v>
      </c>
      <c r="M768" s="2">
        <f>tblSales[[#This Row],[Sales]]/tblSales[[#This Row],[Transactions]]</f>
        <v>481</v>
      </c>
    </row>
    <row r="769" spans="1:13" x14ac:dyDescent="0.25">
      <c r="A769" s="1">
        <v>46061</v>
      </c>
      <c r="B769" t="s">
        <v>16</v>
      </c>
      <c r="C769" t="s">
        <v>19</v>
      </c>
      <c r="D769" t="str">
        <f>_xlfn.XLOOKUP(tblSales[[#This Row],[Store ID]],tblStores[Store ID],tblStores[Store Name])</f>
        <v>Pretoria</v>
      </c>
      <c r="E769" t="str">
        <f>_xlfn.XLOOKUP(tblSales[[#This Row],[Store ID]],tblStores[Store ID],tblStores[Province])</f>
        <v>Gauteng</v>
      </c>
      <c r="F769" t="str">
        <f>_xlfn.XLOOKUP(tblSales[[#This Row],[Store ID]],tblStores[Store ID],tblStores[Manager])</f>
        <v>Susan Clark</v>
      </c>
      <c r="G769" t="str">
        <f>_xlfn.XLOOKUP(tblSales[[#This Row],[Category ID]],tblCategories[Category ID],tblCategories[Category])</f>
        <v>Accessories</v>
      </c>
      <c r="H769">
        <v>78204</v>
      </c>
      <c r="I769">
        <v>73628</v>
      </c>
      <c r="J769">
        <v>196</v>
      </c>
      <c r="K769">
        <f>tblSales[[#This Row],[Sales]]-tblSales[[#This Row],[Budget]]</f>
        <v>4576</v>
      </c>
      <c r="L769" s="3">
        <f>(tblSales[[#This Row],[Sales]]-tblSales[[#This Row],[Budget]])/tblSales[[#This Row],[Budget]]</f>
        <v>6.2150268919432823E-2</v>
      </c>
      <c r="M769" s="2">
        <f>tblSales[[#This Row],[Sales]]/tblSales[[#This Row],[Transactions]]</f>
        <v>399</v>
      </c>
    </row>
    <row r="770" spans="1:13" x14ac:dyDescent="0.25">
      <c r="A770" s="1">
        <v>46061</v>
      </c>
      <c r="B770" t="s">
        <v>17</v>
      </c>
      <c r="C770" t="s">
        <v>9</v>
      </c>
      <c r="D770" t="str">
        <f>_xlfn.XLOOKUP(tblSales[[#This Row],[Store ID]],tblStores[Store ID],tblStores[Store Name])</f>
        <v>Centurion</v>
      </c>
      <c r="E770" t="str">
        <f>_xlfn.XLOOKUP(tblSales[[#This Row],[Store ID]],tblStores[Store ID],tblStores[Province])</f>
        <v>Gauteng</v>
      </c>
      <c r="F770" t="str">
        <f>_xlfn.XLOOKUP(tblSales[[#This Row],[Store ID]],tblStores[Store ID],tblStores[Manager])</f>
        <v>Mark Wilson</v>
      </c>
      <c r="G770" t="str">
        <f>_xlfn.XLOOKUP(tblSales[[#This Row],[Category ID]],tblCategories[Category ID],tblCategories[Category])</f>
        <v>Ladieswear</v>
      </c>
      <c r="H770">
        <v>24795</v>
      </c>
      <c r="I770">
        <v>27308</v>
      </c>
      <c r="J770">
        <v>87</v>
      </c>
      <c r="K770">
        <f>tblSales[[#This Row],[Sales]]-tblSales[[#This Row],[Budget]]</f>
        <v>-2513</v>
      </c>
      <c r="L770" s="3">
        <f>(tblSales[[#This Row],[Sales]]-tblSales[[#This Row],[Budget]])/tblSales[[#This Row],[Budget]]</f>
        <v>-9.2024315218983452E-2</v>
      </c>
      <c r="M770" s="2">
        <f>tblSales[[#This Row],[Sales]]/tblSales[[#This Row],[Transactions]]</f>
        <v>285</v>
      </c>
    </row>
    <row r="771" spans="1:13" x14ac:dyDescent="0.25">
      <c r="A771" s="1">
        <v>46061</v>
      </c>
      <c r="B771" t="s">
        <v>18</v>
      </c>
      <c r="C771" t="s">
        <v>19</v>
      </c>
      <c r="D771" t="str">
        <f>_xlfn.XLOOKUP(tblSales[[#This Row],[Store ID]],tblStores[Store ID],tblStores[Store Name])</f>
        <v>East Rand</v>
      </c>
      <c r="E771" t="str">
        <f>_xlfn.XLOOKUP(tblSales[[#This Row],[Store ID]],tblStores[Store ID],tblStores[Province])</f>
        <v>Gauteng</v>
      </c>
      <c r="F771" t="str">
        <f>_xlfn.XLOOKUP(tblSales[[#This Row],[Store ID]],tblStores[Store ID],tblStores[Manager])</f>
        <v>Lisa Young</v>
      </c>
      <c r="G771" t="str">
        <f>_xlfn.XLOOKUP(tblSales[[#This Row],[Category ID]],tblCategories[Category ID],tblCategories[Category])</f>
        <v>Accessories</v>
      </c>
      <c r="H771">
        <v>56048</v>
      </c>
      <c r="I771">
        <v>54381</v>
      </c>
      <c r="J771">
        <v>124</v>
      </c>
      <c r="K771">
        <f>tblSales[[#This Row],[Sales]]-tblSales[[#This Row],[Budget]]</f>
        <v>1667</v>
      </c>
      <c r="L771" s="3">
        <f>(tblSales[[#This Row],[Sales]]-tblSales[[#This Row],[Budget]])/tblSales[[#This Row],[Budget]]</f>
        <v>3.065408874423052E-2</v>
      </c>
      <c r="M771" s="2">
        <f>tblSales[[#This Row],[Sales]]/tblSales[[#This Row],[Transactions]]</f>
        <v>452</v>
      </c>
    </row>
    <row r="772" spans="1:13" x14ac:dyDescent="0.25">
      <c r="A772" s="1">
        <v>46061</v>
      </c>
      <c r="B772" t="s">
        <v>20</v>
      </c>
      <c r="C772" t="s">
        <v>19</v>
      </c>
      <c r="D772" t="str">
        <f>_xlfn.XLOOKUP(tblSales[[#This Row],[Store ID]],tblStores[Store ID],tblStores[Store Name])</f>
        <v>Cape Town CBD</v>
      </c>
      <c r="E772" t="str">
        <f>_xlfn.XLOOKUP(tblSales[[#This Row],[Store ID]],tblStores[Store ID],tblStores[Province])</f>
        <v>Western Cape</v>
      </c>
      <c r="F772" t="str">
        <f>_xlfn.XLOOKUP(tblSales[[#This Row],[Store ID]],tblStores[Store ID],tblStores[Manager])</f>
        <v>Brian Hall</v>
      </c>
      <c r="G772" t="str">
        <f>_xlfn.XLOOKUP(tblSales[[#This Row],[Category ID]],tblCategories[Category ID],tblCategories[Category])</f>
        <v>Accessories</v>
      </c>
      <c r="H772">
        <v>26910</v>
      </c>
      <c r="I772">
        <v>30805</v>
      </c>
      <c r="J772">
        <v>78</v>
      </c>
      <c r="K772">
        <f>tblSales[[#This Row],[Sales]]-tblSales[[#This Row],[Budget]]</f>
        <v>-3895</v>
      </c>
      <c r="L772" s="3">
        <f>(tblSales[[#This Row],[Sales]]-tblSales[[#This Row],[Budget]])/tblSales[[#This Row],[Budget]]</f>
        <v>-0.12644051290374939</v>
      </c>
      <c r="M772" s="2">
        <f>tblSales[[#This Row],[Sales]]/tblSales[[#This Row],[Transactions]]</f>
        <v>345</v>
      </c>
    </row>
    <row r="773" spans="1:13" x14ac:dyDescent="0.25">
      <c r="A773" s="1">
        <v>46061</v>
      </c>
      <c r="B773" t="s">
        <v>21</v>
      </c>
      <c r="C773" t="s">
        <v>22</v>
      </c>
      <c r="D773" t="str">
        <f>_xlfn.XLOOKUP(tblSales[[#This Row],[Store ID]],tblStores[Store ID],tblStores[Store Name])</f>
        <v>Canal Walk</v>
      </c>
      <c r="E773" t="str">
        <f>_xlfn.XLOOKUP(tblSales[[#This Row],[Store ID]],tblStores[Store ID],tblStores[Province])</f>
        <v>Western Cape</v>
      </c>
      <c r="F773" t="str">
        <f>_xlfn.XLOOKUP(tblSales[[#This Row],[Store ID]],tblStores[Store ID],tblStores[Manager])</f>
        <v>Megan Scott</v>
      </c>
      <c r="G773" t="str">
        <f>_xlfn.XLOOKUP(tblSales[[#This Row],[Category ID]],tblCategories[Category ID],tblCategories[Category])</f>
        <v>Kids</v>
      </c>
      <c r="H773">
        <v>51557</v>
      </c>
      <c r="I773">
        <v>49847</v>
      </c>
      <c r="J773">
        <v>109</v>
      </c>
      <c r="K773">
        <f>tblSales[[#This Row],[Sales]]-tblSales[[#This Row],[Budget]]</f>
        <v>1710</v>
      </c>
      <c r="L773" s="3">
        <f>(tblSales[[#This Row],[Sales]]-tblSales[[#This Row],[Budget]])/tblSales[[#This Row],[Budget]]</f>
        <v>3.4304973218047222E-2</v>
      </c>
      <c r="M773" s="2">
        <f>tblSales[[#This Row],[Sales]]/tblSales[[#This Row],[Transactions]]</f>
        <v>473</v>
      </c>
    </row>
    <row r="774" spans="1:13" x14ac:dyDescent="0.25">
      <c r="A774" s="1">
        <v>46061</v>
      </c>
      <c r="B774" t="s">
        <v>23</v>
      </c>
      <c r="C774" t="s">
        <v>19</v>
      </c>
      <c r="D774" t="str">
        <f>_xlfn.XLOOKUP(tblSales[[#This Row],[Store ID]],tblStores[Store ID],tblStores[Store Name])</f>
        <v>Stellenbosch</v>
      </c>
      <c r="E774" t="str">
        <f>_xlfn.XLOOKUP(tblSales[[#This Row],[Store ID]],tblStores[Store ID],tblStores[Province])</f>
        <v>Western Cape</v>
      </c>
      <c r="F774" t="str">
        <f>_xlfn.XLOOKUP(tblSales[[#This Row],[Store ID]],tblStores[Store ID],tblStores[Manager])</f>
        <v>Jason King</v>
      </c>
      <c r="G774" t="str">
        <f>_xlfn.XLOOKUP(tblSales[[#This Row],[Category ID]],tblCategories[Category ID],tblCategories[Category])</f>
        <v>Accessories</v>
      </c>
      <c r="H774">
        <v>47424</v>
      </c>
      <c r="I774">
        <v>44289</v>
      </c>
      <c r="J774">
        <v>208</v>
      </c>
      <c r="K774">
        <f>tblSales[[#This Row],[Sales]]-tblSales[[#This Row],[Budget]]</f>
        <v>3135</v>
      </c>
      <c r="L774" s="3">
        <f>(tblSales[[#This Row],[Sales]]-tblSales[[#This Row],[Budget]])/tblSales[[#This Row],[Budget]]</f>
        <v>7.0785070785070792E-2</v>
      </c>
      <c r="M774" s="2">
        <f>tblSales[[#This Row],[Sales]]/tblSales[[#This Row],[Transactions]]</f>
        <v>228</v>
      </c>
    </row>
    <row r="775" spans="1:13" x14ac:dyDescent="0.25">
      <c r="A775" s="1">
        <v>46061</v>
      </c>
      <c r="B775" t="s">
        <v>24</v>
      </c>
      <c r="C775" t="s">
        <v>11</v>
      </c>
      <c r="D775" t="str">
        <f>_xlfn.XLOOKUP(tblSales[[#This Row],[Store ID]],tblStores[Store ID],tblStores[Store Name])</f>
        <v>George</v>
      </c>
      <c r="E775" t="str">
        <f>_xlfn.XLOOKUP(tblSales[[#This Row],[Store ID]],tblStores[Store ID],tblStores[Province])</f>
        <v>Western Cape</v>
      </c>
      <c r="F775" t="str">
        <f>_xlfn.XLOOKUP(tblSales[[#This Row],[Store ID]],tblStores[Store ID],tblStores[Manager])</f>
        <v>Chloe Hill</v>
      </c>
      <c r="G775" t="str">
        <f>_xlfn.XLOOKUP(tblSales[[#This Row],[Category ID]],tblCategories[Category ID],tblCategories[Category])</f>
        <v>Footwear</v>
      </c>
      <c r="H775">
        <v>16050</v>
      </c>
      <c r="I775">
        <v>17924</v>
      </c>
      <c r="J775">
        <v>50</v>
      </c>
      <c r="K775">
        <f>tblSales[[#This Row],[Sales]]-tblSales[[#This Row],[Budget]]</f>
        <v>-1874</v>
      </c>
      <c r="L775" s="3">
        <f>(tblSales[[#This Row],[Sales]]-tblSales[[#This Row],[Budget]])/tblSales[[#This Row],[Budget]]</f>
        <v>-0.10455255523320688</v>
      </c>
      <c r="M775" s="2">
        <f>tblSales[[#This Row],[Sales]]/tblSales[[#This Row],[Transactions]]</f>
        <v>321</v>
      </c>
    </row>
    <row r="776" spans="1:13" x14ac:dyDescent="0.25">
      <c r="A776" s="1">
        <v>46061</v>
      </c>
      <c r="B776" t="s">
        <v>25</v>
      </c>
      <c r="C776" t="s">
        <v>9</v>
      </c>
      <c r="D776" t="str">
        <f>_xlfn.XLOOKUP(tblSales[[#This Row],[Store ID]],tblStores[Store ID],tblStores[Store Name])</f>
        <v>Paarl</v>
      </c>
      <c r="E776" t="str">
        <f>_xlfn.XLOOKUP(tblSales[[#This Row],[Store ID]],tblStores[Store ID],tblStores[Province])</f>
        <v>Western Cape</v>
      </c>
      <c r="F776" t="str">
        <f>_xlfn.XLOOKUP(tblSales[[#This Row],[Store ID]],tblStores[Store ID],tblStores[Manager])</f>
        <v>Andrew Lee</v>
      </c>
      <c r="G776" t="str">
        <f>_xlfn.XLOOKUP(tblSales[[#This Row],[Category ID]],tblCategories[Category ID],tblCategories[Category])</f>
        <v>Ladieswear</v>
      </c>
      <c r="H776">
        <v>52858</v>
      </c>
      <c r="I776">
        <v>50871</v>
      </c>
      <c r="J776">
        <v>214</v>
      </c>
      <c r="K776">
        <f>tblSales[[#This Row],[Sales]]-tblSales[[#This Row],[Budget]]</f>
        <v>1987</v>
      </c>
      <c r="L776" s="3">
        <f>(tblSales[[#This Row],[Sales]]-tblSales[[#This Row],[Budget]])/tblSales[[#This Row],[Budget]]</f>
        <v>3.9059582080163552E-2</v>
      </c>
      <c r="M776" s="2">
        <f>tblSales[[#This Row],[Sales]]/tblSales[[#This Row],[Transactions]]</f>
        <v>247</v>
      </c>
    </row>
    <row r="777" spans="1:13" x14ac:dyDescent="0.25">
      <c r="A777" s="1">
        <v>46061</v>
      </c>
      <c r="B777" t="s">
        <v>26</v>
      </c>
      <c r="C777" t="s">
        <v>22</v>
      </c>
      <c r="D777" t="str">
        <f>_xlfn.XLOOKUP(tblSales[[#This Row],[Store ID]],tblStores[Store ID],tblStores[Store Name])</f>
        <v>Gqeberha</v>
      </c>
      <c r="E777" t="str">
        <f>_xlfn.XLOOKUP(tblSales[[#This Row],[Store ID]],tblStores[Store ID],tblStores[Province])</f>
        <v>Eastern Cape</v>
      </c>
      <c r="F777" t="str">
        <f>_xlfn.XLOOKUP(tblSales[[#This Row],[Store ID]],tblStores[Store ID],tblStores[Manager])</f>
        <v>Emma Baker</v>
      </c>
      <c r="G777" t="str">
        <f>_xlfn.XLOOKUP(tblSales[[#This Row],[Category ID]],tblCategories[Category ID],tblCategories[Category])</f>
        <v>Kids</v>
      </c>
      <c r="H777">
        <v>37338</v>
      </c>
      <c r="I777">
        <v>38173</v>
      </c>
      <c r="J777">
        <v>98</v>
      </c>
      <c r="K777">
        <f>tblSales[[#This Row],[Sales]]-tblSales[[#This Row],[Budget]]</f>
        <v>-835</v>
      </c>
      <c r="L777" s="3">
        <f>(tblSales[[#This Row],[Sales]]-tblSales[[#This Row],[Budget]])/tblSales[[#This Row],[Budget]]</f>
        <v>-2.1874099494407041E-2</v>
      </c>
      <c r="M777" s="2">
        <f>tblSales[[#This Row],[Sales]]/tblSales[[#This Row],[Transactions]]</f>
        <v>381</v>
      </c>
    </row>
    <row r="778" spans="1:13" x14ac:dyDescent="0.25">
      <c r="A778" s="1">
        <v>46061</v>
      </c>
      <c r="B778" t="s">
        <v>27</v>
      </c>
      <c r="C778" t="s">
        <v>19</v>
      </c>
      <c r="D778" t="str">
        <f>_xlfn.XLOOKUP(tblSales[[#This Row],[Store ID]],tblStores[Store ID],tblStores[Store Name])</f>
        <v>East London</v>
      </c>
      <c r="E778" t="str">
        <f>_xlfn.XLOOKUP(tblSales[[#This Row],[Store ID]],tblStores[Store ID],tblStores[Province])</f>
        <v>Eastern Cape</v>
      </c>
      <c r="F778" t="str">
        <f>_xlfn.XLOOKUP(tblSales[[#This Row],[Store ID]],tblStores[Store ID],tblStores[Manager])</f>
        <v>Daniel Evans</v>
      </c>
      <c r="G778" t="str">
        <f>_xlfn.XLOOKUP(tblSales[[#This Row],[Category ID]],tblCategories[Category ID],tblCategories[Category])</f>
        <v>Accessories</v>
      </c>
      <c r="H778">
        <v>62132</v>
      </c>
      <c r="I778">
        <v>65670</v>
      </c>
      <c r="J778">
        <v>196</v>
      </c>
      <c r="K778">
        <f>tblSales[[#This Row],[Sales]]-tblSales[[#This Row],[Budget]]</f>
        <v>-3538</v>
      </c>
      <c r="L778" s="3">
        <f>(tblSales[[#This Row],[Sales]]-tblSales[[#This Row],[Budget]])/tblSales[[#This Row],[Budget]]</f>
        <v>-5.3875437795035785E-2</v>
      </c>
      <c r="M778" s="2">
        <f>tblSales[[#This Row],[Sales]]/tblSales[[#This Row],[Transactions]]</f>
        <v>317</v>
      </c>
    </row>
    <row r="779" spans="1:13" x14ac:dyDescent="0.25">
      <c r="A779" s="1">
        <v>46061</v>
      </c>
      <c r="B779" t="s">
        <v>28</v>
      </c>
      <c r="C779" t="s">
        <v>11</v>
      </c>
      <c r="D779" t="str">
        <f>_xlfn.XLOOKUP(tblSales[[#This Row],[Store ID]],tblStores[Store ID],tblStores[Store Name])</f>
        <v>Bloemfontein</v>
      </c>
      <c r="E779" t="str">
        <f>_xlfn.XLOOKUP(tblSales[[#This Row],[Store ID]],tblStores[Store ID],tblStores[Province])</f>
        <v>Free State</v>
      </c>
      <c r="F779" t="str">
        <f>_xlfn.XLOOKUP(tblSales[[#This Row],[Store ID]],tblStores[Store ID],tblStores[Manager])</f>
        <v>Rachel Moore</v>
      </c>
      <c r="G779" t="str">
        <f>_xlfn.XLOOKUP(tblSales[[#This Row],[Category ID]],tblCategories[Category ID],tblCategories[Category])</f>
        <v>Footwear</v>
      </c>
      <c r="H779">
        <v>32700</v>
      </c>
      <c r="I779">
        <v>34609</v>
      </c>
      <c r="J779">
        <v>150</v>
      </c>
      <c r="K779">
        <f>tblSales[[#This Row],[Sales]]-tblSales[[#This Row],[Budget]]</f>
        <v>-1909</v>
      </c>
      <c r="L779" s="3">
        <f>(tblSales[[#This Row],[Sales]]-tblSales[[#This Row],[Budget]])/tblSales[[#This Row],[Budget]]</f>
        <v>-5.5159062671559421E-2</v>
      </c>
      <c r="M779" s="2">
        <f>tblSales[[#This Row],[Sales]]/tblSales[[#This Row],[Transactions]]</f>
        <v>218</v>
      </c>
    </row>
    <row r="780" spans="1:13" x14ac:dyDescent="0.25">
      <c r="A780" s="1">
        <v>46061</v>
      </c>
      <c r="B780" t="s">
        <v>29</v>
      </c>
      <c r="C780" t="s">
        <v>7</v>
      </c>
      <c r="D780" t="str">
        <f>_xlfn.XLOOKUP(tblSales[[#This Row],[Store ID]],tblStores[Store ID],tblStores[Store Name])</f>
        <v>Polokwane</v>
      </c>
      <c r="E780" t="str">
        <f>_xlfn.XLOOKUP(tblSales[[#This Row],[Store ID]],tblStores[Store ID],tblStores[Province])</f>
        <v>Limpopo</v>
      </c>
      <c r="F780" t="str">
        <f>_xlfn.XLOOKUP(tblSales[[#This Row],[Store ID]],tblStores[Store ID],tblStores[Manager])</f>
        <v>Kevin Harris</v>
      </c>
      <c r="G780" t="str">
        <f>_xlfn.XLOOKUP(tblSales[[#This Row],[Category ID]],tblCategories[Category ID],tblCategories[Category])</f>
        <v>Menswear</v>
      </c>
      <c r="H780">
        <v>61134</v>
      </c>
      <c r="I780">
        <v>66480</v>
      </c>
      <c r="J780">
        <v>138</v>
      </c>
      <c r="K780">
        <f>tblSales[[#This Row],[Sales]]-tblSales[[#This Row],[Budget]]</f>
        <v>-5346</v>
      </c>
      <c r="L780" s="3">
        <f>(tblSales[[#This Row],[Sales]]-tblSales[[#This Row],[Budget]])/tblSales[[#This Row],[Budget]]</f>
        <v>-8.0415162454873651E-2</v>
      </c>
      <c r="M780" s="2">
        <f>tblSales[[#This Row],[Sales]]/tblSales[[#This Row],[Transactions]]</f>
        <v>443</v>
      </c>
    </row>
    <row r="781" spans="1:13" x14ac:dyDescent="0.25">
      <c r="A781" s="1">
        <v>46061</v>
      </c>
      <c r="B781" t="s">
        <v>30</v>
      </c>
      <c r="C781" t="s">
        <v>22</v>
      </c>
      <c r="D781" t="str">
        <f>_xlfn.XLOOKUP(tblSales[[#This Row],[Store ID]],tblStores[Store ID],tblStores[Store Name])</f>
        <v>Nelspruit</v>
      </c>
      <c r="E781" t="str">
        <f>_xlfn.XLOOKUP(tblSales[[#This Row],[Store ID]],tblStores[Store ID],tblStores[Province])</f>
        <v>Mpumalanga</v>
      </c>
      <c r="F781" t="str">
        <f>_xlfn.XLOOKUP(tblSales[[#This Row],[Store ID]],tblStores[Store ID],tblStores[Manager])</f>
        <v>Olivia Turner</v>
      </c>
      <c r="G781" t="str">
        <f>_xlfn.XLOOKUP(tblSales[[#This Row],[Category ID]],tblCategories[Category ID],tblCategories[Category])</f>
        <v>Kids</v>
      </c>
      <c r="H781">
        <v>64779</v>
      </c>
      <c r="I781">
        <v>63601</v>
      </c>
      <c r="J781">
        <v>151</v>
      </c>
      <c r="K781">
        <f>tblSales[[#This Row],[Sales]]-tblSales[[#This Row],[Budget]]</f>
        <v>1178</v>
      </c>
      <c r="L781" s="3">
        <f>(tblSales[[#This Row],[Sales]]-tblSales[[#This Row],[Budget]])/tblSales[[#This Row],[Budget]]</f>
        <v>1.8521721356582442E-2</v>
      </c>
      <c r="M781" s="2">
        <f>tblSales[[#This Row],[Sales]]/tblSales[[#This Row],[Transactions]]</f>
        <v>429</v>
      </c>
    </row>
    <row r="782" spans="1:13" x14ac:dyDescent="0.25">
      <c r="A782" s="1">
        <v>46062</v>
      </c>
      <c r="B782" t="s">
        <v>6</v>
      </c>
      <c r="C782" t="s">
        <v>7</v>
      </c>
      <c r="D782" t="str">
        <f>_xlfn.XLOOKUP(tblSales[[#This Row],[Store ID]],tblStores[Store ID],tblStores[Store Name])</f>
        <v>Durban CBD</v>
      </c>
      <c r="E782" t="str">
        <f>_xlfn.XLOOKUP(tblSales[[#This Row],[Store ID]],tblStores[Store ID],tblStores[Province])</f>
        <v>KZN</v>
      </c>
      <c r="F782" t="str">
        <f>_xlfn.XLOOKUP(tblSales[[#This Row],[Store ID]],tblStores[Store ID],tblStores[Manager])</f>
        <v>Sarah Adams</v>
      </c>
      <c r="G782" t="str">
        <f>_xlfn.XLOOKUP(tblSales[[#This Row],[Category ID]],tblCategories[Category ID],tblCategories[Category])</f>
        <v>Menswear</v>
      </c>
      <c r="H782">
        <v>24012</v>
      </c>
      <c r="I782">
        <v>25421</v>
      </c>
      <c r="J782">
        <v>58</v>
      </c>
      <c r="K782">
        <f>tblSales[[#This Row],[Sales]]-tblSales[[#This Row],[Budget]]</f>
        <v>-1409</v>
      </c>
      <c r="L782" s="3">
        <f>(tblSales[[#This Row],[Sales]]-tblSales[[#This Row],[Budget]])/tblSales[[#This Row],[Budget]]</f>
        <v>-5.5426615790094801E-2</v>
      </c>
      <c r="M782" s="2">
        <f>tblSales[[#This Row],[Sales]]/tblSales[[#This Row],[Transactions]]</f>
        <v>414</v>
      </c>
    </row>
    <row r="783" spans="1:13" x14ac:dyDescent="0.25">
      <c r="A783" s="1">
        <v>46062</v>
      </c>
      <c r="B783" t="s">
        <v>8</v>
      </c>
      <c r="C783" t="s">
        <v>22</v>
      </c>
      <c r="D783" t="str">
        <f>_xlfn.XLOOKUP(tblSales[[#This Row],[Store ID]],tblStores[Store ID],tblStores[Store Name])</f>
        <v>Gateway</v>
      </c>
      <c r="E783" t="str">
        <f>_xlfn.XLOOKUP(tblSales[[#This Row],[Store ID]],tblStores[Store ID],tblStores[Province])</f>
        <v>KZN</v>
      </c>
      <c r="F783" t="str">
        <f>_xlfn.XLOOKUP(tblSales[[#This Row],[Store ID]],tblStores[Store ID],tblStores[Manager])</f>
        <v>Michael Jones</v>
      </c>
      <c r="G783" t="str">
        <f>_xlfn.XLOOKUP(tblSales[[#This Row],[Category ID]],tblCategories[Category ID],tblCategories[Category])</f>
        <v>Kids</v>
      </c>
      <c r="H783">
        <v>23103</v>
      </c>
      <c r="I783">
        <v>23089</v>
      </c>
      <c r="J783">
        <v>51</v>
      </c>
      <c r="K783">
        <f>tblSales[[#This Row],[Sales]]-tblSales[[#This Row],[Budget]]</f>
        <v>14</v>
      </c>
      <c r="L783" s="3">
        <f>(tblSales[[#This Row],[Sales]]-tblSales[[#This Row],[Budget]])/tblSales[[#This Row],[Budget]]</f>
        <v>6.0634934384338861E-4</v>
      </c>
      <c r="M783" s="2">
        <f>tblSales[[#This Row],[Sales]]/tblSales[[#This Row],[Transactions]]</f>
        <v>453</v>
      </c>
    </row>
    <row r="784" spans="1:13" x14ac:dyDescent="0.25">
      <c r="A784" s="1">
        <v>46062</v>
      </c>
      <c r="B784" t="s">
        <v>10</v>
      </c>
      <c r="C784" t="s">
        <v>11</v>
      </c>
      <c r="D784" t="str">
        <f>_xlfn.XLOOKUP(tblSales[[#This Row],[Store ID]],tblStores[Store ID],tblStores[Store Name])</f>
        <v>Ballito</v>
      </c>
      <c r="E784" t="str">
        <f>_xlfn.XLOOKUP(tblSales[[#This Row],[Store ID]],tblStores[Store ID],tblStores[Province])</f>
        <v>KZN</v>
      </c>
      <c r="F784" t="str">
        <f>_xlfn.XLOOKUP(tblSales[[#This Row],[Store ID]],tblStores[Store ID],tblStores[Manager])</f>
        <v>Linda Smith</v>
      </c>
      <c r="G784" t="str">
        <f>_xlfn.XLOOKUP(tblSales[[#This Row],[Category ID]],tblCategories[Category ID],tblCategories[Category])</f>
        <v>Footwear</v>
      </c>
      <c r="H784">
        <v>38537</v>
      </c>
      <c r="I784">
        <v>37270</v>
      </c>
      <c r="J784">
        <v>89</v>
      </c>
      <c r="K784">
        <f>tblSales[[#This Row],[Sales]]-tblSales[[#This Row],[Budget]]</f>
        <v>1267</v>
      </c>
      <c r="L784" s="3">
        <f>(tblSales[[#This Row],[Sales]]-tblSales[[#This Row],[Budget]])/tblSales[[#This Row],[Budget]]</f>
        <v>3.3995170378320366E-2</v>
      </c>
      <c r="M784" s="2">
        <f>tblSales[[#This Row],[Sales]]/tblSales[[#This Row],[Transactions]]</f>
        <v>433</v>
      </c>
    </row>
    <row r="785" spans="1:13" x14ac:dyDescent="0.25">
      <c r="A785" s="1">
        <v>46062</v>
      </c>
      <c r="B785" t="s">
        <v>12</v>
      </c>
      <c r="C785" t="s">
        <v>22</v>
      </c>
      <c r="D785" t="str">
        <f>_xlfn.XLOOKUP(tblSales[[#This Row],[Store ID]],tblStores[Store ID],tblStores[Store Name])</f>
        <v>Pietermaritzburg</v>
      </c>
      <c r="E785" t="str">
        <f>_xlfn.XLOOKUP(tblSales[[#This Row],[Store ID]],tblStores[Store ID],tblStores[Province])</f>
        <v>KZN</v>
      </c>
      <c r="F785" t="str">
        <f>_xlfn.XLOOKUP(tblSales[[#This Row],[Store ID]],tblStores[Store ID],tblStores[Manager])</f>
        <v>Peter Brown</v>
      </c>
      <c r="G785" t="str">
        <f>_xlfn.XLOOKUP(tblSales[[#This Row],[Category ID]],tblCategories[Category ID],tblCategories[Category])</f>
        <v>Kids</v>
      </c>
      <c r="H785">
        <v>55660</v>
      </c>
      <c r="I785">
        <v>58135</v>
      </c>
      <c r="J785">
        <v>121</v>
      </c>
      <c r="K785">
        <f>tblSales[[#This Row],[Sales]]-tblSales[[#This Row],[Budget]]</f>
        <v>-2475</v>
      </c>
      <c r="L785" s="3">
        <f>(tblSales[[#This Row],[Sales]]-tblSales[[#This Row],[Budget]])/tblSales[[#This Row],[Budget]]</f>
        <v>-4.2573320719016081E-2</v>
      </c>
      <c r="M785" s="2">
        <f>tblSales[[#This Row],[Sales]]/tblSales[[#This Row],[Transactions]]</f>
        <v>460</v>
      </c>
    </row>
    <row r="786" spans="1:13" x14ac:dyDescent="0.25">
      <c r="A786" s="1">
        <v>46062</v>
      </c>
      <c r="B786" t="s">
        <v>13</v>
      </c>
      <c r="C786" t="s">
        <v>19</v>
      </c>
      <c r="D786" t="str">
        <f>_xlfn.XLOOKUP(tblSales[[#This Row],[Store ID]],tblStores[Store ID],tblStores[Store Name])</f>
        <v>Richards Bay</v>
      </c>
      <c r="E786" t="str">
        <f>_xlfn.XLOOKUP(tblSales[[#This Row],[Store ID]],tblStores[Store ID],tblStores[Province])</f>
        <v>KZN</v>
      </c>
      <c r="F786" t="str">
        <f>_xlfn.XLOOKUP(tblSales[[#This Row],[Store ID]],tblStores[Store ID],tblStores[Manager])</f>
        <v>David Green</v>
      </c>
      <c r="G786" t="str">
        <f>_xlfn.XLOOKUP(tblSales[[#This Row],[Category ID]],tblCategories[Category ID],tblCategories[Category])</f>
        <v>Accessories</v>
      </c>
      <c r="H786">
        <v>56445</v>
      </c>
      <c r="I786">
        <v>63418</v>
      </c>
      <c r="J786">
        <v>159</v>
      </c>
      <c r="K786">
        <f>tblSales[[#This Row],[Sales]]-tblSales[[#This Row],[Budget]]</f>
        <v>-6973</v>
      </c>
      <c r="L786" s="3">
        <f>(tblSales[[#This Row],[Sales]]-tblSales[[#This Row],[Budget]])/tblSales[[#This Row],[Budget]]</f>
        <v>-0.10995301018638241</v>
      </c>
      <c r="M786" s="2">
        <f>tblSales[[#This Row],[Sales]]/tblSales[[#This Row],[Transactions]]</f>
        <v>355</v>
      </c>
    </row>
    <row r="787" spans="1:13" x14ac:dyDescent="0.25">
      <c r="A787" s="1">
        <v>46062</v>
      </c>
      <c r="B787" t="s">
        <v>14</v>
      </c>
      <c r="C787" t="s">
        <v>7</v>
      </c>
      <c r="D787" t="str">
        <f>_xlfn.XLOOKUP(tblSales[[#This Row],[Store ID]],tblStores[Store ID],tblStores[Store Name])</f>
        <v>Sandton</v>
      </c>
      <c r="E787" t="str">
        <f>_xlfn.XLOOKUP(tblSales[[#This Row],[Store ID]],tblStores[Store ID],tblStores[Province])</f>
        <v>Gauteng</v>
      </c>
      <c r="F787" t="str">
        <f>_xlfn.XLOOKUP(tblSales[[#This Row],[Store ID]],tblStores[Store ID],tblStores[Manager])</f>
        <v>Karen White</v>
      </c>
      <c r="G787" t="str">
        <f>_xlfn.XLOOKUP(tblSales[[#This Row],[Category ID]],tblCategories[Category ID],tblCategories[Category])</f>
        <v>Menswear</v>
      </c>
      <c r="H787">
        <v>10580</v>
      </c>
      <c r="I787">
        <v>11178</v>
      </c>
      <c r="J787">
        <v>46</v>
      </c>
      <c r="K787">
        <f>tblSales[[#This Row],[Sales]]-tblSales[[#This Row],[Budget]]</f>
        <v>-598</v>
      </c>
      <c r="L787" s="3">
        <f>(tblSales[[#This Row],[Sales]]-tblSales[[#This Row],[Budget]])/tblSales[[#This Row],[Budget]]</f>
        <v>-5.3497942386831275E-2</v>
      </c>
      <c r="M787" s="2">
        <f>tblSales[[#This Row],[Sales]]/tblSales[[#This Row],[Transactions]]</f>
        <v>230</v>
      </c>
    </row>
    <row r="788" spans="1:13" x14ac:dyDescent="0.25">
      <c r="A788" s="1">
        <v>46062</v>
      </c>
      <c r="B788" t="s">
        <v>15</v>
      </c>
      <c r="C788" t="s">
        <v>11</v>
      </c>
      <c r="D788" t="str">
        <f>_xlfn.XLOOKUP(tblSales[[#This Row],[Store ID]],tblStores[Store ID],tblStores[Store Name])</f>
        <v>Rosebank</v>
      </c>
      <c r="E788" t="str">
        <f>_xlfn.XLOOKUP(tblSales[[#This Row],[Store ID]],tblStores[Store ID],tblStores[Province])</f>
        <v>Gauteng</v>
      </c>
      <c r="F788" t="str">
        <f>_xlfn.XLOOKUP(tblSales[[#This Row],[Store ID]],tblStores[Store ID],tblStores[Manager])</f>
        <v>James Taylor</v>
      </c>
      <c r="G788" t="str">
        <f>_xlfn.XLOOKUP(tblSales[[#This Row],[Category ID]],tblCategories[Category ID],tblCategories[Category])</f>
        <v>Footwear</v>
      </c>
      <c r="H788">
        <v>9477</v>
      </c>
      <c r="I788">
        <v>10731</v>
      </c>
      <c r="J788">
        <v>39</v>
      </c>
      <c r="K788">
        <f>tblSales[[#This Row],[Sales]]-tblSales[[#This Row],[Budget]]</f>
        <v>-1254</v>
      </c>
      <c r="L788" s="3">
        <f>(tblSales[[#This Row],[Sales]]-tblSales[[#This Row],[Budget]])/tblSales[[#This Row],[Budget]]</f>
        <v>-0.11685770198490356</v>
      </c>
      <c r="M788" s="2">
        <f>tblSales[[#This Row],[Sales]]/tblSales[[#This Row],[Transactions]]</f>
        <v>243</v>
      </c>
    </row>
    <row r="789" spans="1:13" x14ac:dyDescent="0.25">
      <c r="A789" s="1">
        <v>46062</v>
      </c>
      <c r="B789" t="s">
        <v>16</v>
      </c>
      <c r="C789" t="s">
        <v>9</v>
      </c>
      <c r="D789" t="str">
        <f>_xlfn.XLOOKUP(tblSales[[#This Row],[Store ID]],tblStores[Store ID],tblStores[Store Name])</f>
        <v>Pretoria</v>
      </c>
      <c r="E789" t="str">
        <f>_xlfn.XLOOKUP(tblSales[[#This Row],[Store ID]],tblStores[Store ID],tblStores[Province])</f>
        <v>Gauteng</v>
      </c>
      <c r="F789" t="str">
        <f>_xlfn.XLOOKUP(tblSales[[#This Row],[Store ID]],tblStores[Store ID],tblStores[Manager])</f>
        <v>Susan Clark</v>
      </c>
      <c r="G789" t="str">
        <f>_xlfn.XLOOKUP(tblSales[[#This Row],[Category ID]],tblCategories[Category ID],tblCategories[Category])</f>
        <v>Ladieswear</v>
      </c>
      <c r="H789">
        <v>60711</v>
      </c>
      <c r="I789">
        <v>54650</v>
      </c>
      <c r="J789">
        <v>147</v>
      </c>
      <c r="K789">
        <f>tblSales[[#This Row],[Sales]]-tblSales[[#This Row],[Budget]]</f>
        <v>6061</v>
      </c>
      <c r="L789" s="3">
        <f>(tblSales[[#This Row],[Sales]]-tblSales[[#This Row],[Budget]])/tblSales[[#This Row],[Budget]]</f>
        <v>0.11090576395242452</v>
      </c>
      <c r="M789" s="2">
        <f>tblSales[[#This Row],[Sales]]/tblSales[[#This Row],[Transactions]]</f>
        <v>413</v>
      </c>
    </row>
    <row r="790" spans="1:13" x14ac:dyDescent="0.25">
      <c r="A790" s="1">
        <v>46062</v>
      </c>
      <c r="B790" t="s">
        <v>17</v>
      </c>
      <c r="C790" t="s">
        <v>11</v>
      </c>
      <c r="D790" t="str">
        <f>_xlfn.XLOOKUP(tblSales[[#This Row],[Store ID]],tblStores[Store ID],tblStores[Store Name])</f>
        <v>Centurion</v>
      </c>
      <c r="E790" t="str">
        <f>_xlfn.XLOOKUP(tblSales[[#This Row],[Store ID]],tblStores[Store ID],tblStores[Province])</f>
        <v>Gauteng</v>
      </c>
      <c r="F790" t="str">
        <f>_xlfn.XLOOKUP(tblSales[[#This Row],[Store ID]],tblStores[Store ID],tblStores[Manager])</f>
        <v>Mark Wilson</v>
      </c>
      <c r="G790" t="str">
        <f>_xlfn.XLOOKUP(tblSales[[#This Row],[Category ID]],tblCategories[Category ID],tblCategories[Category])</f>
        <v>Footwear</v>
      </c>
      <c r="H790">
        <v>21242</v>
      </c>
      <c r="I790">
        <v>23802</v>
      </c>
      <c r="J790">
        <v>86</v>
      </c>
      <c r="K790">
        <f>tblSales[[#This Row],[Sales]]-tblSales[[#This Row],[Budget]]</f>
        <v>-2560</v>
      </c>
      <c r="L790" s="3">
        <f>(tblSales[[#This Row],[Sales]]-tblSales[[#This Row],[Budget]])/tblSales[[#This Row],[Budget]]</f>
        <v>-0.10755398705991093</v>
      </c>
      <c r="M790" s="2">
        <f>tblSales[[#This Row],[Sales]]/tblSales[[#This Row],[Transactions]]</f>
        <v>247</v>
      </c>
    </row>
    <row r="791" spans="1:13" x14ac:dyDescent="0.25">
      <c r="A791" s="1">
        <v>46062</v>
      </c>
      <c r="B791" t="s">
        <v>18</v>
      </c>
      <c r="C791" t="s">
        <v>22</v>
      </c>
      <c r="D791" t="str">
        <f>_xlfn.XLOOKUP(tblSales[[#This Row],[Store ID]],tblStores[Store ID],tblStores[Store Name])</f>
        <v>East Rand</v>
      </c>
      <c r="E791" t="str">
        <f>_xlfn.XLOOKUP(tblSales[[#This Row],[Store ID]],tblStores[Store ID],tblStores[Province])</f>
        <v>Gauteng</v>
      </c>
      <c r="F791" t="str">
        <f>_xlfn.XLOOKUP(tblSales[[#This Row],[Store ID]],tblStores[Store ID],tblStores[Manager])</f>
        <v>Lisa Young</v>
      </c>
      <c r="G791" t="str">
        <f>_xlfn.XLOOKUP(tblSales[[#This Row],[Category ID]],tblCategories[Category ID],tblCategories[Category])</f>
        <v>Kids</v>
      </c>
      <c r="H791">
        <v>24000</v>
      </c>
      <c r="I791">
        <v>22160</v>
      </c>
      <c r="J791">
        <v>75</v>
      </c>
      <c r="K791">
        <f>tblSales[[#This Row],[Sales]]-tblSales[[#This Row],[Budget]]</f>
        <v>1840</v>
      </c>
      <c r="L791" s="3">
        <f>(tblSales[[#This Row],[Sales]]-tblSales[[#This Row],[Budget]])/tblSales[[#This Row],[Budget]]</f>
        <v>8.3032490974729242E-2</v>
      </c>
      <c r="M791" s="2">
        <f>tblSales[[#This Row],[Sales]]/tblSales[[#This Row],[Transactions]]</f>
        <v>320</v>
      </c>
    </row>
    <row r="792" spans="1:13" x14ac:dyDescent="0.25">
      <c r="A792" s="1">
        <v>46062</v>
      </c>
      <c r="B792" t="s">
        <v>20</v>
      </c>
      <c r="C792" t="s">
        <v>22</v>
      </c>
      <c r="D792" t="str">
        <f>_xlfn.XLOOKUP(tblSales[[#This Row],[Store ID]],tblStores[Store ID],tblStores[Store Name])</f>
        <v>Cape Town CBD</v>
      </c>
      <c r="E792" t="str">
        <f>_xlfn.XLOOKUP(tblSales[[#This Row],[Store ID]],tblStores[Store ID],tblStores[Province])</f>
        <v>Western Cape</v>
      </c>
      <c r="F792" t="str">
        <f>_xlfn.XLOOKUP(tblSales[[#This Row],[Store ID]],tblStores[Store ID],tblStores[Manager])</f>
        <v>Brian Hall</v>
      </c>
      <c r="G792" t="str">
        <f>_xlfn.XLOOKUP(tblSales[[#This Row],[Category ID]],tblCategories[Category ID],tblCategories[Category])</f>
        <v>Kids</v>
      </c>
      <c r="H792">
        <v>21978</v>
      </c>
      <c r="I792">
        <v>21823</v>
      </c>
      <c r="J792">
        <v>99</v>
      </c>
      <c r="K792">
        <f>tblSales[[#This Row],[Sales]]-tblSales[[#This Row],[Budget]]</f>
        <v>155</v>
      </c>
      <c r="L792" s="3">
        <f>(tblSales[[#This Row],[Sales]]-tblSales[[#This Row],[Budget]])/tblSales[[#This Row],[Budget]]</f>
        <v>7.1025981762360812E-3</v>
      </c>
      <c r="M792" s="2">
        <f>tblSales[[#This Row],[Sales]]/tblSales[[#This Row],[Transactions]]</f>
        <v>222</v>
      </c>
    </row>
    <row r="793" spans="1:13" x14ac:dyDescent="0.25">
      <c r="A793" s="1">
        <v>46062</v>
      </c>
      <c r="B793" t="s">
        <v>21</v>
      </c>
      <c r="C793" t="s">
        <v>9</v>
      </c>
      <c r="D793" t="str">
        <f>_xlfn.XLOOKUP(tblSales[[#This Row],[Store ID]],tblStores[Store ID],tblStores[Store Name])</f>
        <v>Canal Walk</v>
      </c>
      <c r="E793" t="str">
        <f>_xlfn.XLOOKUP(tblSales[[#This Row],[Store ID]],tblStores[Store ID],tblStores[Province])</f>
        <v>Western Cape</v>
      </c>
      <c r="F793" t="str">
        <f>_xlfn.XLOOKUP(tblSales[[#This Row],[Store ID]],tblStores[Store ID],tblStores[Manager])</f>
        <v>Megan Scott</v>
      </c>
      <c r="G793" t="str">
        <f>_xlfn.XLOOKUP(tblSales[[#This Row],[Category ID]],tblCategories[Category ID],tblCategories[Category])</f>
        <v>Ladieswear</v>
      </c>
      <c r="H793">
        <v>18336</v>
      </c>
      <c r="I793">
        <v>19370</v>
      </c>
      <c r="J793">
        <v>48</v>
      </c>
      <c r="K793">
        <f>tblSales[[#This Row],[Sales]]-tblSales[[#This Row],[Budget]]</f>
        <v>-1034</v>
      </c>
      <c r="L793" s="3">
        <f>(tblSales[[#This Row],[Sales]]-tblSales[[#This Row],[Budget]])/tblSales[[#This Row],[Budget]]</f>
        <v>-5.338151781104801E-2</v>
      </c>
      <c r="M793" s="2">
        <f>tblSales[[#This Row],[Sales]]/tblSales[[#This Row],[Transactions]]</f>
        <v>382</v>
      </c>
    </row>
    <row r="794" spans="1:13" x14ac:dyDescent="0.25">
      <c r="A794" s="1">
        <v>46062</v>
      </c>
      <c r="B794" t="s">
        <v>23</v>
      </c>
      <c r="C794" t="s">
        <v>9</v>
      </c>
      <c r="D794" t="str">
        <f>_xlfn.XLOOKUP(tblSales[[#This Row],[Store ID]],tblStores[Store ID],tblStores[Store Name])</f>
        <v>Stellenbosch</v>
      </c>
      <c r="E794" t="str">
        <f>_xlfn.XLOOKUP(tblSales[[#This Row],[Store ID]],tblStores[Store ID],tblStores[Province])</f>
        <v>Western Cape</v>
      </c>
      <c r="F794" t="str">
        <f>_xlfn.XLOOKUP(tblSales[[#This Row],[Store ID]],tblStores[Store ID],tblStores[Manager])</f>
        <v>Jason King</v>
      </c>
      <c r="G794" t="str">
        <f>_xlfn.XLOOKUP(tblSales[[#This Row],[Category ID]],tblCategories[Category ID],tblCategories[Category])</f>
        <v>Ladieswear</v>
      </c>
      <c r="H794">
        <v>74160</v>
      </c>
      <c r="I794">
        <v>68434</v>
      </c>
      <c r="J794">
        <v>144</v>
      </c>
      <c r="K794">
        <f>tblSales[[#This Row],[Sales]]-tblSales[[#This Row],[Budget]]</f>
        <v>5726</v>
      </c>
      <c r="L794" s="3">
        <f>(tblSales[[#This Row],[Sales]]-tblSales[[#This Row],[Budget]])/tblSales[[#This Row],[Budget]]</f>
        <v>8.3671859017447461E-2</v>
      </c>
      <c r="M794" s="2">
        <f>tblSales[[#This Row],[Sales]]/tblSales[[#This Row],[Transactions]]</f>
        <v>515</v>
      </c>
    </row>
    <row r="795" spans="1:13" x14ac:dyDescent="0.25">
      <c r="A795" s="1">
        <v>46062</v>
      </c>
      <c r="B795" t="s">
        <v>24</v>
      </c>
      <c r="C795" t="s">
        <v>7</v>
      </c>
      <c r="D795" t="str">
        <f>_xlfn.XLOOKUP(tblSales[[#This Row],[Store ID]],tblStores[Store ID],tblStores[Store Name])</f>
        <v>George</v>
      </c>
      <c r="E795" t="str">
        <f>_xlfn.XLOOKUP(tblSales[[#This Row],[Store ID]],tblStores[Store ID],tblStores[Province])</f>
        <v>Western Cape</v>
      </c>
      <c r="F795" t="str">
        <f>_xlfn.XLOOKUP(tblSales[[#This Row],[Store ID]],tblStores[Store ID],tblStores[Manager])</f>
        <v>Chloe Hill</v>
      </c>
      <c r="G795" t="str">
        <f>_xlfn.XLOOKUP(tblSales[[#This Row],[Category ID]],tblCategories[Category ID],tblCategories[Category])</f>
        <v>Menswear</v>
      </c>
      <c r="H795">
        <v>10115</v>
      </c>
      <c r="I795">
        <v>10309</v>
      </c>
      <c r="J795">
        <v>35</v>
      </c>
      <c r="K795">
        <f>tblSales[[#This Row],[Sales]]-tblSales[[#This Row],[Budget]]</f>
        <v>-194</v>
      </c>
      <c r="L795" s="3">
        <f>(tblSales[[#This Row],[Sales]]-tblSales[[#This Row],[Budget]])/tblSales[[#This Row],[Budget]]</f>
        <v>-1.8818508099718693E-2</v>
      </c>
      <c r="M795" s="2">
        <f>tblSales[[#This Row],[Sales]]/tblSales[[#This Row],[Transactions]]</f>
        <v>289</v>
      </c>
    </row>
    <row r="796" spans="1:13" x14ac:dyDescent="0.25">
      <c r="A796" s="1">
        <v>46062</v>
      </c>
      <c r="B796" t="s">
        <v>25</v>
      </c>
      <c r="C796" t="s">
        <v>9</v>
      </c>
      <c r="D796" t="str">
        <f>_xlfn.XLOOKUP(tblSales[[#This Row],[Store ID]],tblStores[Store ID],tblStores[Store Name])</f>
        <v>Paarl</v>
      </c>
      <c r="E796" t="str">
        <f>_xlfn.XLOOKUP(tblSales[[#This Row],[Store ID]],tblStores[Store ID],tblStores[Province])</f>
        <v>Western Cape</v>
      </c>
      <c r="F796" t="str">
        <f>_xlfn.XLOOKUP(tblSales[[#This Row],[Store ID]],tblStores[Store ID],tblStores[Manager])</f>
        <v>Andrew Lee</v>
      </c>
      <c r="G796" t="str">
        <f>_xlfn.XLOOKUP(tblSales[[#This Row],[Category ID]],tblCategories[Category ID],tblCategories[Category])</f>
        <v>Ladieswear</v>
      </c>
      <c r="H796">
        <v>54870</v>
      </c>
      <c r="I796">
        <v>56508</v>
      </c>
      <c r="J796">
        <v>186</v>
      </c>
      <c r="K796">
        <f>tblSales[[#This Row],[Sales]]-tblSales[[#This Row],[Budget]]</f>
        <v>-1638</v>
      </c>
      <c r="L796" s="3">
        <f>(tblSales[[#This Row],[Sales]]-tblSales[[#This Row],[Budget]])/tblSales[[#This Row],[Budget]]</f>
        <v>-2.8987046081970693E-2</v>
      </c>
      <c r="M796" s="2">
        <f>tblSales[[#This Row],[Sales]]/tblSales[[#This Row],[Transactions]]</f>
        <v>295</v>
      </c>
    </row>
    <row r="797" spans="1:13" x14ac:dyDescent="0.25">
      <c r="A797" s="1">
        <v>46062</v>
      </c>
      <c r="B797" t="s">
        <v>26</v>
      </c>
      <c r="C797" t="s">
        <v>11</v>
      </c>
      <c r="D797" t="str">
        <f>_xlfn.XLOOKUP(tblSales[[#This Row],[Store ID]],tblStores[Store ID],tblStores[Store Name])</f>
        <v>Gqeberha</v>
      </c>
      <c r="E797" t="str">
        <f>_xlfn.XLOOKUP(tblSales[[#This Row],[Store ID]],tblStores[Store ID],tblStores[Province])</f>
        <v>Eastern Cape</v>
      </c>
      <c r="F797" t="str">
        <f>_xlfn.XLOOKUP(tblSales[[#This Row],[Store ID]],tblStores[Store ID],tblStores[Manager])</f>
        <v>Emma Baker</v>
      </c>
      <c r="G797" t="str">
        <f>_xlfn.XLOOKUP(tblSales[[#This Row],[Category ID]],tblCategories[Category ID],tblCategories[Category])</f>
        <v>Footwear</v>
      </c>
      <c r="H797">
        <v>6808</v>
      </c>
      <c r="I797">
        <v>7311</v>
      </c>
      <c r="J797">
        <v>37</v>
      </c>
      <c r="K797">
        <f>tblSales[[#This Row],[Sales]]-tblSales[[#This Row],[Budget]]</f>
        <v>-503</v>
      </c>
      <c r="L797" s="3">
        <f>(tblSales[[#This Row],[Sales]]-tblSales[[#This Row],[Budget]])/tblSales[[#This Row],[Budget]]</f>
        <v>-6.880043769662153E-2</v>
      </c>
      <c r="M797" s="2">
        <f>tblSales[[#This Row],[Sales]]/tblSales[[#This Row],[Transactions]]</f>
        <v>184</v>
      </c>
    </row>
    <row r="798" spans="1:13" x14ac:dyDescent="0.25">
      <c r="A798" s="1">
        <v>46062</v>
      </c>
      <c r="B798" t="s">
        <v>27</v>
      </c>
      <c r="C798" t="s">
        <v>7</v>
      </c>
      <c r="D798" t="str">
        <f>_xlfn.XLOOKUP(tblSales[[#This Row],[Store ID]],tblStores[Store ID],tblStores[Store Name])</f>
        <v>East London</v>
      </c>
      <c r="E798" t="str">
        <f>_xlfn.XLOOKUP(tblSales[[#This Row],[Store ID]],tblStores[Store ID],tblStores[Province])</f>
        <v>Eastern Cape</v>
      </c>
      <c r="F798" t="str">
        <f>_xlfn.XLOOKUP(tblSales[[#This Row],[Store ID]],tblStores[Store ID],tblStores[Manager])</f>
        <v>Daniel Evans</v>
      </c>
      <c r="G798" t="str">
        <f>_xlfn.XLOOKUP(tblSales[[#This Row],[Category ID]],tblCategories[Category ID],tblCategories[Category])</f>
        <v>Menswear</v>
      </c>
      <c r="H798">
        <v>35321</v>
      </c>
      <c r="I798">
        <v>36007</v>
      </c>
      <c r="J798">
        <v>143</v>
      </c>
      <c r="K798">
        <f>tblSales[[#This Row],[Sales]]-tblSales[[#This Row],[Budget]]</f>
        <v>-686</v>
      </c>
      <c r="L798" s="3">
        <f>(tblSales[[#This Row],[Sales]]-tblSales[[#This Row],[Budget]])/tblSales[[#This Row],[Budget]]</f>
        <v>-1.9051851028966591E-2</v>
      </c>
      <c r="M798" s="2">
        <f>tblSales[[#This Row],[Sales]]/tblSales[[#This Row],[Transactions]]</f>
        <v>247</v>
      </c>
    </row>
    <row r="799" spans="1:13" x14ac:dyDescent="0.25">
      <c r="A799" s="1">
        <v>46062</v>
      </c>
      <c r="B799" t="s">
        <v>28</v>
      </c>
      <c r="C799" t="s">
        <v>9</v>
      </c>
      <c r="D799" t="str">
        <f>_xlfn.XLOOKUP(tblSales[[#This Row],[Store ID]],tblStores[Store ID],tblStores[Store Name])</f>
        <v>Bloemfontein</v>
      </c>
      <c r="E799" t="str">
        <f>_xlfn.XLOOKUP(tblSales[[#This Row],[Store ID]],tblStores[Store ID],tblStores[Province])</f>
        <v>Free State</v>
      </c>
      <c r="F799" t="str">
        <f>_xlfn.XLOOKUP(tblSales[[#This Row],[Store ID]],tblStores[Store ID],tblStores[Manager])</f>
        <v>Rachel Moore</v>
      </c>
      <c r="G799" t="str">
        <f>_xlfn.XLOOKUP(tblSales[[#This Row],[Category ID]],tblCategories[Category ID],tblCategories[Category])</f>
        <v>Ladieswear</v>
      </c>
      <c r="H799">
        <v>29925</v>
      </c>
      <c r="I799">
        <v>32399</v>
      </c>
      <c r="J799">
        <v>133</v>
      </c>
      <c r="K799">
        <f>tblSales[[#This Row],[Sales]]-tblSales[[#This Row],[Budget]]</f>
        <v>-2474</v>
      </c>
      <c r="L799" s="3">
        <f>(tblSales[[#This Row],[Sales]]-tblSales[[#This Row],[Budget]])/tblSales[[#This Row],[Budget]]</f>
        <v>-7.6360381493255969E-2</v>
      </c>
      <c r="M799" s="2">
        <f>tblSales[[#This Row],[Sales]]/tblSales[[#This Row],[Transactions]]</f>
        <v>225</v>
      </c>
    </row>
    <row r="800" spans="1:13" x14ac:dyDescent="0.25">
      <c r="A800" s="1">
        <v>46062</v>
      </c>
      <c r="B800" t="s">
        <v>29</v>
      </c>
      <c r="C800" t="s">
        <v>7</v>
      </c>
      <c r="D800" t="str">
        <f>_xlfn.XLOOKUP(tblSales[[#This Row],[Store ID]],tblStores[Store ID],tblStores[Store Name])</f>
        <v>Polokwane</v>
      </c>
      <c r="E800" t="str">
        <f>_xlfn.XLOOKUP(tblSales[[#This Row],[Store ID]],tblStores[Store ID],tblStores[Province])</f>
        <v>Limpopo</v>
      </c>
      <c r="F800" t="str">
        <f>_xlfn.XLOOKUP(tblSales[[#This Row],[Store ID]],tblStores[Store ID],tblStores[Manager])</f>
        <v>Kevin Harris</v>
      </c>
      <c r="G800" t="str">
        <f>_xlfn.XLOOKUP(tblSales[[#This Row],[Category ID]],tblCategories[Category ID],tblCategories[Category])</f>
        <v>Menswear</v>
      </c>
      <c r="H800">
        <v>20740</v>
      </c>
      <c r="I800">
        <v>20571</v>
      </c>
      <c r="J800">
        <v>61</v>
      </c>
      <c r="K800">
        <f>tblSales[[#This Row],[Sales]]-tblSales[[#This Row],[Budget]]</f>
        <v>169</v>
      </c>
      <c r="L800" s="3">
        <f>(tblSales[[#This Row],[Sales]]-tblSales[[#This Row],[Budget]])/tblSales[[#This Row],[Budget]]</f>
        <v>8.2154489329638817E-3</v>
      </c>
      <c r="M800" s="2">
        <f>tblSales[[#This Row],[Sales]]/tblSales[[#This Row],[Transactions]]</f>
        <v>340</v>
      </c>
    </row>
    <row r="801" spans="1:13" x14ac:dyDescent="0.25">
      <c r="A801" s="1">
        <v>46062</v>
      </c>
      <c r="B801" t="s">
        <v>30</v>
      </c>
      <c r="C801" t="s">
        <v>22</v>
      </c>
      <c r="D801" t="str">
        <f>_xlfn.XLOOKUP(tblSales[[#This Row],[Store ID]],tblStores[Store ID],tblStores[Store Name])</f>
        <v>Nelspruit</v>
      </c>
      <c r="E801" t="str">
        <f>_xlfn.XLOOKUP(tblSales[[#This Row],[Store ID]],tblStores[Store ID],tblStores[Province])</f>
        <v>Mpumalanga</v>
      </c>
      <c r="F801" t="str">
        <f>_xlfn.XLOOKUP(tblSales[[#This Row],[Store ID]],tblStores[Store ID],tblStores[Manager])</f>
        <v>Olivia Turner</v>
      </c>
      <c r="G801" t="str">
        <f>_xlfn.XLOOKUP(tblSales[[#This Row],[Category ID]],tblCategories[Category ID],tblCategories[Category])</f>
        <v>Kids</v>
      </c>
      <c r="H801">
        <v>26250</v>
      </c>
      <c r="I801">
        <v>28700</v>
      </c>
      <c r="J801">
        <v>70</v>
      </c>
      <c r="K801">
        <f>tblSales[[#This Row],[Sales]]-tblSales[[#This Row],[Budget]]</f>
        <v>-2450</v>
      </c>
      <c r="L801" s="3">
        <f>(tblSales[[#This Row],[Sales]]-tblSales[[#This Row],[Budget]])/tblSales[[#This Row],[Budget]]</f>
        <v>-8.5365853658536592E-2</v>
      </c>
      <c r="M801" s="2">
        <f>tblSales[[#This Row],[Sales]]/tblSales[[#This Row],[Transactions]]</f>
        <v>375</v>
      </c>
    </row>
    <row r="802" spans="1:13" x14ac:dyDescent="0.25">
      <c r="A802" s="1">
        <v>46063</v>
      </c>
      <c r="B802" t="s">
        <v>6</v>
      </c>
      <c r="C802" t="s">
        <v>9</v>
      </c>
      <c r="D802" t="str">
        <f>_xlfn.XLOOKUP(tblSales[[#This Row],[Store ID]],tblStores[Store ID],tblStores[Store Name])</f>
        <v>Durban CBD</v>
      </c>
      <c r="E802" t="str">
        <f>_xlfn.XLOOKUP(tblSales[[#This Row],[Store ID]],tblStores[Store ID],tblStores[Province])</f>
        <v>KZN</v>
      </c>
      <c r="F802" t="str">
        <f>_xlfn.XLOOKUP(tblSales[[#This Row],[Store ID]],tblStores[Store ID],tblStores[Manager])</f>
        <v>Sarah Adams</v>
      </c>
      <c r="G802" t="str">
        <f>_xlfn.XLOOKUP(tblSales[[#This Row],[Category ID]],tblCategories[Category ID],tblCategories[Category])</f>
        <v>Ladieswear</v>
      </c>
      <c r="H802">
        <v>50347</v>
      </c>
      <c r="I802">
        <v>46173</v>
      </c>
      <c r="J802">
        <v>199</v>
      </c>
      <c r="K802">
        <f>tblSales[[#This Row],[Sales]]-tblSales[[#This Row],[Budget]]</f>
        <v>4174</v>
      </c>
      <c r="L802" s="3">
        <f>(tblSales[[#This Row],[Sales]]-tblSales[[#This Row],[Budget]])/tblSales[[#This Row],[Budget]]</f>
        <v>9.039915101899379E-2</v>
      </c>
      <c r="M802" s="2">
        <f>tblSales[[#This Row],[Sales]]/tblSales[[#This Row],[Transactions]]</f>
        <v>253</v>
      </c>
    </row>
    <row r="803" spans="1:13" x14ac:dyDescent="0.25">
      <c r="A803" s="1">
        <v>46063</v>
      </c>
      <c r="B803" t="s">
        <v>8</v>
      </c>
      <c r="C803" t="s">
        <v>19</v>
      </c>
      <c r="D803" t="str">
        <f>_xlfn.XLOOKUP(tblSales[[#This Row],[Store ID]],tblStores[Store ID],tblStores[Store Name])</f>
        <v>Gateway</v>
      </c>
      <c r="E803" t="str">
        <f>_xlfn.XLOOKUP(tblSales[[#This Row],[Store ID]],tblStores[Store ID],tblStores[Province])</f>
        <v>KZN</v>
      </c>
      <c r="F803" t="str">
        <f>_xlfn.XLOOKUP(tblSales[[#This Row],[Store ID]],tblStores[Store ID],tblStores[Manager])</f>
        <v>Michael Jones</v>
      </c>
      <c r="G803" t="str">
        <f>_xlfn.XLOOKUP(tblSales[[#This Row],[Category ID]],tblCategories[Category ID],tblCategories[Category])</f>
        <v>Accessories</v>
      </c>
      <c r="H803">
        <v>18204</v>
      </c>
      <c r="I803">
        <v>19341</v>
      </c>
      <c r="J803">
        <v>37</v>
      </c>
      <c r="K803">
        <f>tblSales[[#This Row],[Sales]]-tblSales[[#This Row],[Budget]]</f>
        <v>-1137</v>
      </c>
      <c r="L803" s="3">
        <f>(tblSales[[#This Row],[Sales]]-tblSales[[#This Row],[Budget]])/tblSales[[#This Row],[Budget]]</f>
        <v>-5.8787032728400808E-2</v>
      </c>
      <c r="M803" s="2">
        <f>tblSales[[#This Row],[Sales]]/tblSales[[#This Row],[Transactions]]</f>
        <v>492</v>
      </c>
    </row>
    <row r="804" spans="1:13" x14ac:dyDescent="0.25">
      <c r="A804" s="1">
        <v>46063</v>
      </c>
      <c r="B804" t="s">
        <v>10</v>
      </c>
      <c r="C804" t="s">
        <v>11</v>
      </c>
      <c r="D804" t="str">
        <f>_xlfn.XLOOKUP(tblSales[[#This Row],[Store ID]],tblStores[Store ID],tblStores[Store Name])</f>
        <v>Ballito</v>
      </c>
      <c r="E804" t="str">
        <f>_xlfn.XLOOKUP(tblSales[[#This Row],[Store ID]],tblStores[Store ID],tblStores[Province])</f>
        <v>KZN</v>
      </c>
      <c r="F804" t="str">
        <f>_xlfn.XLOOKUP(tblSales[[#This Row],[Store ID]],tblStores[Store ID],tblStores[Manager])</f>
        <v>Linda Smith</v>
      </c>
      <c r="G804" t="str">
        <f>_xlfn.XLOOKUP(tblSales[[#This Row],[Category ID]],tblCategories[Category ID],tblCategories[Category])</f>
        <v>Footwear</v>
      </c>
      <c r="H804">
        <v>35836</v>
      </c>
      <c r="I804">
        <v>37879</v>
      </c>
      <c r="J804">
        <v>124</v>
      </c>
      <c r="K804">
        <f>tblSales[[#This Row],[Sales]]-tblSales[[#This Row],[Budget]]</f>
        <v>-2043</v>
      </c>
      <c r="L804" s="3">
        <f>(tblSales[[#This Row],[Sales]]-tblSales[[#This Row],[Budget]])/tblSales[[#This Row],[Budget]]</f>
        <v>-5.3934897964571397E-2</v>
      </c>
      <c r="M804" s="2">
        <f>tblSales[[#This Row],[Sales]]/tblSales[[#This Row],[Transactions]]</f>
        <v>289</v>
      </c>
    </row>
    <row r="805" spans="1:13" x14ac:dyDescent="0.25">
      <c r="A805" s="1">
        <v>46063</v>
      </c>
      <c r="B805" t="s">
        <v>12</v>
      </c>
      <c r="C805" t="s">
        <v>9</v>
      </c>
      <c r="D805" t="str">
        <f>_xlfn.XLOOKUP(tblSales[[#This Row],[Store ID]],tblStores[Store ID],tblStores[Store Name])</f>
        <v>Pietermaritzburg</v>
      </c>
      <c r="E805" t="str">
        <f>_xlfn.XLOOKUP(tblSales[[#This Row],[Store ID]],tblStores[Store ID],tblStores[Province])</f>
        <v>KZN</v>
      </c>
      <c r="F805" t="str">
        <f>_xlfn.XLOOKUP(tblSales[[#This Row],[Store ID]],tblStores[Store ID],tblStores[Manager])</f>
        <v>Peter Brown</v>
      </c>
      <c r="G805" t="str">
        <f>_xlfn.XLOOKUP(tblSales[[#This Row],[Category ID]],tblCategories[Category ID],tblCategories[Category])</f>
        <v>Ladieswear</v>
      </c>
      <c r="H805">
        <v>69300</v>
      </c>
      <c r="I805">
        <v>74264</v>
      </c>
      <c r="J805">
        <v>140</v>
      </c>
      <c r="K805">
        <f>tblSales[[#This Row],[Sales]]-tblSales[[#This Row],[Budget]]</f>
        <v>-4964</v>
      </c>
      <c r="L805" s="3">
        <f>(tblSales[[#This Row],[Sales]]-tblSales[[#This Row],[Budget]])/tblSales[[#This Row],[Budget]]</f>
        <v>-6.684261553377141E-2</v>
      </c>
      <c r="M805" s="2">
        <f>tblSales[[#This Row],[Sales]]/tblSales[[#This Row],[Transactions]]</f>
        <v>495</v>
      </c>
    </row>
    <row r="806" spans="1:13" x14ac:dyDescent="0.25">
      <c r="A806" s="1">
        <v>46063</v>
      </c>
      <c r="B806" t="s">
        <v>13</v>
      </c>
      <c r="C806" t="s">
        <v>9</v>
      </c>
      <c r="D806" t="str">
        <f>_xlfn.XLOOKUP(tblSales[[#This Row],[Store ID]],tblStores[Store ID],tblStores[Store Name])</f>
        <v>Richards Bay</v>
      </c>
      <c r="E806" t="str">
        <f>_xlfn.XLOOKUP(tblSales[[#This Row],[Store ID]],tblStores[Store ID],tblStores[Province])</f>
        <v>KZN</v>
      </c>
      <c r="F806" t="str">
        <f>_xlfn.XLOOKUP(tblSales[[#This Row],[Store ID]],tblStores[Store ID],tblStores[Manager])</f>
        <v>David Green</v>
      </c>
      <c r="G806" t="str">
        <f>_xlfn.XLOOKUP(tblSales[[#This Row],[Category ID]],tblCategories[Category ID],tblCategories[Category])</f>
        <v>Ladieswear</v>
      </c>
      <c r="H806">
        <v>13167</v>
      </c>
      <c r="I806">
        <v>12311</v>
      </c>
      <c r="J806">
        <v>57</v>
      </c>
      <c r="K806">
        <f>tblSales[[#This Row],[Sales]]-tblSales[[#This Row],[Budget]]</f>
        <v>856</v>
      </c>
      <c r="L806" s="3">
        <f>(tblSales[[#This Row],[Sales]]-tblSales[[#This Row],[Budget]])/tblSales[[#This Row],[Budget]]</f>
        <v>6.9531313459507763E-2</v>
      </c>
      <c r="M806" s="2">
        <f>tblSales[[#This Row],[Sales]]/tblSales[[#This Row],[Transactions]]</f>
        <v>231</v>
      </c>
    </row>
    <row r="807" spans="1:13" x14ac:dyDescent="0.25">
      <c r="A807" s="1">
        <v>46063</v>
      </c>
      <c r="B807" t="s">
        <v>14</v>
      </c>
      <c r="C807" t="s">
        <v>7</v>
      </c>
      <c r="D807" t="str">
        <f>_xlfn.XLOOKUP(tblSales[[#This Row],[Store ID]],tblStores[Store ID],tblStores[Store Name])</f>
        <v>Sandton</v>
      </c>
      <c r="E807" t="str">
        <f>_xlfn.XLOOKUP(tblSales[[#This Row],[Store ID]],tblStores[Store ID],tblStores[Province])</f>
        <v>Gauteng</v>
      </c>
      <c r="F807" t="str">
        <f>_xlfn.XLOOKUP(tblSales[[#This Row],[Store ID]],tblStores[Store ID],tblStores[Manager])</f>
        <v>Karen White</v>
      </c>
      <c r="G807" t="str">
        <f>_xlfn.XLOOKUP(tblSales[[#This Row],[Category ID]],tblCategories[Category ID],tblCategories[Category])</f>
        <v>Menswear</v>
      </c>
      <c r="H807">
        <v>69560</v>
      </c>
      <c r="I807">
        <v>68717</v>
      </c>
      <c r="J807">
        <v>185</v>
      </c>
      <c r="K807">
        <f>tblSales[[#This Row],[Sales]]-tblSales[[#This Row],[Budget]]</f>
        <v>843</v>
      </c>
      <c r="L807" s="3">
        <f>(tblSales[[#This Row],[Sales]]-tblSales[[#This Row],[Budget]])/tblSales[[#This Row],[Budget]]</f>
        <v>1.2267706681025075E-2</v>
      </c>
      <c r="M807" s="2">
        <f>tblSales[[#This Row],[Sales]]/tblSales[[#This Row],[Transactions]]</f>
        <v>376</v>
      </c>
    </row>
    <row r="808" spans="1:13" x14ac:dyDescent="0.25">
      <c r="A808" s="1">
        <v>46063</v>
      </c>
      <c r="B808" t="s">
        <v>15</v>
      </c>
      <c r="C808" t="s">
        <v>11</v>
      </c>
      <c r="D808" t="str">
        <f>_xlfn.XLOOKUP(tblSales[[#This Row],[Store ID]],tblStores[Store ID],tblStores[Store Name])</f>
        <v>Rosebank</v>
      </c>
      <c r="E808" t="str">
        <f>_xlfn.XLOOKUP(tblSales[[#This Row],[Store ID]],tblStores[Store ID],tblStores[Province])</f>
        <v>Gauteng</v>
      </c>
      <c r="F808" t="str">
        <f>_xlfn.XLOOKUP(tblSales[[#This Row],[Store ID]],tblStores[Store ID],tblStores[Manager])</f>
        <v>James Taylor</v>
      </c>
      <c r="G808" t="str">
        <f>_xlfn.XLOOKUP(tblSales[[#This Row],[Category ID]],tblCategories[Category ID],tblCategories[Category])</f>
        <v>Footwear</v>
      </c>
      <c r="H808">
        <v>28865</v>
      </c>
      <c r="I808">
        <v>27766</v>
      </c>
      <c r="J808">
        <v>115</v>
      </c>
      <c r="K808">
        <f>tblSales[[#This Row],[Sales]]-tblSales[[#This Row],[Budget]]</f>
        <v>1099</v>
      </c>
      <c r="L808" s="3">
        <f>(tblSales[[#This Row],[Sales]]-tblSales[[#This Row],[Budget]])/tblSales[[#This Row],[Budget]]</f>
        <v>3.9580782251674711E-2</v>
      </c>
      <c r="M808" s="2">
        <f>tblSales[[#This Row],[Sales]]/tblSales[[#This Row],[Transactions]]</f>
        <v>251</v>
      </c>
    </row>
    <row r="809" spans="1:13" x14ac:dyDescent="0.25">
      <c r="A809" s="1">
        <v>46063</v>
      </c>
      <c r="B809" t="s">
        <v>16</v>
      </c>
      <c r="C809" t="s">
        <v>7</v>
      </c>
      <c r="D809" t="str">
        <f>_xlfn.XLOOKUP(tblSales[[#This Row],[Store ID]],tblStores[Store ID],tblStores[Store Name])</f>
        <v>Pretoria</v>
      </c>
      <c r="E809" t="str">
        <f>_xlfn.XLOOKUP(tblSales[[#This Row],[Store ID]],tblStores[Store ID],tblStores[Province])</f>
        <v>Gauteng</v>
      </c>
      <c r="F809" t="str">
        <f>_xlfn.XLOOKUP(tblSales[[#This Row],[Store ID]],tblStores[Store ID],tblStores[Manager])</f>
        <v>Susan Clark</v>
      </c>
      <c r="G809" t="str">
        <f>_xlfn.XLOOKUP(tblSales[[#This Row],[Category ID]],tblCategories[Category ID],tblCategories[Category])</f>
        <v>Menswear</v>
      </c>
      <c r="H809">
        <v>45374</v>
      </c>
      <c r="I809">
        <v>47654</v>
      </c>
      <c r="J809">
        <v>98</v>
      </c>
      <c r="K809">
        <f>tblSales[[#This Row],[Sales]]-tblSales[[#This Row],[Budget]]</f>
        <v>-2280</v>
      </c>
      <c r="L809" s="3">
        <f>(tblSales[[#This Row],[Sales]]-tblSales[[#This Row],[Budget]])/tblSales[[#This Row],[Budget]]</f>
        <v>-4.7844881856717168E-2</v>
      </c>
      <c r="M809" s="2">
        <f>tblSales[[#This Row],[Sales]]/tblSales[[#This Row],[Transactions]]</f>
        <v>463</v>
      </c>
    </row>
    <row r="810" spans="1:13" x14ac:dyDescent="0.25">
      <c r="A810" s="1">
        <v>46063</v>
      </c>
      <c r="B810" t="s">
        <v>17</v>
      </c>
      <c r="C810" t="s">
        <v>19</v>
      </c>
      <c r="D810" t="str">
        <f>_xlfn.XLOOKUP(tblSales[[#This Row],[Store ID]],tblStores[Store ID],tblStores[Store Name])</f>
        <v>Centurion</v>
      </c>
      <c r="E810" t="str">
        <f>_xlfn.XLOOKUP(tblSales[[#This Row],[Store ID]],tblStores[Store ID],tblStores[Province])</f>
        <v>Gauteng</v>
      </c>
      <c r="F810" t="str">
        <f>_xlfn.XLOOKUP(tblSales[[#This Row],[Store ID]],tblStores[Store ID],tblStores[Manager])</f>
        <v>Mark Wilson</v>
      </c>
      <c r="G810" t="str">
        <f>_xlfn.XLOOKUP(tblSales[[#This Row],[Category ID]],tblCategories[Category ID],tblCategories[Category])</f>
        <v>Accessories</v>
      </c>
      <c r="H810">
        <v>20651</v>
      </c>
      <c r="I810">
        <v>22963</v>
      </c>
      <c r="J810">
        <v>107</v>
      </c>
      <c r="K810">
        <f>tblSales[[#This Row],[Sales]]-tblSales[[#This Row],[Budget]]</f>
        <v>-2312</v>
      </c>
      <c r="L810" s="3">
        <f>(tblSales[[#This Row],[Sales]]-tblSales[[#This Row],[Budget]])/tblSales[[#This Row],[Budget]]</f>
        <v>-0.10068370857466359</v>
      </c>
      <c r="M810" s="2">
        <f>tblSales[[#This Row],[Sales]]/tblSales[[#This Row],[Transactions]]</f>
        <v>193</v>
      </c>
    </row>
    <row r="811" spans="1:13" x14ac:dyDescent="0.25">
      <c r="A811" s="1">
        <v>46063</v>
      </c>
      <c r="B811" t="s">
        <v>18</v>
      </c>
      <c r="C811" t="s">
        <v>22</v>
      </c>
      <c r="D811" t="str">
        <f>_xlfn.XLOOKUP(tblSales[[#This Row],[Store ID]],tblStores[Store ID],tblStores[Store Name])</f>
        <v>East Rand</v>
      </c>
      <c r="E811" t="str">
        <f>_xlfn.XLOOKUP(tblSales[[#This Row],[Store ID]],tblStores[Store ID],tblStores[Province])</f>
        <v>Gauteng</v>
      </c>
      <c r="F811" t="str">
        <f>_xlfn.XLOOKUP(tblSales[[#This Row],[Store ID]],tblStores[Store ID],tblStores[Manager])</f>
        <v>Lisa Young</v>
      </c>
      <c r="G811" t="str">
        <f>_xlfn.XLOOKUP(tblSales[[#This Row],[Category ID]],tblCategories[Category ID],tblCategories[Category])</f>
        <v>Kids</v>
      </c>
      <c r="H811">
        <v>38715</v>
      </c>
      <c r="I811">
        <v>40717</v>
      </c>
      <c r="J811">
        <v>87</v>
      </c>
      <c r="K811">
        <f>tblSales[[#This Row],[Sales]]-tblSales[[#This Row],[Budget]]</f>
        <v>-2002</v>
      </c>
      <c r="L811" s="3">
        <f>(tblSales[[#This Row],[Sales]]-tblSales[[#This Row],[Budget]])/tblSales[[#This Row],[Budget]]</f>
        <v>-4.9168651914433772E-2</v>
      </c>
      <c r="M811" s="2">
        <f>tblSales[[#This Row],[Sales]]/tblSales[[#This Row],[Transactions]]</f>
        <v>445</v>
      </c>
    </row>
    <row r="812" spans="1:13" x14ac:dyDescent="0.25">
      <c r="A812" s="1">
        <v>46063</v>
      </c>
      <c r="B812" t="s">
        <v>20</v>
      </c>
      <c r="C812" t="s">
        <v>9</v>
      </c>
      <c r="D812" t="str">
        <f>_xlfn.XLOOKUP(tblSales[[#This Row],[Store ID]],tblStores[Store ID],tblStores[Store Name])</f>
        <v>Cape Town CBD</v>
      </c>
      <c r="E812" t="str">
        <f>_xlfn.XLOOKUP(tblSales[[#This Row],[Store ID]],tblStores[Store ID],tblStores[Province])</f>
        <v>Western Cape</v>
      </c>
      <c r="F812" t="str">
        <f>_xlfn.XLOOKUP(tblSales[[#This Row],[Store ID]],tblStores[Store ID],tblStores[Manager])</f>
        <v>Brian Hall</v>
      </c>
      <c r="G812" t="str">
        <f>_xlfn.XLOOKUP(tblSales[[#This Row],[Category ID]],tblCategories[Category ID],tblCategories[Category])</f>
        <v>Ladieswear</v>
      </c>
      <c r="H812">
        <v>44685</v>
      </c>
      <c r="I812">
        <v>47435</v>
      </c>
      <c r="J812">
        <v>135</v>
      </c>
      <c r="K812">
        <f>tblSales[[#This Row],[Sales]]-tblSales[[#This Row],[Budget]]</f>
        <v>-2750</v>
      </c>
      <c r="L812" s="3">
        <f>(tblSales[[#This Row],[Sales]]-tblSales[[#This Row],[Budget]])/tblSales[[#This Row],[Budget]]</f>
        <v>-5.7974069779698538E-2</v>
      </c>
      <c r="M812" s="2">
        <f>tblSales[[#This Row],[Sales]]/tblSales[[#This Row],[Transactions]]</f>
        <v>331</v>
      </c>
    </row>
    <row r="813" spans="1:13" x14ac:dyDescent="0.25">
      <c r="A813" s="1">
        <v>46063</v>
      </c>
      <c r="B813" t="s">
        <v>21</v>
      </c>
      <c r="C813" t="s">
        <v>9</v>
      </c>
      <c r="D813" t="str">
        <f>_xlfn.XLOOKUP(tblSales[[#This Row],[Store ID]],tblStores[Store ID],tblStores[Store Name])</f>
        <v>Canal Walk</v>
      </c>
      <c r="E813" t="str">
        <f>_xlfn.XLOOKUP(tblSales[[#This Row],[Store ID]],tblStores[Store ID],tblStores[Province])</f>
        <v>Western Cape</v>
      </c>
      <c r="F813" t="str">
        <f>_xlfn.XLOOKUP(tblSales[[#This Row],[Store ID]],tblStores[Store ID],tblStores[Manager])</f>
        <v>Megan Scott</v>
      </c>
      <c r="G813" t="str">
        <f>_xlfn.XLOOKUP(tblSales[[#This Row],[Category ID]],tblCategories[Category ID],tblCategories[Category])</f>
        <v>Ladieswear</v>
      </c>
      <c r="H813">
        <v>60697</v>
      </c>
      <c r="I813">
        <v>56338</v>
      </c>
      <c r="J813">
        <v>161</v>
      </c>
      <c r="K813">
        <f>tblSales[[#This Row],[Sales]]-tblSales[[#This Row],[Budget]]</f>
        <v>4359</v>
      </c>
      <c r="L813" s="3">
        <f>(tblSales[[#This Row],[Sales]]-tblSales[[#This Row],[Budget]])/tblSales[[#This Row],[Budget]]</f>
        <v>7.7372288686144347E-2</v>
      </c>
      <c r="M813" s="2">
        <f>tblSales[[#This Row],[Sales]]/tblSales[[#This Row],[Transactions]]</f>
        <v>377</v>
      </c>
    </row>
    <row r="814" spans="1:13" x14ac:dyDescent="0.25">
      <c r="A814" s="1">
        <v>46063</v>
      </c>
      <c r="B814" t="s">
        <v>23</v>
      </c>
      <c r="C814" t="s">
        <v>11</v>
      </c>
      <c r="D814" t="str">
        <f>_xlfn.XLOOKUP(tblSales[[#This Row],[Store ID]],tblStores[Store ID],tblStores[Store Name])</f>
        <v>Stellenbosch</v>
      </c>
      <c r="E814" t="str">
        <f>_xlfn.XLOOKUP(tblSales[[#This Row],[Store ID]],tblStores[Store ID],tblStores[Province])</f>
        <v>Western Cape</v>
      </c>
      <c r="F814" t="str">
        <f>_xlfn.XLOOKUP(tblSales[[#This Row],[Store ID]],tblStores[Store ID],tblStores[Manager])</f>
        <v>Jason King</v>
      </c>
      <c r="G814" t="str">
        <f>_xlfn.XLOOKUP(tblSales[[#This Row],[Category ID]],tblCategories[Category ID],tblCategories[Category])</f>
        <v>Footwear</v>
      </c>
      <c r="H814">
        <v>95832</v>
      </c>
      <c r="I814">
        <v>87950</v>
      </c>
      <c r="J814">
        <v>198</v>
      </c>
      <c r="K814">
        <f>tblSales[[#This Row],[Sales]]-tblSales[[#This Row],[Budget]]</f>
        <v>7882</v>
      </c>
      <c r="L814" s="3">
        <f>(tblSales[[#This Row],[Sales]]-tblSales[[#This Row],[Budget]])/tblSales[[#This Row],[Budget]]</f>
        <v>8.9619101762364983E-2</v>
      </c>
      <c r="M814" s="2">
        <f>tblSales[[#This Row],[Sales]]/tblSales[[#This Row],[Transactions]]</f>
        <v>484</v>
      </c>
    </row>
    <row r="815" spans="1:13" x14ac:dyDescent="0.25">
      <c r="A815" s="1">
        <v>46063</v>
      </c>
      <c r="B815" t="s">
        <v>24</v>
      </c>
      <c r="C815" t="s">
        <v>7</v>
      </c>
      <c r="D815" t="str">
        <f>_xlfn.XLOOKUP(tblSales[[#This Row],[Store ID]],tblStores[Store ID],tblStores[Store Name])</f>
        <v>George</v>
      </c>
      <c r="E815" t="str">
        <f>_xlfn.XLOOKUP(tblSales[[#This Row],[Store ID]],tblStores[Store ID],tblStores[Province])</f>
        <v>Western Cape</v>
      </c>
      <c r="F815" t="str">
        <f>_xlfn.XLOOKUP(tblSales[[#This Row],[Store ID]],tblStores[Store ID],tblStores[Manager])</f>
        <v>Chloe Hill</v>
      </c>
      <c r="G815" t="str">
        <f>_xlfn.XLOOKUP(tblSales[[#This Row],[Category ID]],tblCategories[Category ID],tblCategories[Category])</f>
        <v>Menswear</v>
      </c>
      <c r="H815">
        <v>43434</v>
      </c>
      <c r="I815">
        <v>40523</v>
      </c>
      <c r="J815">
        <v>127</v>
      </c>
      <c r="K815">
        <f>tblSales[[#This Row],[Sales]]-tblSales[[#This Row],[Budget]]</f>
        <v>2911</v>
      </c>
      <c r="L815" s="3">
        <f>(tblSales[[#This Row],[Sales]]-tblSales[[#This Row],[Budget]])/tblSales[[#This Row],[Budget]]</f>
        <v>7.1835747600128327E-2</v>
      </c>
      <c r="M815" s="2">
        <f>tblSales[[#This Row],[Sales]]/tblSales[[#This Row],[Transactions]]</f>
        <v>342</v>
      </c>
    </row>
    <row r="816" spans="1:13" x14ac:dyDescent="0.25">
      <c r="A816" s="1">
        <v>46063</v>
      </c>
      <c r="B816" t="s">
        <v>25</v>
      </c>
      <c r="C816" t="s">
        <v>19</v>
      </c>
      <c r="D816" t="str">
        <f>_xlfn.XLOOKUP(tblSales[[#This Row],[Store ID]],tblStores[Store ID],tblStores[Store Name])</f>
        <v>Paarl</v>
      </c>
      <c r="E816" t="str">
        <f>_xlfn.XLOOKUP(tblSales[[#This Row],[Store ID]],tblStores[Store ID],tblStores[Province])</f>
        <v>Western Cape</v>
      </c>
      <c r="F816" t="str">
        <f>_xlfn.XLOOKUP(tblSales[[#This Row],[Store ID]],tblStores[Store ID],tblStores[Manager])</f>
        <v>Andrew Lee</v>
      </c>
      <c r="G816" t="str">
        <f>_xlfn.XLOOKUP(tblSales[[#This Row],[Category ID]],tblCategories[Category ID],tblCategories[Category])</f>
        <v>Accessories</v>
      </c>
      <c r="H816">
        <v>52114</v>
      </c>
      <c r="I816">
        <v>54020</v>
      </c>
      <c r="J816">
        <v>142</v>
      </c>
      <c r="K816">
        <f>tblSales[[#This Row],[Sales]]-tblSales[[#This Row],[Budget]]</f>
        <v>-1906</v>
      </c>
      <c r="L816" s="3">
        <f>(tblSales[[#This Row],[Sales]]-tblSales[[#This Row],[Budget]])/tblSales[[#This Row],[Budget]]</f>
        <v>-3.5283228433913363E-2</v>
      </c>
      <c r="M816" s="2">
        <f>tblSales[[#This Row],[Sales]]/tblSales[[#This Row],[Transactions]]</f>
        <v>367</v>
      </c>
    </row>
    <row r="817" spans="1:13" x14ac:dyDescent="0.25">
      <c r="A817" s="1">
        <v>46063</v>
      </c>
      <c r="B817" t="s">
        <v>26</v>
      </c>
      <c r="C817" t="s">
        <v>9</v>
      </c>
      <c r="D817" t="str">
        <f>_xlfn.XLOOKUP(tblSales[[#This Row],[Store ID]],tblStores[Store ID],tblStores[Store Name])</f>
        <v>Gqeberha</v>
      </c>
      <c r="E817" t="str">
        <f>_xlfn.XLOOKUP(tblSales[[#This Row],[Store ID]],tblStores[Store ID],tblStores[Province])</f>
        <v>Eastern Cape</v>
      </c>
      <c r="F817" t="str">
        <f>_xlfn.XLOOKUP(tblSales[[#This Row],[Store ID]],tblStores[Store ID],tblStores[Manager])</f>
        <v>Emma Baker</v>
      </c>
      <c r="G817" t="str">
        <f>_xlfn.XLOOKUP(tblSales[[#This Row],[Category ID]],tblCategories[Category ID],tblCategories[Category])</f>
        <v>Ladieswear</v>
      </c>
      <c r="H817">
        <v>33635</v>
      </c>
      <c r="I817">
        <v>30411</v>
      </c>
      <c r="J817">
        <v>155</v>
      </c>
      <c r="K817">
        <f>tblSales[[#This Row],[Sales]]-tblSales[[#This Row],[Budget]]</f>
        <v>3224</v>
      </c>
      <c r="L817" s="3">
        <f>(tblSales[[#This Row],[Sales]]-tblSales[[#This Row],[Budget]])/tblSales[[#This Row],[Budget]]</f>
        <v>0.10601427115188583</v>
      </c>
      <c r="M817" s="2">
        <f>tblSales[[#This Row],[Sales]]/tblSales[[#This Row],[Transactions]]</f>
        <v>217</v>
      </c>
    </row>
    <row r="818" spans="1:13" x14ac:dyDescent="0.25">
      <c r="A818" s="1">
        <v>46063</v>
      </c>
      <c r="B818" t="s">
        <v>27</v>
      </c>
      <c r="C818" t="s">
        <v>7</v>
      </c>
      <c r="D818" t="str">
        <f>_xlfn.XLOOKUP(tblSales[[#This Row],[Store ID]],tblStores[Store ID],tblStores[Store Name])</f>
        <v>East London</v>
      </c>
      <c r="E818" t="str">
        <f>_xlfn.XLOOKUP(tblSales[[#This Row],[Store ID]],tblStores[Store ID],tblStores[Province])</f>
        <v>Eastern Cape</v>
      </c>
      <c r="F818" t="str">
        <f>_xlfn.XLOOKUP(tblSales[[#This Row],[Store ID]],tblStores[Store ID],tblStores[Manager])</f>
        <v>Daniel Evans</v>
      </c>
      <c r="G818" t="str">
        <f>_xlfn.XLOOKUP(tblSales[[#This Row],[Category ID]],tblCategories[Category ID],tblCategories[Category])</f>
        <v>Menswear</v>
      </c>
      <c r="H818">
        <v>11932</v>
      </c>
      <c r="I818">
        <v>11382</v>
      </c>
      <c r="J818">
        <v>38</v>
      </c>
      <c r="K818">
        <f>tblSales[[#This Row],[Sales]]-tblSales[[#This Row],[Budget]]</f>
        <v>550</v>
      </c>
      <c r="L818" s="3">
        <f>(tblSales[[#This Row],[Sales]]-tblSales[[#This Row],[Budget]])/tblSales[[#This Row],[Budget]]</f>
        <v>4.8321911790546478E-2</v>
      </c>
      <c r="M818" s="2">
        <f>tblSales[[#This Row],[Sales]]/tblSales[[#This Row],[Transactions]]</f>
        <v>314</v>
      </c>
    </row>
    <row r="819" spans="1:13" x14ac:dyDescent="0.25">
      <c r="A819" s="1">
        <v>46063</v>
      </c>
      <c r="B819" t="s">
        <v>28</v>
      </c>
      <c r="C819" t="s">
        <v>7</v>
      </c>
      <c r="D819" t="str">
        <f>_xlfn.XLOOKUP(tblSales[[#This Row],[Store ID]],tblStores[Store ID],tblStores[Store Name])</f>
        <v>Bloemfontein</v>
      </c>
      <c r="E819" t="str">
        <f>_xlfn.XLOOKUP(tblSales[[#This Row],[Store ID]],tblStores[Store ID],tblStores[Province])</f>
        <v>Free State</v>
      </c>
      <c r="F819" t="str">
        <f>_xlfn.XLOOKUP(tblSales[[#This Row],[Store ID]],tblStores[Store ID],tblStores[Manager])</f>
        <v>Rachel Moore</v>
      </c>
      <c r="G819" t="str">
        <f>_xlfn.XLOOKUP(tblSales[[#This Row],[Category ID]],tblCategories[Category ID],tblCategories[Category])</f>
        <v>Menswear</v>
      </c>
      <c r="H819">
        <v>59704</v>
      </c>
      <c r="I819">
        <v>58009</v>
      </c>
      <c r="J819">
        <v>136</v>
      </c>
      <c r="K819">
        <f>tblSales[[#This Row],[Sales]]-tblSales[[#This Row],[Budget]]</f>
        <v>1695</v>
      </c>
      <c r="L819" s="3">
        <f>(tblSales[[#This Row],[Sales]]-tblSales[[#This Row],[Budget]])/tblSales[[#This Row],[Budget]]</f>
        <v>2.921960385457429E-2</v>
      </c>
      <c r="M819" s="2">
        <f>tblSales[[#This Row],[Sales]]/tblSales[[#This Row],[Transactions]]</f>
        <v>439</v>
      </c>
    </row>
    <row r="820" spans="1:13" x14ac:dyDescent="0.25">
      <c r="A820" s="1">
        <v>46063</v>
      </c>
      <c r="B820" t="s">
        <v>29</v>
      </c>
      <c r="C820" t="s">
        <v>19</v>
      </c>
      <c r="D820" t="str">
        <f>_xlfn.XLOOKUP(tblSales[[#This Row],[Store ID]],tblStores[Store ID],tblStores[Store Name])</f>
        <v>Polokwane</v>
      </c>
      <c r="E820" t="str">
        <f>_xlfn.XLOOKUP(tblSales[[#This Row],[Store ID]],tblStores[Store ID],tblStores[Province])</f>
        <v>Limpopo</v>
      </c>
      <c r="F820" t="str">
        <f>_xlfn.XLOOKUP(tblSales[[#This Row],[Store ID]],tblStores[Store ID],tblStores[Manager])</f>
        <v>Kevin Harris</v>
      </c>
      <c r="G820" t="str">
        <f>_xlfn.XLOOKUP(tblSales[[#This Row],[Category ID]],tblCategories[Category ID],tblCategories[Category])</f>
        <v>Accessories</v>
      </c>
      <c r="H820">
        <v>55836</v>
      </c>
      <c r="I820">
        <v>60048</v>
      </c>
      <c r="J820">
        <v>141</v>
      </c>
      <c r="K820">
        <f>tblSales[[#This Row],[Sales]]-tblSales[[#This Row],[Budget]]</f>
        <v>-4212</v>
      </c>
      <c r="L820" s="3">
        <f>(tblSales[[#This Row],[Sales]]-tblSales[[#This Row],[Budget]])/tblSales[[#This Row],[Budget]]</f>
        <v>-7.0143884892086325E-2</v>
      </c>
      <c r="M820" s="2">
        <f>tblSales[[#This Row],[Sales]]/tblSales[[#This Row],[Transactions]]</f>
        <v>396</v>
      </c>
    </row>
    <row r="821" spans="1:13" x14ac:dyDescent="0.25">
      <c r="A821" s="1">
        <v>46063</v>
      </c>
      <c r="B821" t="s">
        <v>30</v>
      </c>
      <c r="C821" t="s">
        <v>7</v>
      </c>
      <c r="D821" t="str">
        <f>_xlfn.XLOOKUP(tblSales[[#This Row],[Store ID]],tblStores[Store ID],tblStores[Store Name])</f>
        <v>Nelspruit</v>
      </c>
      <c r="E821" t="str">
        <f>_xlfn.XLOOKUP(tblSales[[#This Row],[Store ID]],tblStores[Store ID],tblStores[Province])</f>
        <v>Mpumalanga</v>
      </c>
      <c r="F821" t="str">
        <f>_xlfn.XLOOKUP(tblSales[[#This Row],[Store ID]],tblStores[Store ID],tblStores[Manager])</f>
        <v>Olivia Turner</v>
      </c>
      <c r="G821" t="str">
        <f>_xlfn.XLOOKUP(tblSales[[#This Row],[Category ID]],tblCategories[Category ID],tblCategories[Category])</f>
        <v>Menswear</v>
      </c>
      <c r="H821">
        <v>89892</v>
      </c>
      <c r="I821">
        <v>92985</v>
      </c>
      <c r="J821">
        <v>198</v>
      </c>
      <c r="K821">
        <f>tblSales[[#This Row],[Sales]]-tblSales[[#This Row],[Budget]]</f>
        <v>-3093</v>
      </c>
      <c r="L821" s="3">
        <f>(tblSales[[#This Row],[Sales]]-tblSales[[#This Row],[Budget]])/tblSales[[#This Row],[Budget]]</f>
        <v>-3.3263429585417004E-2</v>
      </c>
      <c r="M821" s="2">
        <f>tblSales[[#This Row],[Sales]]/tblSales[[#This Row],[Transactions]]</f>
        <v>454</v>
      </c>
    </row>
    <row r="822" spans="1:13" x14ac:dyDescent="0.25">
      <c r="A822" s="1">
        <v>46064</v>
      </c>
      <c r="B822" t="s">
        <v>6</v>
      </c>
      <c r="C822" t="s">
        <v>9</v>
      </c>
      <c r="D822" t="str">
        <f>_xlfn.XLOOKUP(tblSales[[#This Row],[Store ID]],tblStores[Store ID],tblStores[Store Name])</f>
        <v>Durban CBD</v>
      </c>
      <c r="E822" t="str">
        <f>_xlfn.XLOOKUP(tblSales[[#This Row],[Store ID]],tblStores[Store ID],tblStores[Province])</f>
        <v>KZN</v>
      </c>
      <c r="F822" t="str">
        <f>_xlfn.XLOOKUP(tblSales[[#This Row],[Store ID]],tblStores[Store ID],tblStores[Manager])</f>
        <v>Sarah Adams</v>
      </c>
      <c r="G822" t="str">
        <f>_xlfn.XLOOKUP(tblSales[[#This Row],[Category ID]],tblCategories[Category ID],tblCategories[Category])</f>
        <v>Ladieswear</v>
      </c>
      <c r="H822">
        <v>23532</v>
      </c>
      <c r="I822">
        <v>23001</v>
      </c>
      <c r="J822">
        <v>106</v>
      </c>
      <c r="K822">
        <f>tblSales[[#This Row],[Sales]]-tblSales[[#This Row],[Budget]]</f>
        <v>531</v>
      </c>
      <c r="L822" s="3">
        <f>(tblSales[[#This Row],[Sales]]-tblSales[[#This Row],[Budget]])/tblSales[[#This Row],[Budget]]</f>
        <v>2.3085952784661537E-2</v>
      </c>
      <c r="M822" s="2">
        <f>tblSales[[#This Row],[Sales]]/tblSales[[#This Row],[Transactions]]</f>
        <v>222</v>
      </c>
    </row>
    <row r="823" spans="1:13" x14ac:dyDescent="0.25">
      <c r="A823" s="1">
        <v>46064</v>
      </c>
      <c r="B823" t="s">
        <v>8</v>
      </c>
      <c r="C823" t="s">
        <v>19</v>
      </c>
      <c r="D823" t="str">
        <f>_xlfn.XLOOKUP(tblSales[[#This Row],[Store ID]],tblStores[Store ID],tblStores[Store Name])</f>
        <v>Gateway</v>
      </c>
      <c r="E823" t="str">
        <f>_xlfn.XLOOKUP(tblSales[[#This Row],[Store ID]],tblStores[Store ID],tblStores[Province])</f>
        <v>KZN</v>
      </c>
      <c r="F823" t="str">
        <f>_xlfn.XLOOKUP(tblSales[[#This Row],[Store ID]],tblStores[Store ID],tblStores[Manager])</f>
        <v>Michael Jones</v>
      </c>
      <c r="G823" t="str">
        <f>_xlfn.XLOOKUP(tblSales[[#This Row],[Category ID]],tblCategories[Category ID],tblCategories[Category])</f>
        <v>Accessories</v>
      </c>
      <c r="H823">
        <v>22533</v>
      </c>
      <c r="I823">
        <v>23301</v>
      </c>
      <c r="J823">
        <v>87</v>
      </c>
      <c r="K823">
        <f>tblSales[[#This Row],[Sales]]-tblSales[[#This Row],[Budget]]</f>
        <v>-768</v>
      </c>
      <c r="L823" s="3">
        <f>(tblSales[[#This Row],[Sales]]-tblSales[[#This Row],[Budget]])/tblSales[[#This Row],[Budget]]</f>
        <v>-3.2959958800051502E-2</v>
      </c>
      <c r="M823" s="2">
        <f>tblSales[[#This Row],[Sales]]/tblSales[[#This Row],[Transactions]]</f>
        <v>259</v>
      </c>
    </row>
    <row r="824" spans="1:13" x14ac:dyDescent="0.25">
      <c r="A824" s="1">
        <v>46064</v>
      </c>
      <c r="B824" t="s">
        <v>10</v>
      </c>
      <c r="C824" t="s">
        <v>11</v>
      </c>
      <c r="D824" t="str">
        <f>_xlfn.XLOOKUP(tblSales[[#This Row],[Store ID]],tblStores[Store ID],tblStores[Store Name])</f>
        <v>Ballito</v>
      </c>
      <c r="E824" t="str">
        <f>_xlfn.XLOOKUP(tblSales[[#This Row],[Store ID]],tblStores[Store ID],tblStores[Province])</f>
        <v>KZN</v>
      </c>
      <c r="F824" t="str">
        <f>_xlfn.XLOOKUP(tblSales[[#This Row],[Store ID]],tblStores[Store ID],tblStores[Manager])</f>
        <v>Linda Smith</v>
      </c>
      <c r="G824" t="str">
        <f>_xlfn.XLOOKUP(tblSales[[#This Row],[Category ID]],tblCategories[Category ID],tblCategories[Category])</f>
        <v>Footwear</v>
      </c>
      <c r="H824">
        <v>93240</v>
      </c>
      <c r="I824">
        <v>101706</v>
      </c>
      <c r="J824">
        <v>185</v>
      </c>
      <c r="K824">
        <f>tblSales[[#This Row],[Sales]]-tblSales[[#This Row],[Budget]]</f>
        <v>-8466</v>
      </c>
      <c r="L824" s="3">
        <f>(tblSales[[#This Row],[Sales]]-tblSales[[#This Row],[Budget]])/tblSales[[#This Row],[Budget]]</f>
        <v>-8.3239926847973572E-2</v>
      </c>
      <c r="M824" s="2">
        <f>tblSales[[#This Row],[Sales]]/tblSales[[#This Row],[Transactions]]</f>
        <v>504</v>
      </c>
    </row>
    <row r="825" spans="1:13" x14ac:dyDescent="0.25">
      <c r="A825" s="1">
        <v>46064</v>
      </c>
      <c r="B825" t="s">
        <v>12</v>
      </c>
      <c r="C825" t="s">
        <v>7</v>
      </c>
      <c r="D825" t="str">
        <f>_xlfn.XLOOKUP(tblSales[[#This Row],[Store ID]],tblStores[Store ID],tblStores[Store Name])</f>
        <v>Pietermaritzburg</v>
      </c>
      <c r="E825" t="str">
        <f>_xlfn.XLOOKUP(tblSales[[#This Row],[Store ID]],tblStores[Store ID],tblStores[Province])</f>
        <v>KZN</v>
      </c>
      <c r="F825" t="str">
        <f>_xlfn.XLOOKUP(tblSales[[#This Row],[Store ID]],tblStores[Store ID],tblStores[Manager])</f>
        <v>Peter Brown</v>
      </c>
      <c r="G825" t="str">
        <f>_xlfn.XLOOKUP(tblSales[[#This Row],[Category ID]],tblCategories[Category ID],tblCategories[Category])</f>
        <v>Menswear</v>
      </c>
      <c r="H825">
        <v>45942</v>
      </c>
      <c r="I825">
        <v>49731</v>
      </c>
      <c r="J825">
        <v>114</v>
      </c>
      <c r="K825">
        <f>tblSales[[#This Row],[Sales]]-tblSales[[#This Row],[Budget]]</f>
        <v>-3789</v>
      </c>
      <c r="L825" s="3">
        <f>(tblSales[[#This Row],[Sales]]-tblSales[[#This Row],[Budget]])/tblSales[[#This Row],[Budget]]</f>
        <v>-7.6189901670989921E-2</v>
      </c>
      <c r="M825" s="2">
        <f>tblSales[[#This Row],[Sales]]/tblSales[[#This Row],[Transactions]]</f>
        <v>403</v>
      </c>
    </row>
    <row r="826" spans="1:13" x14ac:dyDescent="0.25">
      <c r="A826" s="1">
        <v>46064</v>
      </c>
      <c r="B826" t="s">
        <v>13</v>
      </c>
      <c r="C826" t="s">
        <v>9</v>
      </c>
      <c r="D826" t="str">
        <f>_xlfn.XLOOKUP(tblSales[[#This Row],[Store ID]],tblStores[Store ID],tblStores[Store Name])</f>
        <v>Richards Bay</v>
      </c>
      <c r="E826" t="str">
        <f>_xlfn.XLOOKUP(tblSales[[#This Row],[Store ID]],tblStores[Store ID],tblStores[Province])</f>
        <v>KZN</v>
      </c>
      <c r="F826" t="str">
        <f>_xlfn.XLOOKUP(tblSales[[#This Row],[Store ID]],tblStores[Store ID],tblStores[Manager])</f>
        <v>David Green</v>
      </c>
      <c r="G826" t="str">
        <f>_xlfn.XLOOKUP(tblSales[[#This Row],[Category ID]],tblCategories[Category ID],tblCategories[Category])</f>
        <v>Ladieswear</v>
      </c>
      <c r="H826">
        <v>14945</v>
      </c>
      <c r="I826">
        <v>13772</v>
      </c>
      <c r="J826">
        <v>49</v>
      </c>
      <c r="K826">
        <f>tblSales[[#This Row],[Sales]]-tblSales[[#This Row],[Budget]]</f>
        <v>1173</v>
      </c>
      <c r="L826" s="3">
        <f>(tblSales[[#This Row],[Sales]]-tblSales[[#This Row],[Budget]])/tblSales[[#This Row],[Budget]]</f>
        <v>8.5172814406041242E-2</v>
      </c>
      <c r="M826" s="2">
        <f>tblSales[[#This Row],[Sales]]/tblSales[[#This Row],[Transactions]]</f>
        <v>305</v>
      </c>
    </row>
    <row r="827" spans="1:13" x14ac:dyDescent="0.25">
      <c r="A827" s="1">
        <v>46064</v>
      </c>
      <c r="B827" t="s">
        <v>14</v>
      </c>
      <c r="C827" t="s">
        <v>11</v>
      </c>
      <c r="D827" t="str">
        <f>_xlfn.XLOOKUP(tblSales[[#This Row],[Store ID]],tblStores[Store ID],tblStores[Store Name])</f>
        <v>Sandton</v>
      </c>
      <c r="E827" t="str">
        <f>_xlfn.XLOOKUP(tblSales[[#This Row],[Store ID]],tblStores[Store ID],tblStores[Province])</f>
        <v>Gauteng</v>
      </c>
      <c r="F827" t="str">
        <f>_xlfn.XLOOKUP(tblSales[[#This Row],[Store ID]],tblStores[Store ID],tblStores[Manager])</f>
        <v>Karen White</v>
      </c>
      <c r="G827" t="str">
        <f>_xlfn.XLOOKUP(tblSales[[#This Row],[Category ID]],tblCategories[Category ID],tblCategories[Category])</f>
        <v>Footwear</v>
      </c>
      <c r="H827">
        <v>26368</v>
      </c>
      <c r="I827">
        <v>27767</v>
      </c>
      <c r="J827">
        <v>64</v>
      </c>
      <c r="K827">
        <f>tblSales[[#This Row],[Sales]]-tblSales[[#This Row],[Budget]]</f>
        <v>-1399</v>
      </c>
      <c r="L827" s="3">
        <f>(tblSales[[#This Row],[Sales]]-tblSales[[#This Row],[Budget]])/tblSales[[#This Row],[Budget]]</f>
        <v>-5.0383548816940973E-2</v>
      </c>
      <c r="M827" s="2">
        <f>tblSales[[#This Row],[Sales]]/tblSales[[#This Row],[Transactions]]</f>
        <v>412</v>
      </c>
    </row>
    <row r="828" spans="1:13" x14ac:dyDescent="0.25">
      <c r="A828" s="1">
        <v>46064</v>
      </c>
      <c r="B828" t="s">
        <v>15</v>
      </c>
      <c r="C828" t="s">
        <v>7</v>
      </c>
      <c r="D828" t="str">
        <f>_xlfn.XLOOKUP(tblSales[[#This Row],[Store ID]],tblStores[Store ID],tblStores[Store Name])</f>
        <v>Rosebank</v>
      </c>
      <c r="E828" t="str">
        <f>_xlfn.XLOOKUP(tblSales[[#This Row],[Store ID]],tblStores[Store ID],tblStores[Province])</f>
        <v>Gauteng</v>
      </c>
      <c r="F828" t="str">
        <f>_xlfn.XLOOKUP(tblSales[[#This Row],[Store ID]],tblStores[Store ID],tblStores[Manager])</f>
        <v>James Taylor</v>
      </c>
      <c r="G828" t="str">
        <f>_xlfn.XLOOKUP(tblSales[[#This Row],[Category ID]],tblCategories[Category ID],tblCategories[Category])</f>
        <v>Menswear</v>
      </c>
      <c r="H828">
        <v>58824</v>
      </c>
      <c r="I828">
        <v>63833</v>
      </c>
      <c r="J828">
        <v>114</v>
      </c>
      <c r="K828">
        <f>tblSales[[#This Row],[Sales]]-tblSales[[#This Row],[Budget]]</f>
        <v>-5009</v>
      </c>
      <c r="L828" s="3">
        <f>(tblSales[[#This Row],[Sales]]-tblSales[[#This Row],[Budget]])/tblSales[[#This Row],[Budget]]</f>
        <v>-7.847038365735591E-2</v>
      </c>
      <c r="M828" s="2">
        <f>tblSales[[#This Row],[Sales]]/tblSales[[#This Row],[Transactions]]</f>
        <v>516</v>
      </c>
    </row>
    <row r="829" spans="1:13" x14ac:dyDescent="0.25">
      <c r="A829" s="1">
        <v>46064</v>
      </c>
      <c r="B829" t="s">
        <v>16</v>
      </c>
      <c r="C829" t="s">
        <v>7</v>
      </c>
      <c r="D829" t="str">
        <f>_xlfn.XLOOKUP(tblSales[[#This Row],[Store ID]],tblStores[Store ID],tblStores[Store Name])</f>
        <v>Pretoria</v>
      </c>
      <c r="E829" t="str">
        <f>_xlfn.XLOOKUP(tblSales[[#This Row],[Store ID]],tblStores[Store ID],tblStores[Province])</f>
        <v>Gauteng</v>
      </c>
      <c r="F829" t="str">
        <f>_xlfn.XLOOKUP(tblSales[[#This Row],[Store ID]],tblStores[Store ID],tblStores[Manager])</f>
        <v>Susan Clark</v>
      </c>
      <c r="G829" t="str">
        <f>_xlfn.XLOOKUP(tblSales[[#This Row],[Category ID]],tblCategories[Category ID],tblCategories[Category])</f>
        <v>Menswear</v>
      </c>
      <c r="H829">
        <v>9500</v>
      </c>
      <c r="I829">
        <v>10216</v>
      </c>
      <c r="J829">
        <v>38</v>
      </c>
      <c r="K829">
        <f>tblSales[[#This Row],[Sales]]-tblSales[[#This Row],[Budget]]</f>
        <v>-716</v>
      </c>
      <c r="L829" s="3">
        <f>(tblSales[[#This Row],[Sales]]-tblSales[[#This Row],[Budget]])/tblSales[[#This Row],[Budget]]</f>
        <v>-7.0086139389193419E-2</v>
      </c>
      <c r="M829" s="2">
        <f>tblSales[[#This Row],[Sales]]/tblSales[[#This Row],[Transactions]]</f>
        <v>250</v>
      </c>
    </row>
    <row r="830" spans="1:13" x14ac:dyDescent="0.25">
      <c r="A830" s="1">
        <v>46064</v>
      </c>
      <c r="B830" t="s">
        <v>17</v>
      </c>
      <c r="C830" t="s">
        <v>9</v>
      </c>
      <c r="D830" t="str">
        <f>_xlfn.XLOOKUP(tblSales[[#This Row],[Store ID]],tblStores[Store ID],tblStores[Store Name])</f>
        <v>Centurion</v>
      </c>
      <c r="E830" t="str">
        <f>_xlfn.XLOOKUP(tblSales[[#This Row],[Store ID]],tblStores[Store ID],tblStores[Province])</f>
        <v>Gauteng</v>
      </c>
      <c r="F830" t="str">
        <f>_xlfn.XLOOKUP(tblSales[[#This Row],[Store ID]],tblStores[Store ID],tblStores[Manager])</f>
        <v>Mark Wilson</v>
      </c>
      <c r="G830" t="str">
        <f>_xlfn.XLOOKUP(tblSales[[#This Row],[Category ID]],tblCategories[Category ID],tblCategories[Category])</f>
        <v>Ladieswear</v>
      </c>
      <c r="H830">
        <v>57834</v>
      </c>
      <c r="I830">
        <v>59612</v>
      </c>
      <c r="J830">
        <v>162</v>
      </c>
      <c r="K830">
        <f>tblSales[[#This Row],[Sales]]-tblSales[[#This Row],[Budget]]</f>
        <v>-1778</v>
      </c>
      <c r="L830" s="3">
        <f>(tblSales[[#This Row],[Sales]]-tblSales[[#This Row],[Budget]])/tblSales[[#This Row],[Budget]]</f>
        <v>-2.9826209488022545E-2</v>
      </c>
      <c r="M830" s="2">
        <f>tblSales[[#This Row],[Sales]]/tblSales[[#This Row],[Transactions]]</f>
        <v>357</v>
      </c>
    </row>
    <row r="831" spans="1:13" x14ac:dyDescent="0.25">
      <c r="A831" s="1">
        <v>46064</v>
      </c>
      <c r="B831" t="s">
        <v>18</v>
      </c>
      <c r="C831" t="s">
        <v>22</v>
      </c>
      <c r="D831" t="str">
        <f>_xlfn.XLOOKUP(tblSales[[#This Row],[Store ID]],tblStores[Store ID],tblStores[Store Name])</f>
        <v>East Rand</v>
      </c>
      <c r="E831" t="str">
        <f>_xlfn.XLOOKUP(tblSales[[#This Row],[Store ID]],tblStores[Store ID],tblStores[Province])</f>
        <v>Gauteng</v>
      </c>
      <c r="F831" t="str">
        <f>_xlfn.XLOOKUP(tblSales[[#This Row],[Store ID]],tblStores[Store ID],tblStores[Manager])</f>
        <v>Lisa Young</v>
      </c>
      <c r="G831" t="str">
        <f>_xlfn.XLOOKUP(tblSales[[#This Row],[Category ID]],tblCategories[Category ID],tblCategories[Category])</f>
        <v>Kids</v>
      </c>
      <c r="H831">
        <v>28490</v>
      </c>
      <c r="I831">
        <v>26545</v>
      </c>
      <c r="J831">
        <v>77</v>
      </c>
      <c r="K831">
        <f>tblSales[[#This Row],[Sales]]-tblSales[[#This Row],[Budget]]</f>
        <v>1945</v>
      </c>
      <c r="L831" s="3">
        <f>(tblSales[[#This Row],[Sales]]-tblSales[[#This Row],[Budget]])/tblSales[[#This Row],[Budget]]</f>
        <v>7.3271802599359573E-2</v>
      </c>
      <c r="M831" s="2">
        <f>tblSales[[#This Row],[Sales]]/tblSales[[#This Row],[Transactions]]</f>
        <v>370</v>
      </c>
    </row>
    <row r="832" spans="1:13" x14ac:dyDescent="0.25">
      <c r="A832" s="1">
        <v>46064</v>
      </c>
      <c r="B832" t="s">
        <v>20</v>
      </c>
      <c r="C832" t="s">
        <v>22</v>
      </c>
      <c r="D832" t="str">
        <f>_xlfn.XLOOKUP(tblSales[[#This Row],[Store ID]],tblStores[Store ID],tblStores[Store Name])</f>
        <v>Cape Town CBD</v>
      </c>
      <c r="E832" t="str">
        <f>_xlfn.XLOOKUP(tblSales[[#This Row],[Store ID]],tblStores[Store ID],tblStores[Province])</f>
        <v>Western Cape</v>
      </c>
      <c r="F832" t="str">
        <f>_xlfn.XLOOKUP(tblSales[[#This Row],[Store ID]],tblStores[Store ID],tblStores[Manager])</f>
        <v>Brian Hall</v>
      </c>
      <c r="G832" t="str">
        <f>_xlfn.XLOOKUP(tblSales[[#This Row],[Category ID]],tblCategories[Category ID],tblCategories[Category])</f>
        <v>Kids</v>
      </c>
      <c r="H832">
        <v>12675</v>
      </c>
      <c r="I832">
        <v>12469</v>
      </c>
      <c r="J832">
        <v>65</v>
      </c>
      <c r="K832">
        <f>tblSales[[#This Row],[Sales]]-tblSales[[#This Row],[Budget]]</f>
        <v>206</v>
      </c>
      <c r="L832" s="3">
        <f>(tblSales[[#This Row],[Sales]]-tblSales[[#This Row],[Budget]])/tblSales[[#This Row],[Budget]]</f>
        <v>1.6520972010586252E-2</v>
      </c>
      <c r="M832" s="2">
        <f>tblSales[[#This Row],[Sales]]/tblSales[[#This Row],[Transactions]]</f>
        <v>195</v>
      </c>
    </row>
    <row r="833" spans="1:13" x14ac:dyDescent="0.25">
      <c r="A833" s="1">
        <v>46064</v>
      </c>
      <c r="B833" t="s">
        <v>21</v>
      </c>
      <c r="C833" t="s">
        <v>11</v>
      </c>
      <c r="D833" t="str">
        <f>_xlfn.XLOOKUP(tblSales[[#This Row],[Store ID]],tblStores[Store ID],tblStores[Store Name])</f>
        <v>Canal Walk</v>
      </c>
      <c r="E833" t="str">
        <f>_xlfn.XLOOKUP(tblSales[[#This Row],[Store ID]],tblStores[Store ID],tblStores[Province])</f>
        <v>Western Cape</v>
      </c>
      <c r="F833" t="str">
        <f>_xlfn.XLOOKUP(tblSales[[#This Row],[Store ID]],tblStores[Store ID],tblStores[Manager])</f>
        <v>Megan Scott</v>
      </c>
      <c r="G833" t="str">
        <f>_xlfn.XLOOKUP(tblSales[[#This Row],[Category ID]],tblCategories[Category ID],tblCategories[Category])</f>
        <v>Footwear</v>
      </c>
      <c r="H833">
        <v>46592</v>
      </c>
      <c r="I833">
        <v>42676</v>
      </c>
      <c r="J833">
        <v>104</v>
      </c>
      <c r="K833">
        <f>tblSales[[#This Row],[Sales]]-tblSales[[#This Row],[Budget]]</f>
        <v>3916</v>
      </c>
      <c r="L833" s="3">
        <f>(tblSales[[#This Row],[Sales]]-tblSales[[#This Row],[Budget]])/tblSales[[#This Row],[Budget]]</f>
        <v>9.1761177242478204E-2</v>
      </c>
      <c r="M833" s="2">
        <f>tblSales[[#This Row],[Sales]]/tblSales[[#This Row],[Transactions]]</f>
        <v>448</v>
      </c>
    </row>
    <row r="834" spans="1:13" x14ac:dyDescent="0.25">
      <c r="A834" s="1">
        <v>46064</v>
      </c>
      <c r="B834" t="s">
        <v>23</v>
      </c>
      <c r="C834" t="s">
        <v>19</v>
      </c>
      <c r="D834" t="str">
        <f>_xlfn.XLOOKUP(tblSales[[#This Row],[Store ID]],tblStores[Store ID],tblStores[Store Name])</f>
        <v>Stellenbosch</v>
      </c>
      <c r="E834" t="str">
        <f>_xlfn.XLOOKUP(tblSales[[#This Row],[Store ID]],tblStores[Store ID],tblStores[Province])</f>
        <v>Western Cape</v>
      </c>
      <c r="F834" t="str">
        <f>_xlfn.XLOOKUP(tblSales[[#This Row],[Store ID]],tblStores[Store ID],tblStores[Manager])</f>
        <v>Jason King</v>
      </c>
      <c r="G834" t="str">
        <f>_xlfn.XLOOKUP(tblSales[[#This Row],[Category ID]],tblCategories[Category ID],tblCategories[Category])</f>
        <v>Accessories</v>
      </c>
      <c r="H834">
        <v>42705</v>
      </c>
      <c r="I834">
        <v>43731</v>
      </c>
      <c r="J834">
        <v>195</v>
      </c>
      <c r="K834">
        <f>tblSales[[#This Row],[Sales]]-tblSales[[#This Row],[Budget]]</f>
        <v>-1026</v>
      </c>
      <c r="L834" s="3">
        <f>(tblSales[[#This Row],[Sales]]-tblSales[[#This Row],[Budget]])/tblSales[[#This Row],[Budget]]</f>
        <v>-2.3461617616793579E-2</v>
      </c>
      <c r="M834" s="2">
        <f>tblSales[[#This Row],[Sales]]/tblSales[[#This Row],[Transactions]]</f>
        <v>219</v>
      </c>
    </row>
    <row r="835" spans="1:13" x14ac:dyDescent="0.25">
      <c r="A835" s="1">
        <v>46064</v>
      </c>
      <c r="B835" t="s">
        <v>24</v>
      </c>
      <c r="C835" t="s">
        <v>19</v>
      </c>
      <c r="D835" t="str">
        <f>_xlfn.XLOOKUP(tblSales[[#This Row],[Store ID]],tblStores[Store ID],tblStores[Store Name])</f>
        <v>George</v>
      </c>
      <c r="E835" t="str">
        <f>_xlfn.XLOOKUP(tblSales[[#This Row],[Store ID]],tblStores[Store ID],tblStores[Province])</f>
        <v>Western Cape</v>
      </c>
      <c r="F835" t="str">
        <f>_xlfn.XLOOKUP(tblSales[[#This Row],[Store ID]],tblStores[Store ID],tblStores[Manager])</f>
        <v>Chloe Hill</v>
      </c>
      <c r="G835" t="str">
        <f>_xlfn.XLOOKUP(tblSales[[#This Row],[Category ID]],tblCategories[Category ID],tblCategories[Category])</f>
        <v>Accessories</v>
      </c>
      <c r="H835">
        <v>26416</v>
      </c>
      <c r="I835">
        <v>27073</v>
      </c>
      <c r="J835">
        <v>127</v>
      </c>
      <c r="K835">
        <f>tblSales[[#This Row],[Sales]]-tblSales[[#This Row],[Budget]]</f>
        <v>-657</v>
      </c>
      <c r="L835" s="3">
        <f>(tblSales[[#This Row],[Sales]]-tblSales[[#This Row],[Budget]])/tblSales[[#This Row],[Budget]]</f>
        <v>-2.4267720607247072E-2</v>
      </c>
      <c r="M835" s="2">
        <f>tblSales[[#This Row],[Sales]]/tblSales[[#This Row],[Transactions]]</f>
        <v>208</v>
      </c>
    </row>
    <row r="836" spans="1:13" x14ac:dyDescent="0.25">
      <c r="A836" s="1">
        <v>46064</v>
      </c>
      <c r="B836" t="s">
        <v>25</v>
      </c>
      <c r="C836" t="s">
        <v>19</v>
      </c>
      <c r="D836" t="str">
        <f>_xlfn.XLOOKUP(tblSales[[#This Row],[Store ID]],tblStores[Store ID],tblStores[Store Name])</f>
        <v>Paarl</v>
      </c>
      <c r="E836" t="str">
        <f>_xlfn.XLOOKUP(tblSales[[#This Row],[Store ID]],tblStores[Store ID],tblStores[Province])</f>
        <v>Western Cape</v>
      </c>
      <c r="F836" t="str">
        <f>_xlfn.XLOOKUP(tblSales[[#This Row],[Store ID]],tblStores[Store ID],tblStores[Manager])</f>
        <v>Andrew Lee</v>
      </c>
      <c r="G836" t="str">
        <f>_xlfn.XLOOKUP(tblSales[[#This Row],[Category ID]],tblCategories[Category ID],tblCategories[Category])</f>
        <v>Accessories</v>
      </c>
      <c r="H836">
        <v>28336</v>
      </c>
      <c r="I836">
        <v>26616</v>
      </c>
      <c r="J836">
        <v>77</v>
      </c>
      <c r="K836">
        <f>tblSales[[#This Row],[Sales]]-tblSales[[#This Row],[Budget]]</f>
        <v>1720</v>
      </c>
      <c r="L836" s="3">
        <f>(tblSales[[#This Row],[Sales]]-tblSales[[#This Row],[Budget]])/tblSales[[#This Row],[Budget]]</f>
        <v>6.4622783288247665E-2</v>
      </c>
      <c r="M836" s="2">
        <f>tblSales[[#This Row],[Sales]]/tblSales[[#This Row],[Transactions]]</f>
        <v>368</v>
      </c>
    </row>
    <row r="837" spans="1:13" x14ac:dyDescent="0.25">
      <c r="A837" s="1">
        <v>46064</v>
      </c>
      <c r="B837" t="s">
        <v>26</v>
      </c>
      <c r="C837" t="s">
        <v>7</v>
      </c>
      <c r="D837" t="str">
        <f>_xlfn.XLOOKUP(tblSales[[#This Row],[Store ID]],tblStores[Store ID],tblStores[Store Name])</f>
        <v>Gqeberha</v>
      </c>
      <c r="E837" t="str">
        <f>_xlfn.XLOOKUP(tblSales[[#This Row],[Store ID]],tblStores[Store ID],tblStores[Province])</f>
        <v>Eastern Cape</v>
      </c>
      <c r="F837" t="str">
        <f>_xlfn.XLOOKUP(tblSales[[#This Row],[Store ID]],tblStores[Store ID],tblStores[Manager])</f>
        <v>Emma Baker</v>
      </c>
      <c r="G837" t="str">
        <f>_xlfn.XLOOKUP(tblSales[[#This Row],[Category ID]],tblCategories[Category ID],tblCategories[Category])</f>
        <v>Menswear</v>
      </c>
      <c r="H837">
        <v>43259</v>
      </c>
      <c r="I837">
        <v>41403</v>
      </c>
      <c r="J837">
        <v>181</v>
      </c>
      <c r="K837">
        <f>tblSales[[#This Row],[Sales]]-tblSales[[#This Row],[Budget]]</f>
        <v>1856</v>
      </c>
      <c r="L837" s="3">
        <f>(tblSales[[#This Row],[Sales]]-tblSales[[#This Row],[Budget]])/tblSales[[#This Row],[Budget]]</f>
        <v>4.4827669492548849E-2</v>
      </c>
      <c r="M837" s="2">
        <f>tblSales[[#This Row],[Sales]]/tblSales[[#This Row],[Transactions]]</f>
        <v>239</v>
      </c>
    </row>
    <row r="838" spans="1:13" x14ac:dyDescent="0.25">
      <c r="A838" s="1">
        <v>46064</v>
      </c>
      <c r="B838" t="s">
        <v>27</v>
      </c>
      <c r="C838" t="s">
        <v>19</v>
      </c>
      <c r="D838" t="str">
        <f>_xlfn.XLOOKUP(tblSales[[#This Row],[Store ID]],tblStores[Store ID],tblStores[Store Name])</f>
        <v>East London</v>
      </c>
      <c r="E838" t="str">
        <f>_xlfn.XLOOKUP(tblSales[[#This Row],[Store ID]],tblStores[Store ID],tblStores[Province])</f>
        <v>Eastern Cape</v>
      </c>
      <c r="F838" t="str">
        <f>_xlfn.XLOOKUP(tblSales[[#This Row],[Store ID]],tblStores[Store ID],tblStores[Manager])</f>
        <v>Daniel Evans</v>
      </c>
      <c r="G838" t="str">
        <f>_xlfn.XLOOKUP(tblSales[[#This Row],[Category ID]],tblCategories[Category ID],tblCategories[Category])</f>
        <v>Accessories</v>
      </c>
      <c r="H838">
        <v>7070</v>
      </c>
      <c r="I838">
        <v>7880</v>
      </c>
      <c r="J838">
        <v>35</v>
      </c>
      <c r="K838">
        <f>tblSales[[#This Row],[Sales]]-tblSales[[#This Row],[Budget]]</f>
        <v>-810</v>
      </c>
      <c r="L838" s="3">
        <f>(tblSales[[#This Row],[Sales]]-tblSales[[#This Row],[Budget]])/tblSales[[#This Row],[Budget]]</f>
        <v>-0.10279187817258884</v>
      </c>
      <c r="M838" s="2">
        <f>tblSales[[#This Row],[Sales]]/tblSales[[#This Row],[Transactions]]</f>
        <v>202</v>
      </c>
    </row>
    <row r="839" spans="1:13" x14ac:dyDescent="0.25">
      <c r="A839" s="1">
        <v>46064</v>
      </c>
      <c r="B839" t="s">
        <v>28</v>
      </c>
      <c r="C839" t="s">
        <v>7</v>
      </c>
      <c r="D839" t="str">
        <f>_xlfn.XLOOKUP(tblSales[[#This Row],[Store ID]],tblStores[Store ID],tblStores[Store Name])</f>
        <v>Bloemfontein</v>
      </c>
      <c r="E839" t="str">
        <f>_xlfn.XLOOKUP(tblSales[[#This Row],[Store ID]],tblStores[Store ID],tblStores[Province])</f>
        <v>Free State</v>
      </c>
      <c r="F839" t="str">
        <f>_xlfn.XLOOKUP(tblSales[[#This Row],[Store ID]],tblStores[Store ID],tblStores[Manager])</f>
        <v>Rachel Moore</v>
      </c>
      <c r="G839" t="str">
        <f>_xlfn.XLOOKUP(tblSales[[#This Row],[Category ID]],tblCategories[Category ID],tblCategories[Category])</f>
        <v>Menswear</v>
      </c>
      <c r="H839">
        <v>19691</v>
      </c>
      <c r="I839">
        <v>20044</v>
      </c>
      <c r="J839">
        <v>97</v>
      </c>
      <c r="K839">
        <f>tblSales[[#This Row],[Sales]]-tblSales[[#This Row],[Budget]]</f>
        <v>-353</v>
      </c>
      <c r="L839" s="3">
        <f>(tblSales[[#This Row],[Sales]]-tblSales[[#This Row],[Budget]])/tblSales[[#This Row],[Budget]]</f>
        <v>-1.7611255238475353E-2</v>
      </c>
      <c r="M839" s="2">
        <f>tblSales[[#This Row],[Sales]]/tblSales[[#This Row],[Transactions]]</f>
        <v>203</v>
      </c>
    </row>
    <row r="840" spans="1:13" x14ac:dyDescent="0.25">
      <c r="A840" s="1">
        <v>46064</v>
      </c>
      <c r="B840" t="s">
        <v>29</v>
      </c>
      <c r="C840" t="s">
        <v>11</v>
      </c>
      <c r="D840" t="str">
        <f>_xlfn.XLOOKUP(tblSales[[#This Row],[Store ID]],tblStores[Store ID],tblStores[Store Name])</f>
        <v>Polokwane</v>
      </c>
      <c r="E840" t="str">
        <f>_xlfn.XLOOKUP(tblSales[[#This Row],[Store ID]],tblStores[Store ID],tblStores[Province])</f>
        <v>Limpopo</v>
      </c>
      <c r="F840" t="str">
        <f>_xlfn.XLOOKUP(tblSales[[#This Row],[Store ID]],tblStores[Store ID],tblStores[Manager])</f>
        <v>Kevin Harris</v>
      </c>
      <c r="G840" t="str">
        <f>_xlfn.XLOOKUP(tblSales[[#This Row],[Category ID]],tblCategories[Category ID],tblCategories[Category])</f>
        <v>Footwear</v>
      </c>
      <c r="H840">
        <v>19783</v>
      </c>
      <c r="I840">
        <v>22409</v>
      </c>
      <c r="J840">
        <v>73</v>
      </c>
      <c r="K840">
        <f>tblSales[[#This Row],[Sales]]-tblSales[[#This Row],[Budget]]</f>
        <v>-2626</v>
      </c>
      <c r="L840" s="3">
        <f>(tblSales[[#This Row],[Sales]]-tblSales[[#This Row],[Budget]])/tblSales[[#This Row],[Budget]]</f>
        <v>-0.11718505957427819</v>
      </c>
      <c r="M840" s="2">
        <f>tblSales[[#This Row],[Sales]]/tblSales[[#This Row],[Transactions]]</f>
        <v>271</v>
      </c>
    </row>
    <row r="841" spans="1:13" x14ac:dyDescent="0.25">
      <c r="A841" s="1">
        <v>46064</v>
      </c>
      <c r="B841" t="s">
        <v>30</v>
      </c>
      <c r="C841" t="s">
        <v>7</v>
      </c>
      <c r="D841" t="str">
        <f>_xlfn.XLOOKUP(tblSales[[#This Row],[Store ID]],tblStores[Store ID],tblStores[Store Name])</f>
        <v>Nelspruit</v>
      </c>
      <c r="E841" t="str">
        <f>_xlfn.XLOOKUP(tblSales[[#This Row],[Store ID]],tblStores[Store ID],tblStores[Province])</f>
        <v>Mpumalanga</v>
      </c>
      <c r="F841" t="str">
        <f>_xlfn.XLOOKUP(tblSales[[#This Row],[Store ID]],tblStores[Store ID],tblStores[Manager])</f>
        <v>Olivia Turner</v>
      </c>
      <c r="G841" t="str">
        <f>_xlfn.XLOOKUP(tblSales[[#This Row],[Category ID]],tblCategories[Category ID],tblCategories[Category])</f>
        <v>Menswear</v>
      </c>
      <c r="H841">
        <v>90640</v>
      </c>
      <c r="I841">
        <v>91078</v>
      </c>
      <c r="J841">
        <v>176</v>
      </c>
      <c r="K841">
        <f>tblSales[[#This Row],[Sales]]-tblSales[[#This Row],[Budget]]</f>
        <v>-438</v>
      </c>
      <c r="L841" s="3">
        <f>(tblSales[[#This Row],[Sales]]-tblSales[[#This Row],[Budget]])/tblSales[[#This Row],[Budget]]</f>
        <v>-4.8090647576802302E-3</v>
      </c>
      <c r="M841" s="2">
        <f>tblSales[[#This Row],[Sales]]/tblSales[[#This Row],[Transactions]]</f>
        <v>515</v>
      </c>
    </row>
    <row r="842" spans="1:13" x14ac:dyDescent="0.25">
      <c r="A842" s="1">
        <v>46065</v>
      </c>
      <c r="B842" t="s">
        <v>6</v>
      </c>
      <c r="C842" t="s">
        <v>22</v>
      </c>
      <c r="D842" t="str">
        <f>_xlfn.XLOOKUP(tblSales[[#This Row],[Store ID]],tblStores[Store ID],tblStores[Store Name])</f>
        <v>Durban CBD</v>
      </c>
      <c r="E842" t="str">
        <f>_xlfn.XLOOKUP(tblSales[[#This Row],[Store ID]],tblStores[Store ID],tblStores[Province])</f>
        <v>KZN</v>
      </c>
      <c r="F842" t="str">
        <f>_xlfn.XLOOKUP(tblSales[[#This Row],[Store ID]],tblStores[Store ID],tblStores[Manager])</f>
        <v>Sarah Adams</v>
      </c>
      <c r="G842" t="str">
        <f>_xlfn.XLOOKUP(tblSales[[#This Row],[Category ID]],tblCategories[Category ID],tblCategories[Category])</f>
        <v>Kids</v>
      </c>
      <c r="H842">
        <v>38514</v>
      </c>
      <c r="I842">
        <v>43480</v>
      </c>
      <c r="J842">
        <v>98</v>
      </c>
      <c r="K842">
        <f>tblSales[[#This Row],[Sales]]-tblSales[[#This Row],[Budget]]</f>
        <v>-4966</v>
      </c>
      <c r="L842" s="3">
        <f>(tblSales[[#This Row],[Sales]]-tblSales[[#This Row],[Budget]])/tblSales[[#This Row],[Budget]]</f>
        <v>-0.11421343146274149</v>
      </c>
      <c r="M842" s="2">
        <f>tblSales[[#This Row],[Sales]]/tblSales[[#This Row],[Transactions]]</f>
        <v>393</v>
      </c>
    </row>
    <row r="843" spans="1:13" x14ac:dyDescent="0.25">
      <c r="A843" s="1">
        <v>46065</v>
      </c>
      <c r="B843" t="s">
        <v>8</v>
      </c>
      <c r="C843" t="s">
        <v>22</v>
      </c>
      <c r="D843" t="str">
        <f>_xlfn.XLOOKUP(tblSales[[#This Row],[Store ID]],tblStores[Store ID],tblStores[Store Name])</f>
        <v>Gateway</v>
      </c>
      <c r="E843" t="str">
        <f>_xlfn.XLOOKUP(tblSales[[#This Row],[Store ID]],tblStores[Store ID],tblStores[Province])</f>
        <v>KZN</v>
      </c>
      <c r="F843" t="str">
        <f>_xlfn.XLOOKUP(tblSales[[#This Row],[Store ID]],tblStores[Store ID],tblStores[Manager])</f>
        <v>Michael Jones</v>
      </c>
      <c r="G843" t="str">
        <f>_xlfn.XLOOKUP(tblSales[[#This Row],[Category ID]],tblCategories[Category ID],tblCategories[Category])</f>
        <v>Kids</v>
      </c>
      <c r="H843">
        <v>22776</v>
      </c>
      <c r="I843">
        <v>23752</v>
      </c>
      <c r="J843">
        <v>104</v>
      </c>
      <c r="K843">
        <f>tblSales[[#This Row],[Sales]]-tblSales[[#This Row],[Budget]]</f>
        <v>-976</v>
      </c>
      <c r="L843" s="3">
        <f>(tblSales[[#This Row],[Sales]]-tblSales[[#This Row],[Budget]])/tblSales[[#This Row],[Budget]]</f>
        <v>-4.1091276524082183E-2</v>
      </c>
      <c r="M843" s="2">
        <f>tblSales[[#This Row],[Sales]]/tblSales[[#This Row],[Transactions]]</f>
        <v>219</v>
      </c>
    </row>
    <row r="844" spans="1:13" x14ac:dyDescent="0.25">
      <c r="A844" s="1">
        <v>46065</v>
      </c>
      <c r="B844" t="s">
        <v>10</v>
      </c>
      <c r="C844" t="s">
        <v>7</v>
      </c>
      <c r="D844" t="str">
        <f>_xlfn.XLOOKUP(tblSales[[#This Row],[Store ID]],tblStores[Store ID],tblStores[Store Name])</f>
        <v>Ballito</v>
      </c>
      <c r="E844" t="str">
        <f>_xlfn.XLOOKUP(tblSales[[#This Row],[Store ID]],tblStores[Store ID],tblStores[Province])</f>
        <v>KZN</v>
      </c>
      <c r="F844" t="str">
        <f>_xlfn.XLOOKUP(tblSales[[#This Row],[Store ID]],tblStores[Store ID],tblStores[Manager])</f>
        <v>Linda Smith</v>
      </c>
      <c r="G844" t="str">
        <f>_xlfn.XLOOKUP(tblSales[[#This Row],[Category ID]],tblCategories[Category ID],tblCategories[Category])</f>
        <v>Menswear</v>
      </c>
      <c r="H844">
        <v>33578</v>
      </c>
      <c r="I844">
        <v>31725</v>
      </c>
      <c r="J844">
        <v>163</v>
      </c>
      <c r="K844">
        <f>tblSales[[#This Row],[Sales]]-tblSales[[#This Row],[Budget]]</f>
        <v>1853</v>
      </c>
      <c r="L844" s="3">
        <f>(tblSales[[#This Row],[Sales]]-tblSales[[#This Row],[Budget]])/tblSales[[#This Row],[Budget]]</f>
        <v>5.8408195429472023E-2</v>
      </c>
      <c r="M844" s="2">
        <f>tblSales[[#This Row],[Sales]]/tblSales[[#This Row],[Transactions]]</f>
        <v>206</v>
      </c>
    </row>
    <row r="845" spans="1:13" x14ac:dyDescent="0.25">
      <c r="A845" s="1">
        <v>46065</v>
      </c>
      <c r="B845" t="s">
        <v>12</v>
      </c>
      <c r="C845" t="s">
        <v>19</v>
      </c>
      <c r="D845" t="str">
        <f>_xlfn.XLOOKUP(tblSales[[#This Row],[Store ID]],tblStores[Store ID],tblStores[Store Name])</f>
        <v>Pietermaritzburg</v>
      </c>
      <c r="E845" t="str">
        <f>_xlfn.XLOOKUP(tblSales[[#This Row],[Store ID]],tblStores[Store ID],tblStores[Province])</f>
        <v>KZN</v>
      </c>
      <c r="F845" t="str">
        <f>_xlfn.XLOOKUP(tblSales[[#This Row],[Store ID]],tblStores[Store ID],tblStores[Manager])</f>
        <v>Peter Brown</v>
      </c>
      <c r="G845" t="str">
        <f>_xlfn.XLOOKUP(tblSales[[#This Row],[Category ID]],tblCategories[Category ID],tblCategories[Category])</f>
        <v>Accessories</v>
      </c>
      <c r="H845">
        <v>17710</v>
      </c>
      <c r="I845">
        <v>16244</v>
      </c>
      <c r="J845">
        <v>46</v>
      </c>
      <c r="K845">
        <f>tblSales[[#This Row],[Sales]]-tblSales[[#This Row],[Budget]]</f>
        <v>1466</v>
      </c>
      <c r="L845" s="3">
        <f>(tblSales[[#This Row],[Sales]]-tblSales[[#This Row],[Budget]])/tblSales[[#This Row],[Budget]]</f>
        <v>9.0248707214971677E-2</v>
      </c>
      <c r="M845" s="2">
        <f>tblSales[[#This Row],[Sales]]/tblSales[[#This Row],[Transactions]]</f>
        <v>385</v>
      </c>
    </row>
    <row r="846" spans="1:13" x14ac:dyDescent="0.25">
      <c r="A846" s="1">
        <v>46065</v>
      </c>
      <c r="B846" t="s">
        <v>13</v>
      </c>
      <c r="C846" t="s">
        <v>11</v>
      </c>
      <c r="D846" t="str">
        <f>_xlfn.XLOOKUP(tblSales[[#This Row],[Store ID]],tblStores[Store ID],tblStores[Store Name])</f>
        <v>Richards Bay</v>
      </c>
      <c r="E846" t="str">
        <f>_xlfn.XLOOKUP(tblSales[[#This Row],[Store ID]],tblStores[Store ID],tblStores[Province])</f>
        <v>KZN</v>
      </c>
      <c r="F846" t="str">
        <f>_xlfn.XLOOKUP(tblSales[[#This Row],[Store ID]],tblStores[Store ID],tblStores[Manager])</f>
        <v>David Green</v>
      </c>
      <c r="G846" t="str">
        <f>_xlfn.XLOOKUP(tblSales[[#This Row],[Category ID]],tblCategories[Category ID],tblCategories[Category])</f>
        <v>Footwear</v>
      </c>
      <c r="H846">
        <v>36273</v>
      </c>
      <c r="I846">
        <v>35613</v>
      </c>
      <c r="J846">
        <v>107</v>
      </c>
      <c r="K846">
        <f>tblSales[[#This Row],[Sales]]-tblSales[[#This Row],[Budget]]</f>
        <v>660</v>
      </c>
      <c r="L846" s="3">
        <f>(tblSales[[#This Row],[Sales]]-tblSales[[#This Row],[Budget]])/tblSales[[#This Row],[Budget]]</f>
        <v>1.8532558335439306E-2</v>
      </c>
      <c r="M846" s="2">
        <f>tblSales[[#This Row],[Sales]]/tblSales[[#This Row],[Transactions]]</f>
        <v>339</v>
      </c>
    </row>
    <row r="847" spans="1:13" x14ac:dyDescent="0.25">
      <c r="A847" s="1">
        <v>46065</v>
      </c>
      <c r="B847" t="s">
        <v>14</v>
      </c>
      <c r="C847" t="s">
        <v>19</v>
      </c>
      <c r="D847" t="str">
        <f>_xlfn.XLOOKUP(tblSales[[#This Row],[Store ID]],tblStores[Store ID],tblStores[Store Name])</f>
        <v>Sandton</v>
      </c>
      <c r="E847" t="str">
        <f>_xlfn.XLOOKUP(tblSales[[#This Row],[Store ID]],tblStores[Store ID],tblStores[Province])</f>
        <v>Gauteng</v>
      </c>
      <c r="F847" t="str">
        <f>_xlfn.XLOOKUP(tblSales[[#This Row],[Store ID]],tblStores[Store ID],tblStores[Manager])</f>
        <v>Karen White</v>
      </c>
      <c r="G847" t="str">
        <f>_xlfn.XLOOKUP(tblSales[[#This Row],[Category ID]],tblCategories[Category ID],tblCategories[Category])</f>
        <v>Accessories</v>
      </c>
      <c r="H847">
        <v>27784</v>
      </c>
      <c r="I847">
        <v>27568</v>
      </c>
      <c r="J847">
        <v>151</v>
      </c>
      <c r="K847">
        <f>tblSales[[#This Row],[Sales]]-tblSales[[#This Row],[Budget]]</f>
        <v>216</v>
      </c>
      <c r="L847" s="3">
        <f>(tblSales[[#This Row],[Sales]]-tblSales[[#This Row],[Budget]])/tblSales[[#This Row],[Budget]]</f>
        <v>7.8351712130005809E-3</v>
      </c>
      <c r="M847" s="2">
        <f>tblSales[[#This Row],[Sales]]/tblSales[[#This Row],[Transactions]]</f>
        <v>184</v>
      </c>
    </row>
    <row r="848" spans="1:13" x14ac:dyDescent="0.25">
      <c r="A848" s="1">
        <v>46065</v>
      </c>
      <c r="B848" t="s">
        <v>15</v>
      </c>
      <c r="C848" t="s">
        <v>22</v>
      </c>
      <c r="D848" t="str">
        <f>_xlfn.XLOOKUP(tblSales[[#This Row],[Store ID]],tblStores[Store ID],tblStores[Store Name])</f>
        <v>Rosebank</v>
      </c>
      <c r="E848" t="str">
        <f>_xlfn.XLOOKUP(tblSales[[#This Row],[Store ID]],tblStores[Store ID],tblStores[Province])</f>
        <v>Gauteng</v>
      </c>
      <c r="F848" t="str">
        <f>_xlfn.XLOOKUP(tblSales[[#This Row],[Store ID]],tblStores[Store ID],tblStores[Manager])</f>
        <v>James Taylor</v>
      </c>
      <c r="G848" t="str">
        <f>_xlfn.XLOOKUP(tblSales[[#This Row],[Category ID]],tblCategories[Category ID],tblCategories[Category])</f>
        <v>Kids</v>
      </c>
      <c r="H848">
        <v>59965</v>
      </c>
      <c r="I848">
        <v>65055</v>
      </c>
      <c r="J848">
        <v>179</v>
      </c>
      <c r="K848">
        <f>tblSales[[#This Row],[Sales]]-tblSales[[#This Row],[Budget]]</f>
        <v>-5090</v>
      </c>
      <c r="L848" s="3">
        <f>(tblSales[[#This Row],[Sales]]-tblSales[[#This Row],[Budget]])/tblSales[[#This Row],[Budget]]</f>
        <v>-7.8241487971716234E-2</v>
      </c>
      <c r="M848" s="2">
        <f>tblSales[[#This Row],[Sales]]/tblSales[[#This Row],[Transactions]]</f>
        <v>335</v>
      </c>
    </row>
    <row r="849" spans="1:13" x14ac:dyDescent="0.25">
      <c r="A849" s="1">
        <v>46065</v>
      </c>
      <c r="B849" t="s">
        <v>16</v>
      </c>
      <c r="C849" t="s">
        <v>9</v>
      </c>
      <c r="D849" t="str">
        <f>_xlfn.XLOOKUP(tblSales[[#This Row],[Store ID]],tblStores[Store ID],tblStores[Store Name])</f>
        <v>Pretoria</v>
      </c>
      <c r="E849" t="str">
        <f>_xlfn.XLOOKUP(tblSales[[#This Row],[Store ID]],tblStores[Store ID],tblStores[Province])</f>
        <v>Gauteng</v>
      </c>
      <c r="F849" t="str">
        <f>_xlfn.XLOOKUP(tblSales[[#This Row],[Store ID]],tblStores[Store ID],tblStores[Manager])</f>
        <v>Susan Clark</v>
      </c>
      <c r="G849" t="str">
        <f>_xlfn.XLOOKUP(tblSales[[#This Row],[Category ID]],tblCategories[Category ID],tblCategories[Category])</f>
        <v>Ladieswear</v>
      </c>
      <c r="H849">
        <v>56304</v>
      </c>
      <c r="I849">
        <v>59002</v>
      </c>
      <c r="J849">
        <v>153</v>
      </c>
      <c r="K849">
        <f>tblSales[[#This Row],[Sales]]-tblSales[[#This Row],[Budget]]</f>
        <v>-2698</v>
      </c>
      <c r="L849" s="3">
        <f>(tblSales[[#This Row],[Sales]]-tblSales[[#This Row],[Budget]])/tblSales[[#This Row],[Budget]]</f>
        <v>-4.5727263482593809E-2</v>
      </c>
      <c r="M849" s="2">
        <f>tblSales[[#This Row],[Sales]]/tblSales[[#This Row],[Transactions]]</f>
        <v>368</v>
      </c>
    </row>
    <row r="850" spans="1:13" x14ac:dyDescent="0.25">
      <c r="A850" s="1">
        <v>46065</v>
      </c>
      <c r="B850" t="s">
        <v>17</v>
      </c>
      <c r="C850" t="s">
        <v>11</v>
      </c>
      <c r="D850" t="str">
        <f>_xlfn.XLOOKUP(tblSales[[#This Row],[Store ID]],tblStores[Store ID],tblStores[Store Name])</f>
        <v>Centurion</v>
      </c>
      <c r="E850" t="str">
        <f>_xlfn.XLOOKUP(tblSales[[#This Row],[Store ID]],tblStores[Store ID],tblStores[Province])</f>
        <v>Gauteng</v>
      </c>
      <c r="F850" t="str">
        <f>_xlfn.XLOOKUP(tblSales[[#This Row],[Store ID]],tblStores[Store ID],tblStores[Manager])</f>
        <v>Mark Wilson</v>
      </c>
      <c r="G850" t="str">
        <f>_xlfn.XLOOKUP(tblSales[[#This Row],[Category ID]],tblCategories[Category ID],tblCategories[Category])</f>
        <v>Footwear</v>
      </c>
      <c r="H850">
        <v>39015</v>
      </c>
      <c r="I850">
        <v>42531</v>
      </c>
      <c r="J850">
        <v>85</v>
      </c>
      <c r="K850">
        <f>tblSales[[#This Row],[Sales]]-tblSales[[#This Row],[Budget]]</f>
        <v>-3516</v>
      </c>
      <c r="L850" s="3">
        <f>(tblSales[[#This Row],[Sales]]-tblSales[[#This Row],[Budget]])/tblSales[[#This Row],[Budget]]</f>
        <v>-8.266911194187769E-2</v>
      </c>
      <c r="M850" s="2">
        <f>tblSales[[#This Row],[Sales]]/tblSales[[#This Row],[Transactions]]</f>
        <v>459</v>
      </c>
    </row>
    <row r="851" spans="1:13" x14ac:dyDescent="0.25">
      <c r="A851" s="1">
        <v>46065</v>
      </c>
      <c r="B851" t="s">
        <v>18</v>
      </c>
      <c r="C851" t="s">
        <v>9</v>
      </c>
      <c r="D851" t="str">
        <f>_xlfn.XLOOKUP(tblSales[[#This Row],[Store ID]],tblStores[Store ID],tblStores[Store Name])</f>
        <v>East Rand</v>
      </c>
      <c r="E851" t="str">
        <f>_xlfn.XLOOKUP(tblSales[[#This Row],[Store ID]],tblStores[Store ID],tblStores[Province])</f>
        <v>Gauteng</v>
      </c>
      <c r="F851" t="str">
        <f>_xlfn.XLOOKUP(tblSales[[#This Row],[Store ID]],tblStores[Store ID],tblStores[Manager])</f>
        <v>Lisa Young</v>
      </c>
      <c r="G851" t="str">
        <f>_xlfn.XLOOKUP(tblSales[[#This Row],[Category ID]],tblCategories[Category ID],tblCategories[Category])</f>
        <v>Ladieswear</v>
      </c>
      <c r="H851">
        <v>13359</v>
      </c>
      <c r="I851">
        <v>15137</v>
      </c>
      <c r="J851">
        <v>73</v>
      </c>
      <c r="K851">
        <f>tblSales[[#This Row],[Sales]]-tblSales[[#This Row],[Budget]]</f>
        <v>-1778</v>
      </c>
      <c r="L851" s="3">
        <f>(tblSales[[#This Row],[Sales]]-tblSales[[#This Row],[Budget]])/tblSales[[#This Row],[Budget]]</f>
        <v>-0.11746052718504327</v>
      </c>
      <c r="M851" s="2">
        <f>tblSales[[#This Row],[Sales]]/tblSales[[#This Row],[Transactions]]</f>
        <v>183</v>
      </c>
    </row>
    <row r="852" spans="1:13" x14ac:dyDescent="0.25">
      <c r="A852" s="1">
        <v>46065</v>
      </c>
      <c r="B852" t="s">
        <v>20</v>
      </c>
      <c r="C852" t="s">
        <v>7</v>
      </c>
      <c r="D852" t="str">
        <f>_xlfn.XLOOKUP(tblSales[[#This Row],[Store ID]],tblStores[Store ID],tblStores[Store Name])</f>
        <v>Cape Town CBD</v>
      </c>
      <c r="E852" t="str">
        <f>_xlfn.XLOOKUP(tblSales[[#This Row],[Store ID]],tblStores[Store ID],tblStores[Province])</f>
        <v>Western Cape</v>
      </c>
      <c r="F852" t="str">
        <f>_xlfn.XLOOKUP(tblSales[[#This Row],[Store ID]],tblStores[Store ID],tblStores[Manager])</f>
        <v>Brian Hall</v>
      </c>
      <c r="G852" t="str">
        <f>_xlfn.XLOOKUP(tblSales[[#This Row],[Category ID]],tblCategories[Category ID],tblCategories[Category])</f>
        <v>Menswear</v>
      </c>
      <c r="H852">
        <v>42958</v>
      </c>
      <c r="I852">
        <v>42382</v>
      </c>
      <c r="J852">
        <v>94</v>
      </c>
      <c r="K852">
        <f>tblSales[[#This Row],[Sales]]-tblSales[[#This Row],[Budget]]</f>
        <v>576</v>
      </c>
      <c r="L852" s="3">
        <f>(tblSales[[#This Row],[Sales]]-tblSales[[#This Row],[Budget]])/tblSales[[#This Row],[Budget]]</f>
        <v>1.3590675286678306E-2</v>
      </c>
      <c r="M852" s="2">
        <f>tblSales[[#This Row],[Sales]]/tblSales[[#This Row],[Transactions]]</f>
        <v>457</v>
      </c>
    </row>
    <row r="853" spans="1:13" x14ac:dyDescent="0.25">
      <c r="A853" s="1">
        <v>46065</v>
      </c>
      <c r="B853" t="s">
        <v>21</v>
      </c>
      <c r="C853" t="s">
        <v>7</v>
      </c>
      <c r="D853" t="str">
        <f>_xlfn.XLOOKUP(tblSales[[#This Row],[Store ID]],tblStores[Store ID],tblStores[Store Name])</f>
        <v>Canal Walk</v>
      </c>
      <c r="E853" t="str">
        <f>_xlfn.XLOOKUP(tblSales[[#This Row],[Store ID]],tblStores[Store ID],tblStores[Province])</f>
        <v>Western Cape</v>
      </c>
      <c r="F853" t="str">
        <f>_xlfn.XLOOKUP(tblSales[[#This Row],[Store ID]],tblStores[Store ID],tblStores[Manager])</f>
        <v>Megan Scott</v>
      </c>
      <c r="G853" t="str">
        <f>_xlfn.XLOOKUP(tblSales[[#This Row],[Category ID]],tblCategories[Category ID],tblCategories[Category])</f>
        <v>Menswear</v>
      </c>
      <c r="H853">
        <v>21600</v>
      </c>
      <c r="I853">
        <v>23538</v>
      </c>
      <c r="J853">
        <v>120</v>
      </c>
      <c r="K853">
        <f>tblSales[[#This Row],[Sales]]-tblSales[[#This Row],[Budget]]</f>
        <v>-1938</v>
      </c>
      <c r="L853" s="3">
        <f>(tblSales[[#This Row],[Sales]]-tblSales[[#This Row],[Budget]])/tblSales[[#This Row],[Budget]]</f>
        <v>-8.233494774407342E-2</v>
      </c>
      <c r="M853" s="2">
        <f>tblSales[[#This Row],[Sales]]/tblSales[[#This Row],[Transactions]]</f>
        <v>180</v>
      </c>
    </row>
    <row r="854" spans="1:13" x14ac:dyDescent="0.25">
      <c r="A854" s="1">
        <v>46065</v>
      </c>
      <c r="B854" t="s">
        <v>23</v>
      </c>
      <c r="C854" t="s">
        <v>11</v>
      </c>
      <c r="D854" t="str">
        <f>_xlfn.XLOOKUP(tblSales[[#This Row],[Store ID]],tblStores[Store ID],tblStores[Store Name])</f>
        <v>Stellenbosch</v>
      </c>
      <c r="E854" t="str">
        <f>_xlfn.XLOOKUP(tblSales[[#This Row],[Store ID]],tblStores[Store ID],tblStores[Province])</f>
        <v>Western Cape</v>
      </c>
      <c r="F854" t="str">
        <f>_xlfn.XLOOKUP(tblSales[[#This Row],[Store ID]],tblStores[Store ID],tblStores[Manager])</f>
        <v>Jason King</v>
      </c>
      <c r="G854" t="str">
        <f>_xlfn.XLOOKUP(tblSales[[#This Row],[Category ID]],tblCategories[Category ID],tblCategories[Category])</f>
        <v>Footwear</v>
      </c>
      <c r="H854">
        <v>26329</v>
      </c>
      <c r="I854">
        <v>25046</v>
      </c>
      <c r="J854">
        <v>113</v>
      </c>
      <c r="K854">
        <f>tblSales[[#This Row],[Sales]]-tblSales[[#This Row],[Budget]]</f>
        <v>1283</v>
      </c>
      <c r="L854" s="3">
        <f>(tblSales[[#This Row],[Sales]]-tblSales[[#This Row],[Budget]])/tblSales[[#This Row],[Budget]]</f>
        <v>5.1225744629881019E-2</v>
      </c>
      <c r="M854" s="2">
        <f>tblSales[[#This Row],[Sales]]/tblSales[[#This Row],[Transactions]]</f>
        <v>233</v>
      </c>
    </row>
    <row r="855" spans="1:13" x14ac:dyDescent="0.25">
      <c r="A855" s="1">
        <v>46065</v>
      </c>
      <c r="B855" t="s">
        <v>24</v>
      </c>
      <c r="C855" t="s">
        <v>9</v>
      </c>
      <c r="D855" t="str">
        <f>_xlfn.XLOOKUP(tblSales[[#This Row],[Store ID]],tblStores[Store ID],tblStores[Store Name])</f>
        <v>George</v>
      </c>
      <c r="E855" t="str">
        <f>_xlfn.XLOOKUP(tblSales[[#This Row],[Store ID]],tblStores[Store ID],tblStores[Province])</f>
        <v>Western Cape</v>
      </c>
      <c r="F855" t="str">
        <f>_xlfn.XLOOKUP(tblSales[[#This Row],[Store ID]],tblStores[Store ID],tblStores[Manager])</f>
        <v>Chloe Hill</v>
      </c>
      <c r="G855" t="str">
        <f>_xlfn.XLOOKUP(tblSales[[#This Row],[Category ID]],tblCategories[Category ID],tblCategories[Category])</f>
        <v>Ladieswear</v>
      </c>
      <c r="H855">
        <v>61202</v>
      </c>
      <c r="I855">
        <v>69788</v>
      </c>
      <c r="J855">
        <v>142</v>
      </c>
      <c r="K855">
        <f>tblSales[[#This Row],[Sales]]-tblSales[[#This Row],[Budget]]</f>
        <v>-8586</v>
      </c>
      <c r="L855" s="3">
        <f>(tblSales[[#This Row],[Sales]]-tblSales[[#This Row],[Budget]])/tblSales[[#This Row],[Budget]]</f>
        <v>-0.12302974723448157</v>
      </c>
      <c r="M855" s="2">
        <f>tblSales[[#This Row],[Sales]]/tblSales[[#This Row],[Transactions]]</f>
        <v>431</v>
      </c>
    </row>
    <row r="856" spans="1:13" x14ac:dyDescent="0.25">
      <c r="A856" s="1">
        <v>46065</v>
      </c>
      <c r="B856" t="s">
        <v>25</v>
      </c>
      <c r="C856" t="s">
        <v>9</v>
      </c>
      <c r="D856" t="str">
        <f>_xlfn.XLOOKUP(tblSales[[#This Row],[Store ID]],tblStores[Store ID],tblStores[Store Name])</f>
        <v>Paarl</v>
      </c>
      <c r="E856" t="str">
        <f>_xlfn.XLOOKUP(tblSales[[#This Row],[Store ID]],tblStores[Store ID],tblStores[Province])</f>
        <v>Western Cape</v>
      </c>
      <c r="F856" t="str">
        <f>_xlfn.XLOOKUP(tblSales[[#This Row],[Store ID]],tblStores[Store ID],tblStores[Manager])</f>
        <v>Andrew Lee</v>
      </c>
      <c r="G856" t="str">
        <f>_xlfn.XLOOKUP(tblSales[[#This Row],[Category ID]],tblCategories[Category ID],tblCategories[Category])</f>
        <v>Ladieswear</v>
      </c>
      <c r="H856">
        <v>70091</v>
      </c>
      <c r="I856">
        <v>64711</v>
      </c>
      <c r="J856">
        <v>217</v>
      </c>
      <c r="K856">
        <f>tblSales[[#This Row],[Sales]]-tblSales[[#This Row],[Budget]]</f>
        <v>5380</v>
      </c>
      <c r="L856" s="3">
        <f>(tblSales[[#This Row],[Sales]]-tblSales[[#This Row],[Budget]])/tblSales[[#This Row],[Budget]]</f>
        <v>8.3138879015932379E-2</v>
      </c>
      <c r="M856" s="2">
        <f>tblSales[[#This Row],[Sales]]/tblSales[[#This Row],[Transactions]]</f>
        <v>323</v>
      </c>
    </row>
    <row r="857" spans="1:13" x14ac:dyDescent="0.25">
      <c r="A857" s="1">
        <v>46065</v>
      </c>
      <c r="B857" t="s">
        <v>26</v>
      </c>
      <c r="C857" t="s">
        <v>9</v>
      </c>
      <c r="D857" t="str">
        <f>_xlfn.XLOOKUP(tblSales[[#This Row],[Store ID]],tblStores[Store ID],tblStores[Store Name])</f>
        <v>Gqeberha</v>
      </c>
      <c r="E857" t="str">
        <f>_xlfn.XLOOKUP(tblSales[[#This Row],[Store ID]],tblStores[Store ID],tblStores[Province])</f>
        <v>Eastern Cape</v>
      </c>
      <c r="F857" t="str">
        <f>_xlfn.XLOOKUP(tblSales[[#This Row],[Store ID]],tblStores[Store ID],tblStores[Manager])</f>
        <v>Emma Baker</v>
      </c>
      <c r="G857" t="str">
        <f>_xlfn.XLOOKUP(tblSales[[#This Row],[Category ID]],tblCategories[Category ID],tblCategories[Category])</f>
        <v>Ladieswear</v>
      </c>
      <c r="H857">
        <v>65688</v>
      </c>
      <c r="I857">
        <v>70628</v>
      </c>
      <c r="J857">
        <v>168</v>
      </c>
      <c r="K857">
        <f>tblSales[[#This Row],[Sales]]-tblSales[[#This Row],[Budget]]</f>
        <v>-4940</v>
      </c>
      <c r="L857" s="3">
        <f>(tblSales[[#This Row],[Sales]]-tblSales[[#This Row],[Budget]])/tblSales[[#This Row],[Budget]]</f>
        <v>-6.9943931585206995E-2</v>
      </c>
      <c r="M857" s="2">
        <f>tblSales[[#This Row],[Sales]]/tblSales[[#This Row],[Transactions]]</f>
        <v>391</v>
      </c>
    </row>
    <row r="858" spans="1:13" x14ac:dyDescent="0.25">
      <c r="A858" s="1">
        <v>46065</v>
      </c>
      <c r="B858" t="s">
        <v>27</v>
      </c>
      <c r="C858" t="s">
        <v>22</v>
      </c>
      <c r="D858" t="str">
        <f>_xlfn.XLOOKUP(tblSales[[#This Row],[Store ID]],tblStores[Store ID],tblStores[Store Name])</f>
        <v>East London</v>
      </c>
      <c r="E858" t="str">
        <f>_xlfn.XLOOKUP(tblSales[[#This Row],[Store ID]],tblStores[Store ID],tblStores[Province])</f>
        <v>Eastern Cape</v>
      </c>
      <c r="F858" t="str">
        <f>_xlfn.XLOOKUP(tblSales[[#This Row],[Store ID]],tblStores[Store ID],tblStores[Manager])</f>
        <v>Daniel Evans</v>
      </c>
      <c r="G858" t="str">
        <f>_xlfn.XLOOKUP(tblSales[[#This Row],[Category ID]],tblCategories[Category ID],tblCategories[Category])</f>
        <v>Kids</v>
      </c>
      <c r="H858">
        <v>33896</v>
      </c>
      <c r="I858">
        <v>35427</v>
      </c>
      <c r="J858">
        <v>152</v>
      </c>
      <c r="K858">
        <f>tblSales[[#This Row],[Sales]]-tblSales[[#This Row],[Budget]]</f>
        <v>-1531</v>
      </c>
      <c r="L858" s="3">
        <f>(tblSales[[#This Row],[Sales]]-tblSales[[#This Row],[Budget]])/tblSales[[#This Row],[Budget]]</f>
        <v>-4.3215626499562482E-2</v>
      </c>
      <c r="M858" s="2">
        <f>tblSales[[#This Row],[Sales]]/tblSales[[#This Row],[Transactions]]</f>
        <v>223</v>
      </c>
    </row>
    <row r="859" spans="1:13" x14ac:dyDescent="0.25">
      <c r="A859" s="1">
        <v>46065</v>
      </c>
      <c r="B859" t="s">
        <v>28</v>
      </c>
      <c r="C859" t="s">
        <v>19</v>
      </c>
      <c r="D859" t="str">
        <f>_xlfn.XLOOKUP(tblSales[[#This Row],[Store ID]],tblStores[Store ID],tblStores[Store Name])</f>
        <v>Bloemfontein</v>
      </c>
      <c r="E859" t="str">
        <f>_xlfn.XLOOKUP(tblSales[[#This Row],[Store ID]],tblStores[Store ID],tblStores[Province])</f>
        <v>Free State</v>
      </c>
      <c r="F859" t="str">
        <f>_xlfn.XLOOKUP(tblSales[[#This Row],[Store ID]],tblStores[Store ID],tblStores[Manager])</f>
        <v>Rachel Moore</v>
      </c>
      <c r="G859" t="str">
        <f>_xlfn.XLOOKUP(tblSales[[#This Row],[Category ID]],tblCategories[Category ID],tblCategories[Category])</f>
        <v>Accessories</v>
      </c>
      <c r="H859">
        <v>34914</v>
      </c>
      <c r="I859">
        <v>38579</v>
      </c>
      <c r="J859">
        <v>69</v>
      </c>
      <c r="K859">
        <f>tblSales[[#This Row],[Sales]]-tblSales[[#This Row],[Budget]]</f>
        <v>-3665</v>
      </c>
      <c r="L859" s="3">
        <f>(tblSales[[#This Row],[Sales]]-tblSales[[#This Row],[Budget]])/tblSales[[#This Row],[Budget]]</f>
        <v>-9.499987039581119E-2</v>
      </c>
      <c r="M859" s="2">
        <f>tblSales[[#This Row],[Sales]]/tblSales[[#This Row],[Transactions]]</f>
        <v>506</v>
      </c>
    </row>
    <row r="860" spans="1:13" x14ac:dyDescent="0.25">
      <c r="A860" s="1">
        <v>46065</v>
      </c>
      <c r="B860" t="s">
        <v>29</v>
      </c>
      <c r="C860" t="s">
        <v>7</v>
      </c>
      <c r="D860" t="str">
        <f>_xlfn.XLOOKUP(tblSales[[#This Row],[Store ID]],tblStores[Store ID],tblStores[Store Name])</f>
        <v>Polokwane</v>
      </c>
      <c r="E860" t="str">
        <f>_xlfn.XLOOKUP(tblSales[[#This Row],[Store ID]],tblStores[Store ID],tblStores[Province])</f>
        <v>Limpopo</v>
      </c>
      <c r="F860" t="str">
        <f>_xlfn.XLOOKUP(tblSales[[#This Row],[Store ID]],tblStores[Store ID],tblStores[Manager])</f>
        <v>Kevin Harris</v>
      </c>
      <c r="G860" t="str">
        <f>_xlfn.XLOOKUP(tblSales[[#This Row],[Category ID]],tblCategories[Category ID],tblCategories[Category])</f>
        <v>Menswear</v>
      </c>
      <c r="H860">
        <v>87420</v>
      </c>
      <c r="I860">
        <v>80039</v>
      </c>
      <c r="J860">
        <v>186</v>
      </c>
      <c r="K860">
        <f>tblSales[[#This Row],[Sales]]-tblSales[[#This Row],[Budget]]</f>
        <v>7381</v>
      </c>
      <c r="L860" s="3">
        <f>(tblSales[[#This Row],[Sales]]-tblSales[[#This Row],[Budget]])/tblSales[[#This Row],[Budget]]</f>
        <v>9.2217543947325675E-2</v>
      </c>
      <c r="M860" s="2">
        <f>tblSales[[#This Row],[Sales]]/tblSales[[#This Row],[Transactions]]</f>
        <v>470</v>
      </c>
    </row>
    <row r="861" spans="1:13" x14ac:dyDescent="0.25">
      <c r="A861" s="1">
        <v>46065</v>
      </c>
      <c r="B861" t="s">
        <v>30</v>
      </c>
      <c r="C861" t="s">
        <v>9</v>
      </c>
      <c r="D861" t="str">
        <f>_xlfn.XLOOKUP(tblSales[[#This Row],[Store ID]],tblStores[Store ID],tblStores[Store Name])</f>
        <v>Nelspruit</v>
      </c>
      <c r="E861" t="str">
        <f>_xlfn.XLOOKUP(tblSales[[#This Row],[Store ID]],tblStores[Store ID],tblStores[Province])</f>
        <v>Mpumalanga</v>
      </c>
      <c r="F861" t="str">
        <f>_xlfn.XLOOKUP(tblSales[[#This Row],[Store ID]],tblStores[Store ID],tblStores[Manager])</f>
        <v>Olivia Turner</v>
      </c>
      <c r="G861" t="str">
        <f>_xlfn.XLOOKUP(tblSales[[#This Row],[Category ID]],tblCategories[Category ID],tblCategories[Category])</f>
        <v>Ladieswear</v>
      </c>
      <c r="H861">
        <v>31255</v>
      </c>
      <c r="I861">
        <v>30168</v>
      </c>
      <c r="J861">
        <v>95</v>
      </c>
      <c r="K861">
        <f>tblSales[[#This Row],[Sales]]-tblSales[[#This Row],[Budget]]</f>
        <v>1087</v>
      </c>
      <c r="L861" s="3">
        <f>(tblSales[[#This Row],[Sales]]-tblSales[[#This Row],[Budget]])/tblSales[[#This Row],[Budget]]</f>
        <v>3.6031556616282157E-2</v>
      </c>
      <c r="M861" s="2">
        <f>tblSales[[#This Row],[Sales]]/tblSales[[#This Row],[Transactions]]</f>
        <v>329</v>
      </c>
    </row>
    <row r="862" spans="1:13" x14ac:dyDescent="0.25">
      <c r="A862" s="1">
        <v>46066</v>
      </c>
      <c r="B862" t="s">
        <v>6</v>
      </c>
      <c r="C862" t="s">
        <v>22</v>
      </c>
      <c r="D862" t="str">
        <f>_xlfn.XLOOKUP(tblSales[[#This Row],[Store ID]],tblStores[Store ID],tblStores[Store Name])</f>
        <v>Durban CBD</v>
      </c>
      <c r="E862" t="str">
        <f>_xlfn.XLOOKUP(tblSales[[#This Row],[Store ID]],tblStores[Store ID],tblStores[Province])</f>
        <v>KZN</v>
      </c>
      <c r="F862" t="str">
        <f>_xlfn.XLOOKUP(tblSales[[#This Row],[Store ID]],tblStores[Store ID],tblStores[Manager])</f>
        <v>Sarah Adams</v>
      </c>
      <c r="G862" t="str">
        <f>_xlfn.XLOOKUP(tblSales[[#This Row],[Category ID]],tblCategories[Category ID],tblCategories[Category])</f>
        <v>Kids</v>
      </c>
      <c r="H862">
        <v>46845</v>
      </c>
      <c r="I862">
        <v>45885</v>
      </c>
      <c r="J862">
        <v>135</v>
      </c>
      <c r="K862">
        <f>tblSales[[#This Row],[Sales]]-tblSales[[#This Row],[Budget]]</f>
        <v>960</v>
      </c>
      <c r="L862" s="3">
        <f>(tblSales[[#This Row],[Sales]]-tblSales[[#This Row],[Budget]])/tblSales[[#This Row],[Budget]]</f>
        <v>2.0921869892121608E-2</v>
      </c>
      <c r="M862" s="2">
        <f>tblSales[[#This Row],[Sales]]/tblSales[[#This Row],[Transactions]]</f>
        <v>347</v>
      </c>
    </row>
    <row r="863" spans="1:13" x14ac:dyDescent="0.25">
      <c r="A863" s="1">
        <v>46066</v>
      </c>
      <c r="B863" t="s">
        <v>8</v>
      </c>
      <c r="C863" t="s">
        <v>22</v>
      </c>
      <c r="D863" t="str">
        <f>_xlfn.XLOOKUP(tblSales[[#This Row],[Store ID]],tblStores[Store ID],tblStores[Store Name])</f>
        <v>Gateway</v>
      </c>
      <c r="E863" t="str">
        <f>_xlfn.XLOOKUP(tblSales[[#This Row],[Store ID]],tblStores[Store ID],tblStores[Province])</f>
        <v>KZN</v>
      </c>
      <c r="F863" t="str">
        <f>_xlfn.XLOOKUP(tblSales[[#This Row],[Store ID]],tblStores[Store ID],tblStores[Manager])</f>
        <v>Michael Jones</v>
      </c>
      <c r="G863" t="str">
        <f>_xlfn.XLOOKUP(tblSales[[#This Row],[Category ID]],tblCategories[Category ID],tblCategories[Category])</f>
        <v>Kids</v>
      </c>
      <c r="H863">
        <v>20492</v>
      </c>
      <c r="I863">
        <v>23276</v>
      </c>
      <c r="J863">
        <v>94</v>
      </c>
      <c r="K863">
        <f>tblSales[[#This Row],[Sales]]-tblSales[[#This Row],[Budget]]</f>
        <v>-2784</v>
      </c>
      <c r="L863" s="3">
        <f>(tblSales[[#This Row],[Sales]]-tblSales[[#This Row],[Budget]])/tblSales[[#This Row],[Budget]]</f>
        <v>-0.11960818009967349</v>
      </c>
      <c r="M863" s="2">
        <f>tblSales[[#This Row],[Sales]]/tblSales[[#This Row],[Transactions]]</f>
        <v>218</v>
      </c>
    </row>
    <row r="864" spans="1:13" x14ac:dyDescent="0.25">
      <c r="A864" s="1">
        <v>46066</v>
      </c>
      <c r="B864" t="s">
        <v>10</v>
      </c>
      <c r="C864" t="s">
        <v>9</v>
      </c>
      <c r="D864" t="str">
        <f>_xlfn.XLOOKUP(tblSales[[#This Row],[Store ID]],tblStores[Store ID],tblStores[Store Name])</f>
        <v>Ballito</v>
      </c>
      <c r="E864" t="str">
        <f>_xlfn.XLOOKUP(tblSales[[#This Row],[Store ID]],tblStores[Store ID],tblStores[Province])</f>
        <v>KZN</v>
      </c>
      <c r="F864" t="str">
        <f>_xlfn.XLOOKUP(tblSales[[#This Row],[Store ID]],tblStores[Store ID],tblStores[Manager])</f>
        <v>Linda Smith</v>
      </c>
      <c r="G864" t="str">
        <f>_xlfn.XLOOKUP(tblSales[[#This Row],[Category ID]],tblCategories[Category ID],tblCategories[Category])</f>
        <v>Ladieswear</v>
      </c>
      <c r="H864">
        <v>43240</v>
      </c>
      <c r="I864">
        <v>40595</v>
      </c>
      <c r="J864">
        <v>184</v>
      </c>
      <c r="K864">
        <f>tblSales[[#This Row],[Sales]]-tblSales[[#This Row],[Budget]]</f>
        <v>2645</v>
      </c>
      <c r="L864" s="3">
        <f>(tblSales[[#This Row],[Sales]]-tblSales[[#This Row],[Budget]])/tblSales[[#This Row],[Budget]]</f>
        <v>6.5155807365439092E-2</v>
      </c>
      <c r="M864" s="2">
        <f>tblSales[[#This Row],[Sales]]/tblSales[[#This Row],[Transactions]]</f>
        <v>235</v>
      </c>
    </row>
    <row r="865" spans="1:13" x14ac:dyDescent="0.25">
      <c r="A865" s="1">
        <v>46066</v>
      </c>
      <c r="B865" t="s">
        <v>12</v>
      </c>
      <c r="C865" t="s">
        <v>9</v>
      </c>
      <c r="D865" t="str">
        <f>_xlfn.XLOOKUP(tblSales[[#This Row],[Store ID]],tblStores[Store ID],tblStores[Store Name])</f>
        <v>Pietermaritzburg</v>
      </c>
      <c r="E865" t="str">
        <f>_xlfn.XLOOKUP(tblSales[[#This Row],[Store ID]],tblStores[Store ID],tblStores[Province])</f>
        <v>KZN</v>
      </c>
      <c r="F865" t="str">
        <f>_xlfn.XLOOKUP(tblSales[[#This Row],[Store ID]],tblStores[Store ID],tblStores[Manager])</f>
        <v>Peter Brown</v>
      </c>
      <c r="G865" t="str">
        <f>_xlfn.XLOOKUP(tblSales[[#This Row],[Category ID]],tblCategories[Category ID],tblCategories[Category])</f>
        <v>Ladieswear</v>
      </c>
      <c r="H865">
        <v>62700</v>
      </c>
      <c r="I865">
        <v>61352</v>
      </c>
      <c r="J865">
        <v>150</v>
      </c>
      <c r="K865">
        <f>tblSales[[#This Row],[Sales]]-tblSales[[#This Row],[Budget]]</f>
        <v>1348</v>
      </c>
      <c r="L865" s="3">
        <f>(tblSales[[#This Row],[Sales]]-tblSales[[#This Row],[Budget]])/tblSales[[#This Row],[Budget]]</f>
        <v>2.1971573868822532E-2</v>
      </c>
      <c r="M865" s="2">
        <f>tblSales[[#This Row],[Sales]]/tblSales[[#This Row],[Transactions]]</f>
        <v>418</v>
      </c>
    </row>
    <row r="866" spans="1:13" x14ac:dyDescent="0.25">
      <c r="A866" s="1">
        <v>46066</v>
      </c>
      <c r="B866" t="s">
        <v>13</v>
      </c>
      <c r="C866" t="s">
        <v>7</v>
      </c>
      <c r="D866" t="str">
        <f>_xlfn.XLOOKUP(tblSales[[#This Row],[Store ID]],tblStores[Store ID],tblStores[Store Name])</f>
        <v>Richards Bay</v>
      </c>
      <c r="E866" t="str">
        <f>_xlfn.XLOOKUP(tblSales[[#This Row],[Store ID]],tblStores[Store ID],tblStores[Province])</f>
        <v>KZN</v>
      </c>
      <c r="F866" t="str">
        <f>_xlfn.XLOOKUP(tblSales[[#This Row],[Store ID]],tblStores[Store ID],tblStores[Manager])</f>
        <v>David Green</v>
      </c>
      <c r="G866" t="str">
        <f>_xlfn.XLOOKUP(tblSales[[#This Row],[Category ID]],tblCategories[Category ID],tblCategories[Category])</f>
        <v>Menswear</v>
      </c>
      <c r="H866">
        <v>62436</v>
      </c>
      <c r="I866">
        <v>71249</v>
      </c>
      <c r="J866">
        <v>172</v>
      </c>
      <c r="K866">
        <f>tblSales[[#This Row],[Sales]]-tblSales[[#This Row],[Budget]]</f>
        <v>-8813</v>
      </c>
      <c r="L866" s="3">
        <f>(tblSales[[#This Row],[Sales]]-tblSales[[#This Row],[Budget]])/tblSales[[#This Row],[Budget]]</f>
        <v>-0.12369296411177701</v>
      </c>
      <c r="M866" s="2">
        <f>tblSales[[#This Row],[Sales]]/tblSales[[#This Row],[Transactions]]</f>
        <v>363</v>
      </c>
    </row>
    <row r="867" spans="1:13" x14ac:dyDescent="0.25">
      <c r="A867" s="1">
        <v>46066</v>
      </c>
      <c r="B867" t="s">
        <v>14</v>
      </c>
      <c r="C867" t="s">
        <v>9</v>
      </c>
      <c r="D867" t="str">
        <f>_xlfn.XLOOKUP(tblSales[[#This Row],[Store ID]],tblStores[Store ID],tblStores[Store Name])</f>
        <v>Sandton</v>
      </c>
      <c r="E867" t="str">
        <f>_xlfn.XLOOKUP(tblSales[[#This Row],[Store ID]],tblStores[Store ID],tblStores[Province])</f>
        <v>Gauteng</v>
      </c>
      <c r="F867" t="str">
        <f>_xlfn.XLOOKUP(tblSales[[#This Row],[Store ID]],tblStores[Store ID],tblStores[Manager])</f>
        <v>Karen White</v>
      </c>
      <c r="G867" t="str">
        <f>_xlfn.XLOOKUP(tblSales[[#This Row],[Category ID]],tblCategories[Category ID],tblCategories[Category])</f>
        <v>Ladieswear</v>
      </c>
      <c r="H867">
        <v>50550</v>
      </c>
      <c r="I867">
        <v>51350</v>
      </c>
      <c r="J867">
        <v>150</v>
      </c>
      <c r="K867">
        <f>tblSales[[#This Row],[Sales]]-tblSales[[#This Row],[Budget]]</f>
        <v>-800</v>
      </c>
      <c r="L867" s="3">
        <f>(tblSales[[#This Row],[Sales]]-tblSales[[#This Row],[Budget]])/tblSales[[#This Row],[Budget]]</f>
        <v>-1.5579357351509251E-2</v>
      </c>
      <c r="M867" s="2">
        <f>tblSales[[#This Row],[Sales]]/tblSales[[#This Row],[Transactions]]</f>
        <v>337</v>
      </c>
    </row>
    <row r="868" spans="1:13" x14ac:dyDescent="0.25">
      <c r="A868" s="1">
        <v>46066</v>
      </c>
      <c r="B868" t="s">
        <v>15</v>
      </c>
      <c r="C868" t="s">
        <v>7</v>
      </c>
      <c r="D868" t="str">
        <f>_xlfn.XLOOKUP(tblSales[[#This Row],[Store ID]],tblStores[Store ID],tblStores[Store Name])</f>
        <v>Rosebank</v>
      </c>
      <c r="E868" t="str">
        <f>_xlfn.XLOOKUP(tblSales[[#This Row],[Store ID]],tblStores[Store ID],tblStores[Province])</f>
        <v>Gauteng</v>
      </c>
      <c r="F868" t="str">
        <f>_xlfn.XLOOKUP(tblSales[[#This Row],[Store ID]],tblStores[Store ID],tblStores[Manager])</f>
        <v>James Taylor</v>
      </c>
      <c r="G868" t="str">
        <f>_xlfn.XLOOKUP(tblSales[[#This Row],[Category ID]],tblCategories[Category ID],tblCategories[Category])</f>
        <v>Menswear</v>
      </c>
      <c r="H868">
        <v>15080</v>
      </c>
      <c r="I868">
        <v>16616</v>
      </c>
      <c r="J868">
        <v>58</v>
      </c>
      <c r="K868">
        <f>tblSales[[#This Row],[Sales]]-tblSales[[#This Row],[Budget]]</f>
        <v>-1536</v>
      </c>
      <c r="L868" s="3">
        <f>(tblSales[[#This Row],[Sales]]-tblSales[[#This Row],[Budget]])/tblSales[[#This Row],[Budget]]</f>
        <v>-9.244102070293693E-2</v>
      </c>
      <c r="M868" s="2">
        <f>tblSales[[#This Row],[Sales]]/tblSales[[#This Row],[Transactions]]</f>
        <v>260</v>
      </c>
    </row>
    <row r="869" spans="1:13" x14ac:dyDescent="0.25">
      <c r="A869" s="1">
        <v>46066</v>
      </c>
      <c r="B869" t="s">
        <v>16</v>
      </c>
      <c r="C869" t="s">
        <v>22</v>
      </c>
      <c r="D869" t="str">
        <f>_xlfn.XLOOKUP(tblSales[[#This Row],[Store ID]],tblStores[Store ID],tblStores[Store Name])</f>
        <v>Pretoria</v>
      </c>
      <c r="E869" t="str">
        <f>_xlfn.XLOOKUP(tblSales[[#This Row],[Store ID]],tblStores[Store ID],tblStores[Province])</f>
        <v>Gauteng</v>
      </c>
      <c r="F869" t="str">
        <f>_xlfn.XLOOKUP(tblSales[[#This Row],[Store ID]],tblStores[Store ID],tblStores[Manager])</f>
        <v>Susan Clark</v>
      </c>
      <c r="G869" t="str">
        <f>_xlfn.XLOOKUP(tblSales[[#This Row],[Category ID]],tblCategories[Category ID],tblCategories[Category])</f>
        <v>Kids</v>
      </c>
      <c r="H869">
        <v>104920</v>
      </c>
      <c r="I869">
        <v>95485</v>
      </c>
      <c r="J869">
        <v>215</v>
      </c>
      <c r="K869">
        <f>tblSales[[#This Row],[Sales]]-tblSales[[#This Row],[Budget]]</f>
        <v>9435</v>
      </c>
      <c r="L869" s="3">
        <f>(tblSales[[#This Row],[Sales]]-tblSales[[#This Row],[Budget]])/tblSales[[#This Row],[Budget]]</f>
        <v>9.8811331622767978E-2</v>
      </c>
      <c r="M869" s="2">
        <f>tblSales[[#This Row],[Sales]]/tblSales[[#This Row],[Transactions]]</f>
        <v>488</v>
      </c>
    </row>
    <row r="870" spans="1:13" x14ac:dyDescent="0.25">
      <c r="A870" s="1">
        <v>46066</v>
      </c>
      <c r="B870" t="s">
        <v>17</v>
      </c>
      <c r="C870" t="s">
        <v>22</v>
      </c>
      <c r="D870" t="str">
        <f>_xlfn.XLOOKUP(tblSales[[#This Row],[Store ID]],tblStores[Store ID],tblStores[Store Name])</f>
        <v>Centurion</v>
      </c>
      <c r="E870" t="str">
        <f>_xlfn.XLOOKUP(tblSales[[#This Row],[Store ID]],tblStores[Store ID],tblStores[Province])</f>
        <v>Gauteng</v>
      </c>
      <c r="F870" t="str">
        <f>_xlfn.XLOOKUP(tblSales[[#This Row],[Store ID]],tblStores[Store ID],tblStores[Manager])</f>
        <v>Mark Wilson</v>
      </c>
      <c r="G870" t="str">
        <f>_xlfn.XLOOKUP(tblSales[[#This Row],[Category ID]],tblCategories[Category ID],tblCategories[Category])</f>
        <v>Kids</v>
      </c>
      <c r="H870">
        <v>16272</v>
      </c>
      <c r="I870">
        <v>17537</v>
      </c>
      <c r="J870">
        <v>72</v>
      </c>
      <c r="K870">
        <f>tblSales[[#This Row],[Sales]]-tblSales[[#This Row],[Budget]]</f>
        <v>-1265</v>
      </c>
      <c r="L870" s="3">
        <f>(tblSales[[#This Row],[Sales]]-tblSales[[#This Row],[Budget]])/tblSales[[#This Row],[Budget]]</f>
        <v>-7.2133204082796373E-2</v>
      </c>
      <c r="M870" s="2">
        <f>tblSales[[#This Row],[Sales]]/tblSales[[#This Row],[Transactions]]</f>
        <v>226</v>
      </c>
    </row>
    <row r="871" spans="1:13" x14ac:dyDescent="0.25">
      <c r="A871" s="1">
        <v>46066</v>
      </c>
      <c r="B871" t="s">
        <v>18</v>
      </c>
      <c r="C871" t="s">
        <v>22</v>
      </c>
      <c r="D871" t="str">
        <f>_xlfn.XLOOKUP(tblSales[[#This Row],[Store ID]],tblStores[Store ID],tblStores[Store Name])</f>
        <v>East Rand</v>
      </c>
      <c r="E871" t="str">
        <f>_xlfn.XLOOKUP(tblSales[[#This Row],[Store ID]],tblStores[Store ID],tblStores[Province])</f>
        <v>Gauteng</v>
      </c>
      <c r="F871" t="str">
        <f>_xlfn.XLOOKUP(tblSales[[#This Row],[Store ID]],tblStores[Store ID],tblStores[Manager])</f>
        <v>Lisa Young</v>
      </c>
      <c r="G871" t="str">
        <f>_xlfn.XLOOKUP(tblSales[[#This Row],[Category ID]],tblCategories[Category ID],tblCategories[Category])</f>
        <v>Kids</v>
      </c>
      <c r="H871">
        <v>60112</v>
      </c>
      <c r="I871">
        <v>54836</v>
      </c>
      <c r="J871">
        <v>136</v>
      </c>
      <c r="K871">
        <f>tblSales[[#This Row],[Sales]]-tblSales[[#This Row],[Budget]]</f>
        <v>5276</v>
      </c>
      <c r="L871" s="3">
        <f>(tblSales[[#This Row],[Sales]]-tblSales[[#This Row],[Budget]])/tblSales[[#This Row],[Budget]]</f>
        <v>9.6214165876431543E-2</v>
      </c>
      <c r="M871" s="2">
        <f>tblSales[[#This Row],[Sales]]/tblSales[[#This Row],[Transactions]]</f>
        <v>442</v>
      </c>
    </row>
    <row r="872" spans="1:13" x14ac:dyDescent="0.25">
      <c r="A872" s="1">
        <v>46066</v>
      </c>
      <c r="B872" t="s">
        <v>20</v>
      </c>
      <c r="C872" t="s">
        <v>22</v>
      </c>
      <c r="D872" t="str">
        <f>_xlfn.XLOOKUP(tblSales[[#This Row],[Store ID]],tblStores[Store ID],tblStores[Store Name])</f>
        <v>Cape Town CBD</v>
      </c>
      <c r="E872" t="str">
        <f>_xlfn.XLOOKUP(tblSales[[#This Row],[Store ID]],tblStores[Store ID],tblStores[Province])</f>
        <v>Western Cape</v>
      </c>
      <c r="F872" t="str">
        <f>_xlfn.XLOOKUP(tblSales[[#This Row],[Store ID]],tblStores[Store ID],tblStores[Manager])</f>
        <v>Brian Hall</v>
      </c>
      <c r="G872" t="str">
        <f>_xlfn.XLOOKUP(tblSales[[#This Row],[Category ID]],tblCategories[Category ID],tblCategories[Category])</f>
        <v>Kids</v>
      </c>
      <c r="H872">
        <v>27169</v>
      </c>
      <c r="I872">
        <v>24663</v>
      </c>
      <c r="J872">
        <v>101</v>
      </c>
      <c r="K872">
        <f>tblSales[[#This Row],[Sales]]-tblSales[[#This Row],[Budget]]</f>
        <v>2506</v>
      </c>
      <c r="L872" s="3">
        <f>(tblSales[[#This Row],[Sales]]-tblSales[[#This Row],[Budget]])/tblSales[[#This Row],[Budget]]</f>
        <v>0.10160969873900175</v>
      </c>
      <c r="M872" s="2">
        <f>tblSales[[#This Row],[Sales]]/tblSales[[#This Row],[Transactions]]</f>
        <v>269</v>
      </c>
    </row>
    <row r="873" spans="1:13" x14ac:dyDescent="0.25">
      <c r="A873" s="1">
        <v>46066</v>
      </c>
      <c r="B873" t="s">
        <v>21</v>
      </c>
      <c r="C873" t="s">
        <v>11</v>
      </c>
      <c r="D873" t="str">
        <f>_xlfn.XLOOKUP(tblSales[[#This Row],[Store ID]],tblStores[Store ID],tblStores[Store Name])</f>
        <v>Canal Walk</v>
      </c>
      <c r="E873" t="str">
        <f>_xlfn.XLOOKUP(tblSales[[#This Row],[Store ID]],tblStores[Store ID],tblStores[Province])</f>
        <v>Western Cape</v>
      </c>
      <c r="F873" t="str">
        <f>_xlfn.XLOOKUP(tblSales[[#This Row],[Store ID]],tblStores[Store ID],tblStores[Manager])</f>
        <v>Megan Scott</v>
      </c>
      <c r="G873" t="str">
        <f>_xlfn.XLOOKUP(tblSales[[#This Row],[Category ID]],tblCategories[Category ID],tblCategories[Category])</f>
        <v>Footwear</v>
      </c>
      <c r="H873">
        <v>69600</v>
      </c>
      <c r="I873">
        <v>75656</v>
      </c>
      <c r="J873">
        <v>150</v>
      </c>
      <c r="K873">
        <f>tblSales[[#This Row],[Sales]]-tblSales[[#This Row],[Budget]]</f>
        <v>-6056</v>
      </c>
      <c r="L873" s="3">
        <f>(tblSales[[#This Row],[Sales]]-tblSales[[#This Row],[Budget]])/tblSales[[#This Row],[Budget]]</f>
        <v>-8.0046526382573757E-2</v>
      </c>
      <c r="M873" s="2">
        <f>tblSales[[#This Row],[Sales]]/tblSales[[#This Row],[Transactions]]</f>
        <v>464</v>
      </c>
    </row>
    <row r="874" spans="1:13" x14ac:dyDescent="0.25">
      <c r="A874" s="1">
        <v>46066</v>
      </c>
      <c r="B874" t="s">
        <v>23</v>
      </c>
      <c r="C874" t="s">
        <v>9</v>
      </c>
      <c r="D874" t="str">
        <f>_xlfn.XLOOKUP(tblSales[[#This Row],[Store ID]],tblStores[Store ID],tblStores[Store Name])</f>
        <v>Stellenbosch</v>
      </c>
      <c r="E874" t="str">
        <f>_xlfn.XLOOKUP(tblSales[[#This Row],[Store ID]],tblStores[Store ID],tblStores[Province])</f>
        <v>Western Cape</v>
      </c>
      <c r="F874" t="str">
        <f>_xlfn.XLOOKUP(tblSales[[#This Row],[Store ID]],tblStores[Store ID],tblStores[Manager])</f>
        <v>Jason King</v>
      </c>
      <c r="G874" t="str">
        <f>_xlfn.XLOOKUP(tblSales[[#This Row],[Category ID]],tblCategories[Category ID],tblCategories[Category])</f>
        <v>Ladieswear</v>
      </c>
      <c r="H874">
        <v>24544</v>
      </c>
      <c r="I874">
        <v>22714</v>
      </c>
      <c r="J874">
        <v>59</v>
      </c>
      <c r="K874">
        <f>tblSales[[#This Row],[Sales]]-tblSales[[#This Row],[Budget]]</f>
        <v>1830</v>
      </c>
      <c r="L874" s="3">
        <f>(tblSales[[#This Row],[Sales]]-tblSales[[#This Row],[Budget]])/tblSales[[#This Row],[Budget]]</f>
        <v>8.0567051157876199E-2</v>
      </c>
      <c r="M874" s="2">
        <f>tblSales[[#This Row],[Sales]]/tblSales[[#This Row],[Transactions]]</f>
        <v>416</v>
      </c>
    </row>
    <row r="875" spans="1:13" x14ac:dyDescent="0.25">
      <c r="A875" s="1">
        <v>46066</v>
      </c>
      <c r="B875" t="s">
        <v>24</v>
      </c>
      <c r="C875" t="s">
        <v>9</v>
      </c>
      <c r="D875" t="str">
        <f>_xlfn.XLOOKUP(tblSales[[#This Row],[Store ID]],tblStores[Store ID],tblStores[Store Name])</f>
        <v>George</v>
      </c>
      <c r="E875" t="str">
        <f>_xlfn.XLOOKUP(tblSales[[#This Row],[Store ID]],tblStores[Store ID],tblStores[Province])</f>
        <v>Western Cape</v>
      </c>
      <c r="F875" t="str">
        <f>_xlfn.XLOOKUP(tblSales[[#This Row],[Store ID]],tblStores[Store ID],tblStores[Manager])</f>
        <v>Chloe Hill</v>
      </c>
      <c r="G875" t="str">
        <f>_xlfn.XLOOKUP(tblSales[[#This Row],[Category ID]],tblCategories[Category ID],tblCategories[Category])</f>
        <v>Ladieswear</v>
      </c>
      <c r="H875">
        <v>12276</v>
      </c>
      <c r="I875">
        <v>11237</v>
      </c>
      <c r="J875">
        <v>66</v>
      </c>
      <c r="K875">
        <f>tblSales[[#This Row],[Sales]]-tblSales[[#This Row],[Budget]]</f>
        <v>1039</v>
      </c>
      <c r="L875" s="3">
        <f>(tblSales[[#This Row],[Sales]]-tblSales[[#This Row],[Budget]])/tblSales[[#This Row],[Budget]]</f>
        <v>9.24624009967073E-2</v>
      </c>
      <c r="M875" s="2">
        <f>tblSales[[#This Row],[Sales]]/tblSales[[#This Row],[Transactions]]</f>
        <v>186</v>
      </c>
    </row>
    <row r="876" spans="1:13" x14ac:dyDescent="0.25">
      <c r="A876" s="1">
        <v>46066</v>
      </c>
      <c r="B876" t="s">
        <v>25</v>
      </c>
      <c r="C876" t="s">
        <v>9</v>
      </c>
      <c r="D876" t="str">
        <f>_xlfn.XLOOKUP(tblSales[[#This Row],[Store ID]],tblStores[Store ID],tblStores[Store Name])</f>
        <v>Paarl</v>
      </c>
      <c r="E876" t="str">
        <f>_xlfn.XLOOKUP(tblSales[[#This Row],[Store ID]],tblStores[Store ID],tblStores[Province])</f>
        <v>Western Cape</v>
      </c>
      <c r="F876" t="str">
        <f>_xlfn.XLOOKUP(tblSales[[#This Row],[Store ID]],tblStores[Store ID],tblStores[Manager])</f>
        <v>Andrew Lee</v>
      </c>
      <c r="G876" t="str">
        <f>_xlfn.XLOOKUP(tblSales[[#This Row],[Category ID]],tblCategories[Category ID],tblCategories[Category])</f>
        <v>Ladieswear</v>
      </c>
      <c r="H876">
        <v>19108</v>
      </c>
      <c r="I876">
        <v>21131</v>
      </c>
      <c r="J876">
        <v>68</v>
      </c>
      <c r="K876">
        <f>tblSales[[#This Row],[Sales]]-tblSales[[#This Row],[Budget]]</f>
        <v>-2023</v>
      </c>
      <c r="L876" s="3">
        <f>(tblSales[[#This Row],[Sales]]-tblSales[[#This Row],[Budget]])/tblSales[[#This Row],[Budget]]</f>
        <v>-9.5736122284794847E-2</v>
      </c>
      <c r="M876" s="2">
        <f>tblSales[[#This Row],[Sales]]/tblSales[[#This Row],[Transactions]]</f>
        <v>281</v>
      </c>
    </row>
    <row r="877" spans="1:13" x14ac:dyDescent="0.25">
      <c r="A877" s="1">
        <v>46066</v>
      </c>
      <c r="B877" t="s">
        <v>26</v>
      </c>
      <c r="C877" t="s">
        <v>22</v>
      </c>
      <c r="D877" t="str">
        <f>_xlfn.XLOOKUP(tblSales[[#This Row],[Store ID]],tblStores[Store ID],tblStores[Store Name])</f>
        <v>Gqeberha</v>
      </c>
      <c r="E877" t="str">
        <f>_xlfn.XLOOKUP(tblSales[[#This Row],[Store ID]],tblStores[Store ID],tblStores[Province])</f>
        <v>Eastern Cape</v>
      </c>
      <c r="F877" t="str">
        <f>_xlfn.XLOOKUP(tblSales[[#This Row],[Store ID]],tblStores[Store ID],tblStores[Manager])</f>
        <v>Emma Baker</v>
      </c>
      <c r="G877" t="str">
        <f>_xlfn.XLOOKUP(tblSales[[#This Row],[Category ID]],tblCategories[Category ID],tblCategories[Category])</f>
        <v>Kids</v>
      </c>
      <c r="H877">
        <v>105420</v>
      </c>
      <c r="I877">
        <v>119587</v>
      </c>
      <c r="J877">
        <v>210</v>
      </c>
      <c r="K877">
        <f>tblSales[[#This Row],[Sales]]-tblSales[[#This Row],[Budget]]</f>
        <v>-14167</v>
      </c>
      <c r="L877" s="3">
        <f>(tblSales[[#This Row],[Sales]]-tblSales[[#This Row],[Budget]])/tblSales[[#This Row],[Budget]]</f>
        <v>-0.11846605400252536</v>
      </c>
      <c r="M877" s="2">
        <f>tblSales[[#This Row],[Sales]]/tblSales[[#This Row],[Transactions]]</f>
        <v>502</v>
      </c>
    </row>
    <row r="878" spans="1:13" x14ac:dyDescent="0.25">
      <c r="A878" s="1">
        <v>46066</v>
      </c>
      <c r="B878" t="s">
        <v>27</v>
      </c>
      <c r="C878" t="s">
        <v>7</v>
      </c>
      <c r="D878" t="str">
        <f>_xlfn.XLOOKUP(tblSales[[#This Row],[Store ID]],tblStores[Store ID],tblStores[Store Name])</f>
        <v>East London</v>
      </c>
      <c r="E878" t="str">
        <f>_xlfn.XLOOKUP(tblSales[[#This Row],[Store ID]],tblStores[Store ID],tblStores[Province])</f>
        <v>Eastern Cape</v>
      </c>
      <c r="F878" t="str">
        <f>_xlfn.XLOOKUP(tblSales[[#This Row],[Store ID]],tblStores[Store ID],tblStores[Manager])</f>
        <v>Daniel Evans</v>
      </c>
      <c r="G878" t="str">
        <f>_xlfn.XLOOKUP(tblSales[[#This Row],[Category ID]],tblCategories[Category ID],tblCategories[Category])</f>
        <v>Menswear</v>
      </c>
      <c r="H878">
        <v>88320</v>
      </c>
      <c r="I878">
        <v>85202</v>
      </c>
      <c r="J878">
        <v>184</v>
      </c>
      <c r="K878">
        <f>tblSales[[#This Row],[Sales]]-tblSales[[#This Row],[Budget]]</f>
        <v>3118</v>
      </c>
      <c r="L878" s="3">
        <f>(tblSales[[#This Row],[Sales]]-tblSales[[#This Row],[Budget]])/tblSales[[#This Row],[Budget]]</f>
        <v>3.6595385084857164E-2</v>
      </c>
      <c r="M878" s="2">
        <f>tblSales[[#This Row],[Sales]]/tblSales[[#This Row],[Transactions]]</f>
        <v>480</v>
      </c>
    </row>
    <row r="879" spans="1:13" x14ac:dyDescent="0.25">
      <c r="A879" s="1">
        <v>46066</v>
      </c>
      <c r="B879" t="s">
        <v>28</v>
      </c>
      <c r="C879" t="s">
        <v>7</v>
      </c>
      <c r="D879" t="str">
        <f>_xlfn.XLOOKUP(tblSales[[#This Row],[Store ID]],tblStores[Store ID],tblStores[Store Name])</f>
        <v>Bloemfontein</v>
      </c>
      <c r="E879" t="str">
        <f>_xlfn.XLOOKUP(tblSales[[#This Row],[Store ID]],tblStores[Store ID],tblStores[Province])</f>
        <v>Free State</v>
      </c>
      <c r="F879" t="str">
        <f>_xlfn.XLOOKUP(tblSales[[#This Row],[Store ID]],tblStores[Store ID],tblStores[Manager])</f>
        <v>Rachel Moore</v>
      </c>
      <c r="G879" t="str">
        <f>_xlfn.XLOOKUP(tblSales[[#This Row],[Category ID]],tblCategories[Category ID],tblCategories[Category])</f>
        <v>Menswear</v>
      </c>
      <c r="H879">
        <v>8520</v>
      </c>
      <c r="I879">
        <v>8089</v>
      </c>
      <c r="J879">
        <v>40</v>
      </c>
      <c r="K879">
        <f>tblSales[[#This Row],[Sales]]-tblSales[[#This Row],[Budget]]</f>
        <v>431</v>
      </c>
      <c r="L879" s="3">
        <f>(tblSales[[#This Row],[Sales]]-tblSales[[#This Row],[Budget]])/tblSales[[#This Row],[Budget]]</f>
        <v>5.3282235134132772E-2</v>
      </c>
      <c r="M879" s="2">
        <f>tblSales[[#This Row],[Sales]]/tblSales[[#This Row],[Transactions]]</f>
        <v>213</v>
      </c>
    </row>
    <row r="880" spans="1:13" x14ac:dyDescent="0.25">
      <c r="A880" s="1">
        <v>46066</v>
      </c>
      <c r="B880" t="s">
        <v>29</v>
      </c>
      <c r="C880" t="s">
        <v>11</v>
      </c>
      <c r="D880" t="str">
        <f>_xlfn.XLOOKUP(tblSales[[#This Row],[Store ID]],tblStores[Store ID],tblStores[Store Name])</f>
        <v>Polokwane</v>
      </c>
      <c r="E880" t="str">
        <f>_xlfn.XLOOKUP(tblSales[[#This Row],[Store ID]],tblStores[Store ID],tblStores[Province])</f>
        <v>Limpopo</v>
      </c>
      <c r="F880" t="str">
        <f>_xlfn.XLOOKUP(tblSales[[#This Row],[Store ID]],tblStores[Store ID],tblStores[Manager])</f>
        <v>Kevin Harris</v>
      </c>
      <c r="G880" t="str">
        <f>_xlfn.XLOOKUP(tblSales[[#This Row],[Category ID]],tblCategories[Category ID],tblCategories[Category])</f>
        <v>Footwear</v>
      </c>
      <c r="H880">
        <v>15209</v>
      </c>
      <c r="I880">
        <v>17129</v>
      </c>
      <c r="J880">
        <v>67</v>
      </c>
      <c r="K880">
        <f>tblSales[[#This Row],[Sales]]-tblSales[[#This Row],[Budget]]</f>
        <v>-1920</v>
      </c>
      <c r="L880" s="3">
        <f>(tblSales[[#This Row],[Sales]]-tblSales[[#This Row],[Budget]])/tblSales[[#This Row],[Budget]]</f>
        <v>-0.11209060657364703</v>
      </c>
      <c r="M880" s="2">
        <f>tblSales[[#This Row],[Sales]]/tblSales[[#This Row],[Transactions]]</f>
        <v>227</v>
      </c>
    </row>
    <row r="881" spans="1:13" x14ac:dyDescent="0.25">
      <c r="A881" s="1">
        <v>46066</v>
      </c>
      <c r="B881" t="s">
        <v>30</v>
      </c>
      <c r="C881" t="s">
        <v>22</v>
      </c>
      <c r="D881" t="str">
        <f>_xlfn.XLOOKUP(tblSales[[#This Row],[Store ID]],tblStores[Store ID],tblStores[Store Name])</f>
        <v>Nelspruit</v>
      </c>
      <c r="E881" t="str">
        <f>_xlfn.XLOOKUP(tblSales[[#This Row],[Store ID]],tblStores[Store ID],tblStores[Province])</f>
        <v>Mpumalanga</v>
      </c>
      <c r="F881" t="str">
        <f>_xlfn.XLOOKUP(tblSales[[#This Row],[Store ID]],tblStores[Store ID],tblStores[Manager])</f>
        <v>Olivia Turner</v>
      </c>
      <c r="G881" t="str">
        <f>_xlfn.XLOOKUP(tblSales[[#This Row],[Category ID]],tblCategories[Category ID],tblCategories[Category])</f>
        <v>Kids</v>
      </c>
      <c r="H881">
        <v>13266</v>
      </c>
      <c r="I881">
        <v>15064</v>
      </c>
      <c r="J881">
        <v>66</v>
      </c>
      <c r="K881">
        <f>tblSales[[#This Row],[Sales]]-tblSales[[#This Row],[Budget]]</f>
        <v>-1798</v>
      </c>
      <c r="L881" s="3">
        <f>(tblSales[[#This Row],[Sales]]-tblSales[[#This Row],[Budget]])/tblSales[[#This Row],[Budget]]</f>
        <v>-0.11935740839086564</v>
      </c>
      <c r="M881" s="2">
        <f>tblSales[[#This Row],[Sales]]/tblSales[[#This Row],[Transactions]]</f>
        <v>201</v>
      </c>
    </row>
    <row r="882" spans="1:13" x14ac:dyDescent="0.25">
      <c r="A882" s="1">
        <v>46067</v>
      </c>
      <c r="B882" t="s">
        <v>6</v>
      </c>
      <c r="C882" t="s">
        <v>7</v>
      </c>
      <c r="D882" t="str">
        <f>_xlfn.XLOOKUP(tblSales[[#This Row],[Store ID]],tblStores[Store ID],tblStores[Store Name])</f>
        <v>Durban CBD</v>
      </c>
      <c r="E882" t="str">
        <f>_xlfn.XLOOKUP(tblSales[[#This Row],[Store ID]],tblStores[Store ID],tblStores[Province])</f>
        <v>KZN</v>
      </c>
      <c r="F882" t="str">
        <f>_xlfn.XLOOKUP(tblSales[[#This Row],[Store ID]],tblStores[Store ID],tblStores[Manager])</f>
        <v>Sarah Adams</v>
      </c>
      <c r="G882" t="str">
        <f>_xlfn.XLOOKUP(tblSales[[#This Row],[Category ID]],tblCategories[Category ID],tblCategories[Category])</f>
        <v>Menswear</v>
      </c>
      <c r="H882">
        <v>36894</v>
      </c>
      <c r="I882">
        <v>37199</v>
      </c>
      <c r="J882">
        <v>78</v>
      </c>
      <c r="K882">
        <f>tblSales[[#This Row],[Sales]]-tblSales[[#This Row],[Budget]]</f>
        <v>-305</v>
      </c>
      <c r="L882" s="3">
        <f>(tblSales[[#This Row],[Sales]]-tblSales[[#This Row],[Budget]])/tblSales[[#This Row],[Budget]]</f>
        <v>-8.1991451383101703E-3</v>
      </c>
      <c r="M882" s="2">
        <f>tblSales[[#This Row],[Sales]]/tblSales[[#This Row],[Transactions]]</f>
        <v>473</v>
      </c>
    </row>
    <row r="883" spans="1:13" x14ac:dyDescent="0.25">
      <c r="A883" s="1">
        <v>46067</v>
      </c>
      <c r="B883" t="s">
        <v>8</v>
      </c>
      <c r="C883" t="s">
        <v>11</v>
      </c>
      <c r="D883" t="str">
        <f>_xlfn.XLOOKUP(tblSales[[#This Row],[Store ID]],tblStores[Store ID],tblStores[Store Name])</f>
        <v>Gateway</v>
      </c>
      <c r="E883" t="str">
        <f>_xlfn.XLOOKUP(tblSales[[#This Row],[Store ID]],tblStores[Store ID],tblStores[Province])</f>
        <v>KZN</v>
      </c>
      <c r="F883" t="str">
        <f>_xlfn.XLOOKUP(tblSales[[#This Row],[Store ID]],tblStores[Store ID],tblStores[Manager])</f>
        <v>Michael Jones</v>
      </c>
      <c r="G883" t="str">
        <f>_xlfn.XLOOKUP(tblSales[[#This Row],[Category ID]],tblCategories[Category ID],tblCategories[Category])</f>
        <v>Footwear</v>
      </c>
      <c r="H883">
        <v>31590</v>
      </c>
      <c r="I883">
        <v>31453</v>
      </c>
      <c r="J883">
        <v>162</v>
      </c>
      <c r="K883">
        <f>tblSales[[#This Row],[Sales]]-tblSales[[#This Row],[Budget]]</f>
        <v>137</v>
      </c>
      <c r="L883" s="3">
        <f>(tblSales[[#This Row],[Sales]]-tblSales[[#This Row],[Budget]])/tblSales[[#This Row],[Budget]]</f>
        <v>4.3557053381235496E-3</v>
      </c>
      <c r="M883" s="2">
        <f>tblSales[[#This Row],[Sales]]/tblSales[[#This Row],[Transactions]]</f>
        <v>195</v>
      </c>
    </row>
    <row r="884" spans="1:13" x14ac:dyDescent="0.25">
      <c r="A884" s="1">
        <v>46067</v>
      </c>
      <c r="B884" t="s">
        <v>10</v>
      </c>
      <c r="C884" t="s">
        <v>11</v>
      </c>
      <c r="D884" t="str">
        <f>_xlfn.XLOOKUP(tblSales[[#This Row],[Store ID]],tblStores[Store ID],tblStores[Store Name])</f>
        <v>Ballito</v>
      </c>
      <c r="E884" t="str">
        <f>_xlfn.XLOOKUP(tblSales[[#This Row],[Store ID]],tblStores[Store ID],tblStores[Province])</f>
        <v>KZN</v>
      </c>
      <c r="F884" t="str">
        <f>_xlfn.XLOOKUP(tblSales[[#This Row],[Store ID]],tblStores[Store ID],tblStores[Manager])</f>
        <v>Linda Smith</v>
      </c>
      <c r="G884" t="str">
        <f>_xlfn.XLOOKUP(tblSales[[#This Row],[Category ID]],tblCategories[Category ID],tblCategories[Category])</f>
        <v>Footwear</v>
      </c>
      <c r="H884">
        <v>28519</v>
      </c>
      <c r="I884">
        <v>27197</v>
      </c>
      <c r="J884">
        <v>79</v>
      </c>
      <c r="K884">
        <f>tblSales[[#This Row],[Sales]]-tblSales[[#This Row],[Budget]]</f>
        <v>1322</v>
      </c>
      <c r="L884" s="3">
        <f>(tblSales[[#This Row],[Sales]]-tblSales[[#This Row],[Budget]])/tblSales[[#This Row],[Budget]]</f>
        <v>4.8608302386292608E-2</v>
      </c>
      <c r="M884" s="2">
        <f>tblSales[[#This Row],[Sales]]/tblSales[[#This Row],[Transactions]]</f>
        <v>361</v>
      </c>
    </row>
    <row r="885" spans="1:13" x14ac:dyDescent="0.25">
      <c r="A885" s="1">
        <v>46067</v>
      </c>
      <c r="B885" t="s">
        <v>12</v>
      </c>
      <c r="C885" t="s">
        <v>9</v>
      </c>
      <c r="D885" t="str">
        <f>_xlfn.XLOOKUP(tblSales[[#This Row],[Store ID]],tblStores[Store ID],tblStores[Store Name])</f>
        <v>Pietermaritzburg</v>
      </c>
      <c r="E885" t="str">
        <f>_xlfn.XLOOKUP(tblSales[[#This Row],[Store ID]],tblStores[Store ID],tblStores[Province])</f>
        <v>KZN</v>
      </c>
      <c r="F885" t="str">
        <f>_xlfn.XLOOKUP(tblSales[[#This Row],[Store ID]],tblStores[Store ID],tblStores[Manager])</f>
        <v>Peter Brown</v>
      </c>
      <c r="G885" t="str">
        <f>_xlfn.XLOOKUP(tblSales[[#This Row],[Category ID]],tblCategories[Category ID],tblCategories[Category])</f>
        <v>Ladieswear</v>
      </c>
      <c r="H885">
        <v>33915</v>
      </c>
      <c r="I885">
        <v>34305</v>
      </c>
      <c r="J885">
        <v>105</v>
      </c>
      <c r="K885">
        <f>tblSales[[#This Row],[Sales]]-tblSales[[#This Row],[Budget]]</f>
        <v>-390</v>
      </c>
      <c r="L885" s="3">
        <f>(tblSales[[#This Row],[Sales]]-tblSales[[#This Row],[Budget]])/tblSales[[#This Row],[Budget]]</f>
        <v>-1.1368605159597726E-2</v>
      </c>
      <c r="M885" s="2">
        <f>tblSales[[#This Row],[Sales]]/tblSales[[#This Row],[Transactions]]</f>
        <v>323</v>
      </c>
    </row>
    <row r="886" spans="1:13" x14ac:dyDescent="0.25">
      <c r="A886" s="1">
        <v>46067</v>
      </c>
      <c r="B886" t="s">
        <v>13</v>
      </c>
      <c r="C886" t="s">
        <v>9</v>
      </c>
      <c r="D886" t="str">
        <f>_xlfn.XLOOKUP(tblSales[[#This Row],[Store ID]],tblStores[Store ID],tblStores[Store Name])</f>
        <v>Richards Bay</v>
      </c>
      <c r="E886" t="str">
        <f>_xlfn.XLOOKUP(tblSales[[#This Row],[Store ID]],tblStores[Store ID],tblStores[Province])</f>
        <v>KZN</v>
      </c>
      <c r="F886" t="str">
        <f>_xlfn.XLOOKUP(tblSales[[#This Row],[Store ID]],tblStores[Store ID],tblStores[Manager])</f>
        <v>David Green</v>
      </c>
      <c r="G886" t="str">
        <f>_xlfn.XLOOKUP(tblSales[[#This Row],[Category ID]],tblCategories[Category ID],tblCategories[Category])</f>
        <v>Ladieswear</v>
      </c>
      <c r="H886">
        <v>21242</v>
      </c>
      <c r="I886">
        <v>22405</v>
      </c>
      <c r="J886">
        <v>43</v>
      </c>
      <c r="K886">
        <f>tblSales[[#This Row],[Sales]]-tblSales[[#This Row],[Budget]]</f>
        <v>-1163</v>
      </c>
      <c r="L886" s="3">
        <f>(tblSales[[#This Row],[Sales]]-tblSales[[#This Row],[Budget]])/tblSales[[#This Row],[Budget]]</f>
        <v>-5.1908056237447001E-2</v>
      </c>
      <c r="M886" s="2">
        <f>tblSales[[#This Row],[Sales]]/tblSales[[#This Row],[Transactions]]</f>
        <v>494</v>
      </c>
    </row>
    <row r="887" spans="1:13" x14ac:dyDescent="0.25">
      <c r="A887" s="1">
        <v>46067</v>
      </c>
      <c r="B887" t="s">
        <v>14</v>
      </c>
      <c r="C887" t="s">
        <v>9</v>
      </c>
      <c r="D887" t="str">
        <f>_xlfn.XLOOKUP(tblSales[[#This Row],[Store ID]],tblStores[Store ID],tblStores[Store Name])</f>
        <v>Sandton</v>
      </c>
      <c r="E887" t="str">
        <f>_xlfn.XLOOKUP(tblSales[[#This Row],[Store ID]],tblStores[Store ID],tblStores[Province])</f>
        <v>Gauteng</v>
      </c>
      <c r="F887" t="str">
        <f>_xlfn.XLOOKUP(tblSales[[#This Row],[Store ID]],tblStores[Store ID],tblStores[Manager])</f>
        <v>Karen White</v>
      </c>
      <c r="G887" t="str">
        <f>_xlfn.XLOOKUP(tblSales[[#This Row],[Category ID]],tblCategories[Category ID],tblCategories[Category])</f>
        <v>Ladieswear</v>
      </c>
      <c r="H887">
        <v>66200</v>
      </c>
      <c r="I887">
        <v>67836</v>
      </c>
      <c r="J887">
        <v>200</v>
      </c>
      <c r="K887">
        <f>tblSales[[#This Row],[Sales]]-tblSales[[#This Row],[Budget]]</f>
        <v>-1636</v>
      </c>
      <c r="L887" s="3">
        <f>(tblSales[[#This Row],[Sales]]-tblSales[[#This Row],[Budget]])/tblSales[[#This Row],[Budget]]</f>
        <v>-2.4116988029954597E-2</v>
      </c>
      <c r="M887" s="2">
        <f>tblSales[[#This Row],[Sales]]/tblSales[[#This Row],[Transactions]]</f>
        <v>331</v>
      </c>
    </row>
    <row r="888" spans="1:13" x14ac:dyDescent="0.25">
      <c r="A888" s="1">
        <v>46067</v>
      </c>
      <c r="B888" t="s">
        <v>15</v>
      </c>
      <c r="C888" t="s">
        <v>19</v>
      </c>
      <c r="D888" t="str">
        <f>_xlfn.XLOOKUP(tblSales[[#This Row],[Store ID]],tblStores[Store ID],tblStores[Store Name])</f>
        <v>Rosebank</v>
      </c>
      <c r="E888" t="str">
        <f>_xlfn.XLOOKUP(tblSales[[#This Row],[Store ID]],tblStores[Store ID],tblStores[Province])</f>
        <v>Gauteng</v>
      </c>
      <c r="F888" t="str">
        <f>_xlfn.XLOOKUP(tblSales[[#This Row],[Store ID]],tblStores[Store ID],tblStores[Manager])</f>
        <v>James Taylor</v>
      </c>
      <c r="G888" t="str">
        <f>_xlfn.XLOOKUP(tblSales[[#This Row],[Category ID]],tblCategories[Category ID],tblCategories[Category])</f>
        <v>Accessories</v>
      </c>
      <c r="H888">
        <v>33127</v>
      </c>
      <c r="I888">
        <v>30540</v>
      </c>
      <c r="J888">
        <v>157</v>
      </c>
      <c r="K888">
        <f>tblSales[[#This Row],[Sales]]-tblSales[[#This Row],[Budget]]</f>
        <v>2587</v>
      </c>
      <c r="L888" s="3">
        <f>(tblSales[[#This Row],[Sales]]-tblSales[[#This Row],[Budget]])/tblSales[[#This Row],[Budget]]</f>
        <v>8.4708578912901109E-2</v>
      </c>
      <c r="M888" s="2">
        <f>tblSales[[#This Row],[Sales]]/tblSales[[#This Row],[Transactions]]</f>
        <v>211</v>
      </c>
    </row>
    <row r="889" spans="1:13" x14ac:dyDescent="0.25">
      <c r="A889" s="1">
        <v>46067</v>
      </c>
      <c r="B889" t="s">
        <v>16</v>
      </c>
      <c r="C889" t="s">
        <v>11</v>
      </c>
      <c r="D889" t="str">
        <f>_xlfn.XLOOKUP(tblSales[[#This Row],[Store ID]],tblStores[Store ID],tblStores[Store Name])</f>
        <v>Pretoria</v>
      </c>
      <c r="E889" t="str">
        <f>_xlfn.XLOOKUP(tblSales[[#This Row],[Store ID]],tblStores[Store ID],tblStores[Province])</f>
        <v>Gauteng</v>
      </c>
      <c r="F889" t="str">
        <f>_xlfn.XLOOKUP(tblSales[[#This Row],[Store ID]],tblStores[Store ID],tblStores[Manager])</f>
        <v>Susan Clark</v>
      </c>
      <c r="G889" t="str">
        <f>_xlfn.XLOOKUP(tblSales[[#This Row],[Category ID]],tblCategories[Category ID],tblCategories[Category])</f>
        <v>Footwear</v>
      </c>
      <c r="H889">
        <v>27580</v>
      </c>
      <c r="I889">
        <v>26197</v>
      </c>
      <c r="J889">
        <v>70</v>
      </c>
      <c r="K889">
        <f>tblSales[[#This Row],[Sales]]-tblSales[[#This Row],[Budget]]</f>
        <v>1383</v>
      </c>
      <c r="L889" s="3">
        <f>(tblSales[[#This Row],[Sales]]-tblSales[[#This Row],[Budget]])/tblSales[[#This Row],[Budget]]</f>
        <v>5.2792304462343016E-2</v>
      </c>
      <c r="M889" s="2">
        <f>tblSales[[#This Row],[Sales]]/tblSales[[#This Row],[Transactions]]</f>
        <v>394</v>
      </c>
    </row>
    <row r="890" spans="1:13" x14ac:dyDescent="0.25">
      <c r="A890" s="1">
        <v>46067</v>
      </c>
      <c r="B890" t="s">
        <v>17</v>
      </c>
      <c r="C890" t="s">
        <v>19</v>
      </c>
      <c r="D890" t="str">
        <f>_xlfn.XLOOKUP(tblSales[[#This Row],[Store ID]],tblStores[Store ID],tblStores[Store Name])</f>
        <v>Centurion</v>
      </c>
      <c r="E890" t="str">
        <f>_xlfn.XLOOKUP(tblSales[[#This Row],[Store ID]],tblStores[Store ID],tblStores[Province])</f>
        <v>Gauteng</v>
      </c>
      <c r="F890" t="str">
        <f>_xlfn.XLOOKUP(tblSales[[#This Row],[Store ID]],tblStores[Store ID],tblStores[Manager])</f>
        <v>Mark Wilson</v>
      </c>
      <c r="G890" t="str">
        <f>_xlfn.XLOOKUP(tblSales[[#This Row],[Category ID]],tblCategories[Category ID],tblCategories[Category])</f>
        <v>Accessories</v>
      </c>
      <c r="H890">
        <v>49196</v>
      </c>
      <c r="I890">
        <v>56502</v>
      </c>
      <c r="J890">
        <v>98</v>
      </c>
      <c r="K890">
        <f>tblSales[[#This Row],[Sales]]-tblSales[[#This Row],[Budget]]</f>
        <v>-7306</v>
      </c>
      <c r="L890" s="3">
        <f>(tblSales[[#This Row],[Sales]]-tblSales[[#This Row],[Budget]])/tblSales[[#This Row],[Budget]]</f>
        <v>-0.12930515733956321</v>
      </c>
      <c r="M890" s="2">
        <f>tblSales[[#This Row],[Sales]]/tblSales[[#This Row],[Transactions]]</f>
        <v>502</v>
      </c>
    </row>
    <row r="891" spans="1:13" x14ac:dyDescent="0.25">
      <c r="A891" s="1">
        <v>46067</v>
      </c>
      <c r="B891" t="s">
        <v>18</v>
      </c>
      <c r="C891" t="s">
        <v>19</v>
      </c>
      <c r="D891" t="str">
        <f>_xlfn.XLOOKUP(tblSales[[#This Row],[Store ID]],tblStores[Store ID],tblStores[Store Name])</f>
        <v>East Rand</v>
      </c>
      <c r="E891" t="str">
        <f>_xlfn.XLOOKUP(tblSales[[#This Row],[Store ID]],tblStores[Store ID],tblStores[Province])</f>
        <v>Gauteng</v>
      </c>
      <c r="F891" t="str">
        <f>_xlfn.XLOOKUP(tblSales[[#This Row],[Store ID]],tblStores[Store ID],tblStores[Manager])</f>
        <v>Lisa Young</v>
      </c>
      <c r="G891" t="str">
        <f>_xlfn.XLOOKUP(tblSales[[#This Row],[Category ID]],tblCategories[Category ID],tblCategories[Category])</f>
        <v>Accessories</v>
      </c>
      <c r="H891">
        <v>14625</v>
      </c>
      <c r="I891">
        <v>16021</v>
      </c>
      <c r="J891">
        <v>39</v>
      </c>
      <c r="K891">
        <f>tblSales[[#This Row],[Sales]]-tblSales[[#This Row],[Budget]]</f>
        <v>-1396</v>
      </c>
      <c r="L891" s="3">
        <f>(tblSales[[#This Row],[Sales]]-tblSales[[#This Row],[Budget]])/tblSales[[#This Row],[Budget]]</f>
        <v>-8.713563447974533E-2</v>
      </c>
      <c r="M891" s="2">
        <f>tblSales[[#This Row],[Sales]]/tblSales[[#This Row],[Transactions]]</f>
        <v>375</v>
      </c>
    </row>
    <row r="892" spans="1:13" x14ac:dyDescent="0.25">
      <c r="A892" s="1">
        <v>46067</v>
      </c>
      <c r="B892" t="s">
        <v>20</v>
      </c>
      <c r="C892" t="s">
        <v>22</v>
      </c>
      <c r="D892" t="str">
        <f>_xlfn.XLOOKUP(tblSales[[#This Row],[Store ID]],tblStores[Store ID],tblStores[Store Name])</f>
        <v>Cape Town CBD</v>
      </c>
      <c r="E892" t="str">
        <f>_xlfn.XLOOKUP(tblSales[[#This Row],[Store ID]],tblStores[Store ID],tblStores[Province])</f>
        <v>Western Cape</v>
      </c>
      <c r="F892" t="str">
        <f>_xlfn.XLOOKUP(tblSales[[#This Row],[Store ID]],tblStores[Store ID],tblStores[Manager])</f>
        <v>Brian Hall</v>
      </c>
      <c r="G892" t="str">
        <f>_xlfn.XLOOKUP(tblSales[[#This Row],[Category ID]],tblCategories[Category ID],tblCategories[Category])</f>
        <v>Kids</v>
      </c>
      <c r="H892">
        <v>71906</v>
      </c>
      <c r="I892">
        <v>78762</v>
      </c>
      <c r="J892">
        <v>157</v>
      </c>
      <c r="K892">
        <f>tblSales[[#This Row],[Sales]]-tblSales[[#This Row],[Budget]]</f>
        <v>-6856</v>
      </c>
      <c r="L892" s="3">
        <f>(tblSales[[#This Row],[Sales]]-tblSales[[#This Row],[Budget]])/tblSales[[#This Row],[Budget]]</f>
        <v>-8.7047053147456893E-2</v>
      </c>
      <c r="M892" s="2">
        <f>tblSales[[#This Row],[Sales]]/tblSales[[#This Row],[Transactions]]</f>
        <v>458</v>
      </c>
    </row>
    <row r="893" spans="1:13" x14ac:dyDescent="0.25">
      <c r="A893" s="1">
        <v>46067</v>
      </c>
      <c r="B893" t="s">
        <v>21</v>
      </c>
      <c r="C893" t="s">
        <v>22</v>
      </c>
      <c r="D893" t="str">
        <f>_xlfn.XLOOKUP(tblSales[[#This Row],[Store ID]],tblStores[Store ID],tblStores[Store Name])</f>
        <v>Canal Walk</v>
      </c>
      <c r="E893" t="str">
        <f>_xlfn.XLOOKUP(tblSales[[#This Row],[Store ID]],tblStores[Store ID],tblStores[Province])</f>
        <v>Western Cape</v>
      </c>
      <c r="F893" t="str">
        <f>_xlfn.XLOOKUP(tblSales[[#This Row],[Store ID]],tblStores[Store ID],tblStores[Manager])</f>
        <v>Megan Scott</v>
      </c>
      <c r="G893" t="str">
        <f>_xlfn.XLOOKUP(tblSales[[#This Row],[Category ID]],tblCategories[Category ID],tblCategories[Category])</f>
        <v>Kids</v>
      </c>
      <c r="H893">
        <v>78223</v>
      </c>
      <c r="I893">
        <v>76689</v>
      </c>
      <c r="J893">
        <v>179</v>
      </c>
      <c r="K893">
        <f>tblSales[[#This Row],[Sales]]-tblSales[[#This Row],[Budget]]</f>
        <v>1534</v>
      </c>
      <c r="L893" s="3">
        <f>(tblSales[[#This Row],[Sales]]-tblSales[[#This Row],[Budget]])/tblSales[[#This Row],[Budget]]</f>
        <v>2.0002868729544002E-2</v>
      </c>
      <c r="M893" s="2">
        <f>tblSales[[#This Row],[Sales]]/tblSales[[#This Row],[Transactions]]</f>
        <v>437</v>
      </c>
    </row>
    <row r="894" spans="1:13" x14ac:dyDescent="0.25">
      <c r="A894" s="1">
        <v>46067</v>
      </c>
      <c r="B894" t="s">
        <v>23</v>
      </c>
      <c r="C894" t="s">
        <v>22</v>
      </c>
      <c r="D894" t="str">
        <f>_xlfn.XLOOKUP(tblSales[[#This Row],[Store ID]],tblStores[Store ID],tblStores[Store Name])</f>
        <v>Stellenbosch</v>
      </c>
      <c r="E894" t="str">
        <f>_xlfn.XLOOKUP(tblSales[[#This Row],[Store ID]],tblStores[Store ID],tblStores[Province])</f>
        <v>Western Cape</v>
      </c>
      <c r="F894" t="str">
        <f>_xlfn.XLOOKUP(tblSales[[#This Row],[Store ID]],tblStores[Store ID],tblStores[Manager])</f>
        <v>Jason King</v>
      </c>
      <c r="G894" t="str">
        <f>_xlfn.XLOOKUP(tblSales[[#This Row],[Category ID]],tblCategories[Category ID],tblCategories[Category])</f>
        <v>Kids</v>
      </c>
      <c r="H894">
        <v>15633</v>
      </c>
      <c r="I894">
        <v>15315</v>
      </c>
      <c r="J894">
        <v>81</v>
      </c>
      <c r="K894">
        <f>tblSales[[#This Row],[Sales]]-tblSales[[#This Row],[Budget]]</f>
        <v>318</v>
      </c>
      <c r="L894" s="3">
        <f>(tblSales[[#This Row],[Sales]]-tblSales[[#This Row],[Budget]])/tblSales[[#This Row],[Budget]]</f>
        <v>2.0763956904995103E-2</v>
      </c>
      <c r="M894" s="2">
        <f>tblSales[[#This Row],[Sales]]/tblSales[[#This Row],[Transactions]]</f>
        <v>193</v>
      </c>
    </row>
    <row r="895" spans="1:13" x14ac:dyDescent="0.25">
      <c r="A895" s="1">
        <v>46067</v>
      </c>
      <c r="B895" t="s">
        <v>24</v>
      </c>
      <c r="C895" t="s">
        <v>9</v>
      </c>
      <c r="D895" t="str">
        <f>_xlfn.XLOOKUP(tblSales[[#This Row],[Store ID]],tblStores[Store ID],tblStores[Store Name])</f>
        <v>George</v>
      </c>
      <c r="E895" t="str">
        <f>_xlfn.XLOOKUP(tblSales[[#This Row],[Store ID]],tblStores[Store ID],tblStores[Province])</f>
        <v>Western Cape</v>
      </c>
      <c r="F895" t="str">
        <f>_xlfn.XLOOKUP(tblSales[[#This Row],[Store ID]],tblStores[Store ID],tblStores[Manager])</f>
        <v>Chloe Hill</v>
      </c>
      <c r="G895" t="str">
        <f>_xlfn.XLOOKUP(tblSales[[#This Row],[Category ID]],tblCategories[Category ID],tblCategories[Category])</f>
        <v>Ladieswear</v>
      </c>
      <c r="H895">
        <v>13566</v>
      </c>
      <c r="I895">
        <v>12408</v>
      </c>
      <c r="J895">
        <v>42</v>
      </c>
      <c r="K895">
        <f>tblSales[[#This Row],[Sales]]-tblSales[[#This Row],[Budget]]</f>
        <v>1158</v>
      </c>
      <c r="L895" s="3">
        <f>(tblSales[[#This Row],[Sales]]-tblSales[[#This Row],[Budget]])/tblSales[[#This Row],[Budget]]</f>
        <v>9.332688588007737E-2</v>
      </c>
      <c r="M895" s="2">
        <f>tblSales[[#This Row],[Sales]]/tblSales[[#This Row],[Transactions]]</f>
        <v>323</v>
      </c>
    </row>
    <row r="896" spans="1:13" x14ac:dyDescent="0.25">
      <c r="A896" s="1">
        <v>46067</v>
      </c>
      <c r="B896" t="s">
        <v>25</v>
      </c>
      <c r="C896" t="s">
        <v>11</v>
      </c>
      <c r="D896" t="str">
        <f>_xlfn.XLOOKUP(tblSales[[#This Row],[Store ID]],tblStores[Store ID],tblStores[Store Name])</f>
        <v>Paarl</v>
      </c>
      <c r="E896" t="str">
        <f>_xlfn.XLOOKUP(tblSales[[#This Row],[Store ID]],tblStores[Store ID],tblStores[Province])</f>
        <v>Western Cape</v>
      </c>
      <c r="F896" t="str">
        <f>_xlfn.XLOOKUP(tblSales[[#This Row],[Store ID]],tblStores[Store ID],tblStores[Manager])</f>
        <v>Andrew Lee</v>
      </c>
      <c r="G896" t="str">
        <f>_xlfn.XLOOKUP(tblSales[[#This Row],[Category ID]],tblCategories[Category ID],tblCategories[Category])</f>
        <v>Footwear</v>
      </c>
      <c r="H896">
        <v>61710</v>
      </c>
      <c r="I896">
        <v>67369</v>
      </c>
      <c r="J896">
        <v>170</v>
      </c>
      <c r="K896">
        <f>tblSales[[#This Row],[Sales]]-tblSales[[#This Row],[Budget]]</f>
        <v>-5659</v>
      </c>
      <c r="L896" s="3">
        <f>(tblSales[[#This Row],[Sales]]-tblSales[[#This Row],[Budget]])/tblSales[[#This Row],[Budget]]</f>
        <v>-8.4000059374489747E-2</v>
      </c>
      <c r="M896" s="2">
        <f>tblSales[[#This Row],[Sales]]/tblSales[[#This Row],[Transactions]]</f>
        <v>363</v>
      </c>
    </row>
    <row r="897" spans="1:13" x14ac:dyDescent="0.25">
      <c r="A897" s="1">
        <v>46067</v>
      </c>
      <c r="B897" t="s">
        <v>26</v>
      </c>
      <c r="C897" t="s">
        <v>9</v>
      </c>
      <c r="D897" t="str">
        <f>_xlfn.XLOOKUP(tblSales[[#This Row],[Store ID]],tblStores[Store ID],tblStores[Store Name])</f>
        <v>Gqeberha</v>
      </c>
      <c r="E897" t="str">
        <f>_xlfn.XLOOKUP(tblSales[[#This Row],[Store ID]],tblStores[Store ID],tblStores[Province])</f>
        <v>Eastern Cape</v>
      </c>
      <c r="F897" t="str">
        <f>_xlfn.XLOOKUP(tblSales[[#This Row],[Store ID]],tblStores[Store ID],tblStores[Manager])</f>
        <v>Emma Baker</v>
      </c>
      <c r="G897" t="str">
        <f>_xlfn.XLOOKUP(tblSales[[#This Row],[Category ID]],tblCategories[Category ID],tblCategories[Category])</f>
        <v>Ladieswear</v>
      </c>
      <c r="H897">
        <v>17325</v>
      </c>
      <c r="I897">
        <v>16666</v>
      </c>
      <c r="J897">
        <v>75</v>
      </c>
      <c r="K897">
        <f>tblSales[[#This Row],[Sales]]-tblSales[[#This Row],[Budget]]</f>
        <v>659</v>
      </c>
      <c r="L897" s="3">
        <f>(tblSales[[#This Row],[Sales]]-tblSales[[#This Row],[Budget]])/tblSales[[#This Row],[Budget]]</f>
        <v>3.9541581663266531E-2</v>
      </c>
      <c r="M897" s="2">
        <f>tblSales[[#This Row],[Sales]]/tblSales[[#This Row],[Transactions]]</f>
        <v>231</v>
      </c>
    </row>
    <row r="898" spans="1:13" x14ac:dyDescent="0.25">
      <c r="A898" s="1">
        <v>46067</v>
      </c>
      <c r="B898" t="s">
        <v>27</v>
      </c>
      <c r="C898" t="s">
        <v>9</v>
      </c>
      <c r="D898" t="str">
        <f>_xlfn.XLOOKUP(tblSales[[#This Row],[Store ID]],tblStores[Store ID],tblStores[Store Name])</f>
        <v>East London</v>
      </c>
      <c r="E898" t="str">
        <f>_xlfn.XLOOKUP(tblSales[[#This Row],[Store ID]],tblStores[Store ID],tblStores[Province])</f>
        <v>Eastern Cape</v>
      </c>
      <c r="F898" t="str">
        <f>_xlfn.XLOOKUP(tblSales[[#This Row],[Store ID]],tblStores[Store ID],tblStores[Manager])</f>
        <v>Daniel Evans</v>
      </c>
      <c r="G898" t="str">
        <f>_xlfn.XLOOKUP(tblSales[[#This Row],[Category ID]],tblCategories[Category ID],tblCategories[Category])</f>
        <v>Ladieswear</v>
      </c>
      <c r="H898">
        <v>46659</v>
      </c>
      <c r="I898">
        <v>51514</v>
      </c>
      <c r="J898">
        <v>103</v>
      </c>
      <c r="K898">
        <f>tblSales[[#This Row],[Sales]]-tblSales[[#This Row],[Budget]]</f>
        <v>-4855</v>
      </c>
      <c r="L898" s="3">
        <f>(tblSales[[#This Row],[Sales]]-tblSales[[#This Row],[Budget]])/tblSales[[#This Row],[Budget]]</f>
        <v>-9.4246224327367317E-2</v>
      </c>
      <c r="M898" s="2">
        <f>tblSales[[#This Row],[Sales]]/tblSales[[#This Row],[Transactions]]</f>
        <v>453</v>
      </c>
    </row>
    <row r="899" spans="1:13" x14ac:dyDescent="0.25">
      <c r="A899" s="1">
        <v>46067</v>
      </c>
      <c r="B899" t="s">
        <v>28</v>
      </c>
      <c r="C899" t="s">
        <v>7</v>
      </c>
      <c r="D899" t="str">
        <f>_xlfn.XLOOKUP(tblSales[[#This Row],[Store ID]],tblStores[Store ID],tblStores[Store Name])</f>
        <v>Bloemfontein</v>
      </c>
      <c r="E899" t="str">
        <f>_xlfn.XLOOKUP(tblSales[[#This Row],[Store ID]],tblStores[Store ID],tblStores[Province])</f>
        <v>Free State</v>
      </c>
      <c r="F899" t="str">
        <f>_xlfn.XLOOKUP(tblSales[[#This Row],[Store ID]],tblStores[Store ID],tblStores[Manager])</f>
        <v>Rachel Moore</v>
      </c>
      <c r="G899" t="str">
        <f>_xlfn.XLOOKUP(tblSales[[#This Row],[Category ID]],tblCategories[Category ID],tblCategories[Category])</f>
        <v>Menswear</v>
      </c>
      <c r="H899">
        <v>43134</v>
      </c>
      <c r="I899">
        <v>47948</v>
      </c>
      <c r="J899">
        <v>91</v>
      </c>
      <c r="K899">
        <f>tblSales[[#This Row],[Sales]]-tblSales[[#This Row],[Budget]]</f>
        <v>-4814</v>
      </c>
      <c r="L899" s="3">
        <f>(tblSales[[#This Row],[Sales]]-tblSales[[#This Row],[Budget]])/tblSales[[#This Row],[Budget]]</f>
        <v>-0.10040043380328689</v>
      </c>
      <c r="M899" s="2">
        <f>tblSales[[#This Row],[Sales]]/tblSales[[#This Row],[Transactions]]</f>
        <v>474</v>
      </c>
    </row>
    <row r="900" spans="1:13" x14ac:dyDescent="0.25">
      <c r="A900" s="1">
        <v>46067</v>
      </c>
      <c r="B900" t="s">
        <v>29</v>
      </c>
      <c r="C900" t="s">
        <v>11</v>
      </c>
      <c r="D900" t="str">
        <f>_xlfn.XLOOKUP(tblSales[[#This Row],[Store ID]],tblStores[Store ID],tblStores[Store Name])</f>
        <v>Polokwane</v>
      </c>
      <c r="E900" t="str">
        <f>_xlfn.XLOOKUP(tblSales[[#This Row],[Store ID]],tblStores[Store ID],tblStores[Province])</f>
        <v>Limpopo</v>
      </c>
      <c r="F900" t="str">
        <f>_xlfn.XLOOKUP(tblSales[[#This Row],[Store ID]],tblStores[Store ID],tblStores[Manager])</f>
        <v>Kevin Harris</v>
      </c>
      <c r="G900" t="str">
        <f>_xlfn.XLOOKUP(tblSales[[#This Row],[Category ID]],tblCategories[Category ID],tblCategories[Category])</f>
        <v>Footwear</v>
      </c>
      <c r="H900">
        <v>33500</v>
      </c>
      <c r="I900">
        <v>31624</v>
      </c>
      <c r="J900">
        <v>125</v>
      </c>
      <c r="K900">
        <f>tblSales[[#This Row],[Sales]]-tblSales[[#This Row],[Budget]]</f>
        <v>1876</v>
      </c>
      <c r="L900" s="3">
        <f>(tblSales[[#This Row],[Sales]]-tblSales[[#This Row],[Budget]])/tblSales[[#This Row],[Budget]]</f>
        <v>5.9322033898305086E-2</v>
      </c>
      <c r="M900" s="2">
        <f>tblSales[[#This Row],[Sales]]/tblSales[[#This Row],[Transactions]]</f>
        <v>268</v>
      </c>
    </row>
    <row r="901" spans="1:13" x14ac:dyDescent="0.25">
      <c r="A901" s="1">
        <v>46067</v>
      </c>
      <c r="B901" t="s">
        <v>30</v>
      </c>
      <c r="C901" t="s">
        <v>19</v>
      </c>
      <c r="D901" t="str">
        <f>_xlfn.XLOOKUP(tblSales[[#This Row],[Store ID]],tblStores[Store ID],tblStores[Store Name])</f>
        <v>Nelspruit</v>
      </c>
      <c r="E901" t="str">
        <f>_xlfn.XLOOKUP(tblSales[[#This Row],[Store ID]],tblStores[Store ID],tblStores[Province])</f>
        <v>Mpumalanga</v>
      </c>
      <c r="F901" t="str">
        <f>_xlfn.XLOOKUP(tblSales[[#This Row],[Store ID]],tblStores[Store ID],tblStores[Manager])</f>
        <v>Olivia Turner</v>
      </c>
      <c r="G901" t="str">
        <f>_xlfn.XLOOKUP(tblSales[[#This Row],[Category ID]],tblCategories[Category ID],tblCategories[Category])</f>
        <v>Accessories</v>
      </c>
      <c r="H901">
        <v>42108</v>
      </c>
      <c r="I901">
        <v>47518</v>
      </c>
      <c r="J901">
        <v>116</v>
      </c>
      <c r="K901">
        <f>tblSales[[#This Row],[Sales]]-tblSales[[#This Row],[Budget]]</f>
        <v>-5410</v>
      </c>
      <c r="L901" s="3">
        <f>(tblSales[[#This Row],[Sales]]-tblSales[[#This Row],[Budget]])/tblSales[[#This Row],[Budget]]</f>
        <v>-0.11385159308051686</v>
      </c>
      <c r="M901" s="2">
        <f>tblSales[[#This Row],[Sales]]/tblSales[[#This Row],[Transactions]]</f>
        <v>363</v>
      </c>
    </row>
    <row r="902" spans="1:13" x14ac:dyDescent="0.25">
      <c r="A902" s="1">
        <v>46068</v>
      </c>
      <c r="B902" t="s">
        <v>6</v>
      </c>
      <c r="C902" t="s">
        <v>7</v>
      </c>
      <c r="D902" t="str">
        <f>_xlfn.XLOOKUP(tblSales[[#This Row],[Store ID]],tblStores[Store ID],tblStores[Store Name])</f>
        <v>Durban CBD</v>
      </c>
      <c r="E902" t="str">
        <f>_xlfn.XLOOKUP(tblSales[[#This Row],[Store ID]],tblStores[Store ID],tblStores[Province])</f>
        <v>KZN</v>
      </c>
      <c r="F902" t="str">
        <f>_xlfn.XLOOKUP(tblSales[[#This Row],[Store ID]],tblStores[Store ID],tblStores[Manager])</f>
        <v>Sarah Adams</v>
      </c>
      <c r="G902" t="str">
        <f>_xlfn.XLOOKUP(tblSales[[#This Row],[Category ID]],tblCategories[Category ID],tblCategories[Category])</f>
        <v>Menswear</v>
      </c>
      <c r="H902">
        <v>77400</v>
      </c>
      <c r="I902">
        <v>87995</v>
      </c>
      <c r="J902">
        <v>215</v>
      </c>
      <c r="K902">
        <f>tblSales[[#This Row],[Sales]]-tblSales[[#This Row],[Budget]]</f>
        <v>-10595</v>
      </c>
      <c r="L902" s="3">
        <f>(tblSales[[#This Row],[Sales]]-tblSales[[#This Row],[Budget]])/tblSales[[#This Row],[Budget]]</f>
        <v>-0.12040456844138872</v>
      </c>
      <c r="M902" s="2">
        <f>tblSales[[#This Row],[Sales]]/tblSales[[#This Row],[Transactions]]</f>
        <v>360</v>
      </c>
    </row>
    <row r="903" spans="1:13" x14ac:dyDescent="0.25">
      <c r="A903" s="1">
        <v>46068</v>
      </c>
      <c r="B903" t="s">
        <v>8</v>
      </c>
      <c r="C903" t="s">
        <v>19</v>
      </c>
      <c r="D903" t="str">
        <f>_xlfn.XLOOKUP(tblSales[[#This Row],[Store ID]],tblStores[Store ID],tblStores[Store Name])</f>
        <v>Gateway</v>
      </c>
      <c r="E903" t="str">
        <f>_xlfn.XLOOKUP(tblSales[[#This Row],[Store ID]],tblStores[Store ID],tblStores[Province])</f>
        <v>KZN</v>
      </c>
      <c r="F903" t="str">
        <f>_xlfn.XLOOKUP(tblSales[[#This Row],[Store ID]],tblStores[Store ID],tblStores[Manager])</f>
        <v>Michael Jones</v>
      </c>
      <c r="G903" t="str">
        <f>_xlfn.XLOOKUP(tblSales[[#This Row],[Category ID]],tblCategories[Category ID],tblCategories[Category])</f>
        <v>Accessories</v>
      </c>
      <c r="H903">
        <v>33228</v>
      </c>
      <c r="I903">
        <v>37783</v>
      </c>
      <c r="J903">
        <v>71</v>
      </c>
      <c r="K903">
        <f>tblSales[[#This Row],[Sales]]-tblSales[[#This Row],[Budget]]</f>
        <v>-4555</v>
      </c>
      <c r="L903" s="3">
        <f>(tblSales[[#This Row],[Sales]]-tblSales[[#This Row],[Budget]])/tblSales[[#This Row],[Budget]]</f>
        <v>-0.12055686419818437</v>
      </c>
      <c r="M903" s="2">
        <f>tblSales[[#This Row],[Sales]]/tblSales[[#This Row],[Transactions]]</f>
        <v>468</v>
      </c>
    </row>
    <row r="904" spans="1:13" x14ac:dyDescent="0.25">
      <c r="A904" s="1">
        <v>46068</v>
      </c>
      <c r="B904" t="s">
        <v>10</v>
      </c>
      <c r="C904" t="s">
        <v>11</v>
      </c>
      <c r="D904" t="str">
        <f>_xlfn.XLOOKUP(tblSales[[#This Row],[Store ID]],tblStores[Store ID],tblStores[Store Name])</f>
        <v>Ballito</v>
      </c>
      <c r="E904" t="str">
        <f>_xlfn.XLOOKUP(tblSales[[#This Row],[Store ID]],tblStores[Store ID],tblStores[Province])</f>
        <v>KZN</v>
      </c>
      <c r="F904" t="str">
        <f>_xlfn.XLOOKUP(tblSales[[#This Row],[Store ID]],tblStores[Store ID],tblStores[Manager])</f>
        <v>Linda Smith</v>
      </c>
      <c r="G904" t="str">
        <f>_xlfn.XLOOKUP(tblSales[[#This Row],[Category ID]],tblCategories[Category ID],tblCategories[Category])</f>
        <v>Footwear</v>
      </c>
      <c r="H904">
        <v>58474</v>
      </c>
      <c r="I904">
        <v>55192</v>
      </c>
      <c r="J904">
        <v>173</v>
      </c>
      <c r="K904">
        <f>tblSales[[#This Row],[Sales]]-tblSales[[#This Row],[Budget]]</f>
        <v>3282</v>
      </c>
      <c r="L904" s="3">
        <f>(tblSales[[#This Row],[Sales]]-tblSales[[#This Row],[Budget]])/tblSales[[#This Row],[Budget]]</f>
        <v>5.9465139875344256E-2</v>
      </c>
      <c r="M904" s="2">
        <f>tblSales[[#This Row],[Sales]]/tblSales[[#This Row],[Transactions]]</f>
        <v>338</v>
      </c>
    </row>
    <row r="905" spans="1:13" x14ac:dyDescent="0.25">
      <c r="A905" s="1">
        <v>46068</v>
      </c>
      <c r="B905" t="s">
        <v>12</v>
      </c>
      <c r="C905" t="s">
        <v>7</v>
      </c>
      <c r="D905" t="str">
        <f>_xlfn.XLOOKUP(tblSales[[#This Row],[Store ID]],tblStores[Store ID],tblStores[Store Name])</f>
        <v>Pietermaritzburg</v>
      </c>
      <c r="E905" t="str">
        <f>_xlfn.XLOOKUP(tblSales[[#This Row],[Store ID]],tblStores[Store ID],tblStores[Province])</f>
        <v>KZN</v>
      </c>
      <c r="F905" t="str">
        <f>_xlfn.XLOOKUP(tblSales[[#This Row],[Store ID]],tblStores[Store ID],tblStores[Manager])</f>
        <v>Peter Brown</v>
      </c>
      <c r="G905" t="str">
        <f>_xlfn.XLOOKUP(tblSales[[#This Row],[Category ID]],tblCategories[Category ID],tblCategories[Category])</f>
        <v>Menswear</v>
      </c>
      <c r="H905">
        <v>12064</v>
      </c>
      <c r="I905">
        <v>11559</v>
      </c>
      <c r="J905">
        <v>58</v>
      </c>
      <c r="K905">
        <f>tblSales[[#This Row],[Sales]]-tblSales[[#This Row],[Budget]]</f>
        <v>505</v>
      </c>
      <c r="L905" s="3">
        <f>(tblSales[[#This Row],[Sales]]-tblSales[[#This Row],[Budget]])/tblSales[[#This Row],[Budget]]</f>
        <v>4.3688900423912103E-2</v>
      </c>
      <c r="M905" s="2">
        <f>tblSales[[#This Row],[Sales]]/tblSales[[#This Row],[Transactions]]</f>
        <v>208</v>
      </c>
    </row>
    <row r="906" spans="1:13" x14ac:dyDescent="0.25">
      <c r="A906" s="1">
        <v>46068</v>
      </c>
      <c r="B906" t="s">
        <v>13</v>
      </c>
      <c r="C906" t="s">
        <v>9</v>
      </c>
      <c r="D906" t="str">
        <f>_xlfn.XLOOKUP(tblSales[[#This Row],[Store ID]],tblStores[Store ID],tblStores[Store Name])</f>
        <v>Richards Bay</v>
      </c>
      <c r="E906" t="str">
        <f>_xlfn.XLOOKUP(tblSales[[#This Row],[Store ID]],tblStores[Store ID],tblStores[Province])</f>
        <v>KZN</v>
      </c>
      <c r="F906" t="str">
        <f>_xlfn.XLOOKUP(tblSales[[#This Row],[Store ID]],tblStores[Store ID],tblStores[Manager])</f>
        <v>David Green</v>
      </c>
      <c r="G906" t="str">
        <f>_xlfn.XLOOKUP(tblSales[[#This Row],[Category ID]],tblCategories[Category ID],tblCategories[Category])</f>
        <v>Ladieswear</v>
      </c>
      <c r="H906">
        <v>17960</v>
      </c>
      <c r="I906">
        <v>18310</v>
      </c>
      <c r="J906">
        <v>40</v>
      </c>
      <c r="K906">
        <f>tblSales[[#This Row],[Sales]]-tblSales[[#This Row],[Budget]]</f>
        <v>-350</v>
      </c>
      <c r="L906" s="3">
        <f>(tblSales[[#This Row],[Sales]]-tblSales[[#This Row],[Budget]])/tblSales[[#This Row],[Budget]]</f>
        <v>-1.9115237575095576E-2</v>
      </c>
      <c r="M906" s="2">
        <f>tblSales[[#This Row],[Sales]]/tblSales[[#This Row],[Transactions]]</f>
        <v>449</v>
      </c>
    </row>
    <row r="907" spans="1:13" x14ac:dyDescent="0.25">
      <c r="A907" s="1">
        <v>46068</v>
      </c>
      <c r="B907" t="s">
        <v>14</v>
      </c>
      <c r="C907" t="s">
        <v>22</v>
      </c>
      <c r="D907" t="str">
        <f>_xlfn.XLOOKUP(tblSales[[#This Row],[Store ID]],tblStores[Store ID],tblStores[Store Name])</f>
        <v>Sandton</v>
      </c>
      <c r="E907" t="str">
        <f>_xlfn.XLOOKUP(tblSales[[#This Row],[Store ID]],tblStores[Store ID],tblStores[Province])</f>
        <v>Gauteng</v>
      </c>
      <c r="F907" t="str">
        <f>_xlfn.XLOOKUP(tblSales[[#This Row],[Store ID]],tblStores[Store ID],tblStores[Manager])</f>
        <v>Karen White</v>
      </c>
      <c r="G907" t="str">
        <f>_xlfn.XLOOKUP(tblSales[[#This Row],[Category ID]],tblCategories[Category ID],tblCategories[Category])</f>
        <v>Kids</v>
      </c>
      <c r="H907">
        <v>54336</v>
      </c>
      <c r="I907">
        <v>59857</v>
      </c>
      <c r="J907">
        <v>192</v>
      </c>
      <c r="K907">
        <f>tblSales[[#This Row],[Sales]]-tblSales[[#This Row],[Budget]]</f>
        <v>-5521</v>
      </c>
      <c r="L907" s="3">
        <f>(tblSales[[#This Row],[Sales]]-tblSales[[#This Row],[Budget]])/tblSales[[#This Row],[Budget]]</f>
        <v>-9.2236496984479679E-2</v>
      </c>
      <c r="M907" s="2">
        <f>tblSales[[#This Row],[Sales]]/tblSales[[#This Row],[Transactions]]</f>
        <v>283</v>
      </c>
    </row>
    <row r="908" spans="1:13" x14ac:dyDescent="0.25">
      <c r="A908" s="1">
        <v>46068</v>
      </c>
      <c r="B908" t="s">
        <v>15</v>
      </c>
      <c r="C908" t="s">
        <v>22</v>
      </c>
      <c r="D908" t="str">
        <f>_xlfn.XLOOKUP(tblSales[[#This Row],[Store ID]],tblStores[Store ID],tblStores[Store Name])</f>
        <v>Rosebank</v>
      </c>
      <c r="E908" t="str">
        <f>_xlfn.XLOOKUP(tblSales[[#This Row],[Store ID]],tblStores[Store ID],tblStores[Province])</f>
        <v>Gauteng</v>
      </c>
      <c r="F908" t="str">
        <f>_xlfn.XLOOKUP(tblSales[[#This Row],[Store ID]],tblStores[Store ID],tblStores[Manager])</f>
        <v>James Taylor</v>
      </c>
      <c r="G908" t="str">
        <f>_xlfn.XLOOKUP(tblSales[[#This Row],[Category ID]],tblCategories[Category ID],tblCategories[Category])</f>
        <v>Kids</v>
      </c>
      <c r="H908">
        <v>58860</v>
      </c>
      <c r="I908">
        <v>66493</v>
      </c>
      <c r="J908">
        <v>218</v>
      </c>
      <c r="K908">
        <f>tblSales[[#This Row],[Sales]]-tblSales[[#This Row],[Budget]]</f>
        <v>-7633</v>
      </c>
      <c r="L908" s="3">
        <f>(tblSales[[#This Row],[Sales]]-tblSales[[#This Row],[Budget]])/tblSales[[#This Row],[Budget]]</f>
        <v>-0.11479403847021491</v>
      </c>
      <c r="M908" s="2">
        <f>tblSales[[#This Row],[Sales]]/tblSales[[#This Row],[Transactions]]</f>
        <v>270</v>
      </c>
    </row>
    <row r="909" spans="1:13" x14ac:dyDescent="0.25">
      <c r="A909" s="1">
        <v>46068</v>
      </c>
      <c r="B909" t="s">
        <v>16</v>
      </c>
      <c r="C909" t="s">
        <v>22</v>
      </c>
      <c r="D909" t="str">
        <f>_xlfn.XLOOKUP(tblSales[[#This Row],[Store ID]],tblStores[Store ID],tblStores[Store Name])</f>
        <v>Pretoria</v>
      </c>
      <c r="E909" t="str">
        <f>_xlfn.XLOOKUP(tblSales[[#This Row],[Store ID]],tblStores[Store ID],tblStores[Province])</f>
        <v>Gauteng</v>
      </c>
      <c r="F909" t="str">
        <f>_xlfn.XLOOKUP(tblSales[[#This Row],[Store ID]],tblStores[Store ID],tblStores[Manager])</f>
        <v>Susan Clark</v>
      </c>
      <c r="G909" t="str">
        <f>_xlfn.XLOOKUP(tblSales[[#This Row],[Category ID]],tblCategories[Category ID],tblCategories[Category])</f>
        <v>Kids</v>
      </c>
      <c r="H909">
        <v>9550</v>
      </c>
      <c r="I909">
        <v>8947</v>
      </c>
      <c r="J909">
        <v>50</v>
      </c>
      <c r="K909">
        <f>tblSales[[#This Row],[Sales]]-tblSales[[#This Row],[Budget]]</f>
        <v>603</v>
      </c>
      <c r="L909" s="3">
        <f>(tblSales[[#This Row],[Sales]]-tblSales[[#This Row],[Budget]])/tblSales[[#This Row],[Budget]]</f>
        <v>6.739689281323348E-2</v>
      </c>
      <c r="M909" s="2">
        <f>tblSales[[#This Row],[Sales]]/tblSales[[#This Row],[Transactions]]</f>
        <v>191</v>
      </c>
    </row>
    <row r="910" spans="1:13" x14ac:dyDescent="0.25">
      <c r="A910" s="1">
        <v>46068</v>
      </c>
      <c r="B910" t="s">
        <v>17</v>
      </c>
      <c r="C910" t="s">
        <v>9</v>
      </c>
      <c r="D910" t="str">
        <f>_xlfn.XLOOKUP(tblSales[[#This Row],[Store ID]],tblStores[Store ID],tblStores[Store Name])</f>
        <v>Centurion</v>
      </c>
      <c r="E910" t="str">
        <f>_xlfn.XLOOKUP(tblSales[[#This Row],[Store ID]],tblStores[Store ID],tblStores[Province])</f>
        <v>Gauteng</v>
      </c>
      <c r="F910" t="str">
        <f>_xlfn.XLOOKUP(tblSales[[#This Row],[Store ID]],tblStores[Store ID],tblStores[Manager])</f>
        <v>Mark Wilson</v>
      </c>
      <c r="G910" t="str">
        <f>_xlfn.XLOOKUP(tblSales[[#This Row],[Category ID]],tblCategories[Category ID],tblCategories[Category])</f>
        <v>Ladieswear</v>
      </c>
      <c r="H910">
        <v>28287</v>
      </c>
      <c r="I910">
        <v>31544</v>
      </c>
      <c r="J910">
        <v>63</v>
      </c>
      <c r="K910">
        <f>tblSales[[#This Row],[Sales]]-tblSales[[#This Row],[Budget]]</f>
        <v>-3257</v>
      </c>
      <c r="L910" s="3">
        <f>(tblSales[[#This Row],[Sales]]-tblSales[[#This Row],[Budget]])/tblSales[[#This Row],[Budget]]</f>
        <v>-0.10325259954349481</v>
      </c>
      <c r="M910" s="2">
        <f>tblSales[[#This Row],[Sales]]/tblSales[[#This Row],[Transactions]]</f>
        <v>449</v>
      </c>
    </row>
    <row r="911" spans="1:13" x14ac:dyDescent="0.25">
      <c r="A911" s="1">
        <v>46068</v>
      </c>
      <c r="B911" t="s">
        <v>18</v>
      </c>
      <c r="C911" t="s">
        <v>7</v>
      </c>
      <c r="D911" t="str">
        <f>_xlfn.XLOOKUP(tblSales[[#This Row],[Store ID]],tblStores[Store ID],tblStores[Store Name])</f>
        <v>East Rand</v>
      </c>
      <c r="E911" t="str">
        <f>_xlfn.XLOOKUP(tblSales[[#This Row],[Store ID]],tblStores[Store ID],tblStores[Province])</f>
        <v>Gauteng</v>
      </c>
      <c r="F911" t="str">
        <f>_xlfn.XLOOKUP(tblSales[[#This Row],[Store ID]],tblStores[Store ID],tblStores[Manager])</f>
        <v>Lisa Young</v>
      </c>
      <c r="G911" t="str">
        <f>_xlfn.XLOOKUP(tblSales[[#This Row],[Category ID]],tblCategories[Category ID],tblCategories[Category])</f>
        <v>Menswear</v>
      </c>
      <c r="H911">
        <v>67470</v>
      </c>
      <c r="I911">
        <v>67395</v>
      </c>
      <c r="J911">
        <v>130</v>
      </c>
      <c r="K911">
        <f>tblSales[[#This Row],[Sales]]-tblSales[[#This Row],[Budget]]</f>
        <v>75</v>
      </c>
      <c r="L911" s="3">
        <f>(tblSales[[#This Row],[Sales]]-tblSales[[#This Row],[Budget]])/tblSales[[#This Row],[Budget]]</f>
        <v>1.1128421989761851E-3</v>
      </c>
      <c r="M911" s="2">
        <f>tblSales[[#This Row],[Sales]]/tblSales[[#This Row],[Transactions]]</f>
        <v>519</v>
      </c>
    </row>
    <row r="912" spans="1:13" x14ac:dyDescent="0.25">
      <c r="A912" s="1">
        <v>46068</v>
      </c>
      <c r="B912" t="s">
        <v>20</v>
      </c>
      <c r="C912" t="s">
        <v>7</v>
      </c>
      <c r="D912" t="str">
        <f>_xlfn.XLOOKUP(tblSales[[#This Row],[Store ID]],tblStores[Store ID],tblStores[Store Name])</f>
        <v>Cape Town CBD</v>
      </c>
      <c r="E912" t="str">
        <f>_xlfn.XLOOKUP(tblSales[[#This Row],[Store ID]],tblStores[Store ID],tblStores[Province])</f>
        <v>Western Cape</v>
      </c>
      <c r="F912" t="str">
        <f>_xlfn.XLOOKUP(tblSales[[#This Row],[Store ID]],tblStores[Store ID],tblStores[Manager])</f>
        <v>Brian Hall</v>
      </c>
      <c r="G912" t="str">
        <f>_xlfn.XLOOKUP(tblSales[[#This Row],[Category ID]],tblCategories[Category ID],tblCategories[Category])</f>
        <v>Menswear</v>
      </c>
      <c r="H912">
        <v>40414</v>
      </c>
      <c r="I912">
        <v>39632</v>
      </c>
      <c r="J912">
        <v>121</v>
      </c>
      <c r="K912">
        <f>tblSales[[#This Row],[Sales]]-tblSales[[#This Row],[Budget]]</f>
        <v>782</v>
      </c>
      <c r="L912" s="3">
        <f>(tblSales[[#This Row],[Sales]]-tblSales[[#This Row],[Budget]])/tblSales[[#This Row],[Budget]]</f>
        <v>1.9731530076705691E-2</v>
      </c>
      <c r="M912" s="2">
        <f>tblSales[[#This Row],[Sales]]/tblSales[[#This Row],[Transactions]]</f>
        <v>334</v>
      </c>
    </row>
    <row r="913" spans="1:13" x14ac:dyDescent="0.25">
      <c r="A913" s="1">
        <v>46068</v>
      </c>
      <c r="B913" t="s">
        <v>21</v>
      </c>
      <c r="C913" t="s">
        <v>9</v>
      </c>
      <c r="D913" t="str">
        <f>_xlfn.XLOOKUP(tblSales[[#This Row],[Store ID]],tblStores[Store ID],tblStores[Store Name])</f>
        <v>Canal Walk</v>
      </c>
      <c r="E913" t="str">
        <f>_xlfn.XLOOKUP(tblSales[[#This Row],[Store ID]],tblStores[Store ID],tblStores[Province])</f>
        <v>Western Cape</v>
      </c>
      <c r="F913" t="str">
        <f>_xlfn.XLOOKUP(tblSales[[#This Row],[Store ID]],tblStores[Store ID],tblStores[Manager])</f>
        <v>Megan Scott</v>
      </c>
      <c r="G913" t="str">
        <f>_xlfn.XLOOKUP(tblSales[[#This Row],[Category ID]],tblCategories[Category ID],tblCategories[Category])</f>
        <v>Ladieswear</v>
      </c>
      <c r="H913">
        <v>74022</v>
      </c>
      <c r="I913">
        <v>84397</v>
      </c>
      <c r="J913">
        <v>146</v>
      </c>
      <c r="K913">
        <f>tblSales[[#This Row],[Sales]]-tblSales[[#This Row],[Budget]]</f>
        <v>-10375</v>
      </c>
      <c r="L913" s="3">
        <f>(tblSales[[#This Row],[Sales]]-tblSales[[#This Row],[Budget]])/tblSales[[#This Row],[Budget]]</f>
        <v>-0.12293090986646445</v>
      </c>
      <c r="M913" s="2">
        <f>tblSales[[#This Row],[Sales]]/tblSales[[#This Row],[Transactions]]</f>
        <v>507</v>
      </c>
    </row>
    <row r="914" spans="1:13" x14ac:dyDescent="0.25">
      <c r="A914" s="1">
        <v>46068</v>
      </c>
      <c r="B914" t="s">
        <v>23</v>
      </c>
      <c r="C914" t="s">
        <v>22</v>
      </c>
      <c r="D914" t="str">
        <f>_xlfn.XLOOKUP(tblSales[[#This Row],[Store ID]],tblStores[Store ID],tblStores[Store Name])</f>
        <v>Stellenbosch</v>
      </c>
      <c r="E914" t="str">
        <f>_xlfn.XLOOKUP(tblSales[[#This Row],[Store ID]],tblStores[Store ID],tblStores[Province])</f>
        <v>Western Cape</v>
      </c>
      <c r="F914" t="str">
        <f>_xlfn.XLOOKUP(tblSales[[#This Row],[Store ID]],tblStores[Store ID],tblStores[Manager])</f>
        <v>Jason King</v>
      </c>
      <c r="G914" t="str">
        <f>_xlfn.XLOOKUP(tblSales[[#This Row],[Category ID]],tblCategories[Category ID],tblCategories[Category])</f>
        <v>Kids</v>
      </c>
      <c r="H914">
        <v>36893</v>
      </c>
      <c r="I914">
        <v>39600</v>
      </c>
      <c r="J914">
        <v>79</v>
      </c>
      <c r="K914">
        <f>tblSales[[#This Row],[Sales]]-tblSales[[#This Row],[Budget]]</f>
        <v>-2707</v>
      </c>
      <c r="L914" s="3">
        <f>(tblSales[[#This Row],[Sales]]-tblSales[[#This Row],[Budget]])/tblSales[[#This Row],[Budget]]</f>
        <v>-6.8358585858585855E-2</v>
      </c>
      <c r="M914" s="2">
        <f>tblSales[[#This Row],[Sales]]/tblSales[[#This Row],[Transactions]]</f>
        <v>467</v>
      </c>
    </row>
    <row r="915" spans="1:13" x14ac:dyDescent="0.25">
      <c r="A915" s="1">
        <v>46068</v>
      </c>
      <c r="B915" t="s">
        <v>24</v>
      </c>
      <c r="C915" t="s">
        <v>19</v>
      </c>
      <c r="D915" t="str">
        <f>_xlfn.XLOOKUP(tblSales[[#This Row],[Store ID]],tblStores[Store ID],tblStores[Store Name])</f>
        <v>George</v>
      </c>
      <c r="E915" t="str">
        <f>_xlfn.XLOOKUP(tblSales[[#This Row],[Store ID]],tblStores[Store ID],tblStores[Province])</f>
        <v>Western Cape</v>
      </c>
      <c r="F915" t="str">
        <f>_xlfn.XLOOKUP(tblSales[[#This Row],[Store ID]],tblStores[Store ID],tblStores[Manager])</f>
        <v>Chloe Hill</v>
      </c>
      <c r="G915" t="str">
        <f>_xlfn.XLOOKUP(tblSales[[#This Row],[Category ID]],tblCategories[Category ID],tblCategories[Category])</f>
        <v>Accessories</v>
      </c>
      <c r="H915">
        <v>37044</v>
      </c>
      <c r="I915">
        <v>39503</v>
      </c>
      <c r="J915">
        <v>126</v>
      </c>
      <c r="K915">
        <f>tblSales[[#This Row],[Sales]]-tblSales[[#This Row],[Budget]]</f>
        <v>-2459</v>
      </c>
      <c r="L915" s="3">
        <f>(tblSales[[#This Row],[Sales]]-tblSales[[#This Row],[Budget]])/tblSales[[#This Row],[Budget]]</f>
        <v>-6.2248436827582715E-2</v>
      </c>
      <c r="M915" s="2">
        <f>tblSales[[#This Row],[Sales]]/tblSales[[#This Row],[Transactions]]</f>
        <v>294</v>
      </c>
    </row>
    <row r="916" spans="1:13" x14ac:dyDescent="0.25">
      <c r="A916" s="1">
        <v>46068</v>
      </c>
      <c r="B916" t="s">
        <v>25</v>
      </c>
      <c r="C916" t="s">
        <v>9</v>
      </c>
      <c r="D916" t="str">
        <f>_xlfn.XLOOKUP(tblSales[[#This Row],[Store ID]],tblStores[Store ID],tblStores[Store Name])</f>
        <v>Paarl</v>
      </c>
      <c r="E916" t="str">
        <f>_xlfn.XLOOKUP(tblSales[[#This Row],[Store ID]],tblStores[Store ID],tblStores[Province])</f>
        <v>Western Cape</v>
      </c>
      <c r="F916" t="str">
        <f>_xlfn.XLOOKUP(tblSales[[#This Row],[Store ID]],tblStores[Store ID],tblStores[Manager])</f>
        <v>Andrew Lee</v>
      </c>
      <c r="G916" t="str">
        <f>_xlfn.XLOOKUP(tblSales[[#This Row],[Category ID]],tblCategories[Category ID],tblCategories[Category])</f>
        <v>Ladieswear</v>
      </c>
      <c r="H916">
        <v>44147</v>
      </c>
      <c r="I916">
        <v>47833</v>
      </c>
      <c r="J916">
        <v>131</v>
      </c>
      <c r="K916">
        <f>tblSales[[#This Row],[Sales]]-tblSales[[#This Row],[Budget]]</f>
        <v>-3686</v>
      </c>
      <c r="L916" s="3">
        <f>(tblSales[[#This Row],[Sales]]-tblSales[[#This Row],[Budget]])/tblSales[[#This Row],[Budget]]</f>
        <v>-7.7059770451362031E-2</v>
      </c>
      <c r="M916" s="2">
        <f>tblSales[[#This Row],[Sales]]/tblSales[[#This Row],[Transactions]]</f>
        <v>337</v>
      </c>
    </row>
    <row r="917" spans="1:13" x14ac:dyDescent="0.25">
      <c r="A917" s="1">
        <v>46068</v>
      </c>
      <c r="B917" t="s">
        <v>26</v>
      </c>
      <c r="C917" t="s">
        <v>22</v>
      </c>
      <c r="D917" t="str">
        <f>_xlfn.XLOOKUP(tblSales[[#This Row],[Store ID]],tblStores[Store ID],tblStores[Store Name])</f>
        <v>Gqeberha</v>
      </c>
      <c r="E917" t="str">
        <f>_xlfn.XLOOKUP(tblSales[[#This Row],[Store ID]],tblStores[Store ID],tblStores[Province])</f>
        <v>Eastern Cape</v>
      </c>
      <c r="F917" t="str">
        <f>_xlfn.XLOOKUP(tblSales[[#This Row],[Store ID]],tblStores[Store ID],tblStores[Manager])</f>
        <v>Emma Baker</v>
      </c>
      <c r="G917" t="str">
        <f>_xlfn.XLOOKUP(tblSales[[#This Row],[Category ID]],tblCategories[Category ID],tblCategories[Category])</f>
        <v>Kids</v>
      </c>
      <c r="H917">
        <v>18090</v>
      </c>
      <c r="I917">
        <v>19577</v>
      </c>
      <c r="J917">
        <v>67</v>
      </c>
      <c r="K917">
        <f>tblSales[[#This Row],[Sales]]-tblSales[[#This Row],[Budget]]</f>
        <v>-1487</v>
      </c>
      <c r="L917" s="3">
        <f>(tblSales[[#This Row],[Sales]]-tblSales[[#This Row],[Budget]])/tblSales[[#This Row],[Budget]]</f>
        <v>-7.5956479542320071E-2</v>
      </c>
      <c r="M917" s="2">
        <f>tblSales[[#This Row],[Sales]]/tblSales[[#This Row],[Transactions]]</f>
        <v>270</v>
      </c>
    </row>
    <row r="918" spans="1:13" x14ac:dyDescent="0.25">
      <c r="A918" s="1">
        <v>46068</v>
      </c>
      <c r="B918" t="s">
        <v>27</v>
      </c>
      <c r="C918" t="s">
        <v>19</v>
      </c>
      <c r="D918" t="str">
        <f>_xlfn.XLOOKUP(tblSales[[#This Row],[Store ID]],tblStores[Store ID],tblStores[Store Name])</f>
        <v>East London</v>
      </c>
      <c r="E918" t="str">
        <f>_xlfn.XLOOKUP(tblSales[[#This Row],[Store ID]],tblStores[Store ID],tblStores[Province])</f>
        <v>Eastern Cape</v>
      </c>
      <c r="F918" t="str">
        <f>_xlfn.XLOOKUP(tblSales[[#This Row],[Store ID]],tblStores[Store ID],tblStores[Manager])</f>
        <v>Daniel Evans</v>
      </c>
      <c r="G918" t="str">
        <f>_xlfn.XLOOKUP(tblSales[[#This Row],[Category ID]],tblCategories[Category ID],tblCategories[Category])</f>
        <v>Accessories</v>
      </c>
      <c r="H918">
        <v>63450</v>
      </c>
      <c r="I918">
        <v>57618</v>
      </c>
      <c r="J918">
        <v>135</v>
      </c>
      <c r="K918">
        <f>tblSales[[#This Row],[Sales]]-tblSales[[#This Row],[Budget]]</f>
        <v>5832</v>
      </c>
      <c r="L918" s="3">
        <f>(tblSales[[#This Row],[Sales]]-tblSales[[#This Row],[Budget]])/tblSales[[#This Row],[Budget]]</f>
        <v>0.10121836925960637</v>
      </c>
      <c r="M918" s="2">
        <f>tblSales[[#This Row],[Sales]]/tblSales[[#This Row],[Transactions]]</f>
        <v>470</v>
      </c>
    </row>
    <row r="919" spans="1:13" x14ac:dyDescent="0.25">
      <c r="A919" s="1">
        <v>46068</v>
      </c>
      <c r="B919" t="s">
        <v>28</v>
      </c>
      <c r="C919" t="s">
        <v>19</v>
      </c>
      <c r="D919" t="str">
        <f>_xlfn.XLOOKUP(tblSales[[#This Row],[Store ID]],tblStores[Store ID],tblStores[Store Name])</f>
        <v>Bloemfontein</v>
      </c>
      <c r="E919" t="str">
        <f>_xlfn.XLOOKUP(tblSales[[#This Row],[Store ID]],tblStores[Store ID],tblStores[Province])</f>
        <v>Free State</v>
      </c>
      <c r="F919" t="str">
        <f>_xlfn.XLOOKUP(tblSales[[#This Row],[Store ID]],tblStores[Store ID],tblStores[Manager])</f>
        <v>Rachel Moore</v>
      </c>
      <c r="G919" t="str">
        <f>_xlfn.XLOOKUP(tblSales[[#This Row],[Category ID]],tblCategories[Category ID],tblCategories[Category])</f>
        <v>Accessories</v>
      </c>
      <c r="H919">
        <v>57188</v>
      </c>
      <c r="I919">
        <v>54627</v>
      </c>
      <c r="J919">
        <v>116</v>
      </c>
      <c r="K919">
        <f>tblSales[[#This Row],[Sales]]-tblSales[[#This Row],[Budget]]</f>
        <v>2561</v>
      </c>
      <c r="L919" s="3">
        <f>(tblSales[[#This Row],[Sales]]-tblSales[[#This Row],[Budget]])/tblSales[[#This Row],[Budget]]</f>
        <v>4.6881578706500449E-2</v>
      </c>
      <c r="M919" s="2">
        <f>tblSales[[#This Row],[Sales]]/tblSales[[#This Row],[Transactions]]</f>
        <v>493</v>
      </c>
    </row>
    <row r="920" spans="1:13" x14ac:dyDescent="0.25">
      <c r="A920" s="1">
        <v>46068</v>
      </c>
      <c r="B920" t="s">
        <v>29</v>
      </c>
      <c r="C920" t="s">
        <v>19</v>
      </c>
      <c r="D920" t="str">
        <f>_xlfn.XLOOKUP(tblSales[[#This Row],[Store ID]],tblStores[Store ID],tblStores[Store Name])</f>
        <v>Polokwane</v>
      </c>
      <c r="E920" t="str">
        <f>_xlfn.XLOOKUP(tblSales[[#This Row],[Store ID]],tblStores[Store ID],tblStores[Province])</f>
        <v>Limpopo</v>
      </c>
      <c r="F920" t="str">
        <f>_xlfn.XLOOKUP(tblSales[[#This Row],[Store ID]],tblStores[Store ID],tblStores[Manager])</f>
        <v>Kevin Harris</v>
      </c>
      <c r="G920" t="str">
        <f>_xlfn.XLOOKUP(tblSales[[#This Row],[Category ID]],tblCategories[Category ID],tblCategories[Category])</f>
        <v>Accessories</v>
      </c>
      <c r="H920">
        <v>26474</v>
      </c>
      <c r="I920">
        <v>24757</v>
      </c>
      <c r="J920">
        <v>61</v>
      </c>
      <c r="K920">
        <f>tblSales[[#This Row],[Sales]]-tblSales[[#This Row],[Budget]]</f>
        <v>1717</v>
      </c>
      <c r="L920" s="3">
        <f>(tblSales[[#This Row],[Sales]]-tblSales[[#This Row],[Budget]])/tblSales[[#This Row],[Budget]]</f>
        <v>6.9354122066486251E-2</v>
      </c>
      <c r="M920" s="2">
        <f>tblSales[[#This Row],[Sales]]/tblSales[[#This Row],[Transactions]]</f>
        <v>434</v>
      </c>
    </row>
    <row r="921" spans="1:13" x14ac:dyDescent="0.25">
      <c r="A921" s="1">
        <v>46068</v>
      </c>
      <c r="B921" t="s">
        <v>30</v>
      </c>
      <c r="C921" t="s">
        <v>7</v>
      </c>
      <c r="D921" t="str">
        <f>_xlfn.XLOOKUP(tblSales[[#This Row],[Store ID]],tblStores[Store ID],tblStores[Store Name])</f>
        <v>Nelspruit</v>
      </c>
      <c r="E921" t="str">
        <f>_xlfn.XLOOKUP(tblSales[[#This Row],[Store ID]],tblStores[Store ID],tblStores[Province])</f>
        <v>Mpumalanga</v>
      </c>
      <c r="F921" t="str">
        <f>_xlfn.XLOOKUP(tblSales[[#This Row],[Store ID]],tblStores[Store ID],tblStores[Manager])</f>
        <v>Olivia Turner</v>
      </c>
      <c r="G921" t="str">
        <f>_xlfn.XLOOKUP(tblSales[[#This Row],[Category ID]],tblCategories[Category ID],tblCategories[Category])</f>
        <v>Menswear</v>
      </c>
      <c r="H921">
        <v>33915</v>
      </c>
      <c r="I921">
        <v>38852</v>
      </c>
      <c r="J921">
        <v>95</v>
      </c>
      <c r="K921">
        <f>tblSales[[#This Row],[Sales]]-tblSales[[#This Row],[Budget]]</f>
        <v>-4937</v>
      </c>
      <c r="L921" s="3">
        <f>(tblSales[[#This Row],[Sales]]-tblSales[[#This Row],[Budget]])/tblSales[[#This Row],[Budget]]</f>
        <v>-0.12707196540718624</v>
      </c>
      <c r="M921" s="2">
        <f>tblSales[[#This Row],[Sales]]/tblSales[[#This Row],[Transactions]]</f>
        <v>357</v>
      </c>
    </row>
    <row r="922" spans="1:13" x14ac:dyDescent="0.25">
      <c r="A922" s="1">
        <v>46069</v>
      </c>
      <c r="B922" t="s">
        <v>6</v>
      </c>
      <c r="C922" t="s">
        <v>9</v>
      </c>
      <c r="D922" t="str">
        <f>_xlfn.XLOOKUP(tblSales[[#This Row],[Store ID]],tblStores[Store ID],tblStores[Store Name])</f>
        <v>Durban CBD</v>
      </c>
      <c r="E922" t="str">
        <f>_xlfn.XLOOKUP(tblSales[[#This Row],[Store ID]],tblStores[Store ID],tblStores[Province])</f>
        <v>KZN</v>
      </c>
      <c r="F922" t="str">
        <f>_xlfn.XLOOKUP(tblSales[[#This Row],[Store ID]],tblStores[Store ID],tblStores[Manager])</f>
        <v>Sarah Adams</v>
      </c>
      <c r="G922" t="str">
        <f>_xlfn.XLOOKUP(tblSales[[#This Row],[Category ID]],tblCategories[Category ID],tblCategories[Category])</f>
        <v>Ladieswear</v>
      </c>
      <c r="H922">
        <v>44325</v>
      </c>
      <c r="I922">
        <v>48997</v>
      </c>
      <c r="J922">
        <v>197</v>
      </c>
      <c r="K922">
        <f>tblSales[[#This Row],[Sales]]-tblSales[[#This Row],[Budget]]</f>
        <v>-4672</v>
      </c>
      <c r="L922" s="3">
        <f>(tblSales[[#This Row],[Sales]]-tblSales[[#This Row],[Budget]])/tblSales[[#This Row],[Budget]]</f>
        <v>-9.5352776700614317E-2</v>
      </c>
      <c r="M922" s="2">
        <f>tblSales[[#This Row],[Sales]]/tblSales[[#This Row],[Transactions]]</f>
        <v>225</v>
      </c>
    </row>
    <row r="923" spans="1:13" x14ac:dyDescent="0.25">
      <c r="A923" s="1">
        <v>46069</v>
      </c>
      <c r="B923" t="s">
        <v>8</v>
      </c>
      <c r="C923" t="s">
        <v>22</v>
      </c>
      <c r="D923" t="str">
        <f>_xlfn.XLOOKUP(tblSales[[#This Row],[Store ID]],tblStores[Store ID],tblStores[Store Name])</f>
        <v>Gateway</v>
      </c>
      <c r="E923" t="str">
        <f>_xlfn.XLOOKUP(tblSales[[#This Row],[Store ID]],tblStores[Store ID],tblStores[Province])</f>
        <v>KZN</v>
      </c>
      <c r="F923" t="str">
        <f>_xlfn.XLOOKUP(tblSales[[#This Row],[Store ID]],tblStores[Store ID],tblStores[Manager])</f>
        <v>Michael Jones</v>
      </c>
      <c r="G923" t="str">
        <f>_xlfn.XLOOKUP(tblSales[[#This Row],[Category ID]],tblCategories[Category ID],tblCategories[Category])</f>
        <v>Kids</v>
      </c>
      <c r="H923">
        <v>27565</v>
      </c>
      <c r="I923">
        <v>26636</v>
      </c>
      <c r="J923">
        <v>149</v>
      </c>
      <c r="K923">
        <f>tblSales[[#This Row],[Sales]]-tblSales[[#This Row],[Budget]]</f>
        <v>929</v>
      </c>
      <c r="L923" s="3">
        <f>(tblSales[[#This Row],[Sales]]-tblSales[[#This Row],[Budget]])/tblSales[[#This Row],[Budget]]</f>
        <v>3.4877609250638236E-2</v>
      </c>
      <c r="M923" s="2">
        <f>tblSales[[#This Row],[Sales]]/tblSales[[#This Row],[Transactions]]</f>
        <v>185</v>
      </c>
    </row>
    <row r="924" spans="1:13" x14ac:dyDescent="0.25">
      <c r="A924" s="1">
        <v>46069</v>
      </c>
      <c r="B924" t="s">
        <v>10</v>
      </c>
      <c r="C924" t="s">
        <v>9</v>
      </c>
      <c r="D924" t="str">
        <f>_xlfn.XLOOKUP(tblSales[[#This Row],[Store ID]],tblStores[Store ID],tblStores[Store Name])</f>
        <v>Ballito</v>
      </c>
      <c r="E924" t="str">
        <f>_xlfn.XLOOKUP(tblSales[[#This Row],[Store ID]],tblStores[Store ID],tblStores[Province])</f>
        <v>KZN</v>
      </c>
      <c r="F924" t="str">
        <f>_xlfn.XLOOKUP(tblSales[[#This Row],[Store ID]],tblStores[Store ID],tblStores[Manager])</f>
        <v>Linda Smith</v>
      </c>
      <c r="G924" t="str">
        <f>_xlfn.XLOOKUP(tblSales[[#This Row],[Category ID]],tblCategories[Category ID],tblCategories[Category])</f>
        <v>Ladieswear</v>
      </c>
      <c r="H924">
        <v>45368</v>
      </c>
      <c r="I924">
        <v>44806</v>
      </c>
      <c r="J924">
        <v>212</v>
      </c>
      <c r="K924">
        <f>tblSales[[#This Row],[Sales]]-tblSales[[#This Row],[Budget]]</f>
        <v>562</v>
      </c>
      <c r="L924" s="3">
        <f>(tblSales[[#This Row],[Sales]]-tblSales[[#This Row],[Budget]])/tblSales[[#This Row],[Budget]]</f>
        <v>1.2542962996027317E-2</v>
      </c>
      <c r="M924" s="2">
        <f>tblSales[[#This Row],[Sales]]/tblSales[[#This Row],[Transactions]]</f>
        <v>214</v>
      </c>
    </row>
    <row r="925" spans="1:13" x14ac:dyDescent="0.25">
      <c r="A925" s="1">
        <v>46069</v>
      </c>
      <c r="B925" t="s">
        <v>12</v>
      </c>
      <c r="C925" t="s">
        <v>7</v>
      </c>
      <c r="D925" t="str">
        <f>_xlfn.XLOOKUP(tblSales[[#This Row],[Store ID]],tblStores[Store ID],tblStores[Store Name])</f>
        <v>Pietermaritzburg</v>
      </c>
      <c r="E925" t="str">
        <f>_xlfn.XLOOKUP(tblSales[[#This Row],[Store ID]],tblStores[Store ID],tblStores[Province])</f>
        <v>KZN</v>
      </c>
      <c r="F925" t="str">
        <f>_xlfn.XLOOKUP(tblSales[[#This Row],[Store ID]],tblStores[Store ID],tblStores[Manager])</f>
        <v>Peter Brown</v>
      </c>
      <c r="G925" t="str">
        <f>_xlfn.XLOOKUP(tblSales[[#This Row],[Category ID]],tblCategories[Category ID],tblCategories[Category])</f>
        <v>Menswear</v>
      </c>
      <c r="H925">
        <v>39420</v>
      </c>
      <c r="I925">
        <v>35952</v>
      </c>
      <c r="J925">
        <v>219</v>
      </c>
      <c r="K925">
        <f>tblSales[[#This Row],[Sales]]-tblSales[[#This Row],[Budget]]</f>
        <v>3468</v>
      </c>
      <c r="L925" s="3">
        <f>(tblSales[[#This Row],[Sales]]-tblSales[[#This Row],[Budget]])/tblSales[[#This Row],[Budget]]</f>
        <v>9.6461949265687588E-2</v>
      </c>
      <c r="M925" s="2">
        <f>tblSales[[#This Row],[Sales]]/tblSales[[#This Row],[Transactions]]</f>
        <v>180</v>
      </c>
    </row>
    <row r="926" spans="1:13" x14ac:dyDescent="0.25">
      <c r="A926" s="1">
        <v>46069</v>
      </c>
      <c r="B926" t="s">
        <v>13</v>
      </c>
      <c r="C926" t="s">
        <v>11</v>
      </c>
      <c r="D926" t="str">
        <f>_xlfn.XLOOKUP(tblSales[[#This Row],[Store ID]],tblStores[Store ID],tblStores[Store Name])</f>
        <v>Richards Bay</v>
      </c>
      <c r="E926" t="str">
        <f>_xlfn.XLOOKUP(tblSales[[#This Row],[Store ID]],tblStores[Store ID],tblStores[Province])</f>
        <v>KZN</v>
      </c>
      <c r="F926" t="str">
        <f>_xlfn.XLOOKUP(tblSales[[#This Row],[Store ID]],tblStores[Store ID],tblStores[Manager])</f>
        <v>David Green</v>
      </c>
      <c r="G926" t="str">
        <f>_xlfn.XLOOKUP(tblSales[[#This Row],[Category ID]],tblCategories[Category ID],tblCategories[Category])</f>
        <v>Footwear</v>
      </c>
      <c r="H926">
        <v>37630</v>
      </c>
      <c r="I926">
        <v>42188</v>
      </c>
      <c r="J926">
        <v>142</v>
      </c>
      <c r="K926">
        <f>tblSales[[#This Row],[Sales]]-tblSales[[#This Row],[Budget]]</f>
        <v>-4558</v>
      </c>
      <c r="L926" s="3">
        <f>(tblSales[[#This Row],[Sales]]-tblSales[[#This Row],[Budget]])/tblSales[[#This Row],[Budget]]</f>
        <v>-0.10804020100502512</v>
      </c>
      <c r="M926" s="2">
        <f>tblSales[[#This Row],[Sales]]/tblSales[[#This Row],[Transactions]]</f>
        <v>265</v>
      </c>
    </row>
    <row r="927" spans="1:13" x14ac:dyDescent="0.25">
      <c r="A927" s="1">
        <v>46069</v>
      </c>
      <c r="B927" t="s">
        <v>14</v>
      </c>
      <c r="C927" t="s">
        <v>11</v>
      </c>
      <c r="D927" t="str">
        <f>_xlfn.XLOOKUP(tblSales[[#This Row],[Store ID]],tblStores[Store ID],tblStores[Store Name])</f>
        <v>Sandton</v>
      </c>
      <c r="E927" t="str">
        <f>_xlfn.XLOOKUP(tblSales[[#This Row],[Store ID]],tblStores[Store ID],tblStores[Province])</f>
        <v>Gauteng</v>
      </c>
      <c r="F927" t="str">
        <f>_xlfn.XLOOKUP(tblSales[[#This Row],[Store ID]],tblStores[Store ID],tblStores[Manager])</f>
        <v>Karen White</v>
      </c>
      <c r="G927" t="str">
        <f>_xlfn.XLOOKUP(tblSales[[#This Row],[Category ID]],tblCategories[Category ID],tblCategories[Category])</f>
        <v>Footwear</v>
      </c>
      <c r="H927">
        <v>47029</v>
      </c>
      <c r="I927">
        <v>48745</v>
      </c>
      <c r="J927">
        <v>131</v>
      </c>
      <c r="K927">
        <f>tblSales[[#This Row],[Sales]]-tblSales[[#This Row],[Budget]]</f>
        <v>-1716</v>
      </c>
      <c r="L927" s="3">
        <f>(tblSales[[#This Row],[Sales]]-tblSales[[#This Row],[Budget]])/tblSales[[#This Row],[Budget]]</f>
        <v>-3.5203610626730948E-2</v>
      </c>
      <c r="M927" s="2">
        <f>tblSales[[#This Row],[Sales]]/tblSales[[#This Row],[Transactions]]</f>
        <v>359</v>
      </c>
    </row>
    <row r="928" spans="1:13" x14ac:dyDescent="0.25">
      <c r="A928" s="1">
        <v>46069</v>
      </c>
      <c r="B928" t="s">
        <v>15</v>
      </c>
      <c r="C928" t="s">
        <v>7</v>
      </c>
      <c r="D928" t="str">
        <f>_xlfn.XLOOKUP(tblSales[[#This Row],[Store ID]],tblStores[Store ID],tblStores[Store Name])</f>
        <v>Rosebank</v>
      </c>
      <c r="E928" t="str">
        <f>_xlfn.XLOOKUP(tblSales[[#This Row],[Store ID]],tblStores[Store ID],tblStores[Province])</f>
        <v>Gauteng</v>
      </c>
      <c r="F928" t="str">
        <f>_xlfn.XLOOKUP(tblSales[[#This Row],[Store ID]],tblStores[Store ID],tblStores[Manager])</f>
        <v>James Taylor</v>
      </c>
      <c r="G928" t="str">
        <f>_xlfn.XLOOKUP(tblSales[[#This Row],[Category ID]],tblCategories[Category ID],tblCategories[Category])</f>
        <v>Menswear</v>
      </c>
      <c r="H928">
        <v>74575</v>
      </c>
      <c r="I928">
        <v>79254</v>
      </c>
      <c r="J928">
        <v>157</v>
      </c>
      <c r="K928">
        <f>tblSales[[#This Row],[Sales]]-tblSales[[#This Row],[Budget]]</f>
        <v>-4679</v>
      </c>
      <c r="L928" s="3">
        <f>(tblSales[[#This Row],[Sales]]-tblSales[[#This Row],[Budget]])/tblSales[[#This Row],[Budget]]</f>
        <v>-5.9038029626264921E-2</v>
      </c>
      <c r="M928" s="2">
        <f>tblSales[[#This Row],[Sales]]/tblSales[[#This Row],[Transactions]]</f>
        <v>475</v>
      </c>
    </row>
    <row r="929" spans="1:13" x14ac:dyDescent="0.25">
      <c r="A929" s="1">
        <v>46069</v>
      </c>
      <c r="B929" t="s">
        <v>16</v>
      </c>
      <c r="C929" t="s">
        <v>9</v>
      </c>
      <c r="D929" t="str">
        <f>_xlfn.XLOOKUP(tblSales[[#This Row],[Store ID]],tblStores[Store ID],tblStores[Store Name])</f>
        <v>Pretoria</v>
      </c>
      <c r="E929" t="str">
        <f>_xlfn.XLOOKUP(tblSales[[#This Row],[Store ID]],tblStores[Store ID],tblStores[Province])</f>
        <v>Gauteng</v>
      </c>
      <c r="F929" t="str">
        <f>_xlfn.XLOOKUP(tblSales[[#This Row],[Store ID]],tblStores[Store ID],tblStores[Manager])</f>
        <v>Susan Clark</v>
      </c>
      <c r="G929" t="str">
        <f>_xlfn.XLOOKUP(tblSales[[#This Row],[Category ID]],tblCategories[Category ID],tblCategories[Category])</f>
        <v>Ladieswear</v>
      </c>
      <c r="H929">
        <v>31236</v>
      </c>
      <c r="I929">
        <v>28687</v>
      </c>
      <c r="J929">
        <v>76</v>
      </c>
      <c r="K929">
        <f>tblSales[[#This Row],[Sales]]-tblSales[[#This Row],[Budget]]</f>
        <v>2549</v>
      </c>
      <c r="L929" s="3">
        <f>(tblSales[[#This Row],[Sales]]-tblSales[[#This Row],[Budget]])/tblSales[[#This Row],[Budget]]</f>
        <v>8.8855579182207975E-2</v>
      </c>
      <c r="M929" s="2">
        <f>tblSales[[#This Row],[Sales]]/tblSales[[#This Row],[Transactions]]</f>
        <v>411</v>
      </c>
    </row>
    <row r="930" spans="1:13" x14ac:dyDescent="0.25">
      <c r="A930" s="1">
        <v>46069</v>
      </c>
      <c r="B930" t="s">
        <v>17</v>
      </c>
      <c r="C930" t="s">
        <v>7</v>
      </c>
      <c r="D930" t="str">
        <f>_xlfn.XLOOKUP(tblSales[[#This Row],[Store ID]],tblStores[Store ID],tblStores[Store Name])</f>
        <v>Centurion</v>
      </c>
      <c r="E930" t="str">
        <f>_xlfn.XLOOKUP(tblSales[[#This Row],[Store ID]],tblStores[Store ID],tblStores[Province])</f>
        <v>Gauteng</v>
      </c>
      <c r="F930" t="str">
        <f>_xlfn.XLOOKUP(tblSales[[#This Row],[Store ID]],tblStores[Store ID],tblStores[Manager])</f>
        <v>Mark Wilson</v>
      </c>
      <c r="G930" t="str">
        <f>_xlfn.XLOOKUP(tblSales[[#This Row],[Category ID]],tblCategories[Category ID],tblCategories[Category])</f>
        <v>Menswear</v>
      </c>
      <c r="H930">
        <v>20900</v>
      </c>
      <c r="I930">
        <v>20475</v>
      </c>
      <c r="J930">
        <v>110</v>
      </c>
      <c r="K930">
        <f>tblSales[[#This Row],[Sales]]-tblSales[[#This Row],[Budget]]</f>
        <v>425</v>
      </c>
      <c r="L930" s="3">
        <f>(tblSales[[#This Row],[Sales]]-tblSales[[#This Row],[Budget]])/tblSales[[#This Row],[Budget]]</f>
        <v>2.0757020757020756E-2</v>
      </c>
      <c r="M930" s="2">
        <f>tblSales[[#This Row],[Sales]]/tblSales[[#This Row],[Transactions]]</f>
        <v>190</v>
      </c>
    </row>
    <row r="931" spans="1:13" x14ac:dyDescent="0.25">
      <c r="A931" s="1">
        <v>46069</v>
      </c>
      <c r="B931" t="s">
        <v>18</v>
      </c>
      <c r="C931" t="s">
        <v>7</v>
      </c>
      <c r="D931" t="str">
        <f>_xlfn.XLOOKUP(tblSales[[#This Row],[Store ID]],tblStores[Store ID],tblStores[Store Name])</f>
        <v>East Rand</v>
      </c>
      <c r="E931" t="str">
        <f>_xlfn.XLOOKUP(tblSales[[#This Row],[Store ID]],tblStores[Store ID],tblStores[Province])</f>
        <v>Gauteng</v>
      </c>
      <c r="F931" t="str">
        <f>_xlfn.XLOOKUP(tblSales[[#This Row],[Store ID]],tblStores[Store ID],tblStores[Manager])</f>
        <v>Lisa Young</v>
      </c>
      <c r="G931" t="str">
        <f>_xlfn.XLOOKUP(tblSales[[#This Row],[Category ID]],tblCategories[Category ID],tblCategories[Category])</f>
        <v>Menswear</v>
      </c>
      <c r="H931">
        <v>18815</v>
      </c>
      <c r="I931">
        <v>17733</v>
      </c>
      <c r="J931">
        <v>53</v>
      </c>
      <c r="K931">
        <f>tblSales[[#This Row],[Sales]]-tblSales[[#This Row],[Budget]]</f>
        <v>1082</v>
      </c>
      <c r="L931" s="3">
        <f>(tblSales[[#This Row],[Sales]]-tblSales[[#This Row],[Budget]])/tblSales[[#This Row],[Budget]]</f>
        <v>6.1016184514746517E-2</v>
      </c>
      <c r="M931" s="2">
        <f>tblSales[[#This Row],[Sales]]/tblSales[[#This Row],[Transactions]]</f>
        <v>355</v>
      </c>
    </row>
    <row r="932" spans="1:13" x14ac:dyDescent="0.25">
      <c r="A932" s="1">
        <v>46069</v>
      </c>
      <c r="B932" t="s">
        <v>20</v>
      </c>
      <c r="C932" t="s">
        <v>11</v>
      </c>
      <c r="D932" t="str">
        <f>_xlfn.XLOOKUP(tblSales[[#This Row],[Store ID]],tblStores[Store ID],tblStores[Store Name])</f>
        <v>Cape Town CBD</v>
      </c>
      <c r="E932" t="str">
        <f>_xlfn.XLOOKUP(tblSales[[#This Row],[Store ID]],tblStores[Store ID],tblStores[Province])</f>
        <v>Western Cape</v>
      </c>
      <c r="F932" t="str">
        <f>_xlfn.XLOOKUP(tblSales[[#This Row],[Store ID]],tblStores[Store ID],tblStores[Manager])</f>
        <v>Brian Hall</v>
      </c>
      <c r="G932" t="str">
        <f>_xlfn.XLOOKUP(tblSales[[#This Row],[Category ID]],tblCategories[Category ID],tblCategories[Category])</f>
        <v>Footwear</v>
      </c>
      <c r="H932">
        <v>16568</v>
      </c>
      <c r="I932">
        <v>17177</v>
      </c>
      <c r="J932">
        <v>76</v>
      </c>
      <c r="K932">
        <f>tblSales[[#This Row],[Sales]]-tblSales[[#This Row],[Budget]]</f>
        <v>-609</v>
      </c>
      <c r="L932" s="3">
        <f>(tblSales[[#This Row],[Sales]]-tblSales[[#This Row],[Budget]])/tblSales[[#This Row],[Budget]]</f>
        <v>-3.5454386679862608E-2</v>
      </c>
      <c r="M932" s="2">
        <f>tblSales[[#This Row],[Sales]]/tblSales[[#This Row],[Transactions]]</f>
        <v>218</v>
      </c>
    </row>
    <row r="933" spans="1:13" x14ac:dyDescent="0.25">
      <c r="A933" s="1">
        <v>46069</v>
      </c>
      <c r="B933" t="s">
        <v>21</v>
      </c>
      <c r="C933" t="s">
        <v>7</v>
      </c>
      <c r="D933" t="str">
        <f>_xlfn.XLOOKUP(tblSales[[#This Row],[Store ID]],tblStores[Store ID],tblStores[Store Name])</f>
        <v>Canal Walk</v>
      </c>
      <c r="E933" t="str">
        <f>_xlfn.XLOOKUP(tblSales[[#This Row],[Store ID]],tblStores[Store ID],tblStores[Province])</f>
        <v>Western Cape</v>
      </c>
      <c r="F933" t="str">
        <f>_xlfn.XLOOKUP(tblSales[[#This Row],[Store ID]],tblStores[Store ID],tblStores[Manager])</f>
        <v>Megan Scott</v>
      </c>
      <c r="G933" t="str">
        <f>_xlfn.XLOOKUP(tblSales[[#This Row],[Category ID]],tblCategories[Category ID],tblCategories[Category])</f>
        <v>Menswear</v>
      </c>
      <c r="H933">
        <v>58564</v>
      </c>
      <c r="I933">
        <v>67133</v>
      </c>
      <c r="J933">
        <v>121</v>
      </c>
      <c r="K933">
        <f>tblSales[[#This Row],[Sales]]-tblSales[[#This Row],[Budget]]</f>
        <v>-8569</v>
      </c>
      <c r="L933" s="3">
        <f>(tblSales[[#This Row],[Sales]]-tblSales[[#This Row],[Budget]])/tblSales[[#This Row],[Budget]]</f>
        <v>-0.12764214320825823</v>
      </c>
      <c r="M933" s="2">
        <f>tblSales[[#This Row],[Sales]]/tblSales[[#This Row],[Transactions]]</f>
        <v>484</v>
      </c>
    </row>
    <row r="934" spans="1:13" x14ac:dyDescent="0.25">
      <c r="A934" s="1">
        <v>46069</v>
      </c>
      <c r="B934" t="s">
        <v>23</v>
      </c>
      <c r="C934" t="s">
        <v>11</v>
      </c>
      <c r="D934" t="str">
        <f>_xlfn.XLOOKUP(tblSales[[#This Row],[Store ID]],tblStores[Store ID],tblStores[Store Name])</f>
        <v>Stellenbosch</v>
      </c>
      <c r="E934" t="str">
        <f>_xlfn.XLOOKUP(tblSales[[#This Row],[Store ID]],tblStores[Store ID],tblStores[Province])</f>
        <v>Western Cape</v>
      </c>
      <c r="F934" t="str">
        <f>_xlfn.XLOOKUP(tblSales[[#This Row],[Store ID]],tblStores[Store ID],tblStores[Manager])</f>
        <v>Jason King</v>
      </c>
      <c r="G934" t="str">
        <f>_xlfn.XLOOKUP(tblSales[[#This Row],[Category ID]],tblCategories[Category ID],tblCategories[Category])</f>
        <v>Footwear</v>
      </c>
      <c r="H934">
        <v>41925</v>
      </c>
      <c r="I934">
        <v>42253</v>
      </c>
      <c r="J934">
        <v>215</v>
      </c>
      <c r="K934">
        <f>tblSales[[#This Row],[Sales]]-tblSales[[#This Row],[Budget]]</f>
        <v>-328</v>
      </c>
      <c r="L934" s="3">
        <f>(tblSales[[#This Row],[Sales]]-tblSales[[#This Row],[Budget]])/tblSales[[#This Row],[Budget]]</f>
        <v>-7.7627624074030248E-3</v>
      </c>
      <c r="M934" s="2">
        <f>tblSales[[#This Row],[Sales]]/tblSales[[#This Row],[Transactions]]</f>
        <v>195</v>
      </c>
    </row>
    <row r="935" spans="1:13" x14ac:dyDescent="0.25">
      <c r="A935" s="1">
        <v>46069</v>
      </c>
      <c r="B935" t="s">
        <v>24</v>
      </c>
      <c r="C935" t="s">
        <v>9</v>
      </c>
      <c r="D935" t="str">
        <f>_xlfn.XLOOKUP(tblSales[[#This Row],[Store ID]],tblStores[Store ID],tblStores[Store Name])</f>
        <v>George</v>
      </c>
      <c r="E935" t="str">
        <f>_xlfn.XLOOKUP(tblSales[[#This Row],[Store ID]],tblStores[Store ID],tblStores[Province])</f>
        <v>Western Cape</v>
      </c>
      <c r="F935" t="str">
        <f>_xlfn.XLOOKUP(tblSales[[#This Row],[Store ID]],tblStores[Store ID],tblStores[Manager])</f>
        <v>Chloe Hill</v>
      </c>
      <c r="G935" t="str">
        <f>_xlfn.XLOOKUP(tblSales[[#This Row],[Category ID]],tblCategories[Category ID],tblCategories[Category])</f>
        <v>Ladieswear</v>
      </c>
      <c r="H935">
        <v>76380</v>
      </c>
      <c r="I935">
        <v>71741</v>
      </c>
      <c r="J935">
        <v>190</v>
      </c>
      <c r="K935">
        <f>tblSales[[#This Row],[Sales]]-tblSales[[#This Row],[Budget]]</f>
        <v>4639</v>
      </c>
      <c r="L935" s="3">
        <f>(tblSales[[#This Row],[Sales]]-tblSales[[#This Row],[Budget]])/tblSales[[#This Row],[Budget]]</f>
        <v>6.4663163323622472E-2</v>
      </c>
      <c r="M935" s="2">
        <f>tblSales[[#This Row],[Sales]]/tblSales[[#This Row],[Transactions]]</f>
        <v>402</v>
      </c>
    </row>
    <row r="936" spans="1:13" x14ac:dyDescent="0.25">
      <c r="A936" s="1">
        <v>46069</v>
      </c>
      <c r="B936" t="s">
        <v>25</v>
      </c>
      <c r="C936" t="s">
        <v>7</v>
      </c>
      <c r="D936" t="str">
        <f>_xlfn.XLOOKUP(tblSales[[#This Row],[Store ID]],tblStores[Store ID],tblStores[Store Name])</f>
        <v>Paarl</v>
      </c>
      <c r="E936" t="str">
        <f>_xlfn.XLOOKUP(tblSales[[#This Row],[Store ID]],tblStores[Store ID],tblStores[Province])</f>
        <v>Western Cape</v>
      </c>
      <c r="F936" t="str">
        <f>_xlfn.XLOOKUP(tblSales[[#This Row],[Store ID]],tblStores[Store ID],tblStores[Manager])</f>
        <v>Andrew Lee</v>
      </c>
      <c r="G936" t="str">
        <f>_xlfn.XLOOKUP(tblSales[[#This Row],[Category ID]],tblCategories[Category ID],tblCategories[Category])</f>
        <v>Menswear</v>
      </c>
      <c r="H936">
        <v>33915</v>
      </c>
      <c r="I936">
        <v>38785</v>
      </c>
      <c r="J936">
        <v>119</v>
      </c>
      <c r="K936">
        <f>tblSales[[#This Row],[Sales]]-tblSales[[#This Row],[Budget]]</f>
        <v>-4870</v>
      </c>
      <c r="L936" s="3">
        <f>(tblSales[[#This Row],[Sales]]-tblSales[[#This Row],[Budget]])/tblSales[[#This Row],[Budget]]</f>
        <v>-0.12556400670362253</v>
      </c>
      <c r="M936" s="2">
        <f>tblSales[[#This Row],[Sales]]/tblSales[[#This Row],[Transactions]]</f>
        <v>285</v>
      </c>
    </row>
    <row r="937" spans="1:13" x14ac:dyDescent="0.25">
      <c r="A937" s="1">
        <v>46069</v>
      </c>
      <c r="B937" t="s">
        <v>26</v>
      </c>
      <c r="C937" t="s">
        <v>11</v>
      </c>
      <c r="D937" t="str">
        <f>_xlfn.XLOOKUP(tblSales[[#This Row],[Store ID]],tblStores[Store ID],tblStores[Store Name])</f>
        <v>Gqeberha</v>
      </c>
      <c r="E937" t="str">
        <f>_xlfn.XLOOKUP(tblSales[[#This Row],[Store ID]],tblStores[Store ID],tblStores[Province])</f>
        <v>Eastern Cape</v>
      </c>
      <c r="F937" t="str">
        <f>_xlfn.XLOOKUP(tblSales[[#This Row],[Store ID]],tblStores[Store ID],tblStores[Manager])</f>
        <v>Emma Baker</v>
      </c>
      <c r="G937" t="str">
        <f>_xlfn.XLOOKUP(tblSales[[#This Row],[Category ID]],tblCategories[Category ID],tblCategories[Category])</f>
        <v>Footwear</v>
      </c>
      <c r="H937">
        <v>98619</v>
      </c>
      <c r="I937">
        <v>106558</v>
      </c>
      <c r="J937">
        <v>213</v>
      </c>
      <c r="K937">
        <f>tblSales[[#This Row],[Sales]]-tblSales[[#This Row],[Budget]]</f>
        <v>-7939</v>
      </c>
      <c r="L937" s="3">
        <f>(tblSales[[#This Row],[Sales]]-tblSales[[#This Row],[Budget]])/tblSales[[#This Row],[Budget]]</f>
        <v>-7.4504025976463523E-2</v>
      </c>
      <c r="M937" s="2">
        <f>tblSales[[#This Row],[Sales]]/tblSales[[#This Row],[Transactions]]</f>
        <v>463</v>
      </c>
    </row>
    <row r="938" spans="1:13" x14ac:dyDescent="0.25">
      <c r="A938" s="1">
        <v>46069</v>
      </c>
      <c r="B938" t="s">
        <v>27</v>
      </c>
      <c r="C938" t="s">
        <v>19</v>
      </c>
      <c r="D938" t="str">
        <f>_xlfn.XLOOKUP(tblSales[[#This Row],[Store ID]],tblStores[Store ID],tblStores[Store Name])</f>
        <v>East London</v>
      </c>
      <c r="E938" t="str">
        <f>_xlfn.XLOOKUP(tblSales[[#This Row],[Store ID]],tblStores[Store ID],tblStores[Province])</f>
        <v>Eastern Cape</v>
      </c>
      <c r="F938" t="str">
        <f>_xlfn.XLOOKUP(tblSales[[#This Row],[Store ID]],tblStores[Store ID],tblStores[Manager])</f>
        <v>Daniel Evans</v>
      </c>
      <c r="G938" t="str">
        <f>_xlfn.XLOOKUP(tblSales[[#This Row],[Category ID]],tblCategories[Category ID],tblCategories[Category])</f>
        <v>Accessories</v>
      </c>
      <c r="H938">
        <v>52836</v>
      </c>
      <c r="I938">
        <v>51271</v>
      </c>
      <c r="J938">
        <v>102</v>
      </c>
      <c r="K938">
        <f>tblSales[[#This Row],[Sales]]-tblSales[[#This Row],[Budget]]</f>
        <v>1565</v>
      </c>
      <c r="L938" s="3">
        <f>(tblSales[[#This Row],[Sales]]-tblSales[[#This Row],[Budget]])/tblSales[[#This Row],[Budget]]</f>
        <v>3.0524077938795812E-2</v>
      </c>
      <c r="M938" s="2">
        <f>tblSales[[#This Row],[Sales]]/tblSales[[#This Row],[Transactions]]</f>
        <v>518</v>
      </c>
    </row>
    <row r="939" spans="1:13" x14ac:dyDescent="0.25">
      <c r="A939" s="1">
        <v>46069</v>
      </c>
      <c r="B939" t="s">
        <v>28</v>
      </c>
      <c r="C939" t="s">
        <v>9</v>
      </c>
      <c r="D939" t="str">
        <f>_xlfn.XLOOKUP(tblSales[[#This Row],[Store ID]],tblStores[Store ID],tblStores[Store Name])</f>
        <v>Bloemfontein</v>
      </c>
      <c r="E939" t="str">
        <f>_xlfn.XLOOKUP(tblSales[[#This Row],[Store ID]],tblStores[Store ID],tblStores[Province])</f>
        <v>Free State</v>
      </c>
      <c r="F939" t="str">
        <f>_xlfn.XLOOKUP(tblSales[[#This Row],[Store ID]],tblStores[Store ID],tblStores[Manager])</f>
        <v>Rachel Moore</v>
      </c>
      <c r="G939" t="str">
        <f>_xlfn.XLOOKUP(tblSales[[#This Row],[Category ID]],tblCategories[Category ID],tblCategories[Category])</f>
        <v>Ladieswear</v>
      </c>
      <c r="H939">
        <v>12095</v>
      </c>
      <c r="I939">
        <v>12073</v>
      </c>
      <c r="J939">
        <v>59</v>
      </c>
      <c r="K939">
        <f>tblSales[[#This Row],[Sales]]-tblSales[[#This Row],[Budget]]</f>
        <v>22</v>
      </c>
      <c r="L939" s="3">
        <f>(tblSales[[#This Row],[Sales]]-tblSales[[#This Row],[Budget]])/tblSales[[#This Row],[Budget]]</f>
        <v>1.8222479913857367E-3</v>
      </c>
      <c r="M939" s="2">
        <f>tblSales[[#This Row],[Sales]]/tblSales[[#This Row],[Transactions]]</f>
        <v>205</v>
      </c>
    </row>
    <row r="940" spans="1:13" x14ac:dyDescent="0.25">
      <c r="A940" s="1">
        <v>46069</v>
      </c>
      <c r="B940" t="s">
        <v>29</v>
      </c>
      <c r="C940" t="s">
        <v>19</v>
      </c>
      <c r="D940" t="str">
        <f>_xlfn.XLOOKUP(tblSales[[#This Row],[Store ID]],tblStores[Store ID],tblStores[Store Name])</f>
        <v>Polokwane</v>
      </c>
      <c r="E940" t="str">
        <f>_xlfn.XLOOKUP(tblSales[[#This Row],[Store ID]],tblStores[Store ID],tblStores[Province])</f>
        <v>Limpopo</v>
      </c>
      <c r="F940" t="str">
        <f>_xlfn.XLOOKUP(tblSales[[#This Row],[Store ID]],tblStores[Store ID],tblStores[Manager])</f>
        <v>Kevin Harris</v>
      </c>
      <c r="G940" t="str">
        <f>_xlfn.XLOOKUP(tblSales[[#This Row],[Category ID]],tblCategories[Category ID],tblCategories[Category])</f>
        <v>Accessories</v>
      </c>
      <c r="H940">
        <v>41280</v>
      </c>
      <c r="I940">
        <v>37714</v>
      </c>
      <c r="J940">
        <v>160</v>
      </c>
      <c r="K940">
        <f>tblSales[[#This Row],[Sales]]-tblSales[[#This Row],[Budget]]</f>
        <v>3566</v>
      </c>
      <c r="L940" s="3">
        <f>(tblSales[[#This Row],[Sales]]-tblSales[[#This Row],[Budget]])/tblSales[[#This Row],[Budget]]</f>
        <v>9.455374661929257E-2</v>
      </c>
      <c r="M940" s="2">
        <f>tblSales[[#This Row],[Sales]]/tblSales[[#This Row],[Transactions]]</f>
        <v>258</v>
      </c>
    </row>
    <row r="941" spans="1:13" x14ac:dyDescent="0.25">
      <c r="A941" s="1">
        <v>46069</v>
      </c>
      <c r="B941" t="s">
        <v>30</v>
      </c>
      <c r="C941" t="s">
        <v>7</v>
      </c>
      <c r="D941" t="str">
        <f>_xlfn.XLOOKUP(tblSales[[#This Row],[Store ID]],tblStores[Store ID],tblStores[Store Name])</f>
        <v>Nelspruit</v>
      </c>
      <c r="E941" t="str">
        <f>_xlfn.XLOOKUP(tblSales[[#This Row],[Store ID]],tblStores[Store ID],tblStores[Province])</f>
        <v>Mpumalanga</v>
      </c>
      <c r="F941" t="str">
        <f>_xlfn.XLOOKUP(tblSales[[#This Row],[Store ID]],tblStores[Store ID],tblStores[Manager])</f>
        <v>Olivia Turner</v>
      </c>
      <c r="G941" t="str">
        <f>_xlfn.XLOOKUP(tblSales[[#This Row],[Category ID]],tblCategories[Category ID],tblCategories[Category])</f>
        <v>Menswear</v>
      </c>
      <c r="H941">
        <v>32256</v>
      </c>
      <c r="I941">
        <v>31405</v>
      </c>
      <c r="J941">
        <v>144</v>
      </c>
      <c r="K941">
        <f>tblSales[[#This Row],[Sales]]-tblSales[[#This Row],[Budget]]</f>
        <v>851</v>
      </c>
      <c r="L941" s="3">
        <f>(tblSales[[#This Row],[Sales]]-tblSales[[#This Row],[Budget]])/tblSales[[#This Row],[Budget]]</f>
        <v>2.709759592421589E-2</v>
      </c>
      <c r="M941" s="2">
        <f>tblSales[[#This Row],[Sales]]/tblSales[[#This Row],[Transactions]]</f>
        <v>224</v>
      </c>
    </row>
    <row r="942" spans="1:13" x14ac:dyDescent="0.25">
      <c r="A942" s="1">
        <v>46070</v>
      </c>
      <c r="B942" t="s">
        <v>6</v>
      </c>
      <c r="C942" t="s">
        <v>19</v>
      </c>
      <c r="D942" t="str">
        <f>_xlfn.XLOOKUP(tblSales[[#This Row],[Store ID]],tblStores[Store ID],tblStores[Store Name])</f>
        <v>Durban CBD</v>
      </c>
      <c r="E942" t="str">
        <f>_xlfn.XLOOKUP(tblSales[[#This Row],[Store ID]],tblStores[Store ID],tblStores[Province])</f>
        <v>KZN</v>
      </c>
      <c r="F942" t="str">
        <f>_xlfn.XLOOKUP(tblSales[[#This Row],[Store ID]],tblStores[Store ID],tblStores[Manager])</f>
        <v>Sarah Adams</v>
      </c>
      <c r="G942" t="str">
        <f>_xlfn.XLOOKUP(tblSales[[#This Row],[Category ID]],tblCategories[Category ID],tblCategories[Category])</f>
        <v>Accessories</v>
      </c>
      <c r="H942">
        <v>44274</v>
      </c>
      <c r="I942">
        <v>40920</v>
      </c>
      <c r="J942">
        <v>157</v>
      </c>
      <c r="K942">
        <f>tblSales[[#This Row],[Sales]]-tblSales[[#This Row],[Budget]]</f>
        <v>3354</v>
      </c>
      <c r="L942" s="3">
        <f>(tblSales[[#This Row],[Sales]]-tblSales[[#This Row],[Budget]])/tblSales[[#This Row],[Budget]]</f>
        <v>8.1964809384164228E-2</v>
      </c>
      <c r="M942" s="2">
        <f>tblSales[[#This Row],[Sales]]/tblSales[[#This Row],[Transactions]]</f>
        <v>282</v>
      </c>
    </row>
    <row r="943" spans="1:13" x14ac:dyDescent="0.25">
      <c r="A943" s="1">
        <v>46070</v>
      </c>
      <c r="B943" t="s">
        <v>8</v>
      </c>
      <c r="C943" t="s">
        <v>9</v>
      </c>
      <c r="D943" t="str">
        <f>_xlfn.XLOOKUP(tblSales[[#This Row],[Store ID]],tblStores[Store ID],tblStores[Store Name])</f>
        <v>Gateway</v>
      </c>
      <c r="E943" t="str">
        <f>_xlfn.XLOOKUP(tblSales[[#This Row],[Store ID]],tblStores[Store ID],tblStores[Province])</f>
        <v>KZN</v>
      </c>
      <c r="F943" t="str">
        <f>_xlfn.XLOOKUP(tblSales[[#This Row],[Store ID]],tblStores[Store ID],tblStores[Manager])</f>
        <v>Michael Jones</v>
      </c>
      <c r="G943" t="str">
        <f>_xlfn.XLOOKUP(tblSales[[#This Row],[Category ID]],tblCategories[Category ID],tblCategories[Category])</f>
        <v>Ladieswear</v>
      </c>
      <c r="H943">
        <v>39468</v>
      </c>
      <c r="I943">
        <v>38400</v>
      </c>
      <c r="J943">
        <v>78</v>
      </c>
      <c r="K943">
        <f>tblSales[[#This Row],[Sales]]-tblSales[[#This Row],[Budget]]</f>
        <v>1068</v>
      </c>
      <c r="L943" s="3">
        <f>(tblSales[[#This Row],[Sales]]-tblSales[[#This Row],[Budget]])/tblSales[[#This Row],[Budget]]</f>
        <v>2.78125E-2</v>
      </c>
      <c r="M943" s="2">
        <f>tblSales[[#This Row],[Sales]]/tblSales[[#This Row],[Transactions]]</f>
        <v>506</v>
      </c>
    </row>
    <row r="944" spans="1:13" x14ac:dyDescent="0.25">
      <c r="A944" s="1">
        <v>46070</v>
      </c>
      <c r="B944" t="s">
        <v>10</v>
      </c>
      <c r="C944" t="s">
        <v>7</v>
      </c>
      <c r="D944" t="str">
        <f>_xlfn.XLOOKUP(tblSales[[#This Row],[Store ID]],tblStores[Store ID],tblStores[Store Name])</f>
        <v>Ballito</v>
      </c>
      <c r="E944" t="str">
        <f>_xlfn.XLOOKUP(tblSales[[#This Row],[Store ID]],tblStores[Store ID],tblStores[Province])</f>
        <v>KZN</v>
      </c>
      <c r="F944" t="str">
        <f>_xlfn.XLOOKUP(tblSales[[#This Row],[Store ID]],tblStores[Store ID],tblStores[Manager])</f>
        <v>Linda Smith</v>
      </c>
      <c r="G944" t="str">
        <f>_xlfn.XLOOKUP(tblSales[[#This Row],[Category ID]],tblCategories[Category ID],tblCategories[Category])</f>
        <v>Menswear</v>
      </c>
      <c r="H944">
        <v>37284</v>
      </c>
      <c r="I944">
        <v>36429</v>
      </c>
      <c r="J944">
        <v>156</v>
      </c>
      <c r="K944">
        <f>tblSales[[#This Row],[Sales]]-tblSales[[#This Row],[Budget]]</f>
        <v>855</v>
      </c>
      <c r="L944" s="3">
        <f>(tblSales[[#This Row],[Sales]]-tblSales[[#This Row],[Budget]])/tblSales[[#This Row],[Budget]]</f>
        <v>2.3470312113975128E-2</v>
      </c>
      <c r="M944" s="2">
        <f>tblSales[[#This Row],[Sales]]/tblSales[[#This Row],[Transactions]]</f>
        <v>239</v>
      </c>
    </row>
    <row r="945" spans="1:13" x14ac:dyDescent="0.25">
      <c r="A945" s="1">
        <v>46070</v>
      </c>
      <c r="B945" t="s">
        <v>12</v>
      </c>
      <c r="C945" t="s">
        <v>11</v>
      </c>
      <c r="D945" t="str">
        <f>_xlfn.XLOOKUP(tblSales[[#This Row],[Store ID]],tblStores[Store ID],tblStores[Store Name])</f>
        <v>Pietermaritzburg</v>
      </c>
      <c r="E945" t="str">
        <f>_xlfn.XLOOKUP(tblSales[[#This Row],[Store ID]],tblStores[Store ID],tblStores[Province])</f>
        <v>KZN</v>
      </c>
      <c r="F945" t="str">
        <f>_xlfn.XLOOKUP(tblSales[[#This Row],[Store ID]],tblStores[Store ID],tblStores[Manager])</f>
        <v>Peter Brown</v>
      </c>
      <c r="G945" t="str">
        <f>_xlfn.XLOOKUP(tblSales[[#This Row],[Category ID]],tblCategories[Category ID],tblCategories[Category])</f>
        <v>Footwear</v>
      </c>
      <c r="H945">
        <v>66650</v>
      </c>
      <c r="I945">
        <v>74895</v>
      </c>
      <c r="J945">
        <v>155</v>
      </c>
      <c r="K945">
        <f>tblSales[[#This Row],[Sales]]-tblSales[[#This Row],[Budget]]</f>
        <v>-8245</v>
      </c>
      <c r="L945" s="3">
        <f>(tblSales[[#This Row],[Sales]]-tblSales[[#This Row],[Budget]])/tblSales[[#This Row],[Budget]]</f>
        <v>-0.11008745577141331</v>
      </c>
      <c r="M945" s="2">
        <f>tblSales[[#This Row],[Sales]]/tblSales[[#This Row],[Transactions]]</f>
        <v>430</v>
      </c>
    </row>
    <row r="946" spans="1:13" x14ac:dyDescent="0.25">
      <c r="A946" s="1">
        <v>46070</v>
      </c>
      <c r="B946" t="s">
        <v>13</v>
      </c>
      <c r="C946" t="s">
        <v>22</v>
      </c>
      <c r="D946" t="str">
        <f>_xlfn.XLOOKUP(tblSales[[#This Row],[Store ID]],tblStores[Store ID],tblStores[Store Name])</f>
        <v>Richards Bay</v>
      </c>
      <c r="E946" t="str">
        <f>_xlfn.XLOOKUP(tblSales[[#This Row],[Store ID]],tblStores[Store ID],tblStores[Province])</f>
        <v>KZN</v>
      </c>
      <c r="F946" t="str">
        <f>_xlfn.XLOOKUP(tblSales[[#This Row],[Store ID]],tblStores[Store ID],tblStores[Manager])</f>
        <v>David Green</v>
      </c>
      <c r="G946" t="str">
        <f>_xlfn.XLOOKUP(tblSales[[#This Row],[Category ID]],tblCategories[Category ID],tblCategories[Category])</f>
        <v>Kids</v>
      </c>
      <c r="H946">
        <v>29464</v>
      </c>
      <c r="I946">
        <v>30525</v>
      </c>
      <c r="J946">
        <v>58</v>
      </c>
      <c r="K946">
        <f>tblSales[[#This Row],[Sales]]-tblSales[[#This Row],[Budget]]</f>
        <v>-1061</v>
      </c>
      <c r="L946" s="3">
        <f>(tblSales[[#This Row],[Sales]]-tblSales[[#This Row],[Budget]])/tblSales[[#This Row],[Budget]]</f>
        <v>-3.4758394758394762E-2</v>
      </c>
      <c r="M946" s="2">
        <f>tblSales[[#This Row],[Sales]]/tblSales[[#This Row],[Transactions]]</f>
        <v>508</v>
      </c>
    </row>
    <row r="947" spans="1:13" x14ac:dyDescent="0.25">
      <c r="A947" s="1">
        <v>46070</v>
      </c>
      <c r="B947" t="s">
        <v>14</v>
      </c>
      <c r="C947" t="s">
        <v>9</v>
      </c>
      <c r="D947" t="str">
        <f>_xlfn.XLOOKUP(tblSales[[#This Row],[Store ID]],tblStores[Store ID],tblStores[Store Name])</f>
        <v>Sandton</v>
      </c>
      <c r="E947" t="str">
        <f>_xlfn.XLOOKUP(tblSales[[#This Row],[Store ID]],tblStores[Store ID],tblStores[Province])</f>
        <v>Gauteng</v>
      </c>
      <c r="F947" t="str">
        <f>_xlfn.XLOOKUP(tblSales[[#This Row],[Store ID]],tblStores[Store ID],tblStores[Manager])</f>
        <v>Karen White</v>
      </c>
      <c r="G947" t="str">
        <f>_xlfn.XLOOKUP(tblSales[[#This Row],[Category ID]],tblCategories[Category ID],tblCategories[Category])</f>
        <v>Ladieswear</v>
      </c>
      <c r="H947">
        <v>48375</v>
      </c>
      <c r="I947">
        <v>48004</v>
      </c>
      <c r="J947">
        <v>129</v>
      </c>
      <c r="K947">
        <f>tblSales[[#This Row],[Sales]]-tblSales[[#This Row],[Budget]]</f>
        <v>371</v>
      </c>
      <c r="L947" s="3">
        <f>(tblSales[[#This Row],[Sales]]-tblSales[[#This Row],[Budget]])/tblSales[[#This Row],[Budget]]</f>
        <v>7.7285226231147402E-3</v>
      </c>
      <c r="M947" s="2">
        <f>tblSales[[#This Row],[Sales]]/tblSales[[#This Row],[Transactions]]</f>
        <v>375</v>
      </c>
    </row>
    <row r="948" spans="1:13" x14ac:dyDescent="0.25">
      <c r="A948" s="1">
        <v>46070</v>
      </c>
      <c r="B948" t="s">
        <v>15</v>
      </c>
      <c r="C948" t="s">
        <v>11</v>
      </c>
      <c r="D948" t="str">
        <f>_xlfn.XLOOKUP(tblSales[[#This Row],[Store ID]],tblStores[Store ID],tblStores[Store Name])</f>
        <v>Rosebank</v>
      </c>
      <c r="E948" t="str">
        <f>_xlfn.XLOOKUP(tblSales[[#This Row],[Store ID]],tblStores[Store ID],tblStores[Province])</f>
        <v>Gauteng</v>
      </c>
      <c r="F948" t="str">
        <f>_xlfn.XLOOKUP(tblSales[[#This Row],[Store ID]],tblStores[Store ID],tblStores[Manager])</f>
        <v>James Taylor</v>
      </c>
      <c r="G948" t="str">
        <f>_xlfn.XLOOKUP(tblSales[[#This Row],[Category ID]],tblCategories[Category ID],tblCategories[Category])</f>
        <v>Footwear</v>
      </c>
      <c r="H948">
        <v>14444</v>
      </c>
      <c r="I948">
        <v>14587</v>
      </c>
      <c r="J948">
        <v>46</v>
      </c>
      <c r="K948">
        <f>tblSales[[#This Row],[Sales]]-tblSales[[#This Row],[Budget]]</f>
        <v>-143</v>
      </c>
      <c r="L948" s="3">
        <f>(tblSales[[#This Row],[Sales]]-tblSales[[#This Row],[Budget]])/tblSales[[#This Row],[Budget]]</f>
        <v>-9.8032494687050106E-3</v>
      </c>
      <c r="M948" s="2">
        <f>tblSales[[#This Row],[Sales]]/tblSales[[#This Row],[Transactions]]</f>
        <v>314</v>
      </c>
    </row>
    <row r="949" spans="1:13" x14ac:dyDescent="0.25">
      <c r="A949" s="1">
        <v>46070</v>
      </c>
      <c r="B949" t="s">
        <v>16</v>
      </c>
      <c r="C949" t="s">
        <v>22</v>
      </c>
      <c r="D949" t="str">
        <f>_xlfn.XLOOKUP(tblSales[[#This Row],[Store ID]],tblStores[Store ID],tblStores[Store Name])</f>
        <v>Pretoria</v>
      </c>
      <c r="E949" t="str">
        <f>_xlfn.XLOOKUP(tblSales[[#This Row],[Store ID]],tblStores[Store ID],tblStores[Province])</f>
        <v>Gauteng</v>
      </c>
      <c r="F949" t="str">
        <f>_xlfn.XLOOKUP(tblSales[[#This Row],[Store ID]],tblStores[Store ID],tblStores[Manager])</f>
        <v>Susan Clark</v>
      </c>
      <c r="G949" t="str">
        <f>_xlfn.XLOOKUP(tblSales[[#This Row],[Category ID]],tblCategories[Category ID],tblCategories[Category])</f>
        <v>Kids</v>
      </c>
      <c r="H949">
        <v>29164</v>
      </c>
      <c r="I949">
        <v>30361</v>
      </c>
      <c r="J949">
        <v>92</v>
      </c>
      <c r="K949">
        <f>tblSales[[#This Row],[Sales]]-tblSales[[#This Row],[Budget]]</f>
        <v>-1197</v>
      </c>
      <c r="L949" s="3">
        <f>(tblSales[[#This Row],[Sales]]-tblSales[[#This Row],[Budget]])/tblSales[[#This Row],[Budget]]</f>
        <v>-3.9425578867626231E-2</v>
      </c>
      <c r="M949" s="2">
        <f>tblSales[[#This Row],[Sales]]/tblSales[[#This Row],[Transactions]]</f>
        <v>317</v>
      </c>
    </row>
    <row r="950" spans="1:13" x14ac:dyDescent="0.25">
      <c r="A950" s="1">
        <v>46070</v>
      </c>
      <c r="B950" t="s">
        <v>17</v>
      </c>
      <c r="C950" t="s">
        <v>9</v>
      </c>
      <c r="D950" t="str">
        <f>_xlfn.XLOOKUP(tblSales[[#This Row],[Store ID]],tblStores[Store ID],tblStores[Store Name])</f>
        <v>Centurion</v>
      </c>
      <c r="E950" t="str">
        <f>_xlfn.XLOOKUP(tblSales[[#This Row],[Store ID]],tblStores[Store ID],tblStores[Province])</f>
        <v>Gauteng</v>
      </c>
      <c r="F950" t="str">
        <f>_xlfn.XLOOKUP(tblSales[[#This Row],[Store ID]],tblStores[Store ID],tblStores[Manager])</f>
        <v>Mark Wilson</v>
      </c>
      <c r="G950" t="str">
        <f>_xlfn.XLOOKUP(tblSales[[#This Row],[Category ID]],tblCategories[Category ID],tblCategories[Category])</f>
        <v>Ladieswear</v>
      </c>
      <c r="H950">
        <v>48777</v>
      </c>
      <c r="I950">
        <v>44944</v>
      </c>
      <c r="J950">
        <v>213</v>
      </c>
      <c r="K950">
        <f>tblSales[[#This Row],[Sales]]-tblSales[[#This Row],[Budget]]</f>
        <v>3833</v>
      </c>
      <c r="L950" s="3">
        <f>(tblSales[[#This Row],[Sales]]-tblSales[[#This Row],[Budget]])/tblSales[[#This Row],[Budget]]</f>
        <v>8.5283908864364544E-2</v>
      </c>
      <c r="M950" s="2">
        <f>tblSales[[#This Row],[Sales]]/tblSales[[#This Row],[Transactions]]</f>
        <v>229</v>
      </c>
    </row>
    <row r="951" spans="1:13" x14ac:dyDescent="0.25">
      <c r="A951" s="1">
        <v>46070</v>
      </c>
      <c r="B951" t="s">
        <v>18</v>
      </c>
      <c r="C951" t="s">
        <v>22</v>
      </c>
      <c r="D951" t="str">
        <f>_xlfn.XLOOKUP(tblSales[[#This Row],[Store ID]],tblStores[Store ID],tblStores[Store Name])</f>
        <v>East Rand</v>
      </c>
      <c r="E951" t="str">
        <f>_xlfn.XLOOKUP(tblSales[[#This Row],[Store ID]],tblStores[Store ID],tblStores[Province])</f>
        <v>Gauteng</v>
      </c>
      <c r="F951" t="str">
        <f>_xlfn.XLOOKUP(tblSales[[#This Row],[Store ID]],tblStores[Store ID],tblStores[Manager])</f>
        <v>Lisa Young</v>
      </c>
      <c r="G951" t="str">
        <f>_xlfn.XLOOKUP(tblSales[[#This Row],[Category ID]],tblCategories[Category ID],tblCategories[Category])</f>
        <v>Kids</v>
      </c>
      <c r="H951">
        <v>67643</v>
      </c>
      <c r="I951">
        <v>77294</v>
      </c>
      <c r="J951">
        <v>173</v>
      </c>
      <c r="K951">
        <f>tblSales[[#This Row],[Sales]]-tblSales[[#This Row],[Budget]]</f>
        <v>-9651</v>
      </c>
      <c r="L951" s="3">
        <f>(tblSales[[#This Row],[Sales]]-tblSales[[#This Row],[Budget]])/tblSales[[#This Row],[Budget]]</f>
        <v>-0.12486092064067068</v>
      </c>
      <c r="M951" s="2">
        <f>tblSales[[#This Row],[Sales]]/tblSales[[#This Row],[Transactions]]</f>
        <v>391</v>
      </c>
    </row>
    <row r="952" spans="1:13" x14ac:dyDescent="0.25">
      <c r="A952" s="1">
        <v>46070</v>
      </c>
      <c r="B952" t="s">
        <v>20</v>
      </c>
      <c r="C952" t="s">
        <v>19</v>
      </c>
      <c r="D952" t="str">
        <f>_xlfn.XLOOKUP(tblSales[[#This Row],[Store ID]],tblStores[Store ID],tblStores[Store Name])</f>
        <v>Cape Town CBD</v>
      </c>
      <c r="E952" t="str">
        <f>_xlfn.XLOOKUP(tblSales[[#This Row],[Store ID]],tblStores[Store ID],tblStores[Province])</f>
        <v>Western Cape</v>
      </c>
      <c r="F952" t="str">
        <f>_xlfn.XLOOKUP(tblSales[[#This Row],[Store ID]],tblStores[Store ID],tblStores[Manager])</f>
        <v>Brian Hall</v>
      </c>
      <c r="G952" t="str">
        <f>_xlfn.XLOOKUP(tblSales[[#This Row],[Category ID]],tblCategories[Category ID],tblCategories[Category])</f>
        <v>Accessories</v>
      </c>
      <c r="H952">
        <v>43059</v>
      </c>
      <c r="I952">
        <v>39409</v>
      </c>
      <c r="J952">
        <v>93</v>
      </c>
      <c r="K952">
        <f>tblSales[[#This Row],[Sales]]-tblSales[[#This Row],[Budget]]</f>
        <v>3650</v>
      </c>
      <c r="L952" s="3">
        <f>(tblSales[[#This Row],[Sales]]-tblSales[[#This Row],[Budget]])/tblSales[[#This Row],[Budget]]</f>
        <v>9.261843741277373E-2</v>
      </c>
      <c r="M952" s="2">
        <f>tblSales[[#This Row],[Sales]]/tblSales[[#This Row],[Transactions]]</f>
        <v>463</v>
      </c>
    </row>
    <row r="953" spans="1:13" x14ac:dyDescent="0.25">
      <c r="A953" s="1">
        <v>46070</v>
      </c>
      <c r="B953" t="s">
        <v>21</v>
      </c>
      <c r="C953" t="s">
        <v>11</v>
      </c>
      <c r="D953" t="str">
        <f>_xlfn.XLOOKUP(tblSales[[#This Row],[Store ID]],tblStores[Store ID],tblStores[Store Name])</f>
        <v>Canal Walk</v>
      </c>
      <c r="E953" t="str">
        <f>_xlfn.XLOOKUP(tblSales[[#This Row],[Store ID]],tblStores[Store ID],tblStores[Province])</f>
        <v>Western Cape</v>
      </c>
      <c r="F953" t="str">
        <f>_xlfn.XLOOKUP(tblSales[[#This Row],[Store ID]],tblStores[Store ID],tblStores[Manager])</f>
        <v>Megan Scott</v>
      </c>
      <c r="G953" t="str">
        <f>_xlfn.XLOOKUP(tblSales[[#This Row],[Category ID]],tblCategories[Category ID],tblCategories[Category])</f>
        <v>Footwear</v>
      </c>
      <c r="H953">
        <v>66192</v>
      </c>
      <c r="I953">
        <v>75552</v>
      </c>
      <c r="J953">
        <v>168</v>
      </c>
      <c r="K953">
        <f>tblSales[[#This Row],[Sales]]-tblSales[[#This Row],[Budget]]</f>
        <v>-9360</v>
      </c>
      <c r="L953" s="3">
        <f>(tblSales[[#This Row],[Sales]]-tblSales[[#This Row],[Budget]])/tblSales[[#This Row],[Budget]]</f>
        <v>-0.12388818297331639</v>
      </c>
      <c r="M953" s="2">
        <f>tblSales[[#This Row],[Sales]]/tblSales[[#This Row],[Transactions]]</f>
        <v>394</v>
      </c>
    </row>
    <row r="954" spans="1:13" x14ac:dyDescent="0.25">
      <c r="A954" s="1">
        <v>46070</v>
      </c>
      <c r="B954" t="s">
        <v>23</v>
      </c>
      <c r="C954" t="s">
        <v>11</v>
      </c>
      <c r="D954" t="str">
        <f>_xlfn.XLOOKUP(tblSales[[#This Row],[Store ID]],tblStores[Store ID],tblStores[Store Name])</f>
        <v>Stellenbosch</v>
      </c>
      <c r="E954" t="str">
        <f>_xlfn.XLOOKUP(tblSales[[#This Row],[Store ID]],tblStores[Store ID],tblStores[Province])</f>
        <v>Western Cape</v>
      </c>
      <c r="F954" t="str">
        <f>_xlfn.XLOOKUP(tblSales[[#This Row],[Store ID]],tblStores[Store ID],tblStores[Manager])</f>
        <v>Jason King</v>
      </c>
      <c r="G954" t="str">
        <f>_xlfn.XLOOKUP(tblSales[[#This Row],[Category ID]],tblCategories[Category ID],tblCategories[Category])</f>
        <v>Footwear</v>
      </c>
      <c r="H954">
        <v>54300</v>
      </c>
      <c r="I954">
        <v>55335</v>
      </c>
      <c r="J954">
        <v>181</v>
      </c>
      <c r="K954">
        <f>tblSales[[#This Row],[Sales]]-tblSales[[#This Row],[Budget]]</f>
        <v>-1035</v>
      </c>
      <c r="L954" s="3">
        <f>(tblSales[[#This Row],[Sales]]-tblSales[[#This Row],[Budget]])/tblSales[[#This Row],[Budget]]</f>
        <v>-1.8704255895906751E-2</v>
      </c>
      <c r="M954" s="2">
        <f>tblSales[[#This Row],[Sales]]/tblSales[[#This Row],[Transactions]]</f>
        <v>300</v>
      </c>
    </row>
    <row r="955" spans="1:13" x14ac:dyDescent="0.25">
      <c r="A955" s="1">
        <v>46070</v>
      </c>
      <c r="B955" t="s">
        <v>24</v>
      </c>
      <c r="C955" t="s">
        <v>7</v>
      </c>
      <c r="D955" t="str">
        <f>_xlfn.XLOOKUP(tblSales[[#This Row],[Store ID]],tblStores[Store ID],tblStores[Store Name])</f>
        <v>George</v>
      </c>
      <c r="E955" t="str">
        <f>_xlfn.XLOOKUP(tblSales[[#This Row],[Store ID]],tblStores[Store ID],tblStores[Province])</f>
        <v>Western Cape</v>
      </c>
      <c r="F955" t="str">
        <f>_xlfn.XLOOKUP(tblSales[[#This Row],[Store ID]],tblStores[Store ID],tblStores[Manager])</f>
        <v>Chloe Hill</v>
      </c>
      <c r="G955" t="str">
        <f>_xlfn.XLOOKUP(tblSales[[#This Row],[Category ID]],tblCategories[Category ID],tblCategories[Category])</f>
        <v>Menswear</v>
      </c>
      <c r="H955">
        <v>26792</v>
      </c>
      <c r="I955">
        <v>27475</v>
      </c>
      <c r="J955">
        <v>136</v>
      </c>
      <c r="K955">
        <f>tblSales[[#This Row],[Sales]]-tblSales[[#This Row],[Budget]]</f>
        <v>-683</v>
      </c>
      <c r="L955" s="3">
        <f>(tblSales[[#This Row],[Sales]]-tblSales[[#This Row],[Budget]])/tblSales[[#This Row],[Budget]]</f>
        <v>-2.4858962693357599E-2</v>
      </c>
      <c r="M955" s="2">
        <f>tblSales[[#This Row],[Sales]]/tblSales[[#This Row],[Transactions]]</f>
        <v>197</v>
      </c>
    </row>
    <row r="956" spans="1:13" x14ac:dyDescent="0.25">
      <c r="A956" s="1">
        <v>46070</v>
      </c>
      <c r="B956" t="s">
        <v>25</v>
      </c>
      <c r="C956" t="s">
        <v>19</v>
      </c>
      <c r="D956" t="str">
        <f>_xlfn.XLOOKUP(tblSales[[#This Row],[Store ID]],tblStores[Store ID],tblStores[Store Name])</f>
        <v>Paarl</v>
      </c>
      <c r="E956" t="str">
        <f>_xlfn.XLOOKUP(tblSales[[#This Row],[Store ID]],tblStores[Store ID],tblStores[Province])</f>
        <v>Western Cape</v>
      </c>
      <c r="F956" t="str">
        <f>_xlfn.XLOOKUP(tblSales[[#This Row],[Store ID]],tblStores[Store ID],tblStores[Manager])</f>
        <v>Andrew Lee</v>
      </c>
      <c r="G956" t="str">
        <f>_xlfn.XLOOKUP(tblSales[[#This Row],[Category ID]],tblCategories[Category ID],tblCategories[Category])</f>
        <v>Accessories</v>
      </c>
      <c r="H956">
        <v>89957</v>
      </c>
      <c r="I956">
        <v>84277</v>
      </c>
      <c r="J956">
        <v>181</v>
      </c>
      <c r="K956">
        <f>tblSales[[#This Row],[Sales]]-tblSales[[#This Row],[Budget]]</f>
        <v>5680</v>
      </c>
      <c r="L956" s="3">
        <f>(tblSales[[#This Row],[Sales]]-tblSales[[#This Row],[Budget]])/tblSales[[#This Row],[Budget]]</f>
        <v>6.7396798652064022E-2</v>
      </c>
      <c r="M956" s="2">
        <f>tblSales[[#This Row],[Sales]]/tblSales[[#This Row],[Transactions]]</f>
        <v>497</v>
      </c>
    </row>
    <row r="957" spans="1:13" x14ac:dyDescent="0.25">
      <c r="A957" s="1">
        <v>46070</v>
      </c>
      <c r="B957" t="s">
        <v>26</v>
      </c>
      <c r="C957" t="s">
        <v>11</v>
      </c>
      <c r="D957" t="str">
        <f>_xlfn.XLOOKUP(tblSales[[#This Row],[Store ID]],tblStores[Store ID],tblStores[Store Name])</f>
        <v>Gqeberha</v>
      </c>
      <c r="E957" t="str">
        <f>_xlfn.XLOOKUP(tblSales[[#This Row],[Store ID]],tblStores[Store ID],tblStores[Province])</f>
        <v>Eastern Cape</v>
      </c>
      <c r="F957" t="str">
        <f>_xlfn.XLOOKUP(tblSales[[#This Row],[Store ID]],tblStores[Store ID],tblStores[Manager])</f>
        <v>Emma Baker</v>
      </c>
      <c r="G957" t="str">
        <f>_xlfn.XLOOKUP(tblSales[[#This Row],[Category ID]],tblCategories[Category ID],tblCategories[Category])</f>
        <v>Footwear</v>
      </c>
      <c r="H957">
        <v>20935</v>
      </c>
      <c r="I957">
        <v>23929</v>
      </c>
      <c r="J957">
        <v>79</v>
      </c>
      <c r="K957">
        <f>tblSales[[#This Row],[Sales]]-tblSales[[#This Row],[Budget]]</f>
        <v>-2994</v>
      </c>
      <c r="L957" s="3">
        <f>(tblSales[[#This Row],[Sales]]-tblSales[[#This Row],[Budget]])/tblSales[[#This Row],[Budget]]</f>
        <v>-0.12512014710184297</v>
      </c>
      <c r="M957" s="2">
        <f>tblSales[[#This Row],[Sales]]/tblSales[[#This Row],[Transactions]]</f>
        <v>265</v>
      </c>
    </row>
    <row r="958" spans="1:13" x14ac:dyDescent="0.25">
      <c r="A958" s="1">
        <v>46070</v>
      </c>
      <c r="B958" t="s">
        <v>27</v>
      </c>
      <c r="C958" t="s">
        <v>9</v>
      </c>
      <c r="D958" t="str">
        <f>_xlfn.XLOOKUP(tblSales[[#This Row],[Store ID]],tblStores[Store ID],tblStores[Store Name])</f>
        <v>East London</v>
      </c>
      <c r="E958" t="str">
        <f>_xlfn.XLOOKUP(tblSales[[#This Row],[Store ID]],tblStores[Store ID],tblStores[Province])</f>
        <v>Eastern Cape</v>
      </c>
      <c r="F958" t="str">
        <f>_xlfn.XLOOKUP(tblSales[[#This Row],[Store ID]],tblStores[Store ID],tblStores[Manager])</f>
        <v>Daniel Evans</v>
      </c>
      <c r="G958" t="str">
        <f>_xlfn.XLOOKUP(tblSales[[#This Row],[Category ID]],tblCategories[Category ID],tblCategories[Category])</f>
        <v>Ladieswear</v>
      </c>
      <c r="H958">
        <v>13467</v>
      </c>
      <c r="I958">
        <v>13545</v>
      </c>
      <c r="J958">
        <v>67</v>
      </c>
      <c r="K958">
        <f>tblSales[[#This Row],[Sales]]-tblSales[[#This Row],[Budget]]</f>
        <v>-78</v>
      </c>
      <c r="L958" s="3">
        <f>(tblSales[[#This Row],[Sales]]-tblSales[[#This Row],[Budget]])/tblSales[[#This Row],[Budget]]</f>
        <v>-5.758582502768549E-3</v>
      </c>
      <c r="M958" s="2">
        <f>tblSales[[#This Row],[Sales]]/tblSales[[#This Row],[Transactions]]</f>
        <v>201</v>
      </c>
    </row>
    <row r="959" spans="1:13" x14ac:dyDescent="0.25">
      <c r="A959" s="1">
        <v>46070</v>
      </c>
      <c r="B959" t="s">
        <v>28</v>
      </c>
      <c r="C959" t="s">
        <v>11</v>
      </c>
      <c r="D959" t="str">
        <f>_xlfn.XLOOKUP(tblSales[[#This Row],[Store ID]],tblStores[Store ID],tblStores[Store Name])</f>
        <v>Bloemfontein</v>
      </c>
      <c r="E959" t="str">
        <f>_xlfn.XLOOKUP(tblSales[[#This Row],[Store ID]],tblStores[Store ID],tblStores[Province])</f>
        <v>Free State</v>
      </c>
      <c r="F959" t="str">
        <f>_xlfn.XLOOKUP(tblSales[[#This Row],[Store ID]],tblStores[Store ID],tblStores[Manager])</f>
        <v>Rachel Moore</v>
      </c>
      <c r="G959" t="str">
        <f>_xlfn.XLOOKUP(tblSales[[#This Row],[Category ID]],tblCategories[Category ID],tblCategories[Category])</f>
        <v>Footwear</v>
      </c>
      <c r="H959">
        <v>43086</v>
      </c>
      <c r="I959">
        <v>40370</v>
      </c>
      <c r="J959">
        <v>86</v>
      </c>
      <c r="K959">
        <f>tblSales[[#This Row],[Sales]]-tblSales[[#This Row],[Budget]]</f>
        <v>2716</v>
      </c>
      <c r="L959" s="3">
        <f>(tblSales[[#This Row],[Sales]]-tblSales[[#This Row],[Budget]])/tblSales[[#This Row],[Budget]]</f>
        <v>6.7277681446618776E-2</v>
      </c>
      <c r="M959" s="2">
        <f>tblSales[[#This Row],[Sales]]/tblSales[[#This Row],[Transactions]]</f>
        <v>501</v>
      </c>
    </row>
    <row r="960" spans="1:13" x14ac:dyDescent="0.25">
      <c r="A960" s="1">
        <v>46070</v>
      </c>
      <c r="B960" t="s">
        <v>29</v>
      </c>
      <c r="C960" t="s">
        <v>19</v>
      </c>
      <c r="D960" t="str">
        <f>_xlfn.XLOOKUP(tblSales[[#This Row],[Store ID]],tblStores[Store ID],tblStores[Store Name])</f>
        <v>Polokwane</v>
      </c>
      <c r="E960" t="str">
        <f>_xlfn.XLOOKUP(tblSales[[#This Row],[Store ID]],tblStores[Store ID],tblStores[Province])</f>
        <v>Limpopo</v>
      </c>
      <c r="F960" t="str">
        <f>_xlfn.XLOOKUP(tblSales[[#This Row],[Store ID]],tblStores[Store ID],tblStores[Manager])</f>
        <v>Kevin Harris</v>
      </c>
      <c r="G960" t="str">
        <f>_xlfn.XLOOKUP(tblSales[[#This Row],[Category ID]],tblCategories[Category ID],tblCategories[Category])</f>
        <v>Accessories</v>
      </c>
      <c r="H960">
        <v>34643</v>
      </c>
      <c r="I960">
        <v>39066</v>
      </c>
      <c r="J960">
        <v>101</v>
      </c>
      <c r="K960">
        <f>tblSales[[#This Row],[Sales]]-tblSales[[#This Row],[Budget]]</f>
        <v>-4423</v>
      </c>
      <c r="L960" s="3">
        <f>(tblSales[[#This Row],[Sales]]-tblSales[[#This Row],[Budget]])/tblSales[[#This Row],[Budget]]</f>
        <v>-0.11321865560845748</v>
      </c>
      <c r="M960" s="2">
        <f>tblSales[[#This Row],[Sales]]/tblSales[[#This Row],[Transactions]]</f>
        <v>343</v>
      </c>
    </row>
    <row r="961" spans="1:13" x14ac:dyDescent="0.25">
      <c r="A961" s="1">
        <v>46070</v>
      </c>
      <c r="B961" t="s">
        <v>30</v>
      </c>
      <c r="C961" t="s">
        <v>7</v>
      </c>
      <c r="D961" t="str">
        <f>_xlfn.XLOOKUP(tblSales[[#This Row],[Store ID]],tblStores[Store ID],tblStores[Store Name])</f>
        <v>Nelspruit</v>
      </c>
      <c r="E961" t="str">
        <f>_xlfn.XLOOKUP(tblSales[[#This Row],[Store ID]],tblStores[Store ID],tblStores[Province])</f>
        <v>Mpumalanga</v>
      </c>
      <c r="F961" t="str">
        <f>_xlfn.XLOOKUP(tblSales[[#This Row],[Store ID]],tblStores[Store ID],tblStores[Manager])</f>
        <v>Olivia Turner</v>
      </c>
      <c r="G961" t="str">
        <f>_xlfn.XLOOKUP(tblSales[[#This Row],[Category ID]],tblCategories[Category ID],tblCategories[Category])</f>
        <v>Menswear</v>
      </c>
      <c r="H961">
        <v>21546</v>
      </c>
      <c r="I961">
        <v>22388</v>
      </c>
      <c r="J961">
        <v>57</v>
      </c>
      <c r="K961">
        <f>tblSales[[#This Row],[Sales]]-tblSales[[#This Row],[Budget]]</f>
        <v>-842</v>
      </c>
      <c r="L961" s="3">
        <f>(tblSales[[#This Row],[Sales]]-tblSales[[#This Row],[Budget]])/tblSales[[#This Row],[Budget]]</f>
        <v>-3.7609433625156334E-2</v>
      </c>
      <c r="M961" s="2">
        <f>tblSales[[#This Row],[Sales]]/tblSales[[#This Row],[Transactions]]</f>
        <v>378</v>
      </c>
    </row>
    <row r="962" spans="1:13" x14ac:dyDescent="0.25">
      <c r="A962" s="1">
        <v>46071</v>
      </c>
      <c r="B962" t="s">
        <v>6</v>
      </c>
      <c r="C962" t="s">
        <v>19</v>
      </c>
      <c r="D962" t="str">
        <f>_xlfn.XLOOKUP(tblSales[[#This Row],[Store ID]],tblStores[Store ID],tblStores[Store Name])</f>
        <v>Durban CBD</v>
      </c>
      <c r="E962" t="str">
        <f>_xlfn.XLOOKUP(tblSales[[#This Row],[Store ID]],tblStores[Store ID],tblStores[Province])</f>
        <v>KZN</v>
      </c>
      <c r="F962" t="str">
        <f>_xlfn.XLOOKUP(tblSales[[#This Row],[Store ID]],tblStores[Store ID],tblStores[Manager])</f>
        <v>Sarah Adams</v>
      </c>
      <c r="G962" t="str">
        <f>_xlfn.XLOOKUP(tblSales[[#This Row],[Category ID]],tblCategories[Category ID],tblCategories[Category])</f>
        <v>Accessories</v>
      </c>
      <c r="H962">
        <v>37878</v>
      </c>
      <c r="I962">
        <v>39011</v>
      </c>
      <c r="J962">
        <v>118</v>
      </c>
      <c r="K962">
        <f>tblSales[[#This Row],[Sales]]-tblSales[[#This Row],[Budget]]</f>
        <v>-1133</v>
      </c>
      <c r="L962" s="3">
        <f>(tblSales[[#This Row],[Sales]]-tblSales[[#This Row],[Budget]])/tblSales[[#This Row],[Budget]]</f>
        <v>-2.9043090410397068E-2</v>
      </c>
      <c r="M962" s="2">
        <f>tblSales[[#This Row],[Sales]]/tblSales[[#This Row],[Transactions]]</f>
        <v>321</v>
      </c>
    </row>
    <row r="963" spans="1:13" x14ac:dyDescent="0.25">
      <c r="A963" s="1">
        <v>46071</v>
      </c>
      <c r="B963" t="s">
        <v>8</v>
      </c>
      <c r="C963" t="s">
        <v>7</v>
      </c>
      <c r="D963" t="str">
        <f>_xlfn.XLOOKUP(tblSales[[#This Row],[Store ID]],tblStores[Store ID],tblStores[Store Name])</f>
        <v>Gateway</v>
      </c>
      <c r="E963" t="str">
        <f>_xlfn.XLOOKUP(tblSales[[#This Row],[Store ID]],tblStores[Store ID],tblStores[Province])</f>
        <v>KZN</v>
      </c>
      <c r="F963" t="str">
        <f>_xlfn.XLOOKUP(tblSales[[#This Row],[Store ID]],tblStores[Store ID],tblStores[Manager])</f>
        <v>Michael Jones</v>
      </c>
      <c r="G963" t="str">
        <f>_xlfn.XLOOKUP(tblSales[[#This Row],[Category ID]],tblCategories[Category ID],tblCategories[Category])</f>
        <v>Menswear</v>
      </c>
      <c r="H963">
        <v>106786</v>
      </c>
      <c r="I963">
        <v>111793</v>
      </c>
      <c r="J963">
        <v>214</v>
      </c>
      <c r="K963">
        <f>tblSales[[#This Row],[Sales]]-tblSales[[#This Row],[Budget]]</f>
        <v>-5007</v>
      </c>
      <c r="L963" s="3">
        <f>(tblSales[[#This Row],[Sales]]-tblSales[[#This Row],[Budget]])/tblSales[[#This Row],[Budget]]</f>
        <v>-4.4788135214190512E-2</v>
      </c>
      <c r="M963" s="2">
        <f>tblSales[[#This Row],[Sales]]/tblSales[[#This Row],[Transactions]]</f>
        <v>499</v>
      </c>
    </row>
    <row r="964" spans="1:13" x14ac:dyDescent="0.25">
      <c r="A964" s="1">
        <v>46071</v>
      </c>
      <c r="B964" t="s">
        <v>10</v>
      </c>
      <c r="C964" t="s">
        <v>11</v>
      </c>
      <c r="D964" t="str">
        <f>_xlfn.XLOOKUP(tblSales[[#This Row],[Store ID]],tblStores[Store ID],tblStores[Store Name])</f>
        <v>Ballito</v>
      </c>
      <c r="E964" t="str">
        <f>_xlfn.XLOOKUP(tblSales[[#This Row],[Store ID]],tblStores[Store ID],tblStores[Province])</f>
        <v>KZN</v>
      </c>
      <c r="F964" t="str">
        <f>_xlfn.XLOOKUP(tblSales[[#This Row],[Store ID]],tblStores[Store ID],tblStores[Manager])</f>
        <v>Linda Smith</v>
      </c>
      <c r="G964" t="str">
        <f>_xlfn.XLOOKUP(tblSales[[#This Row],[Category ID]],tblCategories[Category ID],tblCategories[Category])</f>
        <v>Footwear</v>
      </c>
      <c r="H964">
        <v>24696</v>
      </c>
      <c r="I964">
        <v>23150</v>
      </c>
      <c r="J964">
        <v>63</v>
      </c>
      <c r="K964">
        <f>tblSales[[#This Row],[Sales]]-tblSales[[#This Row],[Budget]]</f>
        <v>1546</v>
      </c>
      <c r="L964" s="3">
        <f>(tblSales[[#This Row],[Sales]]-tblSales[[#This Row],[Budget]])/tblSales[[#This Row],[Budget]]</f>
        <v>6.6781857451403887E-2</v>
      </c>
      <c r="M964" s="2">
        <f>tblSales[[#This Row],[Sales]]/tblSales[[#This Row],[Transactions]]</f>
        <v>392</v>
      </c>
    </row>
    <row r="965" spans="1:13" x14ac:dyDescent="0.25">
      <c r="A965" s="1">
        <v>46071</v>
      </c>
      <c r="B965" t="s">
        <v>12</v>
      </c>
      <c r="C965" t="s">
        <v>19</v>
      </c>
      <c r="D965" t="str">
        <f>_xlfn.XLOOKUP(tblSales[[#This Row],[Store ID]],tblStores[Store ID],tblStores[Store Name])</f>
        <v>Pietermaritzburg</v>
      </c>
      <c r="E965" t="str">
        <f>_xlfn.XLOOKUP(tblSales[[#This Row],[Store ID]],tblStores[Store ID],tblStores[Province])</f>
        <v>KZN</v>
      </c>
      <c r="F965" t="str">
        <f>_xlfn.XLOOKUP(tblSales[[#This Row],[Store ID]],tblStores[Store ID],tblStores[Manager])</f>
        <v>Peter Brown</v>
      </c>
      <c r="G965" t="str">
        <f>_xlfn.XLOOKUP(tblSales[[#This Row],[Category ID]],tblCategories[Category ID],tblCategories[Category])</f>
        <v>Accessories</v>
      </c>
      <c r="H965">
        <v>88430</v>
      </c>
      <c r="I965">
        <v>96352</v>
      </c>
      <c r="J965">
        <v>185</v>
      </c>
      <c r="K965">
        <f>tblSales[[#This Row],[Sales]]-tblSales[[#This Row],[Budget]]</f>
        <v>-7922</v>
      </c>
      <c r="L965" s="3">
        <f>(tblSales[[#This Row],[Sales]]-tblSales[[#This Row],[Budget]])/tblSales[[#This Row],[Budget]]</f>
        <v>-8.2219362338093654E-2</v>
      </c>
      <c r="M965" s="2">
        <f>tblSales[[#This Row],[Sales]]/tblSales[[#This Row],[Transactions]]</f>
        <v>478</v>
      </c>
    </row>
    <row r="966" spans="1:13" x14ac:dyDescent="0.25">
      <c r="A966" s="1">
        <v>46071</v>
      </c>
      <c r="B966" t="s">
        <v>13</v>
      </c>
      <c r="C966" t="s">
        <v>7</v>
      </c>
      <c r="D966" t="str">
        <f>_xlfn.XLOOKUP(tblSales[[#This Row],[Store ID]],tblStores[Store ID],tblStores[Store Name])</f>
        <v>Richards Bay</v>
      </c>
      <c r="E966" t="str">
        <f>_xlfn.XLOOKUP(tblSales[[#This Row],[Store ID]],tblStores[Store ID],tblStores[Province])</f>
        <v>KZN</v>
      </c>
      <c r="F966" t="str">
        <f>_xlfn.XLOOKUP(tblSales[[#This Row],[Store ID]],tblStores[Store ID],tblStores[Manager])</f>
        <v>David Green</v>
      </c>
      <c r="G966" t="str">
        <f>_xlfn.XLOOKUP(tblSales[[#This Row],[Category ID]],tblCategories[Category ID],tblCategories[Category])</f>
        <v>Menswear</v>
      </c>
      <c r="H966">
        <v>29016</v>
      </c>
      <c r="I966">
        <v>31769</v>
      </c>
      <c r="J966">
        <v>62</v>
      </c>
      <c r="K966">
        <f>tblSales[[#This Row],[Sales]]-tblSales[[#This Row],[Budget]]</f>
        <v>-2753</v>
      </c>
      <c r="L966" s="3">
        <f>(tblSales[[#This Row],[Sales]]-tblSales[[#This Row],[Budget]])/tblSales[[#This Row],[Budget]]</f>
        <v>-8.6656803802448931E-2</v>
      </c>
      <c r="M966" s="2">
        <f>tblSales[[#This Row],[Sales]]/tblSales[[#This Row],[Transactions]]</f>
        <v>468</v>
      </c>
    </row>
    <row r="967" spans="1:13" x14ac:dyDescent="0.25">
      <c r="A967" s="1">
        <v>46071</v>
      </c>
      <c r="B967" t="s">
        <v>14</v>
      </c>
      <c r="C967" t="s">
        <v>22</v>
      </c>
      <c r="D967" t="str">
        <f>_xlfn.XLOOKUP(tblSales[[#This Row],[Store ID]],tblStores[Store ID],tblStores[Store Name])</f>
        <v>Sandton</v>
      </c>
      <c r="E967" t="str">
        <f>_xlfn.XLOOKUP(tblSales[[#This Row],[Store ID]],tblStores[Store ID],tblStores[Province])</f>
        <v>Gauteng</v>
      </c>
      <c r="F967" t="str">
        <f>_xlfn.XLOOKUP(tblSales[[#This Row],[Store ID]],tblStores[Store ID],tblStores[Manager])</f>
        <v>Karen White</v>
      </c>
      <c r="G967" t="str">
        <f>_xlfn.XLOOKUP(tblSales[[#This Row],[Category ID]],tblCategories[Category ID],tblCategories[Category])</f>
        <v>Kids</v>
      </c>
      <c r="H967">
        <v>61232</v>
      </c>
      <c r="I967">
        <v>68547</v>
      </c>
      <c r="J967">
        <v>172</v>
      </c>
      <c r="K967">
        <f>tblSales[[#This Row],[Sales]]-tblSales[[#This Row],[Budget]]</f>
        <v>-7315</v>
      </c>
      <c r="L967" s="3">
        <f>(tblSales[[#This Row],[Sales]]-tblSales[[#This Row],[Budget]])/tblSales[[#This Row],[Budget]]</f>
        <v>-0.10671510058791778</v>
      </c>
      <c r="M967" s="2">
        <f>tblSales[[#This Row],[Sales]]/tblSales[[#This Row],[Transactions]]</f>
        <v>356</v>
      </c>
    </row>
    <row r="968" spans="1:13" x14ac:dyDescent="0.25">
      <c r="A968" s="1">
        <v>46071</v>
      </c>
      <c r="B968" t="s">
        <v>15</v>
      </c>
      <c r="C968" t="s">
        <v>22</v>
      </c>
      <c r="D968" t="str">
        <f>_xlfn.XLOOKUP(tblSales[[#This Row],[Store ID]],tblStores[Store ID],tblStores[Store Name])</f>
        <v>Rosebank</v>
      </c>
      <c r="E968" t="str">
        <f>_xlfn.XLOOKUP(tblSales[[#This Row],[Store ID]],tblStores[Store ID],tblStores[Province])</f>
        <v>Gauteng</v>
      </c>
      <c r="F968" t="str">
        <f>_xlfn.XLOOKUP(tblSales[[#This Row],[Store ID]],tblStores[Store ID],tblStores[Manager])</f>
        <v>James Taylor</v>
      </c>
      <c r="G968" t="str">
        <f>_xlfn.XLOOKUP(tblSales[[#This Row],[Category ID]],tblCategories[Category ID],tblCategories[Category])</f>
        <v>Kids</v>
      </c>
      <c r="H968">
        <v>68495</v>
      </c>
      <c r="I968">
        <v>69960</v>
      </c>
      <c r="J968">
        <v>133</v>
      </c>
      <c r="K968">
        <f>tblSales[[#This Row],[Sales]]-tblSales[[#This Row],[Budget]]</f>
        <v>-1465</v>
      </c>
      <c r="L968" s="3">
        <f>(tblSales[[#This Row],[Sales]]-tblSales[[#This Row],[Budget]])/tblSales[[#This Row],[Budget]]</f>
        <v>-2.0940537449971413E-2</v>
      </c>
      <c r="M968" s="2">
        <f>tblSales[[#This Row],[Sales]]/tblSales[[#This Row],[Transactions]]</f>
        <v>515</v>
      </c>
    </row>
    <row r="969" spans="1:13" x14ac:dyDescent="0.25">
      <c r="A969" s="1">
        <v>46071</v>
      </c>
      <c r="B969" t="s">
        <v>16</v>
      </c>
      <c r="C969" t="s">
        <v>19</v>
      </c>
      <c r="D969" t="str">
        <f>_xlfn.XLOOKUP(tblSales[[#This Row],[Store ID]],tblStores[Store ID],tblStores[Store Name])</f>
        <v>Pretoria</v>
      </c>
      <c r="E969" t="str">
        <f>_xlfn.XLOOKUP(tblSales[[#This Row],[Store ID]],tblStores[Store ID],tblStores[Province])</f>
        <v>Gauteng</v>
      </c>
      <c r="F969" t="str">
        <f>_xlfn.XLOOKUP(tblSales[[#This Row],[Store ID]],tblStores[Store ID],tblStores[Manager])</f>
        <v>Susan Clark</v>
      </c>
      <c r="G969" t="str">
        <f>_xlfn.XLOOKUP(tblSales[[#This Row],[Category ID]],tblCategories[Category ID],tblCategories[Category])</f>
        <v>Accessories</v>
      </c>
      <c r="H969">
        <v>31044</v>
      </c>
      <c r="I969">
        <v>29276</v>
      </c>
      <c r="J969">
        <v>156</v>
      </c>
      <c r="K969">
        <f>tblSales[[#This Row],[Sales]]-tblSales[[#This Row],[Budget]]</f>
        <v>1768</v>
      </c>
      <c r="L969" s="3">
        <f>(tblSales[[#This Row],[Sales]]-tblSales[[#This Row],[Budget]])/tblSales[[#This Row],[Budget]]</f>
        <v>6.0390763765541741E-2</v>
      </c>
      <c r="M969" s="2">
        <f>tblSales[[#This Row],[Sales]]/tblSales[[#This Row],[Transactions]]</f>
        <v>199</v>
      </c>
    </row>
    <row r="970" spans="1:13" x14ac:dyDescent="0.25">
      <c r="A970" s="1">
        <v>46071</v>
      </c>
      <c r="B970" t="s">
        <v>17</v>
      </c>
      <c r="C970" t="s">
        <v>11</v>
      </c>
      <c r="D970" t="str">
        <f>_xlfn.XLOOKUP(tblSales[[#This Row],[Store ID]],tblStores[Store ID],tblStores[Store Name])</f>
        <v>Centurion</v>
      </c>
      <c r="E970" t="str">
        <f>_xlfn.XLOOKUP(tblSales[[#This Row],[Store ID]],tblStores[Store ID],tblStores[Province])</f>
        <v>Gauteng</v>
      </c>
      <c r="F970" t="str">
        <f>_xlfn.XLOOKUP(tblSales[[#This Row],[Store ID]],tblStores[Store ID],tblStores[Manager])</f>
        <v>Mark Wilson</v>
      </c>
      <c r="G970" t="str">
        <f>_xlfn.XLOOKUP(tblSales[[#This Row],[Category ID]],tblCategories[Category ID],tblCategories[Category])</f>
        <v>Footwear</v>
      </c>
      <c r="H970">
        <v>35216</v>
      </c>
      <c r="I970">
        <v>37053</v>
      </c>
      <c r="J970">
        <v>71</v>
      </c>
      <c r="K970">
        <f>tblSales[[#This Row],[Sales]]-tblSales[[#This Row],[Budget]]</f>
        <v>-1837</v>
      </c>
      <c r="L970" s="3">
        <f>(tblSales[[#This Row],[Sales]]-tblSales[[#This Row],[Budget]])/tblSales[[#This Row],[Budget]]</f>
        <v>-4.9577632040590507E-2</v>
      </c>
      <c r="M970" s="2">
        <f>tblSales[[#This Row],[Sales]]/tblSales[[#This Row],[Transactions]]</f>
        <v>496</v>
      </c>
    </row>
    <row r="971" spans="1:13" x14ac:dyDescent="0.25">
      <c r="A971" s="1">
        <v>46071</v>
      </c>
      <c r="B971" t="s">
        <v>18</v>
      </c>
      <c r="C971" t="s">
        <v>11</v>
      </c>
      <c r="D971" t="str">
        <f>_xlfn.XLOOKUP(tblSales[[#This Row],[Store ID]],tblStores[Store ID],tblStores[Store Name])</f>
        <v>East Rand</v>
      </c>
      <c r="E971" t="str">
        <f>_xlfn.XLOOKUP(tblSales[[#This Row],[Store ID]],tblStores[Store ID],tblStores[Province])</f>
        <v>Gauteng</v>
      </c>
      <c r="F971" t="str">
        <f>_xlfn.XLOOKUP(tblSales[[#This Row],[Store ID]],tblStores[Store ID],tblStores[Manager])</f>
        <v>Lisa Young</v>
      </c>
      <c r="G971" t="str">
        <f>_xlfn.XLOOKUP(tblSales[[#This Row],[Category ID]],tblCategories[Category ID],tblCategories[Category])</f>
        <v>Footwear</v>
      </c>
      <c r="H971">
        <v>16808</v>
      </c>
      <c r="I971">
        <v>18865</v>
      </c>
      <c r="J971">
        <v>44</v>
      </c>
      <c r="K971">
        <f>tblSales[[#This Row],[Sales]]-tblSales[[#This Row],[Budget]]</f>
        <v>-2057</v>
      </c>
      <c r="L971" s="3">
        <f>(tblSales[[#This Row],[Sales]]-tblSales[[#This Row],[Budget]])/tblSales[[#This Row],[Budget]]</f>
        <v>-0.10903790087463557</v>
      </c>
      <c r="M971" s="2">
        <f>tblSales[[#This Row],[Sales]]/tblSales[[#This Row],[Transactions]]</f>
        <v>382</v>
      </c>
    </row>
    <row r="972" spans="1:13" x14ac:dyDescent="0.25">
      <c r="A972" s="1">
        <v>46071</v>
      </c>
      <c r="B972" t="s">
        <v>20</v>
      </c>
      <c r="C972" t="s">
        <v>22</v>
      </c>
      <c r="D972" t="str">
        <f>_xlfn.XLOOKUP(tblSales[[#This Row],[Store ID]],tblStores[Store ID],tblStores[Store Name])</f>
        <v>Cape Town CBD</v>
      </c>
      <c r="E972" t="str">
        <f>_xlfn.XLOOKUP(tblSales[[#This Row],[Store ID]],tblStores[Store ID],tblStores[Province])</f>
        <v>Western Cape</v>
      </c>
      <c r="F972" t="str">
        <f>_xlfn.XLOOKUP(tblSales[[#This Row],[Store ID]],tblStores[Store ID],tblStores[Manager])</f>
        <v>Brian Hall</v>
      </c>
      <c r="G972" t="str">
        <f>_xlfn.XLOOKUP(tblSales[[#This Row],[Category ID]],tblCategories[Category ID],tblCategories[Category])</f>
        <v>Kids</v>
      </c>
      <c r="H972">
        <v>63511</v>
      </c>
      <c r="I972">
        <v>57942</v>
      </c>
      <c r="J972">
        <v>211</v>
      </c>
      <c r="K972">
        <f>tblSales[[#This Row],[Sales]]-tblSales[[#This Row],[Budget]]</f>
        <v>5569</v>
      </c>
      <c r="L972" s="3">
        <f>(tblSales[[#This Row],[Sales]]-tblSales[[#This Row],[Budget]])/tblSales[[#This Row],[Budget]]</f>
        <v>9.6113354734044393E-2</v>
      </c>
      <c r="M972" s="2">
        <f>tblSales[[#This Row],[Sales]]/tblSales[[#This Row],[Transactions]]</f>
        <v>301</v>
      </c>
    </row>
    <row r="973" spans="1:13" x14ac:dyDescent="0.25">
      <c r="A973" s="1">
        <v>46071</v>
      </c>
      <c r="B973" t="s">
        <v>21</v>
      </c>
      <c r="C973" t="s">
        <v>11</v>
      </c>
      <c r="D973" t="str">
        <f>_xlfn.XLOOKUP(tblSales[[#This Row],[Store ID]],tblStores[Store ID],tblStores[Store Name])</f>
        <v>Canal Walk</v>
      </c>
      <c r="E973" t="str">
        <f>_xlfn.XLOOKUP(tblSales[[#This Row],[Store ID]],tblStores[Store ID],tblStores[Province])</f>
        <v>Western Cape</v>
      </c>
      <c r="F973" t="str">
        <f>_xlfn.XLOOKUP(tblSales[[#This Row],[Store ID]],tblStores[Store ID],tblStores[Manager])</f>
        <v>Megan Scott</v>
      </c>
      <c r="G973" t="str">
        <f>_xlfn.XLOOKUP(tblSales[[#This Row],[Category ID]],tblCategories[Category ID],tblCategories[Category])</f>
        <v>Footwear</v>
      </c>
      <c r="H973">
        <v>38110</v>
      </c>
      <c r="I973">
        <v>34491</v>
      </c>
      <c r="J973">
        <v>103</v>
      </c>
      <c r="K973">
        <f>tblSales[[#This Row],[Sales]]-tblSales[[#This Row],[Budget]]</f>
        <v>3619</v>
      </c>
      <c r="L973" s="3">
        <f>(tblSales[[#This Row],[Sales]]-tblSales[[#This Row],[Budget]])/tblSales[[#This Row],[Budget]]</f>
        <v>0.10492592270447364</v>
      </c>
      <c r="M973" s="2">
        <f>tblSales[[#This Row],[Sales]]/tblSales[[#This Row],[Transactions]]</f>
        <v>370</v>
      </c>
    </row>
    <row r="974" spans="1:13" x14ac:dyDescent="0.25">
      <c r="A974" s="1">
        <v>46071</v>
      </c>
      <c r="B974" t="s">
        <v>23</v>
      </c>
      <c r="C974" t="s">
        <v>22</v>
      </c>
      <c r="D974" t="str">
        <f>_xlfn.XLOOKUP(tblSales[[#This Row],[Store ID]],tblStores[Store ID],tblStores[Store Name])</f>
        <v>Stellenbosch</v>
      </c>
      <c r="E974" t="str">
        <f>_xlfn.XLOOKUP(tblSales[[#This Row],[Store ID]],tblStores[Store ID],tblStores[Province])</f>
        <v>Western Cape</v>
      </c>
      <c r="F974" t="str">
        <f>_xlfn.XLOOKUP(tblSales[[#This Row],[Store ID]],tblStores[Store ID],tblStores[Manager])</f>
        <v>Jason King</v>
      </c>
      <c r="G974" t="str">
        <f>_xlfn.XLOOKUP(tblSales[[#This Row],[Category ID]],tblCategories[Category ID],tblCategories[Category])</f>
        <v>Kids</v>
      </c>
      <c r="H974">
        <v>36822</v>
      </c>
      <c r="I974">
        <v>40898</v>
      </c>
      <c r="J974">
        <v>114</v>
      </c>
      <c r="K974">
        <f>tblSales[[#This Row],[Sales]]-tblSales[[#This Row],[Budget]]</f>
        <v>-4076</v>
      </c>
      <c r="L974" s="3">
        <f>(tblSales[[#This Row],[Sales]]-tblSales[[#This Row],[Budget]])/tblSales[[#This Row],[Budget]]</f>
        <v>-9.9662575187050712E-2</v>
      </c>
      <c r="M974" s="2">
        <f>tblSales[[#This Row],[Sales]]/tblSales[[#This Row],[Transactions]]</f>
        <v>323</v>
      </c>
    </row>
    <row r="975" spans="1:13" x14ac:dyDescent="0.25">
      <c r="A975" s="1">
        <v>46071</v>
      </c>
      <c r="B975" t="s">
        <v>24</v>
      </c>
      <c r="C975" t="s">
        <v>7</v>
      </c>
      <c r="D975" t="str">
        <f>_xlfn.XLOOKUP(tblSales[[#This Row],[Store ID]],tblStores[Store ID],tblStores[Store Name])</f>
        <v>George</v>
      </c>
      <c r="E975" t="str">
        <f>_xlfn.XLOOKUP(tblSales[[#This Row],[Store ID]],tblStores[Store ID],tblStores[Province])</f>
        <v>Western Cape</v>
      </c>
      <c r="F975" t="str">
        <f>_xlfn.XLOOKUP(tblSales[[#This Row],[Store ID]],tblStores[Store ID],tblStores[Manager])</f>
        <v>Chloe Hill</v>
      </c>
      <c r="G975" t="str">
        <f>_xlfn.XLOOKUP(tblSales[[#This Row],[Category ID]],tblCategories[Category ID],tblCategories[Category])</f>
        <v>Menswear</v>
      </c>
      <c r="H975">
        <v>23064</v>
      </c>
      <c r="I975">
        <v>22490</v>
      </c>
      <c r="J975">
        <v>93</v>
      </c>
      <c r="K975">
        <f>tblSales[[#This Row],[Sales]]-tblSales[[#This Row],[Budget]]</f>
        <v>574</v>
      </c>
      <c r="L975" s="3">
        <f>(tblSales[[#This Row],[Sales]]-tblSales[[#This Row],[Budget]])/tblSales[[#This Row],[Budget]]</f>
        <v>2.5522454424188528E-2</v>
      </c>
      <c r="M975" s="2">
        <f>tblSales[[#This Row],[Sales]]/tblSales[[#This Row],[Transactions]]</f>
        <v>248</v>
      </c>
    </row>
    <row r="976" spans="1:13" x14ac:dyDescent="0.25">
      <c r="A976" s="1">
        <v>46071</v>
      </c>
      <c r="B976" t="s">
        <v>25</v>
      </c>
      <c r="C976" t="s">
        <v>11</v>
      </c>
      <c r="D976" t="str">
        <f>_xlfn.XLOOKUP(tblSales[[#This Row],[Store ID]],tblStores[Store ID],tblStores[Store Name])</f>
        <v>Paarl</v>
      </c>
      <c r="E976" t="str">
        <f>_xlfn.XLOOKUP(tblSales[[#This Row],[Store ID]],tblStores[Store ID],tblStores[Province])</f>
        <v>Western Cape</v>
      </c>
      <c r="F976" t="str">
        <f>_xlfn.XLOOKUP(tblSales[[#This Row],[Store ID]],tblStores[Store ID],tblStores[Manager])</f>
        <v>Andrew Lee</v>
      </c>
      <c r="G976" t="str">
        <f>_xlfn.XLOOKUP(tblSales[[#This Row],[Category ID]],tblCategories[Category ID],tblCategories[Category])</f>
        <v>Footwear</v>
      </c>
      <c r="H976">
        <v>37089</v>
      </c>
      <c r="I976">
        <v>40137</v>
      </c>
      <c r="J976">
        <v>117</v>
      </c>
      <c r="K976">
        <f>tblSales[[#This Row],[Sales]]-tblSales[[#This Row],[Budget]]</f>
        <v>-3048</v>
      </c>
      <c r="L976" s="3">
        <f>(tblSales[[#This Row],[Sales]]-tblSales[[#This Row],[Budget]])/tblSales[[#This Row],[Budget]]</f>
        <v>-7.5939905822557746E-2</v>
      </c>
      <c r="M976" s="2">
        <f>tblSales[[#This Row],[Sales]]/tblSales[[#This Row],[Transactions]]</f>
        <v>317</v>
      </c>
    </row>
    <row r="977" spans="1:13" x14ac:dyDescent="0.25">
      <c r="A977" s="1">
        <v>46071</v>
      </c>
      <c r="B977" t="s">
        <v>26</v>
      </c>
      <c r="C977" t="s">
        <v>19</v>
      </c>
      <c r="D977" t="str">
        <f>_xlfn.XLOOKUP(tblSales[[#This Row],[Store ID]],tblStores[Store ID],tblStores[Store Name])</f>
        <v>Gqeberha</v>
      </c>
      <c r="E977" t="str">
        <f>_xlfn.XLOOKUP(tblSales[[#This Row],[Store ID]],tblStores[Store ID],tblStores[Province])</f>
        <v>Eastern Cape</v>
      </c>
      <c r="F977" t="str">
        <f>_xlfn.XLOOKUP(tblSales[[#This Row],[Store ID]],tblStores[Store ID],tblStores[Manager])</f>
        <v>Emma Baker</v>
      </c>
      <c r="G977" t="str">
        <f>_xlfn.XLOOKUP(tblSales[[#This Row],[Category ID]],tblCategories[Category ID],tblCategories[Category])</f>
        <v>Accessories</v>
      </c>
      <c r="H977">
        <v>45000</v>
      </c>
      <c r="I977">
        <v>42614</v>
      </c>
      <c r="J977">
        <v>200</v>
      </c>
      <c r="K977">
        <f>tblSales[[#This Row],[Sales]]-tblSales[[#This Row],[Budget]]</f>
        <v>2386</v>
      </c>
      <c r="L977" s="3">
        <f>(tblSales[[#This Row],[Sales]]-tblSales[[#This Row],[Budget]])/tblSales[[#This Row],[Budget]]</f>
        <v>5.5990988876894916E-2</v>
      </c>
      <c r="M977" s="2">
        <f>tblSales[[#This Row],[Sales]]/tblSales[[#This Row],[Transactions]]</f>
        <v>225</v>
      </c>
    </row>
    <row r="978" spans="1:13" x14ac:dyDescent="0.25">
      <c r="A978" s="1">
        <v>46071</v>
      </c>
      <c r="B978" t="s">
        <v>27</v>
      </c>
      <c r="C978" t="s">
        <v>9</v>
      </c>
      <c r="D978" t="str">
        <f>_xlfn.XLOOKUP(tblSales[[#This Row],[Store ID]],tblStores[Store ID],tblStores[Store Name])</f>
        <v>East London</v>
      </c>
      <c r="E978" t="str">
        <f>_xlfn.XLOOKUP(tblSales[[#This Row],[Store ID]],tblStores[Store ID],tblStores[Province])</f>
        <v>Eastern Cape</v>
      </c>
      <c r="F978" t="str">
        <f>_xlfn.XLOOKUP(tblSales[[#This Row],[Store ID]],tblStores[Store ID],tblStores[Manager])</f>
        <v>Daniel Evans</v>
      </c>
      <c r="G978" t="str">
        <f>_xlfn.XLOOKUP(tblSales[[#This Row],[Category ID]],tblCategories[Category ID],tblCategories[Category])</f>
        <v>Ladieswear</v>
      </c>
      <c r="H978">
        <v>59492</v>
      </c>
      <c r="I978">
        <v>64838</v>
      </c>
      <c r="J978">
        <v>139</v>
      </c>
      <c r="K978">
        <f>tblSales[[#This Row],[Sales]]-tblSales[[#This Row],[Budget]]</f>
        <v>-5346</v>
      </c>
      <c r="L978" s="3">
        <f>(tblSales[[#This Row],[Sales]]-tblSales[[#This Row],[Budget]])/tblSales[[#This Row],[Budget]]</f>
        <v>-8.2451648724513396E-2</v>
      </c>
      <c r="M978" s="2">
        <f>tblSales[[#This Row],[Sales]]/tblSales[[#This Row],[Transactions]]</f>
        <v>428</v>
      </c>
    </row>
    <row r="979" spans="1:13" x14ac:dyDescent="0.25">
      <c r="A979" s="1">
        <v>46071</v>
      </c>
      <c r="B979" t="s">
        <v>28</v>
      </c>
      <c r="C979" t="s">
        <v>22</v>
      </c>
      <c r="D979" t="str">
        <f>_xlfn.XLOOKUP(tblSales[[#This Row],[Store ID]],tblStores[Store ID],tblStores[Store Name])</f>
        <v>Bloemfontein</v>
      </c>
      <c r="E979" t="str">
        <f>_xlfn.XLOOKUP(tblSales[[#This Row],[Store ID]],tblStores[Store ID],tblStores[Province])</f>
        <v>Free State</v>
      </c>
      <c r="F979" t="str">
        <f>_xlfn.XLOOKUP(tblSales[[#This Row],[Store ID]],tblStores[Store ID],tblStores[Manager])</f>
        <v>Rachel Moore</v>
      </c>
      <c r="G979" t="str">
        <f>_xlfn.XLOOKUP(tblSales[[#This Row],[Category ID]],tblCategories[Category ID],tblCategories[Category])</f>
        <v>Kids</v>
      </c>
      <c r="H979">
        <v>21707</v>
      </c>
      <c r="I979">
        <v>23831</v>
      </c>
      <c r="J979">
        <v>49</v>
      </c>
      <c r="K979">
        <f>tblSales[[#This Row],[Sales]]-tblSales[[#This Row],[Budget]]</f>
        <v>-2124</v>
      </c>
      <c r="L979" s="3">
        <f>(tblSales[[#This Row],[Sales]]-tblSales[[#This Row],[Budget]])/tblSales[[#This Row],[Budget]]</f>
        <v>-8.9127606898577488E-2</v>
      </c>
      <c r="M979" s="2">
        <f>tblSales[[#This Row],[Sales]]/tblSales[[#This Row],[Transactions]]</f>
        <v>443</v>
      </c>
    </row>
    <row r="980" spans="1:13" x14ac:dyDescent="0.25">
      <c r="A980" s="1">
        <v>46071</v>
      </c>
      <c r="B980" t="s">
        <v>29</v>
      </c>
      <c r="C980" t="s">
        <v>7</v>
      </c>
      <c r="D980" t="str">
        <f>_xlfn.XLOOKUP(tblSales[[#This Row],[Store ID]],tblStores[Store ID],tblStores[Store Name])</f>
        <v>Polokwane</v>
      </c>
      <c r="E980" t="str">
        <f>_xlfn.XLOOKUP(tblSales[[#This Row],[Store ID]],tblStores[Store ID],tblStores[Province])</f>
        <v>Limpopo</v>
      </c>
      <c r="F980" t="str">
        <f>_xlfn.XLOOKUP(tblSales[[#This Row],[Store ID]],tblStores[Store ID],tblStores[Manager])</f>
        <v>Kevin Harris</v>
      </c>
      <c r="G980" t="str">
        <f>_xlfn.XLOOKUP(tblSales[[#This Row],[Category ID]],tblCategories[Category ID],tblCategories[Category])</f>
        <v>Menswear</v>
      </c>
      <c r="H980">
        <v>50046</v>
      </c>
      <c r="I980">
        <v>50088</v>
      </c>
      <c r="J980">
        <v>114</v>
      </c>
      <c r="K980">
        <f>tblSales[[#This Row],[Sales]]-tblSales[[#This Row],[Budget]]</f>
        <v>-42</v>
      </c>
      <c r="L980" s="3">
        <f>(tblSales[[#This Row],[Sales]]-tblSales[[#This Row],[Budget]])/tblSales[[#This Row],[Budget]]</f>
        <v>-8.3852419741255386E-4</v>
      </c>
      <c r="M980" s="2">
        <f>tblSales[[#This Row],[Sales]]/tblSales[[#This Row],[Transactions]]</f>
        <v>439</v>
      </c>
    </row>
    <row r="981" spans="1:13" x14ac:dyDescent="0.25">
      <c r="A981" s="1">
        <v>46071</v>
      </c>
      <c r="B981" t="s">
        <v>30</v>
      </c>
      <c r="C981" t="s">
        <v>19</v>
      </c>
      <c r="D981" t="str">
        <f>_xlfn.XLOOKUP(tblSales[[#This Row],[Store ID]],tblStores[Store ID],tblStores[Store Name])</f>
        <v>Nelspruit</v>
      </c>
      <c r="E981" t="str">
        <f>_xlfn.XLOOKUP(tblSales[[#This Row],[Store ID]],tblStores[Store ID],tblStores[Province])</f>
        <v>Mpumalanga</v>
      </c>
      <c r="F981" t="str">
        <f>_xlfn.XLOOKUP(tblSales[[#This Row],[Store ID]],tblStores[Store ID],tblStores[Manager])</f>
        <v>Olivia Turner</v>
      </c>
      <c r="G981" t="str">
        <f>_xlfn.XLOOKUP(tblSales[[#This Row],[Category ID]],tblCategories[Category ID],tblCategories[Category])</f>
        <v>Accessories</v>
      </c>
      <c r="H981">
        <v>34920</v>
      </c>
      <c r="I981">
        <v>32944</v>
      </c>
      <c r="J981">
        <v>180</v>
      </c>
      <c r="K981">
        <f>tblSales[[#This Row],[Sales]]-tblSales[[#This Row],[Budget]]</f>
        <v>1976</v>
      </c>
      <c r="L981" s="3">
        <f>(tblSales[[#This Row],[Sales]]-tblSales[[#This Row],[Budget]])/tblSales[[#This Row],[Budget]]</f>
        <v>5.9980573093734821E-2</v>
      </c>
      <c r="M981" s="2">
        <f>tblSales[[#This Row],[Sales]]/tblSales[[#This Row],[Transactions]]</f>
        <v>194</v>
      </c>
    </row>
    <row r="982" spans="1:13" x14ac:dyDescent="0.25">
      <c r="A982" s="1">
        <v>46072</v>
      </c>
      <c r="B982" t="s">
        <v>6</v>
      </c>
      <c r="C982" t="s">
        <v>9</v>
      </c>
      <c r="D982" t="str">
        <f>_xlfn.XLOOKUP(tblSales[[#This Row],[Store ID]],tblStores[Store ID],tblStores[Store Name])</f>
        <v>Durban CBD</v>
      </c>
      <c r="E982" t="str">
        <f>_xlfn.XLOOKUP(tblSales[[#This Row],[Store ID]],tblStores[Store ID],tblStores[Province])</f>
        <v>KZN</v>
      </c>
      <c r="F982" t="str">
        <f>_xlfn.XLOOKUP(tblSales[[#This Row],[Store ID]],tblStores[Store ID],tblStores[Manager])</f>
        <v>Sarah Adams</v>
      </c>
      <c r="G982" t="str">
        <f>_xlfn.XLOOKUP(tblSales[[#This Row],[Category ID]],tblCategories[Category ID],tblCategories[Category])</f>
        <v>Ladieswear</v>
      </c>
      <c r="H982">
        <v>15043</v>
      </c>
      <c r="I982">
        <v>13663</v>
      </c>
      <c r="J982">
        <v>49</v>
      </c>
      <c r="K982">
        <f>tblSales[[#This Row],[Sales]]-tblSales[[#This Row],[Budget]]</f>
        <v>1380</v>
      </c>
      <c r="L982" s="3">
        <f>(tblSales[[#This Row],[Sales]]-tblSales[[#This Row],[Budget]])/tblSales[[#This Row],[Budget]]</f>
        <v>0.10100270804362146</v>
      </c>
      <c r="M982" s="2">
        <f>tblSales[[#This Row],[Sales]]/tblSales[[#This Row],[Transactions]]</f>
        <v>307</v>
      </c>
    </row>
    <row r="983" spans="1:13" x14ac:dyDescent="0.25">
      <c r="A983" s="1">
        <v>46072</v>
      </c>
      <c r="B983" t="s">
        <v>8</v>
      </c>
      <c r="C983" t="s">
        <v>7</v>
      </c>
      <c r="D983" t="str">
        <f>_xlfn.XLOOKUP(tblSales[[#This Row],[Store ID]],tblStores[Store ID],tblStores[Store Name])</f>
        <v>Gateway</v>
      </c>
      <c r="E983" t="str">
        <f>_xlfn.XLOOKUP(tblSales[[#This Row],[Store ID]],tblStores[Store ID],tblStores[Province])</f>
        <v>KZN</v>
      </c>
      <c r="F983" t="str">
        <f>_xlfn.XLOOKUP(tblSales[[#This Row],[Store ID]],tblStores[Store ID],tblStores[Manager])</f>
        <v>Michael Jones</v>
      </c>
      <c r="G983" t="str">
        <f>_xlfn.XLOOKUP(tblSales[[#This Row],[Category ID]],tblCategories[Category ID],tblCategories[Category])</f>
        <v>Menswear</v>
      </c>
      <c r="H983">
        <v>35687</v>
      </c>
      <c r="I983">
        <v>34562</v>
      </c>
      <c r="J983">
        <v>127</v>
      </c>
      <c r="K983">
        <f>tblSales[[#This Row],[Sales]]-tblSales[[#This Row],[Budget]]</f>
        <v>1125</v>
      </c>
      <c r="L983" s="3">
        <f>(tblSales[[#This Row],[Sales]]-tblSales[[#This Row],[Budget]])/tblSales[[#This Row],[Budget]]</f>
        <v>3.2550199641224464E-2</v>
      </c>
      <c r="M983" s="2">
        <f>tblSales[[#This Row],[Sales]]/tblSales[[#This Row],[Transactions]]</f>
        <v>281</v>
      </c>
    </row>
    <row r="984" spans="1:13" x14ac:dyDescent="0.25">
      <c r="A984" s="1">
        <v>46072</v>
      </c>
      <c r="B984" t="s">
        <v>10</v>
      </c>
      <c r="C984" t="s">
        <v>11</v>
      </c>
      <c r="D984" t="str">
        <f>_xlfn.XLOOKUP(tblSales[[#This Row],[Store ID]],tblStores[Store ID],tblStores[Store Name])</f>
        <v>Ballito</v>
      </c>
      <c r="E984" t="str">
        <f>_xlfn.XLOOKUP(tblSales[[#This Row],[Store ID]],tblStores[Store ID],tblStores[Province])</f>
        <v>KZN</v>
      </c>
      <c r="F984" t="str">
        <f>_xlfn.XLOOKUP(tblSales[[#This Row],[Store ID]],tblStores[Store ID],tblStores[Manager])</f>
        <v>Linda Smith</v>
      </c>
      <c r="G984" t="str">
        <f>_xlfn.XLOOKUP(tblSales[[#This Row],[Category ID]],tblCategories[Category ID],tblCategories[Category])</f>
        <v>Footwear</v>
      </c>
      <c r="H984">
        <v>62812</v>
      </c>
      <c r="I984">
        <v>66508</v>
      </c>
      <c r="J984">
        <v>164</v>
      </c>
      <c r="K984">
        <f>tblSales[[#This Row],[Sales]]-tblSales[[#This Row],[Budget]]</f>
        <v>-3696</v>
      </c>
      <c r="L984" s="3">
        <f>(tblSales[[#This Row],[Sales]]-tblSales[[#This Row],[Budget]])/tblSales[[#This Row],[Budget]]</f>
        <v>-5.5572261983520777E-2</v>
      </c>
      <c r="M984" s="2">
        <f>tblSales[[#This Row],[Sales]]/tblSales[[#This Row],[Transactions]]</f>
        <v>383</v>
      </c>
    </row>
    <row r="985" spans="1:13" x14ac:dyDescent="0.25">
      <c r="A985" s="1">
        <v>46072</v>
      </c>
      <c r="B985" t="s">
        <v>12</v>
      </c>
      <c r="C985" t="s">
        <v>7</v>
      </c>
      <c r="D985" t="str">
        <f>_xlfn.XLOOKUP(tblSales[[#This Row],[Store ID]],tblStores[Store ID],tblStores[Store Name])</f>
        <v>Pietermaritzburg</v>
      </c>
      <c r="E985" t="str">
        <f>_xlfn.XLOOKUP(tblSales[[#This Row],[Store ID]],tblStores[Store ID],tblStores[Province])</f>
        <v>KZN</v>
      </c>
      <c r="F985" t="str">
        <f>_xlfn.XLOOKUP(tblSales[[#This Row],[Store ID]],tblStores[Store ID],tblStores[Manager])</f>
        <v>Peter Brown</v>
      </c>
      <c r="G985" t="str">
        <f>_xlfn.XLOOKUP(tblSales[[#This Row],[Category ID]],tblCategories[Category ID],tblCategories[Category])</f>
        <v>Menswear</v>
      </c>
      <c r="H985">
        <v>40755</v>
      </c>
      <c r="I985">
        <v>39144</v>
      </c>
      <c r="J985">
        <v>209</v>
      </c>
      <c r="K985">
        <f>tblSales[[#This Row],[Sales]]-tblSales[[#This Row],[Budget]]</f>
        <v>1611</v>
      </c>
      <c r="L985" s="3">
        <f>(tblSales[[#This Row],[Sales]]-tblSales[[#This Row],[Budget]])/tblSales[[#This Row],[Budget]]</f>
        <v>4.1155732679337829E-2</v>
      </c>
      <c r="M985" s="2">
        <f>tblSales[[#This Row],[Sales]]/tblSales[[#This Row],[Transactions]]</f>
        <v>195</v>
      </c>
    </row>
    <row r="986" spans="1:13" x14ac:dyDescent="0.25">
      <c r="A986" s="1">
        <v>46072</v>
      </c>
      <c r="B986" t="s">
        <v>13</v>
      </c>
      <c r="C986" t="s">
        <v>11</v>
      </c>
      <c r="D986" t="str">
        <f>_xlfn.XLOOKUP(tblSales[[#This Row],[Store ID]],tblStores[Store ID],tblStores[Store Name])</f>
        <v>Richards Bay</v>
      </c>
      <c r="E986" t="str">
        <f>_xlfn.XLOOKUP(tblSales[[#This Row],[Store ID]],tblStores[Store ID],tblStores[Province])</f>
        <v>KZN</v>
      </c>
      <c r="F986" t="str">
        <f>_xlfn.XLOOKUP(tblSales[[#This Row],[Store ID]],tblStores[Store ID],tblStores[Manager])</f>
        <v>David Green</v>
      </c>
      <c r="G986" t="str">
        <f>_xlfn.XLOOKUP(tblSales[[#This Row],[Category ID]],tblCategories[Category ID],tblCategories[Category])</f>
        <v>Footwear</v>
      </c>
      <c r="H986">
        <v>76296</v>
      </c>
      <c r="I986">
        <v>72053</v>
      </c>
      <c r="J986">
        <v>187</v>
      </c>
      <c r="K986">
        <f>tblSales[[#This Row],[Sales]]-tblSales[[#This Row],[Budget]]</f>
        <v>4243</v>
      </c>
      <c r="L986" s="3">
        <f>(tblSales[[#This Row],[Sales]]-tblSales[[#This Row],[Budget]])/tblSales[[#This Row],[Budget]]</f>
        <v>5.8887208027424254E-2</v>
      </c>
      <c r="M986" s="2">
        <f>tblSales[[#This Row],[Sales]]/tblSales[[#This Row],[Transactions]]</f>
        <v>408</v>
      </c>
    </row>
    <row r="987" spans="1:13" x14ac:dyDescent="0.25">
      <c r="A987" s="1">
        <v>46072</v>
      </c>
      <c r="B987" t="s">
        <v>14</v>
      </c>
      <c r="C987" t="s">
        <v>11</v>
      </c>
      <c r="D987" t="str">
        <f>_xlfn.XLOOKUP(tblSales[[#This Row],[Store ID]],tblStores[Store ID],tblStores[Store Name])</f>
        <v>Sandton</v>
      </c>
      <c r="E987" t="str">
        <f>_xlfn.XLOOKUP(tblSales[[#This Row],[Store ID]],tblStores[Store ID],tblStores[Province])</f>
        <v>Gauteng</v>
      </c>
      <c r="F987" t="str">
        <f>_xlfn.XLOOKUP(tblSales[[#This Row],[Store ID]],tblStores[Store ID],tblStores[Manager])</f>
        <v>Karen White</v>
      </c>
      <c r="G987" t="str">
        <f>_xlfn.XLOOKUP(tblSales[[#This Row],[Category ID]],tblCategories[Category ID],tblCategories[Category])</f>
        <v>Footwear</v>
      </c>
      <c r="H987">
        <v>85470</v>
      </c>
      <c r="I987">
        <v>84396</v>
      </c>
      <c r="J987">
        <v>185</v>
      </c>
      <c r="K987">
        <f>tblSales[[#This Row],[Sales]]-tblSales[[#This Row],[Budget]]</f>
        <v>1074</v>
      </c>
      <c r="L987" s="3">
        <f>(tblSales[[#This Row],[Sales]]-tblSales[[#This Row],[Budget]])/tblSales[[#This Row],[Budget]]</f>
        <v>1.2725721598180008E-2</v>
      </c>
      <c r="M987" s="2">
        <f>tblSales[[#This Row],[Sales]]/tblSales[[#This Row],[Transactions]]</f>
        <v>462</v>
      </c>
    </row>
    <row r="988" spans="1:13" x14ac:dyDescent="0.25">
      <c r="A988" s="1">
        <v>46072</v>
      </c>
      <c r="B988" t="s">
        <v>15</v>
      </c>
      <c r="C988" t="s">
        <v>9</v>
      </c>
      <c r="D988" t="str">
        <f>_xlfn.XLOOKUP(tblSales[[#This Row],[Store ID]],tblStores[Store ID],tblStores[Store Name])</f>
        <v>Rosebank</v>
      </c>
      <c r="E988" t="str">
        <f>_xlfn.XLOOKUP(tblSales[[#This Row],[Store ID]],tblStores[Store ID],tblStores[Province])</f>
        <v>Gauteng</v>
      </c>
      <c r="F988" t="str">
        <f>_xlfn.XLOOKUP(tblSales[[#This Row],[Store ID]],tblStores[Store ID],tblStores[Manager])</f>
        <v>James Taylor</v>
      </c>
      <c r="G988" t="str">
        <f>_xlfn.XLOOKUP(tblSales[[#This Row],[Category ID]],tblCategories[Category ID],tblCategories[Category])</f>
        <v>Ladieswear</v>
      </c>
      <c r="H988">
        <v>22826</v>
      </c>
      <c r="I988">
        <v>22170</v>
      </c>
      <c r="J988">
        <v>101</v>
      </c>
      <c r="K988">
        <f>tblSales[[#This Row],[Sales]]-tblSales[[#This Row],[Budget]]</f>
        <v>656</v>
      </c>
      <c r="L988" s="3">
        <f>(tblSales[[#This Row],[Sales]]-tblSales[[#This Row],[Budget]])/tblSales[[#This Row],[Budget]]</f>
        <v>2.9589535408209293E-2</v>
      </c>
      <c r="M988" s="2">
        <f>tblSales[[#This Row],[Sales]]/tblSales[[#This Row],[Transactions]]</f>
        <v>226</v>
      </c>
    </row>
    <row r="989" spans="1:13" x14ac:dyDescent="0.25">
      <c r="A989" s="1">
        <v>46072</v>
      </c>
      <c r="B989" t="s">
        <v>16</v>
      </c>
      <c r="C989" t="s">
        <v>11</v>
      </c>
      <c r="D989" t="str">
        <f>_xlfn.XLOOKUP(tblSales[[#This Row],[Store ID]],tblStores[Store ID],tblStores[Store Name])</f>
        <v>Pretoria</v>
      </c>
      <c r="E989" t="str">
        <f>_xlfn.XLOOKUP(tblSales[[#This Row],[Store ID]],tblStores[Store ID],tblStores[Province])</f>
        <v>Gauteng</v>
      </c>
      <c r="F989" t="str">
        <f>_xlfn.XLOOKUP(tblSales[[#This Row],[Store ID]],tblStores[Store ID],tblStores[Manager])</f>
        <v>Susan Clark</v>
      </c>
      <c r="G989" t="str">
        <f>_xlfn.XLOOKUP(tblSales[[#This Row],[Category ID]],tblCategories[Category ID],tblCategories[Category])</f>
        <v>Footwear</v>
      </c>
      <c r="H989">
        <v>12361</v>
      </c>
      <c r="I989">
        <v>13763</v>
      </c>
      <c r="J989">
        <v>47</v>
      </c>
      <c r="K989">
        <f>tblSales[[#This Row],[Sales]]-tblSales[[#This Row],[Budget]]</f>
        <v>-1402</v>
      </c>
      <c r="L989" s="3">
        <f>(tblSales[[#This Row],[Sales]]-tblSales[[#This Row],[Budget]])/tblSales[[#This Row],[Budget]]</f>
        <v>-0.10186732543776793</v>
      </c>
      <c r="M989" s="2">
        <f>tblSales[[#This Row],[Sales]]/tblSales[[#This Row],[Transactions]]</f>
        <v>263</v>
      </c>
    </row>
    <row r="990" spans="1:13" x14ac:dyDescent="0.25">
      <c r="A990" s="1">
        <v>46072</v>
      </c>
      <c r="B990" t="s">
        <v>17</v>
      </c>
      <c r="C990" t="s">
        <v>9</v>
      </c>
      <c r="D990" t="str">
        <f>_xlfn.XLOOKUP(tblSales[[#This Row],[Store ID]],tblStores[Store ID],tblStores[Store Name])</f>
        <v>Centurion</v>
      </c>
      <c r="E990" t="str">
        <f>_xlfn.XLOOKUP(tblSales[[#This Row],[Store ID]],tblStores[Store ID],tblStores[Province])</f>
        <v>Gauteng</v>
      </c>
      <c r="F990" t="str">
        <f>_xlfn.XLOOKUP(tblSales[[#This Row],[Store ID]],tblStores[Store ID],tblStores[Manager])</f>
        <v>Mark Wilson</v>
      </c>
      <c r="G990" t="str">
        <f>_xlfn.XLOOKUP(tblSales[[#This Row],[Category ID]],tblCategories[Category ID],tblCategories[Category])</f>
        <v>Ladieswear</v>
      </c>
      <c r="H990">
        <v>46501</v>
      </c>
      <c r="I990">
        <v>44467</v>
      </c>
      <c r="J990">
        <v>91</v>
      </c>
      <c r="K990">
        <f>tblSales[[#This Row],[Sales]]-tblSales[[#This Row],[Budget]]</f>
        <v>2034</v>
      </c>
      <c r="L990" s="3">
        <f>(tblSales[[#This Row],[Sales]]-tblSales[[#This Row],[Budget]])/tblSales[[#This Row],[Budget]]</f>
        <v>4.574178604358288E-2</v>
      </c>
      <c r="M990" s="2">
        <f>tblSales[[#This Row],[Sales]]/tblSales[[#This Row],[Transactions]]</f>
        <v>511</v>
      </c>
    </row>
    <row r="991" spans="1:13" x14ac:dyDescent="0.25">
      <c r="A991" s="1">
        <v>46072</v>
      </c>
      <c r="B991" t="s">
        <v>18</v>
      </c>
      <c r="C991" t="s">
        <v>9</v>
      </c>
      <c r="D991" t="str">
        <f>_xlfn.XLOOKUP(tblSales[[#This Row],[Store ID]],tblStores[Store ID],tblStores[Store Name])</f>
        <v>East Rand</v>
      </c>
      <c r="E991" t="str">
        <f>_xlfn.XLOOKUP(tblSales[[#This Row],[Store ID]],tblStores[Store ID],tblStores[Province])</f>
        <v>Gauteng</v>
      </c>
      <c r="F991" t="str">
        <f>_xlfn.XLOOKUP(tblSales[[#This Row],[Store ID]],tblStores[Store ID],tblStores[Manager])</f>
        <v>Lisa Young</v>
      </c>
      <c r="G991" t="str">
        <f>_xlfn.XLOOKUP(tblSales[[#This Row],[Category ID]],tblCategories[Category ID],tblCategories[Category])</f>
        <v>Ladieswear</v>
      </c>
      <c r="H991">
        <v>52839</v>
      </c>
      <c r="I991">
        <v>52964</v>
      </c>
      <c r="J991">
        <v>103</v>
      </c>
      <c r="K991">
        <f>tblSales[[#This Row],[Sales]]-tblSales[[#This Row],[Budget]]</f>
        <v>-125</v>
      </c>
      <c r="L991" s="3">
        <f>(tblSales[[#This Row],[Sales]]-tblSales[[#This Row],[Budget]])/tblSales[[#This Row],[Budget]]</f>
        <v>-2.3600936485159733E-3</v>
      </c>
      <c r="M991" s="2">
        <f>tblSales[[#This Row],[Sales]]/tblSales[[#This Row],[Transactions]]</f>
        <v>513</v>
      </c>
    </row>
    <row r="992" spans="1:13" x14ac:dyDescent="0.25">
      <c r="A992" s="1">
        <v>46072</v>
      </c>
      <c r="B992" t="s">
        <v>20</v>
      </c>
      <c r="C992" t="s">
        <v>7</v>
      </c>
      <c r="D992" t="str">
        <f>_xlfn.XLOOKUP(tblSales[[#This Row],[Store ID]],tblStores[Store ID],tblStores[Store Name])</f>
        <v>Cape Town CBD</v>
      </c>
      <c r="E992" t="str">
        <f>_xlfn.XLOOKUP(tblSales[[#This Row],[Store ID]],tblStores[Store ID],tblStores[Province])</f>
        <v>Western Cape</v>
      </c>
      <c r="F992" t="str">
        <f>_xlfn.XLOOKUP(tblSales[[#This Row],[Store ID]],tblStores[Store ID],tblStores[Manager])</f>
        <v>Brian Hall</v>
      </c>
      <c r="G992" t="str">
        <f>_xlfn.XLOOKUP(tblSales[[#This Row],[Category ID]],tblCategories[Category ID],tblCategories[Category])</f>
        <v>Menswear</v>
      </c>
      <c r="H992">
        <v>38456</v>
      </c>
      <c r="I992">
        <v>39168</v>
      </c>
      <c r="J992">
        <v>209</v>
      </c>
      <c r="K992">
        <f>tblSales[[#This Row],[Sales]]-tblSales[[#This Row],[Budget]]</f>
        <v>-712</v>
      </c>
      <c r="L992" s="3">
        <f>(tblSales[[#This Row],[Sales]]-tblSales[[#This Row],[Budget]])/tblSales[[#This Row],[Budget]]</f>
        <v>-1.81781045751634E-2</v>
      </c>
      <c r="M992" s="2">
        <f>tblSales[[#This Row],[Sales]]/tblSales[[#This Row],[Transactions]]</f>
        <v>184</v>
      </c>
    </row>
    <row r="993" spans="1:13" x14ac:dyDescent="0.25">
      <c r="A993" s="1">
        <v>46072</v>
      </c>
      <c r="B993" t="s">
        <v>21</v>
      </c>
      <c r="C993" t="s">
        <v>9</v>
      </c>
      <c r="D993" t="str">
        <f>_xlfn.XLOOKUP(tblSales[[#This Row],[Store ID]],tblStores[Store ID],tblStores[Store Name])</f>
        <v>Canal Walk</v>
      </c>
      <c r="E993" t="str">
        <f>_xlfn.XLOOKUP(tblSales[[#This Row],[Store ID]],tblStores[Store ID],tblStores[Province])</f>
        <v>Western Cape</v>
      </c>
      <c r="F993" t="str">
        <f>_xlfn.XLOOKUP(tblSales[[#This Row],[Store ID]],tblStores[Store ID],tblStores[Manager])</f>
        <v>Megan Scott</v>
      </c>
      <c r="G993" t="str">
        <f>_xlfn.XLOOKUP(tblSales[[#This Row],[Category ID]],tblCategories[Category ID],tblCategories[Category])</f>
        <v>Ladieswear</v>
      </c>
      <c r="H993">
        <v>53600</v>
      </c>
      <c r="I993">
        <v>56295</v>
      </c>
      <c r="J993">
        <v>200</v>
      </c>
      <c r="K993">
        <f>tblSales[[#This Row],[Sales]]-tblSales[[#This Row],[Budget]]</f>
        <v>-2695</v>
      </c>
      <c r="L993" s="3">
        <f>(tblSales[[#This Row],[Sales]]-tblSales[[#This Row],[Budget]])/tblSales[[#This Row],[Budget]]</f>
        <v>-4.7872812860822456E-2</v>
      </c>
      <c r="M993" s="2">
        <f>tblSales[[#This Row],[Sales]]/tblSales[[#This Row],[Transactions]]</f>
        <v>268</v>
      </c>
    </row>
    <row r="994" spans="1:13" x14ac:dyDescent="0.25">
      <c r="A994" s="1">
        <v>46072</v>
      </c>
      <c r="B994" t="s">
        <v>23</v>
      </c>
      <c r="C994" t="s">
        <v>7</v>
      </c>
      <c r="D994" t="str">
        <f>_xlfn.XLOOKUP(tblSales[[#This Row],[Store ID]],tblStores[Store ID],tblStores[Store Name])</f>
        <v>Stellenbosch</v>
      </c>
      <c r="E994" t="str">
        <f>_xlfn.XLOOKUP(tblSales[[#This Row],[Store ID]],tblStores[Store ID],tblStores[Province])</f>
        <v>Western Cape</v>
      </c>
      <c r="F994" t="str">
        <f>_xlfn.XLOOKUP(tblSales[[#This Row],[Store ID]],tblStores[Store ID],tblStores[Manager])</f>
        <v>Jason King</v>
      </c>
      <c r="G994" t="str">
        <f>_xlfn.XLOOKUP(tblSales[[#This Row],[Category ID]],tblCategories[Category ID],tblCategories[Category])</f>
        <v>Menswear</v>
      </c>
      <c r="H994">
        <v>28428</v>
      </c>
      <c r="I994">
        <v>29908</v>
      </c>
      <c r="J994">
        <v>92</v>
      </c>
      <c r="K994">
        <f>tblSales[[#This Row],[Sales]]-tblSales[[#This Row],[Budget]]</f>
        <v>-1480</v>
      </c>
      <c r="L994" s="3">
        <f>(tblSales[[#This Row],[Sales]]-tblSales[[#This Row],[Budget]])/tblSales[[#This Row],[Budget]]</f>
        <v>-4.9485087601979401E-2</v>
      </c>
      <c r="M994" s="2">
        <f>tblSales[[#This Row],[Sales]]/tblSales[[#This Row],[Transactions]]</f>
        <v>309</v>
      </c>
    </row>
    <row r="995" spans="1:13" x14ac:dyDescent="0.25">
      <c r="A995" s="1">
        <v>46072</v>
      </c>
      <c r="B995" t="s">
        <v>24</v>
      </c>
      <c r="C995" t="s">
        <v>22</v>
      </c>
      <c r="D995" t="str">
        <f>_xlfn.XLOOKUP(tblSales[[#This Row],[Store ID]],tblStores[Store ID],tblStores[Store Name])</f>
        <v>George</v>
      </c>
      <c r="E995" t="str">
        <f>_xlfn.XLOOKUP(tblSales[[#This Row],[Store ID]],tblStores[Store ID],tblStores[Province])</f>
        <v>Western Cape</v>
      </c>
      <c r="F995" t="str">
        <f>_xlfn.XLOOKUP(tblSales[[#This Row],[Store ID]],tblStores[Store ID],tblStores[Manager])</f>
        <v>Chloe Hill</v>
      </c>
      <c r="G995" t="str">
        <f>_xlfn.XLOOKUP(tblSales[[#This Row],[Category ID]],tblCategories[Category ID],tblCategories[Category])</f>
        <v>Kids</v>
      </c>
      <c r="H995">
        <v>110453</v>
      </c>
      <c r="I995">
        <v>107011</v>
      </c>
      <c r="J995">
        <v>217</v>
      </c>
      <c r="K995">
        <f>tblSales[[#This Row],[Sales]]-tblSales[[#This Row],[Budget]]</f>
        <v>3442</v>
      </c>
      <c r="L995" s="3">
        <f>(tblSales[[#This Row],[Sales]]-tblSales[[#This Row],[Budget]])/tblSales[[#This Row],[Budget]]</f>
        <v>3.2164917625290855E-2</v>
      </c>
      <c r="M995" s="2">
        <f>tblSales[[#This Row],[Sales]]/tblSales[[#This Row],[Transactions]]</f>
        <v>509</v>
      </c>
    </row>
    <row r="996" spans="1:13" x14ac:dyDescent="0.25">
      <c r="A996" s="1">
        <v>46072</v>
      </c>
      <c r="B996" t="s">
        <v>25</v>
      </c>
      <c r="C996" t="s">
        <v>11</v>
      </c>
      <c r="D996" t="str">
        <f>_xlfn.XLOOKUP(tblSales[[#This Row],[Store ID]],tblStores[Store ID],tblStores[Store Name])</f>
        <v>Paarl</v>
      </c>
      <c r="E996" t="str">
        <f>_xlfn.XLOOKUP(tblSales[[#This Row],[Store ID]],tblStores[Store ID],tblStores[Province])</f>
        <v>Western Cape</v>
      </c>
      <c r="F996" t="str">
        <f>_xlfn.XLOOKUP(tblSales[[#This Row],[Store ID]],tblStores[Store ID],tblStores[Manager])</f>
        <v>Andrew Lee</v>
      </c>
      <c r="G996" t="str">
        <f>_xlfn.XLOOKUP(tblSales[[#This Row],[Category ID]],tblCategories[Category ID],tblCategories[Category])</f>
        <v>Footwear</v>
      </c>
      <c r="H996">
        <v>51460</v>
      </c>
      <c r="I996">
        <v>49555</v>
      </c>
      <c r="J996">
        <v>124</v>
      </c>
      <c r="K996">
        <f>tblSales[[#This Row],[Sales]]-tblSales[[#This Row],[Budget]]</f>
        <v>1905</v>
      </c>
      <c r="L996" s="3">
        <f>(tblSales[[#This Row],[Sales]]-tblSales[[#This Row],[Budget]])/tblSales[[#This Row],[Budget]]</f>
        <v>3.8442135001513472E-2</v>
      </c>
      <c r="M996" s="2">
        <f>tblSales[[#This Row],[Sales]]/tblSales[[#This Row],[Transactions]]</f>
        <v>415</v>
      </c>
    </row>
    <row r="997" spans="1:13" x14ac:dyDescent="0.25">
      <c r="A997" s="1">
        <v>46072</v>
      </c>
      <c r="B997" t="s">
        <v>26</v>
      </c>
      <c r="C997" t="s">
        <v>11</v>
      </c>
      <c r="D997" t="str">
        <f>_xlfn.XLOOKUP(tblSales[[#This Row],[Store ID]],tblStores[Store ID],tblStores[Store Name])</f>
        <v>Gqeberha</v>
      </c>
      <c r="E997" t="str">
        <f>_xlfn.XLOOKUP(tblSales[[#This Row],[Store ID]],tblStores[Store ID],tblStores[Province])</f>
        <v>Eastern Cape</v>
      </c>
      <c r="F997" t="str">
        <f>_xlfn.XLOOKUP(tblSales[[#This Row],[Store ID]],tblStores[Store ID],tblStores[Manager])</f>
        <v>Emma Baker</v>
      </c>
      <c r="G997" t="str">
        <f>_xlfn.XLOOKUP(tblSales[[#This Row],[Category ID]],tblCategories[Category ID],tblCategories[Category])</f>
        <v>Footwear</v>
      </c>
      <c r="H997">
        <v>49952</v>
      </c>
      <c r="I997">
        <v>55250</v>
      </c>
      <c r="J997">
        <v>112</v>
      </c>
      <c r="K997">
        <f>tblSales[[#This Row],[Sales]]-tblSales[[#This Row],[Budget]]</f>
        <v>-5298</v>
      </c>
      <c r="L997" s="3">
        <f>(tblSales[[#This Row],[Sales]]-tblSales[[#This Row],[Budget]])/tblSales[[#This Row],[Budget]]</f>
        <v>-9.5891402714932128E-2</v>
      </c>
      <c r="M997" s="2">
        <f>tblSales[[#This Row],[Sales]]/tblSales[[#This Row],[Transactions]]</f>
        <v>446</v>
      </c>
    </row>
    <row r="998" spans="1:13" x14ac:dyDescent="0.25">
      <c r="A998" s="1">
        <v>46072</v>
      </c>
      <c r="B998" t="s">
        <v>27</v>
      </c>
      <c r="C998" t="s">
        <v>11</v>
      </c>
      <c r="D998" t="str">
        <f>_xlfn.XLOOKUP(tblSales[[#This Row],[Store ID]],tblStores[Store ID],tblStores[Store Name])</f>
        <v>East London</v>
      </c>
      <c r="E998" t="str">
        <f>_xlfn.XLOOKUP(tblSales[[#This Row],[Store ID]],tblStores[Store ID],tblStores[Province])</f>
        <v>Eastern Cape</v>
      </c>
      <c r="F998" t="str">
        <f>_xlfn.XLOOKUP(tblSales[[#This Row],[Store ID]],tblStores[Store ID],tblStores[Manager])</f>
        <v>Daniel Evans</v>
      </c>
      <c r="G998" t="str">
        <f>_xlfn.XLOOKUP(tblSales[[#This Row],[Category ID]],tblCategories[Category ID],tblCategories[Category])</f>
        <v>Footwear</v>
      </c>
      <c r="H998">
        <v>42688</v>
      </c>
      <c r="I998">
        <v>38497</v>
      </c>
      <c r="J998">
        <v>184</v>
      </c>
      <c r="K998">
        <f>tblSales[[#This Row],[Sales]]-tblSales[[#This Row],[Budget]]</f>
        <v>4191</v>
      </c>
      <c r="L998" s="3">
        <f>(tblSales[[#This Row],[Sales]]-tblSales[[#This Row],[Budget]])/tblSales[[#This Row],[Budget]]</f>
        <v>0.10886562589292673</v>
      </c>
      <c r="M998" s="2">
        <f>tblSales[[#This Row],[Sales]]/tblSales[[#This Row],[Transactions]]</f>
        <v>232</v>
      </c>
    </row>
    <row r="999" spans="1:13" x14ac:dyDescent="0.25">
      <c r="A999" s="1">
        <v>46072</v>
      </c>
      <c r="B999" t="s">
        <v>28</v>
      </c>
      <c r="C999" t="s">
        <v>22</v>
      </c>
      <c r="D999" t="str">
        <f>_xlfn.XLOOKUP(tblSales[[#This Row],[Store ID]],tblStores[Store ID],tblStores[Store Name])</f>
        <v>Bloemfontein</v>
      </c>
      <c r="E999" t="str">
        <f>_xlfn.XLOOKUP(tblSales[[#This Row],[Store ID]],tblStores[Store ID],tblStores[Province])</f>
        <v>Free State</v>
      </c>
      <c r="F999" t="str">
        <f>_xlfn.XLOOKUP(tblSales[[#This Row],[Store ID]],tblStores[Store ID],tblStores[Manager])</f>
        <v>Rachel Moore</v>
      </c>
      <c r="G999" t="str">
        <f>_xlfn.XLOOKUP(tblSales[[#This Row],[Category ID]],tblCategories[Category ID],tblCategories[Category])</f>
        <v>Kids</v>
      </c>
      <c r="H999">
        <v>90958</v>
      </c>
      <c r="I999">
        <v>95364</v>
      </c>
      <c r="J999">
        <v>178</v>
      </c>
      <c r="K999">
        <f>tblSales[[#This Row],[Sales]]-tblSales[[#This Row],[Budget]]</f>
        <v>-4406</v>
      </c>
      <c r="L999" s="3">
        <f>(tblSales[[#This Row],[Sales]]-tblSales[[#This Row],[Budget]])/tblSales[[#This Row],[Budget]]</f>
        <v>-4.6201921060358205E-2</v>
      </c>
      <c r="M999" s="2">
        <f>tblSales[[#This Row],[Sales]]/tblSales[[#This Row],[Transactions]]</f>
        <v>511</v>
      </c>
    </row>
    <row r="1000" spans="1:13" x14ac:dyDescent="0.25">
      <c r="A1000" s="1">
        <v>46072</v>
      </c>
      <c r="B1000" t="s">
        <v>29</v>
      </c>
      <c r="C1000" t="s">
        <v>22</v>
      </c>
      <c r="D1000" t="str">
        <f>_xlfn.XLOOKUP(tblSales[[#This Row],[Store ID]],tblStores[Store ID],tblStores[Store Name])</f>
        <v>Polokwane</v>
      </c>
      <c r="E1000" t="str">
        <f>_xlfn.XLOOKUP(tblSales[[#This Row],[Store ID]],tblStores[Store ID],tblStores[Province])</f>
        <v>Limpopo</v>
      </c>
      <c r="F1000" t="str">
        <f>_xlfn.XLOOKUP(tblSales[[#This Row],[Store ID]],tblStores[Store ID],tblStores[Manager])</f>
        <v>Kevin Harris</v>
      </c>
      <c r="G1000" t="str">
        <f>_xlfn.XLOOKUP(tblSales[[#This Row],[Category ID]],tblCategories[Category ID],tblCategories[Category])</f>
        <v>Kids</v>
      </c>
      <c r="H1000">
        <v>26085</v>
      </c>
      <c r="I1000">
        <v>26618</v>
      </c>
      <c r="J1000">
        <v>111</v>
      </c>
      <c r="K1000">
        <f>tblSales[[#This Row],[Sales]]-tblSales[[#This Row],[Budget]]</f>
        <v>-533</v>
      </c>
      <c r="L1000" s="3">
        <f>(tblSales[[#This Row],[Sales]]-tblSales[[#This Row],[Budget]])/tblSales[[#This Row],[Budget]]</f>
        <v>-2.0024043880081149E-2</v>
      </c>
      <c r="M1000" s="2">
        <f>tblSales[[#This Row],[Sales]]/tblSales[[#This Row],[Transactions]]</f>
        <v>235</v>
      </c>
    </row>
    <row r="1001" spans="1:13" x14ac:dyDescent="0.25">
      <c r="A1001" s="1">
        <v>46072</v>
      </c>
      <c r="B1001" t="s">
        <v>30</v>
      </c>
      <c r="C1001" t="s">
        <v>22</v>
      </c>
      <c r="D1001" t="str">
        <f>_xlfn.XLOOKUP(tblSales[[#This Row],[Store ID]],tblStores[Store ID],tblStores[Store Name])</f>
        <v>Nelspruit</v>
      </c>
      <c r="E1001" t="str">
        <f>_xlfn.XLOOKUP(tblSales[[#This Row],[Store ID]],tblStores[Store ID],tblStores[Province])</f>
        <v>Mpumalanga</v>
      </c>
      <c r="F1001" t="str">
        <f>_xlfn.XLOOKUP(tblSales[[#This Row],[Store ID]],tblStores[Store ID],tblStores[Manager])</f>
        <v>Olivia Turner</v>
      </c>
      <c r="G1001" t="str">
        <f>_xlfn.XLOOKUP(tblSales[[#This Row],[Category ID]],tblCategories[Category ID],tblCategories[Category])</f>
        <v>Kids</v>
      </c>
      <c r="H1001">
        <v>53235</v>
      </c>
      <c r="I1001">
        <v>52238</v>
      </c>
      <c r="J1001">
        <v>105</v>
      </c>
      <c r="K1001">
        <f>tblSales[[#This Row],[Sales]]-tblSales[[#This Row],[Budget]]</f>
        <v>997</v>
      </c>
      <c r="L1001" s="3">
        <f>(tblSales[[#This Row],[Sales]]-tblSales[[#This Row],[Budget]])/tblSales[[#This Row],[Budget]]</f>
        <v>1.9085723036869711E-2</v>
      </c>
      <c r="M1001" s="2">
        <f>tblSales[[#This Row],[Sales]]/tblSales[[#This Row],[Transactions]]</f>
        <v>507</v>
      </c>
    </row>
    <row r="1002" spans="1:13" x14ac:dyDescent="0.25">
      <c r="A1002" s="1">
        <v>46073</v>
      </c>
      <c r="B1002" t="s">
        <v>6</v>
      </c>
      <c r="C1002" t="s">
        <v>22</v>
      </c>
      <c r="D1002" t="str">
        <f>_xlfn.XLOOKUP(tblSales[[#This Row],[Store ID]],tblStores[Store ID],tblStores[Store Name])</f>
        <v>Durban CBD</v>
      </c>
      <c r="E1002" t="str">
        <f>_xlfn.XLOOKUP(tblSales[[#This Row],[Store ID]],tblStores[Store ID],tblStores[Province])</f>
        <v>KZN</v>
      </c>
      <c r="F1002" t="str">
        <f>_xlfn.XLOOKUP(tblSales[[#This Row],[Store ID]],tblStores[Store ID],tblStores[Manager])</f>
        <v>Sarah Adams</v>
      </c>
      <c r="G1002" t="str">
        <f>_xlfn.XLOOKUP(tblSales[[#This Row],[Category ID]],tblCategories[Category ID],tblCategories[Category])</f>
        <v>Kids</v>
      </c>
      <c r="H1002">
        <v>52015</v>
      </c>
      <c r="I1002">
        <v>56060</v>
      </c>
      <c r="J1002">
        <v>101</v>
      </c>
      <c r="K1002">
        <f>tblSales[[#This Row],[Sales]]-tblSales[[#This Row],[Budget]]</f>
        <v>-4045</v>
      </c>
      <c r="L1002" s="3">
        <f>(tblSales[[#This Row],[Sales]]-tblSales[[#This Row],[Budget]])/tblSales[[#This Row],[Budget]]</f>
        <v>-7.2154834106314666E-2</v>
      </c>
      <c r="M1002" s="2">
        <f>tblSales[[#This Row],[Sales]]/tblSales[[#This Row],[Transactions]]</f>
        <v>515</v>
      </c>
    </row>
    <row r="1003" spans="1:13" x14ac:dyDescent="0.25">
      <c r="A1003" s="1">
        <v>46073</v>
      </c>
      <c r="B1003" t="s">
        <v>8</v>
      </c>
      <c r="C1003" t="s">
        <v>22</v>
      </c>
      <c r="D1003" t="str">
        <f>_xlfn.XLOOKUP(tblSales[[#This Row],[Store ID]],tblStores[Store ID],tblStores[Store Name])</f>
        <v>Gateway</v>
      </c>
      <c r="E1003" t="str">
        <f>_xlfn.XLOOKUP(tblSales[[#This Row],[Store ID]],tblStores[Store ID],tblStores[Province])</f>
        <v>KZN</v>
      </c>
      <c r="F1003" t="str">
        <f>_xlfn.XLOOKUP(tblSales[[#This Row],[Store ID]],tblStores[Store ID],tblStores[Manager])</f>
        <v>Michael Jones</v>
      </c>
      <c r="G1003" t="str">
        <f>_xlfn.XLOOKUP(tblSales[[#This Row],[Category ID]],tblCategories[Category ID],tblCategories[Category])</f>
        <v>Kids</v>
      </c>
      <c r="H1003">
        <v>21248</v>
      </c>
      <c r="I1003">
        <v>21871</v>
      </c>
      <c r="J1003">
        <v>83</v>
      </c>
      <c r="K1003">
        <f>tblSales[[#This Row],[Sales]]-tblSales[[#This Row],[Budget]]</f>
        <v>-623</v>
      </c>
      <c r="L1003" s="3">
        <f>(tblSales[[#This Row],[Sales]]-tblSales[[#This Row],[Budget]])/tblSales[[#This Row],[Budget]]</f>
        <v>-2.8485208723880939E-2</v>
      </c>
      <c r="M1003" s="2">
        <f>tblSales[[#This Row],[Sales]]/tblSales[[#This Row],[Transactions]]</f>
        <v>256</v>
      </c>
    </row>
    <row r="1004" spans="1:13" x14ac:dyDescent="0.25">
      <c r="A1004" s="1">
        <v>46073</v>
      </c>
      <c r="B1004" t="s">
        <v>10</v>
      </c>
      <c r="C1004" t="s">
        <v>9</v>
      </c>
      <c r="D1004" t="str">
        <f>_xlfn.XLOOKUP(tblSales[[#This Row],[Store ID]],tblStores[Store ID],tblStores[Store Name])</f>
        <v>Ballito</v>
      </c>
      <c r="E1004" t="str">
        <f>_xlfn.XLOOKUP(tblSales[[#This Row],[Store ID]],tblStores[Store ID],tblStores[Province])</f>
        <v>KZN</v>
      </c>
      <c r="F1004" t="str">
        <f>_xlfn.XLOOKUP(tblSales[[#This Row],[Store ID]],tblStores[Store ID],tblStores[Manager])</f>
        <v>Linda Smith</v>
      </c>
      <c r="G1004" t="str">
        <f>_xlfn.XLOOKUP(tblSales[[#This Row],[Category ID]],tblCategories[Category ID],tblCategories[Category])</f>
        <v>Ladieswear</v>
      </c>
      <c r="H1004">
        <v>23863</v>
      </c>
      <c r="I1004">
        <v>23887</v>
      </c>
      <c r="J1004">
        <v>49</v>
      </c>
      <c r="K1004">
        <f>tblSales[[#This Row],[Sales]]-tblSales[[#This Row],[Budget]]</f>
        <v>-24</v>
      </c>
      <c r="L1004" s="3">
        <f>(tblSales[[#This Row],[Sales]]-tblSales[[#This Row],[Budget]])/tblSales[[#This Row],[Budget]]</f>
        <v>-1.0047306066061038E-3</v>
      </c>
      <c r="M1004" s="2">
        <f>tblSales[[#This Row],[Sales]]/tblSales[[#This Row],[Transactions]]</f>
        <v>487</v>
      </c>
    </row>
    <row r="1005" spans="1:13" x14ac:dyDescent="0.25">
      <c r="A1005" s="1">
        <v>46073</v>
      </c>
      <c r="B1005" t="s">
        <v>12</v>
      </c>
      <c r="C1005" t="s">
        <v>22</v>
      </c>
      <c r="D1005" t="str">
        <f>_xlfn.XLOOKUP(tblSales[[#This Row],[Store ID]],tblStores[Store ID],tblStores[Store Name])</f>
        <v>Pietermaritzburg</v>
      </c>
      <c r="E1005" t="str">
        <f>_xlfn.XLOOKUP(tblSales[[#This Row],[Store ID]],tblStores[Store ID],tblStores[Province])</f>
        <v>KZN</v>
      </c>
      <c r="F1005" t="str">
        <f>_xlfn.XLOOKUP(tblSales[[#This Row],[Store ID]],tblStores[Store ID],tblStores[Manager])</f>
        <v>Peter Brown</v>
      </c>
      <c r="G1005" t="str">
        <f>_xlfn.XLOOKUP(tblSales[[#This Row],[Category ID]],tblCategories[Category ID],tblCategories[Category])</f>
        <v>Kids</v>
      </c>
      <c r="H1005">
        <v>52459</v>
      </c>
      <c r="I1005">
        <v>56672</v>
      </c>
      <c r="J1005">
        <v>209</v>
      </c>
      <c r="K1005">
        <f>tblSales[[#This Row],[Sales]]-tblSales[[#This Row],[Budget]]</f>
        <v>-4213</v>
      </c>
      <c r="L1005" s="3">
        <f>(tblSales[[#This Row],[Sales]]-tblSales[[#This Row],[Budget]])/tblSales[[#This Row],[Budget]]</f>
        <v>-7.4340062111801247E-2</v>
      </c>
      <c r="M1005" s="2">
        <f>tblSales[[#This Row],[Sales]]/tblSales[[#This Row],[Transactions]]</f>
        <v>251</v>
      </c>
    </row>
    <row r="1006" spans="1:13" x14ac:dyDescent="0.25">
      <c r="A1006" s="1">
        <v>46073</v>
      </c>
      <c r="B1006" t="s">
        <v>13</v>
      </c>
      <c r="C1006" t="s">
        <v>11</v>
      </c>
      <c r="D1006" t="str">
        <f>_xlfn.XLOOKUP(tblSales[[#This Row],[Store ID]],tblStores[Store ID],tblStores[Store Name])</f>
        <v>Richards Bay</v>
      </c>
      <c r="E1006" t="str">
        <f>_xlfn.XLOOKUP(tblSales[[#This Row],[Store ID]],tblStores[Store ID],tblStores[Province])</f>
        <v>KZN</v>
      </c>
      <c r="F1006" t="str">
        <f>_xlfn.XLOOKUP(tblSales[[#This Row],[Store ID]],tblStores[Store ID],tblStores[Manager])</f>
        <v>David Green</v>
      </c>
      <c r="G1006" t="str">
        <f>_xlfn.XLOOKUP(tblSales[[#This Row],[Category ID]],tblCategories[Category ID],tblCategories[Category])</f>
        <v>Footwear</v>
      </c>
      <c r="H1006">
        <v>34320</v>
      </c>
      <c r="I1006">
        <v>38669</v>
      </c>
      <c r="J1006">
        <v>110</v>
      </c>
      <c r="K1006">
        <f>tblSales[[#This Row],[Sales]]-tblSales[[#This Row],[Budget]]</f>
        <v>-4349</v>
      </c>
      <c r="L1006" s="3">
        <f>(tblSales[[#This Row],[Sales]]-tblSales[[#This Row],[Budget]])/tblSales[[#This Row],[Budget]]</f>
        <v>-0.11246735110812278</v>
      </c>
      <c r="M1006" s="2">
        <f>tblSales[[#This Row],[Sales]]/tblSales[[#This Row],[Transactions]]</f>
        <v>312</v>
      </c>
    </row>
    <row r="1007" spans="1:13" x14ac:dyDescent="0.25">
      <c r="A1007" s="1">
        <v>46073</v>
      </c>
      <c r="B1007" t="s">
        <v>14</v>
      </c>
      <c r="C1007" t="s">
        <v>11</v>
      </c>
      <c r="D1007" t="str">
        <f>_xlfn.XLOOKUP(tblSales[[#This Row],[Store ID]],tblStores[Store ID],tblStores[Store Name])</f>
        <v>Sandton</v>
      </c>
      <c r="E1007" t="str">
        <f>_xlfn.XLOOKUP(tblSales[[#This Row],[Store ID]],tblStores[Store ID],tblStores[Province])</f>
        <v>Gauteng</v>
      </c>
      <c r="F1007" t="str">
        <f>_xlfn.XLOOKUP(tblSales[[#This Row],[Store ID]],tblStores[Store ID],tblStores[Manager])</f>
        <v>Karen White</v>
      </c>
      <c r="G1007" t="str">
        <f>_xlfn.XLOOKUP(tblSales[[#This Row],[Category ID]],tblCategories[Category ID],tblCategories[Category])</f>
        <v>Footwear</v>
      </c>
      <c r="H1007">
        <v>26532</v>
      </c>
      <c r="I1007">
        <v>27745</v>
      </c>
      <c r="J1007">
        <v>134</v>
      </c>
      <c r="K1007">
        <f>tblSales[[#This Row],[Sales]]-tblSales[[#This Row],[Budget]]</f>
        <v>-1213</v>
      </c>
      <c r="L1007" s="3">
        <f>(tblSales[[#This Row],[Sales]]-tblSales[[#This Row],[Budget]])/tblSales[[#This Row],[Budget]]</f>
        <v>-4.3719589115155881E-2</v>
      </c>
      <c r="M1007" s="2">
        <f>tblSales[[#This Row],[Sales]]/tblSales[[#This Row],[Transactions]]</f>
        <v>198</v>
      </c>
    </row>
    <row r="1008" spans="1:13" x14ac:dyDescent="0.25">
      <c r="A1008" s="1">
        <v>46073</v>
      </c>
      <c r="B1008" t="s">
        <v>15</v>
      </c>
      <c r="C1008" t="s">
        <v>19</v>
      </c>
      <c r="D1008" t="str">
        <f>_xlfn.XLOOKUP(tblSales[[#This Row],[Store ID]],tblStores[Store ID],tblStores[Store Name])</f>
        <v>Rosebank</v>
      </c>
      <c r="E1008" t="str">
        <f>_xlfn.XLOOKUP(tblSales[[#This Row],[Store ID]],tblStores[Store ID],tblStores[Province])</f>
        <v>Gauteng</v>
      </c>
      <c r="F1008" t="str">
        <f>_xlfn.XLOOKUP(tblSales[[#This Row],[Store ID]],tblStores[Store ID],tblStores[Manager])</f>
        <v>James Taylor</v>
      </c>
      <c r="G1008" t="str">
        <f>_xlfn.XLOOKUP(tblSales[[#This Row],[Category ID]],tblCategories[Category ID],tblCategories[Category])</f>
        <v>Accessories</v>
      </c>
      <c r="H1008">
        <v>29465</v>
      </c>
      <c r="I1008">
        <v>31870</v>
      </c>
      <c r="J1008">
        <v>83</v>
      </c>
      <c r="K1008">
        <f>tblSales[[#This Row],[Sales]]-tblSales[[#This Row],[Budget]]</f>
        <v>-2405</v>
      </c>
      <c r="L1008" s="3">
        <f>(tblSales[[#This Row],[Sales]]-tblSales[[#This Row],[Budget]])/tblSales[[#This Row],[Budget]]</f>
        <v>-7.5462817696893628E-2</v>
      </c>
      <c r="M1008" s="2">
        <f>tblSales[[#This Row],[Sales]]/tblSales[[#This Row],[Transactions]]</f>
        <v>355</v>
      </c>
    </row>
    <row r="1009" spans="1:13" x14ac:dyDescent="0.25">
      <c r="A1009" s="1">
        <v>46073</v>
      </c>
      <c r="B1009" t="s">
        <v>16</v>
      </c>
      <c r="C1009" t="s">
        <v>9</v>
      </c>
      <c r="D1009" t="str">
        <f>_xlfn.XLOOKUP(tblSales[[#This Row],[Store ID]],tblStores[Store ID],tblStores[Store Name])</f>
        <v>Pretoria</v>
      </c>
      <c r="E1009" t="str">
        <f>_xlfn.XLOOKUP(tblSales[[#This Row],[Store ID]],tblStores[Store ID],tblStores[Province])</f>
        <v>Gauteng</v>
      </c>
      <c r="F1009" t="str">
        <f>_xlfn.XLOOKUP(tblSales[[#This Row],[Store ID]],tblStores[Store ID],tblStores[Manager])</f>
        <v>Susan Clark</v>
      </c>
      <c r="G1009" t="str">
        <f>_xlfn.XLOOKUP(tblSales[[#This Row],[Category ID]],tblCategories[Category ID],tblCategories[Category])</f>
        <v>Ladieswear</v>
      </c>
      <c r="H1009">
        <v>95130</v>
      </c>
      <c r="I1009">
        <v>100797</v>
      </c>
      <c r="J1009">
        <v>210</v>
      </c>
      <c r="K1009">
        <f>tblSales[[#This Row],[Sales]]-tblSales[[#This Row],[Budget]]</f>
        <v>-5667</v>
      </c>
      <c r="L1009" s="3">
        <f>(tblSales[[#This Row],[Sales]]-tblSales[[#This Row],[Budget]])/tblSales[[#This Row],[Budget]]</f>
        <v>-5.6221911366409714E-2</v>
      </c>
      <c r="M1009" s="2">
        <f>tblSales[[#This Row],[Sales]]/tblSales[[#This Row],[Transactions]]</f>
        <v>453</v>
      </c>
    </row>
    <row r="1010" spans="1:13" x14ac:dyDescent="0.25">
      <c r="A1010" s="1">
        <v>46073</v>
      </c>
      <c r="B1010" t="s">
        <v>17</v>
      </c>
      <c r="C1010" t="s">
        <v>11</v>
      </c>
      <c r="D1010" t="str">
        <f>_xlfn.XLOOKUP(tblSales[[#This Row],[Store ID]],tblStores[Store ID],tblStores[Store Name])</f>
        <v>Centurion</v>
      </c>
      <c r="E1010" t="str">
        <f>_xlfn.XLOOKUP(tblSales[[#This Row],[Store ID]],tblStores[Store ID],tblStores[Province])</f>
        <v>Gauteng</v>
      </c>
      <c r="F1010" t="str">
        <f>_xlfn.XLOOKUP(tblSales[[#This Row],[Store ID]],tblStores[Store ID],tblStores[Manager])</f>
        <v>Mark Wilson</v>
      </c>
      <c r="G1010" t="str">
        <f>_xlfn.XLOOKUP(tblSales[[#This Row],[Category ID]],tblCategories[Category ID],tblCategories[Category])</f>
        <v>Footwear</v>
      </c>
      <c r="H1010">
        <v>74778</v>
      </c>
      <c r="I1010">
        <v>76784</v>
      </c>
      <c r="J1010">
        <v>206</v>
      </c>
      <c r="K1010">
        <f>tblSales[[#This Row],[Sales]]-tblSales[[#This Row],[Budget]]</f>
        <v>-2006</v>
      </c>
      <c r="L1010" s="3">
        <f>(tblSales[[#This Row],[Sales]]-tblSales[[#This Row],[Budget]])/tblSales[[#This Row],[Budget]]</f>
        <v>-2.6125234423838298E-2</v>
      </c>
      <c r="M1010" s="2">
        <f>tblSales[[#This Row],[Sales]]/tblSales[[#This Row],[Transactions]]</f>
        <v>363</v>
      </c>
    </row>
    <row r="1011" spans="1:13" x14ac:dyDescent="0.25">
      <c r="A1011" s="1">
        <v>46073</v>
      </c>
      <c r="B1011" t="s">
        <v>18</v>
      </c>
      <c r="C1011" t="s">
        <v>9</v>
      </c>
      <c r="D1011" t="str">
        <f>_xlfn.XLOOKUP(tblSales[[#This Row],[Store ID]],tblStores[Store ID],tblStores[Store Name])</f>
        <v>East Rand</v>
      </c>
      <c r="E1011" t="str">
        <f>_xlfn.XLOOKUP(tblSales[[#This Row],[Store ID]],tblStores[Store ID],tblStores[Province])</f>
        <v>Gauteng</v>
      </c>
      <c r="F1011" t="str">
        <f>_xlfn.XLOOKUP(tblSales[[#This Row],[Store ID]],tblStores[Store ID],tblStores[Manager])</f>
        <v>Lisa Young</v>
      </c>
      <c r="G1011" t="str">
        <f>_xlfn.XLOOKUP(tblSales[[#This Row],[Category ID]],tblCategories[Category ID],tblCategories[Category])</f>
        <v>Ladieswear</v>
      </c>
      <c r="H1011">
        <v>94395</v>
      </c>
      <c r="I1011">
        <v>89230</v>
      </c>
      <c r="J1011">
        <v>203</v>
      </c>
      <c r="K1011">
        <f>tblSales[[#This Row],[Sales]]-tblSales[[#This Row],[Budget]]</f>
        <v>5165</v>
      </c>
      <c r="L1011" s="3">
        <f>(tblSales[[#This Row],[Sales]]-tblSales[[#This Row],[Budget]])/tblSales[[#This Row],[Budget]]</f>
        <v>5.7884119690686991E-2</v>
      </c>
      <c r="M1011" s="2">
        <f>tblSales[[#This Row],[Sales]]/tblSales[[#This Row],[Transactions]]</f>
        <v>465</v>
      </c>
    </row>
    <row r="1012" spans="1:13" x14ac:dyDescent="0.25">
      <c r="A1012" s="1">
        <v>46073</v>
      </c>
      <c r="B1012" t="s">
        <v>20</v>
      </c>
      <c r="C1012" t="s">
        <v>7</v>
      </c>
      <c r="D1012" t="str">
        <f>_xlfn.XLOOKUP(tblSales[[#This Row],[Store ID]],tblStores[Store ID],tblStores[Store Name])</f>
        <v>Cape Town CBD</v>
      </c>
      <c r="E1012" t="str">
        <f>_xlfn.XLOOKUP(tblSales[[#This Row],[Store ID]],tblStores[Store ID],tblStores[Province])</f>
        <v>Western Cape</v>
      </c>
      <c r="F1012" t="str">
        <f>_xlfn.XLOOKUP(tblSales[[#This Row],[Store ID]],tblStores[Store ID],tblStores[Manager])</f>
        <v>Brian Hall</v>
      </c>
      <c r="G1012" t="str">
        <f>_xlfn.XLOOKUP(tblSales[[#This Row],[Category ID]],tblCategories[Category ID],tblCategories[Category])</f>
        <v>Menswear</v>
      </c>
      <c r="H1012">
        <v>37975</v>
      </c>
      <c r="I1012">
        <v>41211</v>
      </c>
      <c r="J1012">
        <v>155</v>
      </c>
      <c r="K1012">
        <f>tblSales[[#This Row],[Sales]]-tblSales[[#This Row],[Budget]]</f>
        <v>-3236</v>
      </c>
      <c r="L1012" s="3">
        <f>(tblSales[[#This Row],[Sales]]-tblSales[[#This Row],[Budget]])/tblSales[[#This Row],[Budget]]</f>
        <v>-7.8522724515299319E-2</v>
      </c>
      <c r="M1012" s="2">
        <f>tblSales[[#This Row],[Sales]]/tblSales[[#This Row],[Transactions]]</f>
        <v>245</v>
      </c>
    </row>
    <row r="1013" spans="1:13" x14ac:dyDescent="0.25">
      <c r="A1013" s="1">
        <v>46073</v>
      </c>
      <c r="B1013" t="s">
        <v>21</v>
      </c>
      <c r="C1013" t="s">
        <v>19</v>
      </c>
      <c r="D1013" t="str">
        <f>_xlfn.XLOOKUP(tblSales[[#This Row],[Store ID]],tblStores[Store ID],tblStores[Store Name])</f>
        <v>Canal Walk</v>
      </c>
      <c r="E1013" t="str">
        <f>_xlfn.XLOOKUP(tblSales[[#This Row],[Store ID]],tblStores[Store ID],tblStores[Province])</f>
        <v>Western Cape</v>
      </c>
      <c r="F1013" t="str">
        <f>_xlfn.XLOOKUP(tblSales[[#This Row],[Store ID]],tblStores[Store ID],tblStores[Manager])</f>
        <v>Megan Scott</v>
      </c>
      <c r="G1013" t="str">
        <f>_xlfn.XLOOKUP(tblSales[[#This Row],[Category ID]],tblCategories[Category ID],tblCategories[Category])</f>
        <v>Accessories</v>
      </c>
      <c r="H1013">
        <v>28431</v>
      </c>
      <c r="I1013">
        <v>30239</v>
      </c>
      <c r="J1013">
        <v>81</v>
      </c>
      <c r="K1013">
        <f>tblSales[[#This Row],[Sales]]-tblSales[[#This Row],[Budget]]</f>
        <v>-1808</v>
      </c>
      <c r="L1013" s="3">
        <f>(tblSales[[#This Row],[Sales]]-tblSales[[#This Row],[Budget]])/tblSales[[#This Row],[Budget]]</f>
        <v>-5.9790336982043057E-2</v>
      </c>
      <c r="M1013" s="2">
        <f>tblSales[[#This Row],[Sales]]/tblSales[[#This Row],[Transactions]]</f>
        <v>351</v>
      </c>
    </row>
    <row r="1014" spans="1:13" x14ac:dyDescent="0.25">
      <c r="A1014" s="1">
        <v>46073</v>
      </c>
      <c r="B1014" t="s">
        <v>23</v>
      </c>
      <c r="C1014" t="s">
        <v>9</v>
      </c>
      <c r="D1014" t="str">
        <f>_xlfn.XLOOKUP(tblSales[[#This Row],[Store ID]],tblStores[Store ID],tblStores[Store Name])</f>
        <v>Stellenbosch</v>
      </c>
      <c r="E1014" t="str">
        <f>_xlfn.XLOOKUP(tblSales[[#This Row],[Store ID]],tblStores[Store ID],tblStores[Province])</f>
        <v>Western Cape</v>
      </c>
      <c r="F1014" t="str">
        <f>_xlfn.XLOOKUP(tblSales[[#This Row],[Store ID]],tblStores[Store ID],tblStores[Manager])</f>
        <v>Jason King</v>
      </c>
      <c r="G1014" t="str">
        <f>_xlfn.XLOOKUP(tblSales[[#This Row],[Category ID]],tblCategories[Category ID],tblCategories[Category])</f>
        <v>Ladieswear</v>
      </c>
      <c r="H1014">
        <v>36750</v>
      </c>
      <c r="I1014">
        <v>39912</v>
      </c>
      <c r="J1014">
        <v>125</v>
      </c>
      <c r="K1014">
        <f>tblSales[[#This Row],[Sales]]-tblSales[[#This Row],[Budget]]</f>
        <v>-3162</v>
      </c>
      <c r="L1014" s="3">
        <f>(tblSales[[#This Row],[Sales]]-tblSales[[#This Row],[Budget]])/tblSales[[#This Row],[Budget]]</f>
        <v>-7.9224293445580282E-2</v>
      </c>
      <c r="M1014" s="2">
        <f>tblSales[[#This Row],[Sales]]/tblSales[[#This Row],[Transactions]]</f>
        <v>294</v>
      </c>
    </row>
    <row r="1015" spans="1:13" x14ac:dyDescent="0.25">
      <c r="A1015" s="1">
        <v>46073</v>
      </c>
      <c r="B1015" t="s">
        <v>24</v>
      </c>
      <c r="C1015" t="s">
        <v>22</v>
      </c>
      <c r="D1015" t="str">
        <f>_xlfn.XLOOKUP(tblSales[[#This Row],[Store ID]],tblStores[Store ID],tblStores[Store Name])</f>
        <v>George</v>
      </c>
      <c r="E1015" t="str">
        <f>_xlfn.XLOOKUP(tblSales[[#This Row],[Store ID]],tblStores[Store ID],tblStores[Province])</f>
        <v>Western Cape</v>
      </c>
      <c r="F1015" t="str">
        <f>_xlfn.XLOOKUP(tblSales[[#This Row],[Store ID]],tblStores[Store ID],tblStores[Manager])</f>
        <v>Chloe Hill</v>
      </c>
      <c r="G1015" t="str">
        <f>_xlfn.XLOOKUP(tblSales[[#This Row],[Category ID]],tblCategories[Category ID],tblCategories[Category])</f>
        <v>Kids</v>
      </c>
      <c r="H1015">
        <v>49558</v>
      </c>
      <c r="I1015">
        <v>49207</v>
      </c>
      <c r="J1015">
        <v>142</v>
      </c>
      <c r="K1015">
        <f>tblSales[[#This Row],[Sales]]-tblSales[[#This Row],[Budget]]</f>
        <v>351</v>
      </c>
      <c r="L1015" s="3">
        <f>(tblSales[[#This Row],[Sales]]-tblSales[[#This Row],[Budget]])/tblSales[[#This Row],[Budget]]</f>
        <v>7.1331314650354624E-3</v>
      </c>
      <c r="M1015" s="2">
        <f>tblSales[[#This Row],[Sales]]/tblSales[[#This Row],[Transactions]]</f>
        <v>349</v>
      </c>
    </row>
    <row r="1016" spans="1:13" x14ac:dyDescent="0.25">
      <c r="A1016" s="1">
        <v>46073</v>
      </c>
      <c r="B1016" t="s">
        <v>25</v>
      </c>
      <c r="C1016" t="s">
        <v>19</v>
      </c>
      <c r="D1016" t="str">
        <f>_xlfn.XLOOKUP(tblSales[[#This Row],[Store ID]],tblStores[Store ID],tblStores[Store Name])</f>
        <v>Paarl</v>
      </c>
      <c r="E1016" t="str">
        <f>_xlfn.XLOOKUP(tblSales[[#This Row],[Store ID]],tblStores[Store ID],tblStores[Province])</f>
        <v>Western Cape</v>
      </c>
      <c r="F1016" t="str">
        <f>_xlfn.XLOOKUP(tblSales[[#This Row],[Store ID]],tblStores[Store ID],tblStores[Manager])</f>
        <v>Andrew Lee</v>
      </c>
      <c r="G1016" t="str">
        <f>_xlfn.XLOOKUP(tblSales[[#This Row],[Category ID]],tblCategories[Category ID],tblCategories[Category])</f>
        <v>Accessories</v>
      </c>
      <c r="H1016">
        <v>45870</v>
      </c>
      <c r="I1016">
        <v>51044</v>
      </c>
      <c r="J1016">
        <v>110</v>
      </c>
      <c r="K1016">
        <f>tblSales[[#This Row],[Sales]]-tblSales[[#This Row],[Budget]]</f>
        <v>-5174</v>
      </c>
      <c r="L1016" s="3">
        <f>(tblSales[[#This Row],[Sales]]-tblSales[[#This Row],[Budget]])/tblSales[[#This Row],[Budget]]</f>
        <v>-0.10136352950395737</v>
      </c>
      <c r="M1016" s="2">
        <f>tblSales[[#This Row],[Sales]]/tblSales[[#This Row],[Transactions]]</f>
        <v>417</v>
      </c>
    </row>
    <row r="1017" spans="1:13" x14ac:dyDescent="0.25">
      <c r="A1017" s="1">
        <v>46073</v>
      </c>
      <c r="B1017" t="s">
        <v>26</v>
      </c>
      <c r="C1017" t="s">
        <v>11</v>
      </c>
      <c r="D1017" t="str">
        <f>_xlfn.XLOOKUP(tblSales[[#This Row],[Store ID]],tblStores[Store ID],tblStores[Store Name])</f>
        <v>Gqeberha</v>
      </c>
      <c r="E1017" t="str">
        <f>_xlfn.XLOOKUP(tblSales[[#This Row],[Store ID]],tblStores[Store ID],tblStores[Province])</f>
        <v>Eastern Cape</v>
      </c>
      <c r="F1017" t="str">
        <f>_xlfn.XLOOKUP(tblSales[[#This Row],[Store ID]],tblStores[Store ID],tblStores[Manager])</f>
        <v>Emma Baker</v>
      </c>
      <c r="G1017" t="str">
        <f>_xlfn.XLOOKUP(tblSales[[#This Row],[Category ID]],tblCategories[Category ID],tblCategories[Category])</f>
        <v>Footwear</v>
      </c>
      <c r="H1017">
        <v>24192</v>
      </c>
      <c r="I1017">
        <v>25302</v>
      </c>
      <c r="J1017">
        <v>48</v>
      </c>
      <c r="K1017">
        <f>tblSales[[#This Row],[Sales]]-tblSales[[#This Row],[Budget]]</f>
        <v>-1110</v>
      </c>
      <c r="L1017" s="3">
        <f>(tblSales[[#This Row],[Sales]]-tblSales[[#This Row],[Budget]])/tblSales[[#This Row],[Budget]]</f>
        <v>-4.387004979843491E-2</v>
      </c>
      <c r="M1017" s="2">
        <f>tblSales[[#This Row],[Sales]]/tblSales[[#This Row],[Transactions]]</f>
        <v>504</v>
      </c>
    </row>
    <row r="1018" spans="1:13" x14ac:dyDescent="0.25">
      <c r="A1018" s="1">
        <v>46073</v>
      </c>
      <c r="B1018" t="s">
        <v>27</v>
      </c>
      <c r="C1018" t="s">
        <v>19</v>
      </c>
      <c r="D1018" t="str">
        <f>_xlfn.XLOOKUP(tblSales[[#This Row],[Store ID]],tblStores[Store ID],tblStores[Store Name])</f>
        <v>East London</v>
      </c>
      <c r="E1018" t="str">
        <f>_xlfn.XLOOKUP(tblSales[[#This Row],[Store ID]],tblStores[Store ID],tblStores[Province])</f>
        <v>Eastern Cape</v>
      </c>
      <c r="F1018" t="str">
        <f>_xlfn.XLOOKUP(tblSales[[#This Row],[Store ID]],tblStores[Store ID],tblStores[Manager])</f>
        <v>Daniel Evans</v>
      </c>
      <c r="G1018" t="str">
        <f>_xlfn.XLOOKUP(tblSales[[#This Row],[Category ID]],tblCategories[Category ID],tblCategories[Category])</f>
        <v>Accessories</v>
      </c>
      <c r="H1018">
        <v>22313</v>
      </c>
      <c r="I1018">
        <v>25043</v>
      </c>
      <c r="J1018">
        <v>53</v>
      </c>
      <c r="K1018">
        <f>tblSales[[#This Row],[Sales]]-tblSales[[#This Row],[Budget]]</f>
        <v>-2730</v>
      </c>
      <c r="L1018" s="3">
        <f>(tblSales[[#This Row],[Sales]]-tblSales[[#This Row],[Budget]])/tblSales[[#This Row],[Budget]]</f>
        <v>-0.10901249850257556</v>
      </c>
      <c r="M1018" s="2">
        <f>tblSales[[#This Row],[Sales]]/tblSales[[#This Row],[Transactions]]</f>
        <v>421</v>
      </c>
    </row>
    <row r="1019" spans="1:13" x14ac:dyDescent="0.25">
      <c r="A1019" s="1">
        <v>46073</v>
      </c>
      <c r="B1019" t="s">
        <v>28</v>
      </c>
      <c r="C1019" t="s">
        <v>19</v>
      </c>
      <c r="D1019" t="str">
        <f>_xlfn.XLOOKUP(tblSales[[#This Row],[Store ID]],tblStores[Store ID],tblStores[Store Name])</f>
        <v>Bloemfontein</v>
      </c>
      <c r="E1019" t="str">
        <f>_xlfn.XLOOKUP(tblSales[[#This Row],[Store ID]],tblStores[Store ID],tblStores[Province])</f>
        <v>Free State</v>
      </c>
      <c r="F1019" t="str">
        <f>_xlfn.XLOOKUP(tblSales[[#This Row],[Store ID]],tblStores[Store ID],tblStores[Manager])</f>
        <v>Rachel Moore</v>
      </c>
      <c r="G1019" t="str">
        <f>_xlfn.XLOOKUP(tblSales[[#This Row],[Category ID]],tblCategories[Category ID],tblCategories[Category])</f>
        <v>Accessories</v>
      </c>
      <c r="H1019">
        <v>24375</v>
      </c>
      <c r="I1019">
        <v>25166</v>
      </c>
      <c r="J1019">
        <v>65</v>
      </c>
      <c r="K1019">
        <f>tblSales[[#This Row],[Sales]]-tblSales[[#This Row],[Budget]]</f>
        <v>-791</v>
      </c>
      <c r="L1019" s="3">
        <f>(tblSales[[#This Row],[Sales]]-tblSales[[#This Row],[Budget]])/tblSales[[#This Row],[Budget]]</f>
        <v>-3.1431296193276642E-2</v>
      </c>
      <c r="M1019" s="2">
        <f>tblSales[[#This Row],[Sales]]/tblSales[[#This Row],[Transactions]]</f>
        <v>375</v>
      </c>
    </row>
    <row r="1020" spans="1:13" x14ac:dyDescent="0.25">
      <c r="A1020" s="1">
        <v>46073</v>
      </c>
      <c r="B1020" t="s">
        <v>29</v>
      </c>
      <c r="C1020" t="s">
        <v>11</v>
      </c>
      <c r="D1020" t="str">
        <f>_xlfn.XLOOKUP(tblSales[[#This Row],[Store ID]],tblStores[Store ID],tblStores[Store Name])</f>
        <v>Polokwane</v>
      </c>
      <c r="E1020" t="str">
        <f>_xlfn.XLOOKUP(tblSales[[#This Row],[Store ID]],tblStores[Store ID],tblStores[Province])</f>
        <v>Limpopo</v>
      </c>
      <c r="F1020" t="str">
        <f>_xlfn.XLOOKUP(tblSales[[#This Row],[Store ID]],tblStores[Store ID],tblStores[Manager])</f>
        <v>Kevin Harris</v>
      </c>
      <c r="G1020" t="str">
        <f>_xlfn.XLOOKUP(tblSales[[#This Row],[Category ID]],tblCategories[Category ID],tblCategories[Category])</f>
        <v>Footwear</v>
      </c>
      <c r="H1020">
        <v>12336</v>
      </c>
      <c r="I1020">
        <v>11526</v>
      </c>
      <c r="J1020">
        <v>48</v>
      </c>
      <c r="K1020">
        <f>tblSales[[#This Row],[Sales]]-tblSales[[#This Row],[Budget]]</f>
        <v>810</v>
      </c>
      <c r="L1020" s="3">
        <f>(tblSales[[#This Row],[Sales]]-tblSales[[#This Row],[Budget]])/tblSales[[#This Row],[Budget]]</f>
        <v>7.0275897969807391E-2</v>
      </c>
      <c r="M1020" s="2">
        <f>tblSales[[#This Row],[Sales]]/tblSales[[#This Row],[Transactions]]</f>
        <v>257</v>
      </c>
    </row>
    <row r="1021" spans="1:13" x14ac:dyDescent="0.25">
      <c r="A1021" s="1">
        <v>46073</v>
      </c>
      <c r="B1021" t="s">
        <v>30</v>
      </c>
      <c r="C1021" t="s">
        <v>9</v>
      </c>
      <c r="D1021" t="str">
        <f>_xlfn.XLOOKUP(tblSales[[#This Row],[Store ID]],tblStores[Store ID],tblStores[Store Name])</f>
        <v>Nelspruit</v>
      </c>
      <c r="E1021" t="str">
        <f>_xlfn.XLOOKUP(tblSales[[#This Row],[Store ID]],tblStores[Store ID],tblStores[Province])</f>
        <v>Mpumalanga</v>
      </c>
      <c r="F1021" t="str">
        <f>_xlfn.XLOOKUP(tblSales[[#This Row],[Store ID]],tblStores[Store ID],tblStores[Manager])</f>
        <v>Olivia Turner</v>
      </c>
      <c r="G1021" t="str">
        <f>_xlfn.XLOOKUP(tblSales[[#This Row],[Category ID]],tblCategories[Category ID],tblCategories[Category])</f>
        <v>Ladieswear</v>
      </c>
      <c r="H1021">
        <v>47458</v>
      </c>
      <c r="I1021">
        <v>54424</v>
      </c>
      <c r="J1021">
        <v>122</v>
      </c>
      <c r="K1021">
        <f>tblSales[[#This Row],[Sales]]-tblSales[[#This Row],[Budget]]</f>
        <v>-6966</v>
      </c>
      <c r="L1021" s="3">
        <f>(tblSales[[#This Row],[Sales]]-tblSales[[#This Row],[Budget]])/tblSales[[#This Row],[Budget]]</f>
        <v>-0.12799500220490959</v>
      </c>
      <c r="M1021" s="2">
        <f>tblSales[[#This Row],[Sales]]/tblSales[[#This Row],[Transactions]]</f>
        <v>389</v>
      </c>
    </row>
    <row r="1022" spans="1:13" x14ac:dyDescent="0.25">
      <c r="A1022" s="1">
        <v>46074</v>
      </c>
      <c r="B1022" t="s">
        <v>6</v>
      </c>
      <c r="C1022" t="s">
        <v>11</v>
      </c>
      <c r="D1022" t="str">
        <f>_xlfn.XLOOKUP(tblSales[[#This Row],[Store ID]],tblStores[Store ID],tblStores[Store Name])</f>
        <v>Durban CBD</v>
      </c>
      <c r="E1022" t="str">
        <f>_xlfn.XLOOKUP(tblSales[[#This Row],[Store ID]],tblStores[Store ID],tblStores[Province])</f>
        <v>KZN</v>
      </c>
      <c r="F1022" t="str">
        <f>_xlfn.XLOOKUP(tblSales[[#This Row],[Store ID]],tblStores[Store ID],tblStores[Manager])</f>
        <v>Sarah Adams</v>
      </c>
      <c r="G1022" t="str">
        <f>_xlfn.XLOOKUP(tblSales[[#This Row],[Category ID]],tblCategories[Category ID],tblCategories[Category])</f>
        <v>Footwear</v>
      </c>
      <c r="H1022">
        <v>24211</v>
      </c>
      <c r="I1022">
        <v>27009</v>
      </c>
      <c r="J1022">
        <v>71</v>
      </c>
      <c r="K1022">
        <f>tblSales[[#This Row],[Sales]]-tblSales[[#This Row],[Budget]]</f>
        <v>-2798</v>
      </c>
      <c r="L1022" s="3">
        <f>(tblSales[[#This Row],[Sales]]-tblSales[[#This Row],[Budget]])/tblSales[[#This Row],[Budget]]</f>
        <v>-0.10359509793031953</v>
      </c>
      <c r="M1022" s="2">
        <f>tblSales[[#This Row],[Sales]]/tblSales[[#This Row],[Transactions]]</f>
        <v>341</v>
      </c>
    </row>
    <row r="1023" spans="1:13" x14ac:dyDescent="0.25">
      <c r="A1023" s="1">
        <v>46074</v>
      </c>
      <c r="B1023" t="s">
        <v>8</v>
      </c>
      <c r="C1023" t="s">
        <v>9</v>
      </c>
      <c r="D1023" t="str">
        <f>_xlfn.XLOOKUP(tblSales[[#This Row],[Store ID]],tblStores[Store ID],tblStores[Store Name])</f>
        <v>Gateway</v>
      </c>
      <c r="E1023" t="str">
        <f>_xlfn.XLOOKUP(tblSales[[#This Row],[Store ID]],tblStores[Store ID],tblStores[Province])</f>
        <v>KZN</v>
      </c>
      <c r="F1023" t="str">
        <f>_xlfn.XLOOKUP(tblSales[[#This Row],[Store ID]],tblStores[Store ID],tblStores[Manager])</f>
        <v>Michael Jones</v>
      </c>
      <c r="G1023" t="str">
        <f>_xlfn.XLOOKUP(tblSales[[#This Row],[Category ID]],tblCategories[Category ID],tblCategories[Category])</f>
        <v>Ladieswear</v>
      </c>
      <c r="H1023">
        <v>23595</v>
      </c>
      <c r="I1023">
        <v>23197</v>
      </c>
      <c r="J1023">
        <v>55</v>
      </c>
      <c r="K1023">
        <f>tblSales[[#This Row],[Sales]]-tblSales[[#This Row],[Budget]]</f>
        <v>398</v>
      </c>
      <c r="L1023" s="3">
        <f>(tblSales[[#This Row],[Sales]]-tblSales[[#This Row],[Budget]])/tblSales[[#This Row],[Budget]]</f>
        <v>1.715739104194508E-2</v>
      </c>
      <c r="M1023" s="2">
        <f>tblSales[[#This Row],[Sales]]/tblSales[[#This Row],[Transactions]]</f>
        <v>429</v>
      </c>
    </row>
    <row r="1024" spans="1:13" x14ac:dyDescent="0.25">
      <c r="A1024" s="1">
        <v>46074</v>
      </c>
      <c r="B1024" t="s">
        <v>10</v>
      </c>
      <c r="C1024" t="s">
        <v>9</v>
      </c>
      <c r="D1024" t="str">
        <f>_xlfn.XLOOKUP(tblSales[[#This Row],[Store ID]],tblStores[Store ID],tblStores[Store Name])</f>
        <v>Ballito</v>
      </c>
      <c r="E1024" t="str">
        <f>_xlfn.XLOOKUP(tblSales[[#This Row],[Store ID]],tblStores[Store ID],tblStores[Province])</f>
        <v>KZN</v>
      </c>
      <c r="F1024" t="str">
        <f>_xlfn.XLOOKUP(tblSales[[#This Row],[Store ID]],tblStores[Store ID],tblStores[Manager])</f>
        <v>Linda Smith</v>
      </c>
      <c r="G1024" t="str">
        <f>_xlfn.XLOOKUP(tblSales[[#This Row],[Category ID]],tblCategories[Category ID],tblCategories[Category])</f>
        <v>Ladieswear</v>
      </c>
      <c r="H1024">
        <v>57960</v>
      </c>
      <c r="I1024">
        <v>53004</v>
      </c>
      <c r="J1024">
        <v>115</v>
      </c>
      <c r="K1024">
        <f>tblSales[[#This Row],[Sales]]-tblSales[[#This Row],[Budget]]</f>
        <v>4956</v>
      </c>
      <c r="L1024" s="3">
        <f>(tblSales[[#This Row],[Sales]]-tblSales[[#This Row],[Budget]])/tblSales[[#This Row],[Budget]]</f>
        <v>9.3502377179080817E-2</v>
      </c>
      <c r="M1024" s="2">
        <f>tblSales[[#This Row],[Sales]]/tblSales[[#This Row],[Transactions]]</f>
        <v>504</v>
      </c>
    </row>
    <row r="1025" spans="1:13" x14ac:dyDescent="0.25">
      <c r="A1025" s="1">
        <v>46074</v>
      </c>
      <c r="B1025" t="s">
        <v>12</v>
      </c>
      <c r="C1025" t="s">
        <v>11</v>
      </c>
      <c r="D1025" t="str">
        <f>_xlfn.XLOOKUP(tblSales[[#This Row],[Store ID]],tblStores[Store ID],tblStores[Store Name])</f>
        <v>Pietermaritzburg</v>
      </c>
      <c r="E1025" t="str">
        <f>_xlfn.XLOOKUP(tblSales[[#This Row],[Store ID]],tblStores[Store ID],tblStores[Province])</f>
        <v>KZN</v>
      </c>
      <c r="F1025" t="str">
        <f>_xlfn.XLOOKUP(tblSales[[#This Row],[Store ID]],tblStores[Store ID],tblStores[Manager])</f>
        <v>Peter Brown</v>
      </c>
      <c r="G1025" t="str">
        <f>_xlfn.XLOOKUP(tblSales[[#This Row],[Category ID]],tblCategories[Category ID],tblCategories[Category])</f>
        <v>Footwear</v>
      </c>
      <c r="H1025">
        <v>30135</v>
      </c>
      <c r="I1025">
        <v>32856</v>
      </c>
      <c r="J1025">
        <v>105</v>
      </c>
      <c r="K1025">
        <f>tblSales[[#This Row],[Sales]]-tblSales[[#This Row],[Budget]]</f>
        <v>-2721</v>
      </c>
      <c r="L1025" s="3">
        <f>(tblSales[[#This Row],[Sales]]-tblSales[[#This Row],[Budget]])/tblSales[[#This Row],[Budget]]</f>
        <v>-8.2815924032140248E-2</v>
      </c>
      <c r="M1025" s="2">
        <f>tblSales[[#This Row],[Sales]]/tblSales[[#This Row],[Transactions]]</f>
        <v>287</v>
      </c>
    </row>
    <row r="1026" spans="1:13" x14ac:dyDescent="0.25">
      <c r="A1026" s="1">
        <v>46074</v>
      </c>
      <c r="B1026" t="s">
        <v>13</v>
      </c>
      <c r="C1026" t="s">
        <v>9</v>
      </c>
      <c r="D1026" t="str">
        <f>_xlfn.XLOOKUP(tblSales[[#This Row],[Store ID]],tblStores[Store ID],tblStores[Store Name])</f>
        <v>Richards Bay</v>
      </c>
      <c r="E1026" t="str">
        <f>_xlfn.XLOOKUP(tblSales[[#This Row],[Store ID]],tblStores[Store ID],tblStores[Province])</f>
        <v>KZN</v>
      </c>
      <c r="F1026" t="str">
        <f>_xlfn.XLOOKUP(tblSales[[#This Row],[Store ID]],tblStores[Store ID],tblStores[Manager])</f>
        <v>David Green</v>
      </c>
      <c r="G1026" t="str">
        <f>_xlfn.XLOOKUP(tblSales[[#This Row],[Category ID]],tblCategories[Category ID],tblCategories[Category])</f>
        <v>Ladieswear</v>
      </c>
      <c r="H1026">
        <v>47502</v>
      </c>
      <c r="I1026">
        <v>48565</v>
      </c>
      <c r="J1026">
        <v>182</v>
      </c>
      <c r="K1026">
        <f>tblSales[[#This Row],[Sales]]-tblSales[[#This Row],[Budget]]</f>
        <v>-1063</v>
      </c>
      <c r="L1026" s="3">
        <f>(tblSales[[#This Row],[Sales]]-tblSales[[#This Row],[Budget]])/tblSales[[#This Row],[Budget]]</f>
        <v>-2.1888191084114075E-2</v>
      </c>
      <c r="M1026" s="2">
        <f>tblSales[[#This Row],[Sales]]/tblSales[[#This Row],[Transactions]]</f>
        <v>261</v>
      </c>
    </row>
    <row r="1027" spans="1:13" x14ac:dyDescent="0.25">
      <c r="A1027" s="1">
        <v>46074</v>
      </c>
      <c r="B1027" t="s">
        <v>14</v>
      </c>
      <c r="C1027" t="s">
        <v>7</v>
      </c>
      <c r="D1027" t="str">
        <f>_xlfn.XLOOKUP(tblSales[[#This Row],[Store ID]],tblStores[Store ID],tblStores[Store Name])</f>
        <v>Sandton</v>
      </c>
      <c r="E1027" t="str">
        <f>_xlfn.XLOOKUP(tblSales[[#This Row],[Store ID]],tblStores[Store ID],tblStores[Province])</f>
        <v>Gauteng</v>
      </c>
      <c r="F1027" t="str">
        <f>_xlfn.XLOOKUP(tblSales[[#This Row],[Store ID]],tblStores[Store ID],tblStores[Manager])</f>
        <v>Karen White</v>
      </c>
      <c r="G1027" t="str">
        <f>_xlfn.XLOOKUP(tblSales[[#This Row],[Category ID]],tblCategories[Category ID],tblCategories[Category])</f>
        <v>Menswear</v>
      </c>
      <c r="H1027">
        <v>33592</v>
      </c>
      <c r="I1027">
        <v>33875</v>
      </c>
      <c r="J1027">
        <v>68</v>
      </c>
      <c r="K1027">
        <f>tblSales[[#This Row],[Sales]]-tblSales[[#This Row],[Budget]]</f>
        <v>-283</v>
      </c>
      <c r="L1027" s="3">
        <f>(tblSales[[#This Row],[Sales]]-tblSales[[#This Row],[Budget]])/tblSales[[#This Row],[Budget]]</f>
        <v>-8.3542435424354237E-3</v>
      </c>
      <c r="M1027" s="2">
        <f>tblSales[[#This Row],[Sales]]/tblSales[[#This Row],[Transactions]]</f>
        <v>494</v>
      </c>
    </row>
    <row r="1028" spans="1:13" x14ac:dyDescent="0.25">
      <c r="A1028" s="1">
        <v>46074</v>
      </c>
      <c r="B1028" t="s">
        <v>15</v>
      </c>
      <c r="C1028" t="s">
        <v>11</v>
      </c>
      <c r="D1028" t="str">
        <f>_xlfn.XLOOKUP(tblSales[[#This Row],[Store ID]],tblStores[Store ID],tblStores[Store Name])</f>
        <v>Rosebank</v>
      </c>
      <c r="E1028" t="str">
        <f>_xlfn.XLOOKUP(tblSales[[#This Row],[Store ID]],tblStores[Store ID],tblStores[Province])</f>
        <v>Gauteng</v>
      </c>
      <c r="F1028" t="str">
        <f>_xlfn.XLOOKUP(tblSales[[#This Row],[Store ID]],tblStores[Store ID],tblStores[Manager])</f>
        <v>James Taylor</v>
      </c>
      <c r="G1028" t="str">
        <f>_xlfn.XLOOKUP(tblSales[[#This Row],[Category ID]],tblCategories[Category ID],tblCategories[Category])</f>
        <v>Footwear</v>
      </c>
      <c r="H1028">
        <v>55062</v>
      </c>
      <c r="I1028">
        <v>62844</v>
      </c>
      <c r="J1028">
        <v>138</v>
      </c>
      <c r="K1028">
        <f>tblSales[[#This Row],[Sales]]-tblSales[[#This Row],[Budget]]</f>
        <v>-7782</v>
      </c>
      <c r="L1028" s="3">
        <f>(tblSales[[#This Row],[Sales]]-tblSales[[#This Row],[Budget]])/tblSales[[#This Row],[Budget]]</f>
        <v>-0.12383043727324804</v>
      </c>
      <c r="M1028" s="2">
        <f>tblSales[[#This Row],[Sales]]/tblSales[[#This Row],[Transactions]]</f>
        <v>399</v>
      </c>
    </row>
    <row r="1029" spans="1:13" x14ac:dyDescent="0.25">
      <c r="A1029" s="1">
        <v>46074</v>
      </c>
      <c r="B1029" t="s">
        <v>16</v>
      </c>
      <c r="C1029" t="s">
        <v>11</v>
      </c>
      <c r="D1029" t="str">
        <f>_xlfn.XLOOKUP(tblSales[[#This Row],[Store ID]],tblStores[Store ID],tblStores[Store Name])</f>
        <v>Pretoria</v>
      </c>
      <c r="E1029" t="str">
        <f>_xlfn.XLOOKUP(tblSales[[#This Row],[Store ID]],tblStores[Store ID],tblStores[Province])</f>
        <v>Gauteng</v>
      </c>
      <c r="F1029" t="str">
        <f>_xlfn.XLOOKUP(tblSales[[#This Row],[Store ID]],tblStores[Store ID],tblStores[Manager])</f>
        <v>Susan Clark</v>
      </c>
      <c r="G1029" t="str">
        <f>_xlfn.XLOOKUP(tblSales[[#This Row],[Category ID]],tblCategories[Category ID],tblCategories[Category])</f>
        <v>Footwear</v>
      </c>
      <c r="H1029">
        <v>7164</v>
      </c>
      <c r="I1029">
        <v>7403</v>
      </c>
      <c r="J1029">
        <v>36</v>
      </c>
      <c r="K1029">
        <f>tblSales[[#This Row],[Sales]]-tblSales[[#This Row],[Budget]]</f>
        <v>-239</v>
      </c>
      <c r="L1029" s="3">
        <f>(tblSales[[#This Row],[Sales]]-tblSales[[#This Row],[Budget]])/tblSales[[#This Row],[Budget]]</f>
        <v>-3.2284209104417129E-2</v>
      </c>
      <c r="M1029" s="2">
        <f>tblSales[[#This Row],[Sales]]/tblSales[[#This Row],[Transactions]]</f>
        <v>199</v>
      </c>
    </row>
    <row r="1030" spans="1:13" x14ac:dyDescent="0.25">
      <c r="A1030" s="1">
        <v>46074</v>
      </c>
      <c r="B1030" t="s">
        <v>17</v>
      </c>
      <c r="C1030" t="s">
        <v>22</v>
      </c>
      <c r="D1030" t="str">
        <f>_xlfn.XLOOKUP(tblSales[[#This Row],[Store ID]],tblStores[Store ID],tblStores[Store Name])</f>
        <v>Centurion</v>
      </c>
      <c r="E1030" t="str">
        <f>_xlfn.XLOOKUP(tblSales[[#This Row],[Store ID]],tblStores[Store ID],tblStores[Province])</f>
        <v>Gauteng</v>
      </c>
      <c r="F1030" t="str">
        <f>_xlfn.XLOOKUP(tblSales[[#This Row],[Store ID]],tblStores[Store ID],tblStores[Manager])</f>
        <v>Mark Wilson</v>
      </c>
      <c r="G1030" t="str">
        <f>_xlfn.XLOOKUP(tblSales[[#This Row],[Category ID]],tblCategories[Category ID],tblCategories[Category])</f>
        <v>Kids</v>
      </c>
      <c r="H1030">
        <v>13072</v>
      </c>
      <c r="I1030">
        <v>14238</v>
      </c>
      <c r="J1030">
        <v>38</v>
      </c>
      <c r="K1030">
        <f>tblSales[[#This Row],[Sales]]-tblSales[[#This Row],[Budget]]</f>
        <v>-1166</v>
      </c>
      <c r="L1030" s="3">
        <f>(tblSales[[#This Row],[Sales]]-tblSales[[#This Row],[Budget]])/tblSales[[#This Row],[Budget]]</f>
        <v>-8.1893524371400475E-2</v>
      </c>
      <c r="M1030" s="2">
        <f>tblSales[[#This Row],[Sales]]/tblSales[[#This Row],[Transactions]]</f>
        <v>344</v>
      </c>
    </row>
    <row r="1031" spans="1:13" x14ac:dyDescent="0.25">
      <c r="A1031" s="1">
        <v>46074</v>
      </c>
      <c r="B1031" t="s">
        <v>18</v>
      </c>
      <c r="C1031" t="s">
        <v>19</v>
      </c>
      <c r="D1031" t="str">
        <f>_xlfn.XLOOKUP(tblSales[[#This Row],[Store ID]],tblStores[Store ID],tblStores[Store Name])</f>
        <v>East Rand</v>
      </c>
      <c r="E1031" t="str">
        <f>_xlfn.XLOOKUP(tblSales[[#This Row],[Store ID]],tblStores[Store ID],tblStores[Province])</f>
        <v>Gauteng</v>
      </c>
      <c r="F1031" t="str">
        <f>_xlfn.XLOOKUP(tblSales[[#This Row],[Store ID]],tblStores[Store ID],tblStores[Manager])</f>
        <v>Lisa Young</v>
      </c>
      <c r="G1031" t="str">
        <f>_xlfn.XLOOKUP(tblSales[[#This Row],[Category ID]],tblCategories[Category ID],tblCategories[Category])</f>
        <v>Accessories</v>
      </c>
      <c r="H1031">
        <v>15687</v>
      </c>
      <c r="I1031">
        <v>16772</v>
      </c>
      <c r="J1031">
        <v>83</v>
      </c>
      <c r="K1031">
        <f>tblSales[[#This Row],[Sales]]-tblSales[[#This Row],[Budget]]</f>
        <v>-1085</v>
      </c>
      <c r="L1031" s="3">
        <f>(tblSales[[#This Row],[Sales]]-tblSales[[#This Row],[Budget]])/tblSales[[#This Row],[Budget]]</f>
        <v>-6.4691151919866449E-2</v>
      </c>
      <c r="M1031" s="2">
        <f>tblSales[[#This Row],[Sales]]/tblSales[[#This Row],[Transactions]]</f>
        <v>189</v>
      </c>
    </row>
    <row r="1032" spans="1:13" x14ac:dyDescent="0.25">
      <c r="A1032" s="1">
        <v>46074</v>
      </c>
      <c r="B1032" t="s">
        <v>20</v>
      </c>
      <c r="C1032" t="s">
        <v>9</v>
      </c>
      <c r="D1032" t="str">
        <f>_xlfn.XLOOKUP(tblSales[[#This Row],[Store ID]],tblStores[Store ID],tblStores[Store Name])</f>
        <v>Cape Town CBD</v>
      </c>
      <c r="E1032" t="str">
        <f>_xlfn.XLOOKUP(tblSales[[#This Row],[Store ID]],tblStores[Store ID],tblStores[Province])</f>
        <v>Western Cape</v>
      </c>
      <c r="F1032" t="str">
        <f>_xlfn.XLOOKUP(tblSales[[#This Row],[Store ID]],tblStores[Store ID],tblStores[Manager])</f>
        <v>Brian Hall</v>
      </c>
      <c r="G1032" t="str">
        <f>_xlfn.XLOOKUP(tblSales[[#This Row],[Category ID]],tblCategories[Category ID],tblCategories[Category])</f>
        <v>Ladieswear</v>
      </c>
      <c r="H1032">
        <v>32752</v>
      </c>
      <c r="I1032">
        <v>32032</v>
      </c>
      <c r="J1032">
        <v>92</v>
      </c>
      <c r="K1032">
        <f>tblSales[[#This Row],[Sales]]-tblSales[[#This Row],[Budget]]</f>
        <v>720</v>
      </c>
      <c r="L1032" s="3">
        <f>(tblSales[[#This Row],[Sales]]-tblSales[[#This Row],[Budget]])/tblSales[[#This Row],[Budget]]</f>
        <v>2.2477522477522476E-2</v>
      </c>
      <c r="M1032" s="2">
        <f>tblSales[[#This Row],[Sales]]/tblSales[[#This Row],[Transactions]]</f>
        <v>356</v>
      </c>
    </row>
    <row r="1033" spans="1:13" x14ac:dyDescent="0.25">
      <c r="A1033" s="1">
        <v>46074</v>
      </c>
      <c r="B1033" t="s">
        <v>21</v>
      </c>
      <c r="C1033" t="s">
        <v>7</v>
      </c>
      <c r="D1033" t="str">
        <f>_xlfn.XLOOKUP(tblSales[[#This Row],[Store ID]],tblStores[Store ID],tblStores[Store Name])</f>
        <v>Canal Walk</v>
      </c>
      <c r="E1033" t="str">
        <f>_xlfn.XLOOKUP(tblSales[[#This Row],[Store ID]],tblStores[Store ID],tblStores[Province])</f>
        <v>Western Cape</v>
      </c>
      <c r="F1033" t="str">
        <f>_xlfn.XLOOKUP(tblSales[[#This Row],[Store ID]],tblStores[Store ID],tblStores[Manager])</f>
        <v>Megan Scott</v>
      </c>
      <c r="G1033" t="str">
        <f>_xlfn.XLOOKUP(tblSales[[#This Row],[Category ID]],tblCategories[Category ID],tblCategories[Category])</f>
        <v>Menswear</v>
      </c>
      <c r="H1033">
        <v>58121</v>
      </c>
      <c r="I1033">
        <v>60862</v>
      </c>
      <c r="J1033">
        <v>133</v>
      </c>
      <c r="K1033">
        <f>tblSales[[#This Row],[Sales]]-tblSales[[#This Row],[Budget]]</f>
        <v>-2741</v>
      </c>
      <c r="L1033" s="3">
        <f>(tblSales[[#This Row],[Sales]]-tblSales[[#This Row],[Budget]])/tblSales[[#This Row],[Budget]]</f>
        <v>-4.503631165587723E-2</v>
      </c>
      <c r="M1033" s="2">
        <f>tblSales[[#This Row],[Sales]]/tblSales[[#This Row],[Transactions]]</f>
        <v>437</v>
      </c>
    </row>
    <row r="1034" spans="1:13" x14ac:dyDescent="0.25">
      <c r="A1034" s="1">
        <v>46074</v>
      </c>
      <c r="B1034" t="s">
        <v>23</v>
      </c>
      <c r="C1034" t="s">
        <v>9</v>
      </c>
      <c r="D1034" t="str">
        <f>_xlfn.XLOOKUP(tblSales[[#This Row],[Store ID]],tblStores[Store ID],tblStores[Store Name])</f>
        <v>Stellenbosch</v>
      </c>
      <c r="E1034" t="str">
        <f>_xlfn.XLOOKUP(tblSales[[#This Row],[Store ID]],tblStores[Store ID],tblStores[Province])</f>
        <v>Western Cape</v>
      </c>
      <c r="F1034" t="str">
        <f>_xlfn.XLOOKUP(tblSales[[#This Row],[Store ID]],tblStores[Store ID],tblStores[Manager])</f>
        <v>Jason King</v>
      </c>
      <c r="G1034" t="str">
        <f>_xlfn.XLOOKUP(tblSales[[#This Row],[Category ID]],tblCategories[Category ID],tblCategories[Category])</f>
        <v>Ladieswear</v>
      </c>
      <c r="H1034">
        <v>10353</v>
      </c>
      <c r="I1034">
        <v>10089</v>
      </c>
      <c r="J1034">
        <v>51</v>
      </c>
      <c r="K1034">
        <f>tblSales[[#This Row],[Sales]]-tblSales[[#This Row],[Budget]]</f>
        <v>264</v>
      </c>
      <c r="L1034" s="3">
        <f>(tblSales[[#This Row],[Sales]]-tblSales[[#This Row],[Budget]])/tblSales[[#This Row],[Budget]]</f>
        <v>2.616711269699673E-2</v>
      </c>
      <c r="M1034" s="2">
        <f>tblSales[[#This Row],[Sales]]/tblSales[[#This Row],[Transactions]]</f>
        <v>203</v>
      </c>
    </row>
    <row r="1035" spans="1:13" x14ac:dyDescent="0.25">
      <c r="A1035" s="1">
        <v>46074</v>
      </c>
      <c r="B1035" t="s">
        <v>24</v>
      </c>
      <c r="C1035" t="s">
        <v>22</v>
      </c>
      <c r="D1035" t="str">
        <f>_xlfn.XLOOKUP(tblSales[[#This Row],[Store ID]],tblStores[Store ID],tblStores[Store Name])</f>
        <v>George</v>
      </c>
      <c r="E1035" t="str">
        <f>_xlfn.XLOOKUP(tblSales[[#This Row],[Store ID]],tblStores[Store ID],tblStores[Province])</f>
        <v>Western Cape</v>
      </c>
      <c r="F1035" t="str">
        <f>_xlfn.XLOOKUP(tblSales[[#This Row],[Store ID]],tblStores[Store ID],tblStores[Manager])</f>
        <v>Chloe Hill</v>
      </c>
      <c r="G1035" t="str">
        <f>_xlfn.XLOOKUP(tblSales[[#This Row],[Category ID]],tblCategories[Category ID],tblCategories[Category])</f>
        <v>Kids</v>
      </c>
      <c r="H1035">
        <v>67346</v>
      </c>
      <c r="I1035">
        <v>70652</v>
      </c>
      <c r="J1035">
        <v>151</v>
      </c>
      <c r="K1035">
        <f>tblSales[[#This Row],[Sales]]-tblSales[[#This Row],[Budget]]</f>
        <v>-3306</v>
      </c>
      <c r="L1035" s="3">
        <f>(tblSales[[#This Row],[Sales]]-tblSales[[#This Row],[Budget]])/tblSales[[#This Row],[Budget]]</f>
        <v>-4.6792730566721397E-2</v>
      </c>
      <c r="M1035" s="2">
        <f>tblSales[[#This Row],[Sales]]/tblSales[[#This Row],[Transactions]]</f>
        <v>446</v>
      </c>
    </row>
    <row r="1036" spans="1:13" x14ac:dyDescent="0.25">
      <c r="A1036" s="1">
        <v>46074</v>
      </c>
      <c r="B1036" t="s">
        <v>25</v>
      </c>
      <c r="C1036" t="s">
        <v>22</v>
      </c>
      <c r="D1036" t="str">
        <f>_xlfn.XLOOKUP(tblSales[[#This Row],[Store ID]],tblStores[Store ID],tblStores[Store Name])</f>
        <v>Paarl</v>
      </c>
      <c r="E1036" t="str">
        <f>_xlfn.XLOOKUP(tblSales[[#This Row],[Store ID]],tblStores[Store ID],tblStores[Province])</f>
        <v>Western Cape</v>
      </c>
      <c r="F1036" t="str">
        <f>_xlfn.XLOOKUP(tblSales[[#This Row],[Store ID]],tblStores[Store ID],tblStores[Manager])</f>
        <v>Andrew Lee</v>
      </c>
      <c r="G1036" t="str">
        <f>_xlfn.XLOOKUP(tblSales[[#This Row],[Category ID]],tblCategories[Category ID],tblCategories[Category])</f>
        <v>Kids</v>
      </c>
      <c r="H1036">
        <v>36208</v>
      </c>
      <c r="I1036">
        <v>35689</v>
      </c>
      <c r="J1036">
        <v>146</v>
      </c>
      <c r="K1036">
        <f>tblSales[[#This Row],[Sales]]-tblSales[[#This Row],[Budget]]</f>
        <v>519</v>
      </c>
      <c r="L1036" s="3">
        <f>(tblSales[[#This Row],[Sales]]-tblSales[[#This Row],[Budget]])/tblSales[[#This Row],[Budget]]</f>
        <v>1.4542295945529434E-2</v>
      </c>
      <c r="M1036" s="2">
        <f>tblSales[[#This Row],[Sales]]/tblSales[[#This Row],[Transactions]]</f>
        <v>248</v>
      </c>
    </row>
    <row r="1037" spans="1:13" x14ac:dyDescent="0.25">
      <c r="A1037" s="1">
        <v>46074</v>
      </c>
      <c r="B1037" t="s">
        <v>26</v>
      </c>
      <c r="C1037" t="s">
        <v>11</v>
      </c>
      <c r="D1037" t="str">
        <f>_xlfn.XLOOKUP(tblSales[[#This Row],[Store ID]],tblStores[Store ID],tblStores[Store Name])</f>
        <v>Gqeberha</v>
      </c>
      <c r="E1037" t="str">
        <f>_xlfn.XLOOKUP(tblSales[[#This Row],[Store ID]],tblStores[Store ID],tblStores[Province])</f>
        <v>Eastern Cape</v>
      </c>
      <c r="F1037" t="str">
        <f>_xlfn.XLOOKUP(tblSales[[#This Row],[Store ID]],tblStores[Store ID],tblStores[Manager])</f>
        <v>Emma Baker</v>
      </c>
      <c r="G1037" t="str">
        <f>_xlfn.XLOOKUP(tblSales[[#This Row],[Category ID]],tblCategories[Category ID],tblCategories[Category])</f>
        <v>Footwear</v>
      </c>
      <c r="H1037">
        <v>34776</v>
      </c>
      <c r="I1037">
        <v>32731</v>
      </c>
      <c r="J1037">
        <v>126</v>
      </c>
      <c r="K1037">
        <f>tblSales[[#This Row],[Sales]]-tblSales[[#This Row],[Budget]]</f>
        <v>2045</v>
      </c>
      <c r="L1037" s="3">
        <f>(tblSales[[#This Row],[Sales]]-tblSales[[#This Row],[Budget]])/tblSales[[#This Row],[Budget]]</f>
        <v>6.2478995447740673E-2</v>
      </c>
      <c r="M1037" s="2">
        <f>tblSales[[#This Row],[Sales]]/tblSales[[#This Row],[Transactions]]</f>
        <v>276</v>
      </c>
    </row>
    <row r="1038" spans="1:13" x14ac:dyDescent="0.25">
      <c r="A1038" s="1">
        <v>46074</v>
      </c>
      <c r="B1038" t="s">
        <v>27</v>
      </c>
      <c r="C1038" t="s">
        <v>11</v>
      </c>
      <c r="D1038" t="str">
        <f>_xlfn.XLOOKUP(tblSales[[#This Row],[Store ID]],tblStores[Store ID],tblStores[Store Name])</f>
        <v>East London</v>
      </c>
      <c r="E1038" t="str">
        <f>_xlfn.XLOOKUP(tblSales[[#This Row],[Store ID]],tblStores[Store ID],tblStores[Province])</f>
        <v>Eastern Cape</v>
      </c>
      <c r="F1038" t="str">
        <f>_xlfn.XLOOKUP(tblSales[[#This Row],[Store ID]],tblStores[Store ID],tblStores[Manager])</f>
        <v>Daniel Evans</v>
      </c>
      <c r="G1038" t="str">
        <f>_xlfn.XLOOKUP(tblSales[[#This Row],[Category ID]],tblCategories[Category ID],tblCategories[Category])</f>
        <v>Footwear</v>
      </c>
      <c r="H1038">
        <v>11544</v>
      </c>
      <c r="I1038">
        <v>11036</v>
      </c>
      <c r="J1038">
        <v>39</v>
      </c>
      <c r="K1038">
        <f>tblSales[[#This Row],[Sales]]-tblSales[[#This Row],[Budget]]</f>
        <v>508</v>
      </c>
      <c r="L1038" s="3">
        <f>(tblSales[[#This Row],[Sales]]-tblSales[[#This Row],[Budget]])/tblSales[[#This Row],[Budget]]</f>
        <v>4.603117071402682E-2</v>
      </c>
      <c r="M1038" s="2">
        <f>tblSales[[#This Row],[Sales]]/tblSales[[#This Row],[Transactions]]</f>
        <v>296</v>
      </c>
    </row>
    <row r="1039" spans="1:13" x14ac:dyDescent="0.25">
      <c r="A1039" s="1">
        <v>46074</v>
      </c>
      <c r="B1039" t="s">
        <v>28</v>
      </c>
      <c r="C1039" t="s">
        <v>9</v>
      </c>
      <c r="D1039" t="str">
        <f>_xlfn.XLOOKUP(tblSales[[#This Row],[Store ID]],tblStores[Store ID],tblStores[Store Name])</f>
        <v>Bloemfontein</v>
      </c>
      <c r="E1039" t="str">
        <f>_xlfn.XLOOKUP(tblSales[[#This Row],[Store ID]],tblStores[Store ID],tblStores[Province])</f>
        <v>Free State</v>
      </c>
      <c r="F1039" t="str">
        <f>_xlfn.XLOOKUP(tblSales[[#This Row],[Store ID]],tblStores[Store ID],tblStores[Manager])</f>
        <v>Rachel Moore</v>
      </c>
      <c r="G1039" t="str">
        <f>_xlfn.XLOOKUP(tblSales[[#This Row],[Category ID]],tblCategories[Category ID],tblCategories[Category])</f>
        <v>Ladieswear</v>
      </c>
      <c r="H1039">
        <v>16999</v>
      </c>
      <c r="I1039">
        <v>17805</v>
      </c>
      <c r="J1039">
        <v>89</v>
      </c>
      <c r="K1039">
        <f>tblSales[[#This Row],[Sales]]-tblSales[[#This Row],[Budget]]</f>
        <v>-806</v>
      </c>
      <c r="L1039" s="3">
        <f>(tblSales[[#This Row],[Sales]]-tblSales[[#This Row],[Budget]])/tblSales[[#This Row],[Budget]]</f>
        <v>-4.5268183094636337E-2</v>
      </c>
      <c r="M1039" s="2">
        <f>tblSales[[#This Row],[Sales]]/tblSales[[#This Row],[Transactions]]</f>
        <v>191</v>
      </c>
    </row>
    <row r="1040" spans="1:13" x14ac:dyDescent="0.25">
      <c r="A1040" s="1">
        <v>46074</v>
      </c>
      <c r="B1040" t="s">
        <v>29</v>
      </c>
      <c r="C1040" t="s">
        <v>9</v>
      </c>
      <c r="D1040" t="str">
        <f>_xlfn.XLOOKUP(tblSales[[#This Row],[Store ID]],tblStores[Store ID],tblStores[Store Name])</f>
        <v>Polokwane</v>
      </c>
      <c r="E1040" t="str">
        <f>_xlfn.XLOOKUP(tblSales[[#This Row],[Store ID]],tblStores[Store ID],tblStores[Province])</f>
        <v>Limpopo</v>
      </c>
      <c r="F1040" t="str">
        <f>_xlfn.XLOOKUP(tblSales[[#This Row],[Store ID]],tblStores[Store ID],tblStores[Manager])</f>
        <v>Kevin Harris</v>
      </c>
      <c r="G1040" t="str">
        <f>_xlfn.XLOOKUP(tblSales[[#This Row],[Category ID]],tblCategories[Category ID],tblCategories[Category])</f>
        <v>Ladieswear</v>
      </c>
      <c r="H1040">
        <v>24222</v>
      </c>
      <c r="I1040">
        <v>26105</v>
      </c>
      <c r="J1040">
        <v>66</v>
      </c>
      <c r="K1040">
        <f>tblSales[[#This Row],[Sales]]-tblSales[[#This Row],[Budget]]</f>
        <v>-1883</v>
      </c>
      <c r="L1040" s="3">
        <f>(tblSales[[#This Row],[Sales]]-tblSales[[#This Row],[Budget]])/tblSales[[#This Row],[Budget]]</f>
        <v>-7.2131775521930661E-2</v>
      </c>
      <c r="M1040" s="2">
        <f>tblSales[[#This Row],[Sales]]/tblSales[[#This Row],[Transactions]]</f>
        <v>367</v>
      </c>
    </row>
    <row r="1041" spans="1:13" x14ac:dyDescent="0.25">
      <c r="A1041" s="1">
        <v>46074</v>
      </c>
      <c r="B1041" t="s">
        <v>30</v>
      </c>
      <c r="C1041" t="s">
        <v>7</v>
      </c>
      <c r="D1041" t="str">
        <f>_xlfn.XLOOKUP(tblSales[[#This Row],[Store ID]],tblStores[Store ID],tblStores[Store Name])</f>
        <v>Nelspruit</v>
      </c>
      <c r="E1041" t="str">
        <f>_xlfn.XLOOKUP(tblSales[[#This Row],[Store ID]],tblStores[Store ID],tblStores[Province])</f>
        <v>Mpumalanga</v>
      </c>
      <c r="F1041" t="str">
        <f>_xlfn.XLOOKUP(tblSales[[#This Row],[Store ID]],tblStores[Store ID],tblStores[Manager])</f>
        <v>Olivia Turner</v>
      </c>
      <c r="G1041" t="str">
        <f>_xlfn.XLOOKUP(tblSales[[#This Row],[Category ID]],tblCategories[Category ID],tblCategories[Category])</f>
        <v>Menswear</v>
      </c>
      <c r="H1041">
        <v>66417</v>
      </c>
      <c r="I1041">
        <v>64022</v>
      </c>
      <c r="J1041">
        <v>131</v>
      </c>
      <c r="K1041">
        <f>tblSales[[#This Row],[Sales]]-tblSales[[#This Row],[Budget]]</f>
        <v>2395</v>
      </c>
      <c r="L1041" s="3">
        <f>(tblSales[[#This Row],[Sales]]-tblSales[[#This Row],[Budget]])/tblSales[[#This Row],[Budget]]</f>
        <v>3.7409015650870014E-2</v>
      </c>
      <c r="M1041" s="2">
        <f>tblSales[[#This Row],[Sales]]/tblSales[[#This Row],[Transactions]]</f>
        <v>507</v>
      </c>
    </row>
    <row r="1042" spans="1:13" x14ac:dyDescent="0.25">
      <c r="A1042" s="1">
        <v>46075</v>
      </c>
      <c r="B1042" t="s">
        <v>6</v>
      </c>
      <c r="C1042" t="s">
        <v>19</v>
      </c>
      <c r="D1042" t="str">
        <f>_xlfn.XLOOKUP(tblSales[[#This Row],[Store ID]],tblStores[Store ID],tblStores[Store Name])</f>
        <v>Durban CBD</v>
      </c>
      <c r="E1042" t="str">
        <f>_xlfn.XLOOKUP(tblSales[[#This Row],[Store ID]],tblStores[Store ID],tblStores[Province])</f>
        <v>KZN</v>
      </c>
      <c r="F1042" t="str">
        <f>_xlfn.XLOOKUP(tblSales[[#This Row],[Store ID]],tblStores[Store ID],tblStores[Manager])</f>
        <v>Sarah Adams</v>
      </c>
      <c r="G1042" t="str">
        <f>_xlfn.XLOOKUP(tblSales[[#This Row],[Category ID]],tblCategories[Category ID],tblCategories[Category])</f>
        <v>Accessories</v>
      </c>
      <c r="H1042">
        <v>39576</v>
      </c>
      <c r="I1042">
        <v>41494</v>
      </c>
      <c r="J1042">
        <v>194</v>
      </c>
      <c r="K1042">
        <f>tblSales[[#This Row],[Sales]]-tblSales[[#This Row],[Budget]]</f>
        <v>-1918</v>
      </c>
      <c r="L1042" s="3">
        <f>(tblSales[[#This Row],[Sales]]-tblSales[[#This Row],[Budget]])/tblSales[[#This Row],[Budget]]</f>
        <v>-4.6223550392827877E-2</v>
      </c>
      <c r="M1042" s="2">
        <f>tblSales[[#This Row],[Sales]]/tblSales[[#This Row],[Transactions]]</f>
        <v>204</v>
      </c>
    </row>
    <row r="1043" spans="1:13" x14ac:dyDescent="0.25">
      <c r="A1043" s="1">
        <v>46075</v>
      </c>
      <c r="B1043" t="s">
        <v>8</v>
      </c>
      <c r="C1043" t="s">
        <v>7</v>
      </c>
      <c r="D1043" t="str">
        <f>_xlfn.XLOOKUP(tblSales[[#This Row],[Store ID]],tblStores[Store ID],tblStores[Store Name])</f>
        <v>Gateway</v>
      </c>
      <c r="E1043" t="str">
        <f>_xlfn.XLOOKUP(tblSales[[#This Row],[Store ID]],tblStores[Store ID],tblStores[Province])</f>
        <v>KZN</v>
      </c>
      <c r="F1043" t="str">
        <f>_xlfn.XLOOKUP(tblSales[[#This Row],[Store ID]],tblStores[Store ID],tblStores[Manager])</f>
        <v>Michael Jones</v>
      </c>
      <c r="G1043" t="str">
        <f>_xlfn.XLOOKUP(tblSales[[#This Row],[Category ID]],tblCategories[Category ID],tblCategories[Category])</f>
        <v>Menswear</v>
      </c>
      <c r="H1043">
        <v>47940</v>
      </c>
      <c r="I1043">
        <v>50979</v>
      </c>
      <c r="J1043">
        <v>204</v>
      </c>
      <c r="K1043">
        <f>tblSales[[#This Row],[Sales]]-tblSales[[#This Row],[Budget]]</f>
        <v>-3039</v>
      </c>
      <c r="L1043" s="3">
        <f>(tblSales[[#This Row],[Sales]]-tblSales[[#This Row],[Budget]])/tblSales[[#This Row],[Budget]]</f>
        <v>-5.9612781733655036E-2</v>
      </c>
      <c r="M1043" s="2">
        <f>tblSales[[#This Row],[Sales]]/tblSales[[#This Row],[Transactions]]</f>
        <v>235</v>
      </c>
    </row>
    <row r="1044" spans="1:13" x14ac:dyDescent="0.25">
      <c r="A1044" s="1">
        <v>46075</v>
      </c>
      <c r="B1044" t="s">
        <v>10</v>
      </c>
      <c r="C1044" t="s">
        <v>7</v>
      </c>
      <c r="D1044" t="str">
        <f>_xlfn.XLOOKUP(tblSales[[#This Row],[Store ID]],tblStores[Store ID],tblStores[Store Name])</f>
        <v>Ballito</v>
      </c>
      <c r="E1044" t="str">
        <f>_xlfn.XLOOKUP(tblSales[[#This Row],[Store ID]],tblStores[Store ID],tblStores[Province])</f>
        <v>KZN</v>
      </c>
      <c r="F1044" t="str">
        <f>_xlfn.XLOOKUP(tblSales[[#This Row],[Store ID]],tblStores[Store ID],tblStores[Manager])</f>
        <v>Linda Smith</v>
      </c>
      <c r="G1044" t="str">
        <f>_xlfn.XLOOKUP(tblSales[[#This Row],[Category ID]],tblCategories[Category ID],tblCategories[Category])</f>
        <v>Menswear</v>
      </c>
      <c r="H1044">
        <v>11233</v>
      </c>
      <c r="I1044">
        <v>11280</v>
      </c>
      <c r="J1044">
        <v>47</v>
      </c>
      <c r="K1044">
        <f>tblSales[[#This Row],[Sales]]-tblSales[[#This Row],[Budget]]</f>
        <v>-47</v>
      </c>
      <c r="L1044" s="3">
        <f>(tblSales[[#This Row],[Sales]]-tblSales[[#This Row],[Budget]])/tblSales[[#This Row],[Budget]]</f>
        <v>-4.1666666666666666E-3</v>
      </c>
      <c r="M1044" s="2">
        <f>tblSales[[#This Row],[Sales]]/tblSales[[#This Row],[Transactions]]</f>
        <v>239</v>
      </c>
    </row>
    <row r="1045" spans="1:13" x14ac:dyDescent="0.25">
      <c r="A1045" s="1">
        <v>46075</v>
      </c>
      <c r="B1045" t="s">
        <v>12</v>
      </c>
      <c r="C1045" t="s">
        <v>11</v>
      </c>
      <c r="D1045" t="str">
        <f>_xlfn.XLOOKUP(tblSales[[#This Row],[Store ID]],tblStores[Store ID],tblStores[Store Name])</f>
        <v>Pietermaritzburg</v>
      </c>
      <c r="E1045" t="str">
        <f>_xlfn.XLOOKUP(tblSales[[#This Row],[Store ID]],tblStores[Store ID],tblStores[Province])</f>
        <v>KZN</v>
      </c>
      <c r="F1045" t="str">
        <f>_xlfn.XLOOKUP(tblSales[[#This Row],[Store ID]],tblStores[Store ID],tblStores[Manager])</f>
        <v>Peter Brown</v>
      </c>
      <c r="G1045" t="str">
        <f>_xlfn.XLOOKUP(tblSales[[#This Row],[Category ID]],tblCategories[Category ID],tblCategories[Category])</f>
        <v>Footwear</v>
      </c>
      <c r="H1045">
        <v>30360</v>
      </c>
      <c r="I1045">
        <v>29242</v>
      </c>
      <c r="J1045">
        <v>66</v>
      </c>
      <c r="K1045">
        <f>tblSales[[#This Row],[Sales]]-tblSales[[#This Row],[Budget]]</f>
        <v>1118</v>
      </c>
      <c r="L1045" s="3">
        <f>(tblSales[[#This Row],[Sales]]-tblSales[[#This Row],[Budget]])/tblSales[[#This Row],[Budget]]</f>
        <v>3.823267902332262E-2</v>
      </c>
      <c r="M1045" s="2">
        <f>tblSales[[#This Row],[Sales]]/tblSales[[#This Row],[Transactions]]</f>
        <v>460</v>
      </c>
    </row>
    <row r="1046" spans="1:13" x14ac:dyDescent="0.25">
      <c r="A1046" s="1">
        <v>46075</v>
      </c>
      <c r="B1046" t="s">
        <v>13</v>
      </c>
      <c r="C1046" t="s">
        <v>9</v>
      </c>
      <c r="D1046" t="str">
        <f>_xlfn.XLOOKUP(tblSales[[#This Row],[Store ID]],tblStores[Store ID],tblStores[Store Name])</f>
        <v>Richards Bay</v>
      </c>
      <c r="E1046" t="str">
        <f>_xlfn.XLOOKUP(tblSales[[#This Row],[Store ID]],tblStores[Store ID],tblStores[Province])</f>
        <v>KZN</v>
      </c>
      <c r="F1046" t="str">
        <f>_xlfn.XLOOKUP(tblSales[[#This Row],[Store ID]],tblStores[Store ID],tblStores[Manager])</f>
        <v>David Green</v>
      </c>
      <c r="G1046" t="str">
        <f>_xlfn.XLOOKUP(tblSales[[#This Row],[Category ID]],tblCategories[Category ID],tblCategories[Category])</f>
        <v>Ladieswear</v>
      </c>
      <c r="H1046">
        <v>43674</v>
      </c>
      <c r="I1046">
        <v>39408</v>
      </c>
      <c r="J1046">
        <v>87</v>
      </c>
      <c r="K1046">
        <f>tblSales[[#This Row],[Sales]]-tblSales[[#This Row],[Budget]]</f>
        <v>4266</v>
      </c>
      <c r="L1046" s="3">
        <f>(tblSales[[#This Row],[Sales]]-tblSales[[#This Row],[Budget]])/tblSales[[#This Row],[Budget]]</f>
        <v>0.10825213154689403</v>
      </c>
      <c r="M1046" s="2">
        <f>tblSales[[#This Row],[Sales]]/tblSales[[#This Row],[Transactions]]</f>
        <v>502</v>
      </c>
    </row>
    <row r="1047" spans="1:13" x14ac:dyDescent="0.25">
      <c r="A1047" s="1">
        <v>46075</v>
      </c>
      <c r="B1047" t="s">
        <v>14</v>
      </c>
      <c r="C1047" t="s">
        <v>11</v>
      </c>
      <c r="D1047" t="str">
        <f>_xlfn.XLOOKUP(tblSales[[#This Row],[Store ID]],tblStores[Store ID],tblStores[Store Name])</f>
        <v>Sandton</v>
      </c>
      <c r="E1047" t="str">
        <f>_xlfn.XLOOKUP(tblSales[[#This Row],[Store ID]],tblStores[Store ID],tblStores[Province])</f>
        <v>Gauteng</v>
      </c>
      <c r="F1047" t="str">
        <f>_xlfn.XLOOKUP(tblSales[[#This Row],[Store ID]],tblStores[Store ID],tblStores[Manager])</f>
        <v>Karen White</v>
      </c>
      <c r="G1047" t="str">
        <f>_xlfn.XLOOKUP(tblSales[[#This Row],[Category ID]],tblCategories[Category ID],tblCategories[Category])</f>
        <v>Footwear</v>
      </c>
      <c r="H1047">
        <v>47124</v>
      </c>
      <c r="I1047">
        <v>50216</v>
      </c>
      <c r="J1047">
        <v>204</v>
      </c>
      <c r="K1047">
        <f>tblSales[[#This Row],[Sales]]-tblSales[[#This Row],[Budget]]</f>
        <v>-3092</v>
      </c>
      <c r="L1047" s="3">
        <f>(tblSales[[#This Row],[Sales]]-tblSales[[#This Row],[Budget]])/tblSales[[#This Row],[Budget]]</f>
        <v>-6.1574000318623548E-2</v>
      </c>
      <c r="M1047" s="2">
        <f>tblSales[[#This Row],[Sales]]/tblSales[[#This Row],[Transactions]]</f>
        <v>231</v>
      </c>
    </row>
    <row r="1048" spans="1:13" x14ac:dyDescent="0.25">
      <c r="A1048" s="1">
        <v>46075</v>
      </c>
      <c r="B1048" t="s">
        <v>15</v>
      </c>
      <c r="C1048" t="s">
        <v>22</v>
      </c>
      <c r="D1048" t="str">
        <f>_xlfn.XLOOKUP(tblSales[[#This Row],[Store ID]],tblStores[Store ID],tblStores[Store Name])</f>
        <v>Rosebank</v>
      </c>
      <c r="E1048" t="str">
        <f>_xlfn.XLOOKUP(tblSales[[#This Row],[Store ID]],tblStores[Store ID],tblStores[Province])</f>
        <v>Gauteng</v>
      </c>
      <c r="F1048" t="str">
        <f>_xlfn.XLOOKUP(tblSales[[#This Row],[Store ID]],tblStores[Store ID],tblStores[Manager])</f>
        <v>James Taylor</v>
      </c>
      <c r="G1048" t="str">
        <f>_xlfn.XLOOKUP(tblSales[[#This Row],[Category ID]],tblCategories[Category ID],tblCategories[Category])</f>
        <v>Kids</v>
      </c>
      <c r="H1048">
        <v>95060</v>
      </c>
      <c r="I1048">
        <v>102206</v>
      </c>
      <c r="J1048">
        <v>194</v>
      </c>
      <c r="K1048">
        <f>tblSales[[#This Row],[Sales]]-tblSales[[#This Row],[Budget]]</f>
        <v>-7146</v>
      </c>
      <c r="L1048" s="3">
        <f>(tblSales[[#This Row],[Sales]]-tblSales[[#This Row],[Budget]])/tblSales[[#This Row],[Budget]]</f>
        <v>-6.9917617361015982E-2</v>
      </c>
      <c r="M1048" s="2">
        <f>tblSales[[#This Row],[Sales]]/tblSales[[#This Row],[Transactions]]</f>
        <v>490</v>
      </c>
    </row>
    <row r="1049" spans="1:13" x14ac:dyDescent="0.25">
      <c r="A1049" s="1">
        <v>46075</v>
      </c>
      <c r="B1049" t="s">
        <v>16</v>
      </c>
      <c r="C1049" t="s">
        <v>11</v>
      </c>
      <c r="D1049" t="str">
        <f>_xlfn.XLOOKUP(tblSales[[#This Row],[Store ID]],tblStores[Store ID],tblStores[Store Name])</f>
        <v>Pretoria</v>
      </c>
      <c r="E1049" t="str">
        <f>_xlfn.XLOOKUP(tblSales[[#This Row],[Store ID]],tblStores[Store ID],tblStores[Province])</f>
        <v>Gauteng</v>
      </c>
      <c r="F1049" t="str">
        <f>_xlfn.XLOOKUP(tblSales[[#This Row],[Store ID]],tblStores[Store ID],tblStores[Manager])</f>
        <v>Susan Clark</v>
      </c>
      <c r="G1049" t="str">
        <f>_xlfn.XLOOKUP(tblSales[[#This Row],[Category ID]],tblCategories[Category ID],tblCategories[Category])</f>
        <v>Footwear</v>
      </c>
      <c r="H1049">
        <v>26901</v>
      </c>
      <c r="I1049">
        <v>29044</v>
      </c>
      <c r="J1049">
        <v>61</v>
      </c>
      <c r="K1049">
        <f>tblSales[[#This Row],[Sales]]-tblSales[[#This Row],[Budget]]</f>
        <v>-2143</v>
      </c>
      <c r="L1049" s="3">
        <f>(tblSales[[#This Row],[Sales]]-tblSales[[#This Row],[Budget]])/tblSales[[#This Row],[Budget]]</f>
        <v>-7.3784602671808294E-2</v>
      </c>
      <c r="M1049" s="2">
        <f>tblSales[[#This Row],[Sales]]/tblSales[[#This Row],[Transactions]]</f>
        <v>441</v>
      </c>
    </row>
    <row r="1050" spans="1:13" x14ac:dyDescent="0.25">
      <c r="A1050" s="1">
        <v>46075</v>
      </c>
      <c r="B1050" t="s">
        <v>17</v>
      </c>
      <c r="C1050" t="s">
        <v>7</v>
      </c>
      <c r="D1050" t="str">
        <f>_xlfn.XLOOKUP(tblSales[[#This Row],[Store ID]],tblStores[Store ID],tblStores[Store Name])</f>
        <v>Centurion</v>
      </c>
      <c r="E1050" t="str">
        <f>_xlfn.XLOOKUP(tblSales[[#This Row],[Store ID]],tblStores[Store ID],tblStores[Province])</f>
        <v>Gauteng</v>
      </c>
      <c r="F1050" t="str">
        <f>_xlfn.XLOOKUP(tblSales[[#This Row],[Store ID]],tblStores[Store ID],tblStores[Manager])</f>
        <v>Mark Wilson</v>
      </c>
      <c r="G1050" t="str">
        <f>_xlfn.XLOOKUP(tblSales[[#This Row],[Category ID]],tblCategories[Category ID],tblCategories[Category])</f>
        <v>Menswear</v>
      </c>
      <c r="H1050">
        <v>25466</v>
      </c>
      <c r="I1050">
        <v>27915</v>
      </c>
      <c r="J1050">
        <v>107</v>
      </c>
      <c r="K1050">
        <f>tblSales[[#This Row],[Sales]]-tblSales[[#This Row],[Budget]]</f>
        <v>-2449</v>
      </c>
      <c r="L1050" s="3">
        <f>(tblSales[[#This Row],[Sales]]-tblSales[[#This Row],[Budget]])/tblSales[[#This Row],[Budget]]</f>
        <v>-8.7730610782733295E-2</v>
      </c>
      <c r="M1050" s="2">
        <f>tblSales[[#This Row],[Sales]]/tblSales[[#This Row],[Transactions]]</f>
        <v>238</v>
      </c>
    </row>
    <row r="1051" spans="1:13" x14ac:dyDescent="0.25">
      <c r="A1051" s="1">
        <v>46075</v>
      </c>
      <c r="B1051" t="s">
        <v>18</v>
      </c>
      <c r="C1051" t="s">
        <v>11</v>
      </c>
      <c r="D1051" t="str">
        <f>_xlfn.XLOOKUP(tblSales[[#This Row],[Store ID]],tblStores[Store ID],tblStores[Store Name])</f>
        <v>East Rand</v>
      </c>
      <c r="E1051" t="str">
        <f>_xlfn.XLOOKUP(tblSales[[#This Row],[Store ID]],tblStores[Store ID],tblStores[Province])</f>
        <v>Gauteng</v>
      </c>
      <c r="F1051" t="str">
        <f>_xlfn.XLOOKUP(tblSales[[#This Row],[Store ID]],tblStores[Store ID],tblStores[Manager])</f>
        <v>Lisa Young</v>
      </c>
      <c r="G1051" t="str">
        <f>_xlfn.XLOOKUP(tblSales[[#This Row],[Category ID]],tblCategories[Category ID],tblCategories[Category])</f>
        <v>Footwear</v>
      </c>
      <c r="H1051">
        <v>41735</v>
      </c>
      <c r="I1051">
        <v>39645</v>
      </c>
      <c r="J1051">
        <v>85</v>
      </c>
      <c r="K1051">
        <f>tblSales[[#This Row],[Sales]]-tblSales[[#This Row],[Budget]]</f>
        <v>2090</v>
      </c>
      <c r="L1051" s="3">
        <f>(tblSales[[#This Row],[Sales]]-tblSales[[#This Row],[Budget]])/tblSales[[#This Row],[Budget]]</f>
        <v>5.2717871106066336E-2</v>
      </c>
      <c r="M1051" s="2">
        <f>tblSales[[#This Row],[Sales]]/tblSales[[#This Row],[Transactions]]</f>
        <v>491</v>
      </c>
    </row>
    <row r="1052" spans="1:13" x14ac:dyDescent="0.25">
      <c r="A1052" s="1">
        <v>46075</v>
      </c>
      <c r="B1052" t="s">
        <v>20</v>
      </c>
      <c r="C1052" t="s">
        <v>22</v>
      </c>
      <c r="D1052" t="str">
        <f>_xlfn.XLOOKUP(tblSales[[#This Row],[Store ID]],tblStores[Store ID],tblStores[Store Name])</f>
        <v>Cape Town CBD</v>
      </c>
      <c r="E1052" t="str">
        <f>_xlfn.XLOOKUP(tblSales[[#This Row],[Store ID]],tblStores[Store ID],tblStores[Province])</f>
        <v>Western Cape</v>
      </c>
      <c r="F1052" t="str">
        <f>_xlfn.XLOOKUP(tblSales[[#This Row],[Store ID]],tblStores[Store ID],tblStores[Manager])</f>
        <v>Brian Hall</v>
      </c>
      <c r="G1052" t="str">
        <f>_xlfn.XLOOKUP(tblSales[[#This Row],[Category ID]],tblCategories[Category ID],tblCategories[Category])</f>
        <v>Kids</v>
      </c>
      <c r="H1052">
        <v>47544</v>
      </c>
      <c r="I1052">
        <v>47043</v>
      </c>
      <c r="J1052">
        <v>168</v>
      </c>
      <c r="K1052">
        <f>tblSales[[#This Row],[Sales]]-tblSales[[#This Row],[Budget]]</f>
        <v>501</v>
      </c>
      <c r="L1052" s="3">
        <f>(tblSales[[#This Row],[Sales]]-tblSales[[#This Row],[Budget]])/tblSales[[#This Row],[Budget]]</f>
        <v>1.0649831005675658E-2</v>
      </c>
      <c r="M1052" s="2">
        <f>tblSales[[#This Row],[Sales]]/tblSales[[#This Row],[Transactions]]</f>
        <v>283</v>
      </c>
    </row>
    <row r="1053" spans="1:13" x14ac:dyDescent="0.25">
      <c r="A1053" s="1">
        <v>46075</v>
      </c>
      <c r="B1053" t="s">
        <v>21</v>
      </c>
      <c r="C1053" t="s">
        <v>11</v>
      </c>
      <c r="D1053" t="str">
        <f>_xlfn.XLOOKUP(tblSales[[#This Row],[Store ID]],tblStores[Store ID],tblStores[Store Name])</f>
        <v>Canal Walk</v>
      </c>
      <c r="E1053" t="str">
        <f>_xlfn.XLOOKUP(tblSales[[#This Row],[Store ID]],tblStores[Store ID],tblStores[Province])</f>
        <v>Western Cape</v>
      </c>
      <c r="F1053" t="str">
        <f>_xlfn.XLOOKUP(tblSales[[#This Row],[Store ID]],tblStores[Store ID],tblStores[Manager])</f>
        <v>Megan Scott</v>
      </c>
      <c r="G1053" t="str">
        <f>_xlfn.XLOOKUP(tblSales[[#This Row],[Category ID]],tblCategories[Category ID],tblCategories[Category])</f>
        <v>Footwear</v>
      </c>
      <c r="H1053">
        <v>28820</v>
      </c>
      <c r="I1053">
        <v>26221</v>
      </c>
      <c r="J1053">
        <v>110</v>
      </c>
      <c r="K1053">
        <f>tblSales[[#This Row],[Sales]]-tblSales[[#This Row],[Budget]]</f>
        <v>2599</v>
      </c>
      <c r="L1053" s="3">
        <f>(tblSales[[#This Row],[Sales]]-tblSales[[#This Row],[Budget]])/tblSales[[#This Row],[Budget]]</f>
        <v>9.9119026734296942E-2</v>
      </c>
      <c r="M1053" s="2">
        <f>tblSales[[#This Row],[Sales]]/tblSales[[#This Row],[Transactions]]</f>
        <v>262</v>
      </c>
    </row>
    <row r="1054" spans="1:13" x14ac:dyDescent="0.25">
      <c r="A1054" s="1">
        <v>46075</v>
      </c>
      <c r="B1054" t="s">
        <v>23</v>
      </c>
      <c r="C1054" t="s">
        <v>11</v>
      </c>
      <c r="D1054" t="str">
        <f>_xlfn.XLOOKUP(tblSales[[#This Row],[Store ID]],tblStores[Store ID],tblStores[Store Name])</f>
        <v>Stellenbosch</v>
      </c>
      <c r="E1054" t="str">
        <f>_xlfn.XLOOKUP(tblSales[[#This Row],[Store ID]],tblStores[Store ID],tblStores[Province])</f>
        <v>Western Cape</v>
      </c>
      <c r="F1054" t="str">
        <f>_xlfn.XLOOKUP(tblSales[[#This Row],[Store ID]],tblStores[Store ID],tblStores[Manager])</f>
        <v>Jason King</v>
      </c>
      <c r="G1054" t="str">
        <f>_xlfn.XLOOKUP(tblSales[[#This Row],[Category ID]],tblCategories[Category ID],tblCategories[Category])</f>
        <v>Footwear</v>
      </c>
      <c r="H1054">
        <v>37488</v>
      </c>
      <c r="I1054">
        <v>36837</v>
      </c>
      <c r="J1054">
        <v>88</v>
      </c>
      <c r="K1054">
        <f>tblSales[[#This Row],[Sales]]-tblSales[[#This Row],[Budget]]</f>
        <v>651</v>
      </c>
      <c r="L1054" s="3">
        <f>(tblSales[[#This Row],[Sales]]-tblSales[[#This Row],[Budget]])/tblSales[[#This Row],[Budget]]</f>
        <v>1.7672448896489942E-2</v>
      </c>
      <c r="M1054" s="2">
        <f>tblSales[[#This Row],[Sales]]/tblSales[[#This Row],[Transactions]]</f>
        <v>426</v>
      </c>
    </row>
    <row r="1055" spans="1:13" x14ac:dyDescent="0.25">
      <c r="A1055" s="1">
        <v>46075</v>
      </c>
      <c r="B1055" t="s">
        <v>24</v>
      </c>
      <c r="C1055" t="s">
        <v>7</v>
      </c>
      <c r="D1055" t="str">
        <f>_xlfn.XLOOKUP(tblSales[[#This Row],[Store ID]],tblStores[Store ID],tblStores[Store Name])</f>
        <v>George</v>
      </c>
      <c r="E1055" t="str">
        <f>_xlfn.XLOOKUP(tblSales[[#This Row],[Store ID]],tblStores[Store ID],tblStores[Province])</f>
        <v>Western Cape</v>
      </c>
      <c r="F1055" t="str">
        <f>_xlfn.XLOOKUP(tblSales[[#This Row],[Store ID]],tblStores[Store ID],tblStores[Manager])</f>
        <v>Chloe Hill</v>
      </c>
      <c r="G1055" t="str">
        <f>_xlfn.XLOOKUP(tblSales[[#This Row],[Category ID]],tblCategories[Category ID],tblCategories[Category])</f>
        <v>Menswear</v>
      </c>
      <c r="H1055">
        <v>8550</v>
      </c>
      <c r="I1055">
        <v>9633</v>
      </c>
      <c r="J1055">
        <v>38</v>
      </c>
      <c r="K1055">
        <f>tblSales[[#This Row],[Sales]]-tblSales[[#This Row],[Budget]]</f>
        <v>-1083</v>
      </c>
      <c r="L1055" s="3">
        <f>(tblSales[[#This Row],[Sales]]-tblSales[[#This Row],[Budget]])/tblSales[[#This Row],[Budget]]</f>
        <v>-0.11242603550295859</v>
      </c>
      <c r="M1055" s="2">
        <f>tblSales[[#This Row],[Sales]]/tblSales[[#This Row],[Transactions]]</f>
        <v>225</v>
      </c>
    </row>
    <row r="1056" spans="1:13" x14ac:dyDescent="0.25">
      <c r="A1056" s="1">
        <v>46075</v>
      </c>
      <c r="B1056" t="s">
        <v>25</v>
      </c>
      <c r="C1056" t="s">
        <v>19</v>
      </c>
      <c r="D1056" t="str">
        <f>_xlfn.XLOOKUP(tblSales[[#This Row],[Store ID]],tblStores[Store ID],tblStores[Store Name])</f>
        <v>Paarl</v>
      </c>
      <c r="E1056" t="str">
        <f>_xlfn.XLOOKUP(tblSales[[#This Row],[Store ID]],tblStores[Store ID],tblStores[Province])</f>
        <v>Western Cape</v>
      </c>
      <c r="F1056" t="str">
        <f>_xlfn.XLOOKUP(tblSales[[#This Row],[Store ID]],tblStores[Store ID],tblStores[Manager])</f>
        <v>Andrew Lee</v>
      </c>
      <c r="G1056" t="str">
        <f>_xlfn.XLOOKUP(tblSales[[#This Row],[Category ID]],tblCategories[Category ID],tblCategories[Category])</f>
        <v>Accessories</v>
      </c>
      <c r="H1056">
        <v>88992</v>
      </c>
      <c r="I1056">
        <v>83410</v>
      </c>
      <c r="J1056">
        <v>206</v>
      </c>
      <c r="K1056">
        <f>tblSales[[#This Row],[Sales]]-tblSales[[#This Row],[Budget]]</f>
        <v>5582</v>
      </c>
      <c r="L1056" s="3">
        <f>(tblSales[[#This Row],[Sales]]-tblSales[[#This Row],[Budget]])/tblSales[[#This Row],[Budget]]</f>
        <v>6.6922431363145907E-2</v>
      </c>
      <c r="M1056" s="2">
        <f>tblSales[[#This Row],[Sales]]/tblSales[[#This Row],[Transactions]]</f>
        <v>432</v>
      </c>
    </row>
    <row r="1057" spans="1:13" x14ac:dyDescent="0.25">
      <c r="A1057" s="1">
        <v>46075</v>
      </c>
      <c r="B1057" t="s">
        <v>26</v>
      </c>
      <c r="C1057" t="s">
        <v>7</v>
      </c>
      <c r="D1057" t="str">
        <f>_xlfn.XLOOKUP(tblSales[[#This Row],[Store ID]],tblStores[Store ID],tblStores[Store Name])</f>
        <v>Gqeberha</v>
      </c>
      <c r="E1057" t="str">
        <f>_xlfn.XLOOKUP(tblSales[[#This Row],[Store ID]],tblStores[Store ID],tblStores[Province])</f>
        <v>Eastern Cape</v>
      </c>
      <c r="F1057" t="str">
        <f>_xlfn.XLOOKUP(tblSales[[#This Row],[Store ID]],tblStores[Store ID],tblStores[Manager])</f>
        <v>Emma Baker</v>
      </c>
      <c r="G1057" t="str">
        <f>_xlfn.XLOOKUP(tblSales[[#This Row],[Category ID]],tblCategories[Category ID],tblCategories[Category])</f>
        <v>Menswear</v>
      </c>
      <c r="H1057">
        <v>35970</v>
      </c>
      <c r="I1057">
        <v>38879</v>
      </c>
      <c r="J1057">
        <v>165</v>
      </c>
      <c r="K1057">
        <f>tblSales[[#This Row],[Sales]]-tblSales[[#This Row],[Budget]]</f>
        <v>-2909</v>
      </c>
      <c r="L1057" s="3">
        <f>(tblSales[[#This Row],[Sales]]-tblSales[[#This Row],[Budget]])/tblSales[[#This Row],[Budget]]</f>
        <v>-7.4821883278890916E-2</v>
      </c>
      <c r="M1057" s="2">
        <f>tblSales[[#This Row],[Sales]]/tblSales[[#This Row],[Transactions]]</f>
        <v>218</v>
      </c>
    </row>
    <row r="1058" spans="1:13" x14ac:dyDescent="0.25">
      <c r="A1058" s="1">
        <v>46075</v>
      </c>
      <c r="B1058" t="s">
        <v>27</v>
      </c>
      <c r="C1058" t="s">
        <v>7</v>
      </c>
      <c r="D1058" t="str">
        <f>_xlfn.XLOOKUP(tblSales[[#This Row],[Store ID]],tblStores[Store ID],tblStores[Store Name])</f>
        <v>East London</v>
      </c>
      <c r="E1058" t="str">
        <f>_xlfn.XLOOKUP(tblSales[[#This Row],[Store ID]],tblStores[Store ID],tblStores[Province])</f>
        <v>Eastern Cape</v>
      </c>
      <c r="F1058" t="str">
        <f>_xlfn.XLOOKUP(tblSales[[#This Row],[Store ID]],tblStores[Store ID],tblStores[Manager])</f>
        <v>Daniel Evans</v>
      </c>
      <c r="G1058" t="str">
        <f>_xlfn.XLOOKUP(tblSales[[#This Row],[Category ID]],tblCategories[Category ID],tblCategories[Category])</f>
        <v>Menswear</v>
      </c>
      <c r="H1058">
        <v>50900</v>
      </c>
      <c r="I1058">
        <v>48751</v>
      </c>
      <c r="J1058">
        <v>100</v>
      </c>
      <c r="K1058">
        <f>tblSales[[#This Row],[Sales]]-tblSales[[#This Row],[Budget]]</f>
        <v>2149</v>
      </c>
      <c r="L1058" s="3">
        <f>(tblSales[[#This Row],[Sales]]-tblSales[[#This Row],[Budget]])/tblSales[[#This Row],[Budget]]</f>
        <v>4.4081147053393777E-2</v>
      </c>
      <c r="M1058" s="2">
        <f>tblSales[[#This Row],[Sales]]/tblSales[[#This Row],[Transactions]]</f>
        <v>509</v>
      </c>
    </row>
    <row r="1059" spans="1:13" x14ac:dyDescent="0.25">
      <c r="A1059" s="1">
        <v>46075</v>
      </c>
      <c r="B1059" t="s">
        <v>28</v>
      </c>
      <c r="C1059" t="s">
        <v>22</v>
      </c>
      <c r="D1059" t="str">
        <f>_xlfn.XLOOKUP(tblSales[[#This Row],[Store ID]],tblStores[Store ID],tblStores[Store Name])</f>
        <v>Bloemfontein</v>
      </c>
      <c r="E1059" t="str">
        <f>_xlfn.XLOOKUP(tblSales[[#This Row],[Store ID]],tblStores[Store ID],tblStores[Province])</f>
        <v>Free State</v>
      </c>
      <c r="F1059" t="str">
        <f>_xlfn.XLOOKUP(tblSales[[#This Row],[Store ID]],tblStores[Store ID],tblStores[Manager])</f>
        <v>Rachel Moore</v>
      </c>
      <c r="G1059" t="str">
        <f>_xlfn.XLOOKUP(tblSales[[#This Row],[Category ID]],tblCategories[Category ID],tblCategories[Category])</f>
        <v>Kids</v>
      </c>
      <c r="H1059">
        <v>42534</v>
      </c>
      <c r="I1059">
        <v>38813</v>
      </c>
      <c r="J1059">
        <v>102</v>
      </c>
      <c r="K1059">
        <f>tblSales[[#This Row],[Sales]]-tblSales[[#This Row],[Budget]]</f>
        <v>3721</v>
      </c>
      <c r="L1059" s="3">
        <f>(tblSales[[#This Row],[Sales]]-tblSales[[#This Row],[Budget]])/tblSales[[#This Row],[Budget]]</f>
        <v>9.5869940483858496E-2</v>
      </c>
      <c r="M1059" s="2">
        <f>tblSales[[#This Row],[Sales]]/tblSales[[#This Row],[Transactions]]</f>
        <v>417</v>
      </c>
    </row>
    <row r="1060" spans="1:13" x14ac:dyDescent="0.25">
      <c r="A1060" s="1">
        <v>46075</v>
      </c>
      <c r="B1060" t="s">
        <v>29</v>
      </c>
      <c r="C1060" t="s">
        <v>9</v>
      </c>
      <c r="D1060" t="str">
        <f>_xlfn.XLOOKUP(tblSales[[#This Row],[Store ID]],tblStores[Store ID],tblStores[Store Name])</f>
        <v>Polokwane</v>
      </c>
      <c r="E1060" t="str">
        <f>_xlfn.XLOOKUP(tblSales[[#This Row],[Store ID]],tblStores[Store ID],tblStores[Province])</f>
        <v>Limpopo</v>
      </c>
      <c r="F1060" t="str">
        <f>_xlfn.XLOOKUP(tblSales[[#This Row],[Store ID]],tblStores[Store ID],tblStores[Manager])</f>
        <v>Kevin Harris</v>
      </c>
      <c r="G1060" t="str">
        <f>_xlfn.XLOOKUP(tblSales[[#This Row],[Category ID]],tblCategories[Category ID],tblCategories[Category])</f>
        <v>Ladieswear</v>
      </c>
      <c r="H1060">
        <v>14760</v>
      </c>
      <c r="I1060">
        <v>14613</v>
      </c>
      <c r="J1060">
        <v>45</v>
      </c>
      <c r="K1060">
        <f>tblSales[[#This Row],[Sales]]-tblSales[[#This Row],[Budget]]</f>
        <v>147</v>
      </c>
      <c r="L1060" s="3">
        <f>(tblSales[[#This Row],[Sales]]-tblSales[[#This Row],[Budget]])/tblSales[[#This Row],[Budget]]</f>
        <v>1.0059536029562718E-2</v>
      </c>
      <c r="M1060" s="2">
        <f>tblSales[[#This Row],[Sales]]/tblSales[[#This Row],[Transactions]]</f>
        <v>328</v>
      </c>
    </row>
    <row r="1061" spans="1:13" x14ac:dyDescent="0.25">
      <c r="A1061" s="1">
        <v>46075</v>
      </c>
      <c r="B1061" t="s">
        <v>30</v>
      </c>
      <c r="C1061" t="s">
        <v>22</v>
      </c>
      <c r="D1061" t="str">
        <f>_xlfn.XLOOKUP(tblSales[[#This Row],[Store ID]],tblStores[Store ID],tblStores[Store Name])</f>
        <v>Nelspruit</v>
      </c>
      <c r="E1061" t="str">
        <f>_xlfn.XLOOKUP(tblSales[[#This Row],[Store ID]],tblStores[Store ID],tblStores[Province])</f>
        <v>Mpumalanga</v>
      </c>
      <c r="F1061" t="str">
        <f>_xlfn.XLOOKUP(tblSales[[#This Row],[Store ID]],tblStores[Store ID],tblStores[Manager])</f>
        <v>Olivia Turner</v>
      </c>
      <c r="G1061" t="str">
        <f>_xlfn.XLOOKUP(tblSales[[#This Row],[Category ID]],tblCategories[Category ID],tblCategories[Category])</f>
        <v>Kids</v>
      </c>
      <c r="H1061">
        <v>34416</v>
      </c>
      <c r="I1061">
        <v>31791</v>
      </c>
      <c r="J1061">
        <v>144</v>
      </c>
      <c r="K1061">
        <f>tblSales[[#This Row],[Sales]]-tblSales[[#This Row],[Budget]]</f>
        <v>2625</v>
      </c>
      <c r="L1061" s="3">
        <f>(tblSales[[#This Row],[Sales]]-tblSales[[#This Row],[Budget]])/tblSales[[#This Row],[Budget]]</f>
        <v>8.2570538831744839E-2</v>
      </c>
      <c r="M1061" s="2">
        <f>tblSales[[#This Row],[Sales]]/tblSales[[#This Row],[Transactions]]</f>
        <v>239</v>
      </c>
    </row>
    <row r="1062" spans="1:13" x14ac:dyDescent="0.25">
      <c r="A1062" s="1">
        <v>46076</v>
      </c>
      <c r="B1062" t="s">
        <v>6</v>
      </c>
      <c r="C1062" t="s">
        <v>7</v>
      </c>
      <c r="D1062" t="str">
        <f>_xlfn.XLOOKUP(tblSales[[#This Row],[Store ID]],tblStores[Store ID],tblStores[Store Name])</f>
        <v>Durban CBD</v>
      </c>
      <c r="E1062" t="str">
        <f>_xlfn.XLOOKUP(tblSales[[#This Row],[Store ID]],tblStores[Store ID],tblStores[Province])</f>
        <v>KZN</v>
      </c>
      <c r="F1062" t="str">
        <f>_xlfn.XLOOKUP(tblSales[[#This Row],[Store ID]],tblStores[Store ID],tblStores[Manager])</f>
        <v>Sarah Adams</v>
      </c>
      <c r="G1062" t="str">
        <f>_xlfn.XLOOKUP(tblSales[[#This Row],[Category ID]],tblCategories[Category ID],tblCategories[Category])</f>
        <v>Menswear</v>
      </c>
      <c r="H1062">
        <v>9250</v>
      </c>
      <c r="I1062">
        <v>9859</v>
      </c>
      <c r="J1062">
        <v>37</v>
      </c>
      <c r="K1062">
        <f>tblSales[[#This Row],[Sales]]-tblSales[[#This Row],[Budget]]</f>
        <v>-609</v>
      </c>
      <c r="L1062" s="3">
        <f>(tblSales[[#This Row],[Sales]]-tblSales[[#This Row],[Budget]])/tblSales[[#This Row],[Budget]]</f>
        <v>-6.1770970686682219E-2</v>
      </c>
      <c r="M1062" s="2">
        <f>tblSales[[#This Row],[Sales]]/tblSales[[#This Row],[Transactions]]</f>
        <v>250</v>
      </c>
    </row>
    <row r="1063" spans="1:13" x14ac:dyDescent="0.25">
      <c r="A1063" s="1">
        <v>46076</v>
      </c>
      <c r="B1063" t="s">
        <v>8</v>
      </c>
      <c r="C1063" t="s">
        <v>9</v>
      </c>
      <c r="D1063" t="str">
        <f>_xlfn.XLOOKUP(tblSales[[#This Row],[Store ID]],tblStores[Store ID],tblStores[Store Name])</f>
        <v>Gateway</v>
      </c>
      <c r="E1063" t="str">
        <f>_xlfn.XLOOKUP(tblSales[[#This Row],[Store ID]],tblStores[Store ID],tblStores[Province])</f>
        <v>KZN</v>
      </c>
      <c r="F1063" t="str">
        <f>_xlfn.XLOOKUP(tblSales[[#This Row],[Store ID]],tblStores[Store ID],tblStores[Manager])</f>
        <v>Michael Jones</v>
      </c>
      <c r="G1063" t="str">
        <f>_xlfn.XLOOKUP(tblSales[[#This Row],[Category ID]],tblCategories[Category ID],tblCategories[Category])</f>
        <v>Ladieswear</v>
      </c>
      <c r="H1063">
        <v>43197</v>
      </c>
      <c r="I1063">
        <v>48537</v>
      </c>
      <c r="J1063">
        <v>119</v>
      </c>
      <c r="K1063">
        <f>tblSales[[#This Row],[Sales]]-tblSales[[#This Row],[Budget]]</f>
        <v>-5340</v>
      </c>
      <c r="L1063" s="3">
        <f>(tblSales[[#This Row],[Sales]]-tblSales[[#This Row],[Budget]])/tblSales[[#This Row],[Budget]]</f>
        <v>-0.11001916064033623</v>
      </c>
      <c r="M1063" s="2">
        <f>tblSales[[#This Row],[Sales]]/tblSales[[#This Row],[Transactions]]</f>
        <v>363</v>
      </c>
    </row>
    <row r="1064" spans="1:13" x14ac:dyDescent="0.25">
      <c r="A1064" s="1">
        <v>46076</v>
      </c>
      <c r="B1064" t="s">
        <v>10</v>
      </c>
      <c r="C1064" t="s">
        <v>19</v>
      </c>
      <c r="D1064" t="str">
        <f>_xlfn.XLOOKUP(tblSales[[#This Row],[Store ID]],tblStores[Store ID],tblStores[Store Name])</f>
        <v>Ballito</v>
      </c>
      <c r="E1064" t="str">
        <f>_xlfn.XLOOKUP(tblSales[[#This Row],[Store ID]],tblStores[Store ID],tblStores[Province])</f>
        <v>KZN</v>
      </c>
      <c r="F1064" t="str">
        <f>_xlfn.XLOOKUP(tblSales[[#This Row],[Store ID]],tblStores[Store ID],tblStores[Manager])</f>
        <v>Linda Smith</v>
      </c>
      <c r="G1064" t="str">
        <f>_xlfn.XLOOKUP(tblSales[[#This Row],[Category ID]],tblCategories[Category ID],tblCategories[Category])</f>
        <v>Accessories</v>
      </c>
      <c r="H1064">
        <v>23381</v>
      </c>
      <c r="I1064">
        <v>23220</v>
      </c>
      <c r="J1064">
        <v>103</v>
      </c>
      <c r="K1064">
        <f>tblSales[[#This Row],[Sales]]-tblSales[[#This Row],[Budget]]</f>
        <v>161</v>
      </c>
      <c r="L1064" s="3">
        <f>(tblSales[[#This Row],[Sales]]-tblSales[[#This Row],[Budget]])/tblSales[[#This Row],[Budget]]</f>
        <v>6.9336778639104224E-3</v>
      </c>
      <c r="M1064" s="2">
        <f>tblSales[[#This Row],[Sales]]/tblSales[[#This Row],[Transactions]]</f>
        <v>227</v>
      </c>
    </row>
    <row r="1065" spans="1:13" x14ac:dyDescent="0.25">
      <c r="A1065" s="1">
        <v>46076</v>
      </c>
      <c r="B1065" t="s">
        <v>12</v>
      </c>
      <c r="C1065" t="s">
        <v>22</v>
      </c>
      <c r="D1065" t="str">
        <f>_xlfn.XLOOKUP(tblSales[[#This Row],[Store ID]],tblStores[Store ID],tblStores[Store Name])</f>
        <v>Pietermaritzburg</v>
      </c>
      <c r="E1065" t="str">
        <f>_xlfn.XLOOKUP(tblSales[[#This Row],[Store ID]],tblStores[Store ID],tblStores[Province])</f>
        <v>KZN</v>
      </c>
      <c r="F1065" t="str">
        <f>_xlfn.XLOOKUP(tblSales[[#This Row],[Store ID]],tblStores[Store ID],tblStores[Manager])</f>
        <v>Peter Brown</v>
      </c>
      <c r="G1065" t="str">
        <f>_xlfn.XLOOKUP(tblSales[[#This Row],[Category ID]],tblCategories[Category ID],tblCategories[Category])</f>
        <v>Kids</v>
      </c>
      <c r="H1065">
        <v>19278</v>
      </c>
      <c r="I1065">
        <v>19281</v>
      </c>
      <c r="J1065">
        <v>81</v>
      </c>
      <c r="K1065">
        <f>tblSales[[#This Row],[Sales]]-tblSales[[#This Row],[Budget]]</f>
        <v>-3</v>
      </c>
      <c r="L1065" s="3">
        <f>(tblSales[[#This Row],[Sales]]-tblSales[[#This Row],[Budget]])/tblSales[[#This Row],[Budget]]</f>
        <v>-1.5559358954411078E-4</v>
      </c>
      <c r="M1065" s="2">
        <f>tblSales[[#This Row],[Sales]]/tblSales[[#This Row],[Transactions]]</f>
        <v>238</v>
      </c>
    </row>
    <row r="1066" spans="1:13" x14ac:dyDescent="0.25">
      <c r="A1066" s="1">
        <v>46076</v>
      </c>
      <c r="B1066" t="s">
        <v>13</v>
      </c>
      <c r="C1066" t="s">
        <v>11</v>
      </c>
      <c r="D1066" t="str">
        <f>_xlfn.XLOOKUP(tblSales[[#This Row],[Store ID]],tblStores[Store ID],tblStores[Store Name])</f>
        <v>Richards Bay</v>
      </c>
      <c r="E1066" t="str">
        <f>_xlfn.XLOOKUP(tblSales[[#This Row],[Store ID]],tblStores[Store ID],tblStores[Province])</f>
        <v>KZN</v>
      </c>
      <c r="F1066" t="str">
        <f>_xlfn.XLOOKUP(tblSales[[#This Row],[Store ID]],tblStores[Store ID],tblStores[Manager])</f>
        <v>David Green</v>
      </c>
      <c r="G1066" t="str">
        <f>_xlfn.XLOOKUP(tblSales[[#This Row],[Category ID]],tblCategories[Category ID],tblCategories[Category])</f>
        <v>Footwear</v>
      </c>
      <c r="H1066">
        <v>39208</v>
      </c>
      <c r="I1066">
        <v>42049</v>
      </c>
      <c r="J1066">
        <v>104</v>
      </c>
      <c r="K1066">
        <f>tblSales[[#This Row],[Sales]]-tblSales[[#This Row],[Budget]]</f>
        <v>-2841</v>
      </c>
      <c r="L1066" s="3">
        <f>(tblSales[[#This Row],[Sales]]-tblSales[[#This Row],[Budget]])/tblSales[[#This Row],[Budget]]</f>
        <v>-6.7564032438345745E-2</v>
      </c>
      <c r="M1066" s="2">
        <f>tblSales[[#This Row],[Sales]]/tblSales[[#This Row],[Transactions]]</f>
        <v>377</v>
      </c>
    </row>
    <row r="1067" spans="1:13" x14ac:dyDescent="0.25">
      <c r="A1067" s="1">
        <v>46076</v>
      </c>
      <c r="B1067" t="s">
        <v>14</v>
      </c>
      <c r="C1067" t="s">
        <v>11</v>
      </c>
      <c r="D1067" t="str">
        <f>_xlfn.XLOOKUP(tblSales[[#This Row],[Store ID]],tblStores[Store ID],tblStores[Store Name])</f>
        <v>Sandton</v>
      </c>
      <c r="E1067" t="str">
        <f>_xlfn.XLOOKUP(tblSales[[#This Row],[Store ID]],tblStores[Store ID],tblStores[Province])</f>
        <v>Gauteng</v>
      </c>
      <c r="F1067" t="str">
        <f>_xlfn.XLOOKUP(tblSales[[#This Row],[Store ID]],tblStores[Store ID],tblStores[Manager])</f>
        <v>Karen White</v>
      </c>
      <c r="G1067" t="str">
        <f>_xlfn.XLOOKUP(tblSales[[#This Row],[Category ID]],tblCategories[Category ID],tblCategories[Category])</f>
        <v>Footwear</v>
      </c>
      <c r="H1067">
        <v>72704</v>
      </c>
      <c r="I1067">
        <v>81539</v>
      </c>
      <c r="J1067">
        <v>142</v>
      </c>
      <c r="K1067">
        <f>tblSales[[#This Row],[Sales]]-tblSales[[#This Row],[Budget]]</f>
        <v>-8835</v>
      </c>
      <c r="L1067" s="3">
        <f>(tblSales[[#This Row],[Sales]]-tblSales[[#This Row],[Budget]])/tblSales[[#This Row],[Budget]]</f>
        <v>-0.1083530580458431</v>
      </c>
      <c r="M1067" s="2">
        <f>tblSales[[#This Row],[Sales]]/tblSales[[#This Row],[Transactions]]</f>
        <v>512</v>
      </c>
    </row>
    <row r="1068" spans="1:13" x14ac:dyDescent="0.25">
      <c r="A1068" s="1">
        <v>46076</v>
      </c>
      <c r="B1068" t="s">
        <v>15</v>
      </c>
      <c r="C1068" t="s">
        <v>9</v>
      </c>
      <c r="D1068" t="str">
        <f>_xlfn.XLOOKUP(tblSales[[#This Row],[Store ID]],tblStores[Store ID],tblStores[Store Name])</f>
        <v>Rosebank</v>
      </c>
      <c r="E1068" t="str">
        <f>_xlfn.XLOOKUP(tblSales[[#This Row],[Store ID]],tblStores[Store ID],tblStores[Province])</f>
        <v>Gauteng</v>
      </c>
      <c r="F1068" t="str">
        <f>_xlfn.XLOOKUP(tblSales[[#This Row],[Store ID]],tblStores[Store ID],tblStores[Manager])</f>
        <v>James Taylor</v>
      </c>
      <c r="G1068" t="str">
        <f>_xlfn.XLOOKUP(tblSales[[#This Row],[Category ID]],tblCategories[Category ID],tblCategories[Category])</f>
        <v>Ladieswear</v>
      </c>
      <c r="H1068">
        <v>15561</v>
      </c>
      <c r="I1068">
        <v>16713</v>
      </c>
      <c r="J1068">
        <v>63</v>
      </c>
      <c r="K1068">
        <f>tblSales[[#This Row],[Sales]]-tblSales[[#This Row],[Budget]]</f>
        <v>-1152</v>
      </c>
      <c r="L1068" s="3">
        <f>(tblSales[[#This Row],[Sales]]-tblSales[[#This Row],[Budget]])/tblSales[[#This Row],[Budget]]</f>
        <v>-6.8928379106085083E-2</v>
      </c>
      <c r="M1068" s="2">
        <f>tblSales[[#This Row],[Sales]]/tblSales[[#This Row],[Transactions]]</f>
        <v>247</v>
      </c>
    </row>
    <row r="1069" spans="1:13" x14ac:dyDescent="0.25">
      <c r="A1069" s="1">
        <v>46076</v>
      </c>
      <c r="B1069" t="s">
        <v>16</v>
      </c>
      <c r="C1069" t="s">
        <v>7</v>
      </c>
      <c r="D1069" t="str">
        <f>_xlfn.XLOOKUP(tblSales[[#This Row],[Store ID]],tblStores[Store ID],tblStores[Store Name])</f>
        <v>Pretoria</v>
      </c>
      <c r="E1069" t="str">
        <f>_xlfn.XLOOKUP(tblSales[[#This Row],[Store ID]],tblStores[Store ID],tblStores[Province])</f>
        <v>Gauteng</v>
      </c>
      <c r="F1069" t="str">
        <f>_xlfn.XLOOKUP(tblSales[[#This Row],[Store ID]],tblStores[Store ID],tblStores[Manager])</f>
        <v>Susan Clark</v>
      </c>
      <c r="G1069" t="str">
        <f>_xlfn.XLOOKUP(tblSales[[#This Row],[Category ID]],tblCategories[Category ID],tblCategories[Category])</f>
        <v>Menswear</v>
      </c>
      <c r="H1069">
        <v>17475</v>
      </c>
      <c r="I1069">
        <v>17545</v>
      </c>
      <c r="J1069">
        <v>75</v>
      </c>
      <c r="K1069">
        <f>tblSales[[#This Row],[Sales]]-tblSales[[#This Row],[Budget]]</f>
        <v>-70</v>
      </c>
      <c r="L1069" s="3">
        <f>(tblSales[[#This Row],[Sales]]-tblSales[[#This Row],[Budget]])/tblSales[[#This Row],[Budget]]</f>
        <v>-3.9897406668566544E-3</v>
      </c>
      <c r="M1069" s="2">
        <f>tblSales[[#This Row],[Sales]]/tblSales[[#This Row],[Transactions]]</f>
        <v>233</v>
      </c>
    </row>
    <row r="1070" spans="1:13" x14ac:dyDescent="0.25">
      <c r="A1070" s="1">
        <v>46076</v>
      </c>
      <c r="B1070" t="s">
        <v>17</v>
      </c>
      <c r="C1070" t="s">
        <v>19</v>
      </c>
      <c r="D1070" t="str">
        <f>_xlfn.XLOOKUP(tblSales[[#This Row],[Store ID]],tblStores[Store ID],tblStores[Store Name])</f>
        <v>Centurion</v>
      </c>
      <c r="E1070" t="str">
        <f>_xlfn.XLOOKUP(tblSales[[#This Row],[Store ID]],tblStores[Store ID],tblStores[Province])</f>
        <v>Gauteng</v>
      </c>
      <c r="F1070" t="str">
        <f>_xlfn.XLOOKUP(tblSales[[#This Row],[Store ID]],tblStores[Store ID],tblStores[Manager])</f>
        <v>Mark Wilson</v>
      </c>
      <c r="G1070" t="str">
        <f>_xlfn.XLOOKUP(tblSales[[#This Row],[Category ID]],tblCategories[Category ID],tblCategories[Category])</f>
        <v>Accessories</v>
      </c>
      <c r="H1070">
        <v>74418</v>
      </c>
      <c r="I1070">
        <v>79597</v>
      </c>
      <c r="J1070">
        <v>158</v>
      </c>
      <c r="K1070">
        <f>tblSales[[#This Row],[Sales]]-tblSales[[#This Row],[Budget]]</f>
        <v>-5179</v>
      </c>
      <c r="L1070" s="3">
        <f>(tblSales[[#This Row],[Sales]]-tblSales[[#This Row],[Budget]])/tblSales[[#This Row],[Budget]]</f>
        <v>-6.506526627887986E-2</v>
      </c>
      <c r="M1070" s="2">
        <f>tblSales[[#This Row],[Sales]]/tblSales[[#This Row],[Transactions]]</f>
        <v>471</v>
      </c>
    </row>
    <row r="1071" spans="1:13" x14ac:dyDescent="0.25">
      <c r="A1071" s="1">
        <v>46076</v>
      </c>
      <c r="B1071" t="s">
        <v>18</v>
      </c>
      <c r="C1071" t="s">
        <v>9</v>
      </c>
      <c r="D1071" t="str">
        <f>_xlfn.XLOOKUP(tblSales[[#This Row],[Store ID]],tblStores[Store ID],tblStores[Store Name])</f>
        <v>East Rand</v>
      </c>
      <c r="E1071" t="str">
        <f>_xlfn.XLOOKUP(tblSales[[#This Row],[Store ID]],tblStores[Store ID],tblStores[Province])</f>
        <v>Gauteng</v>
      </c>
      <c r="F1071" t="str">
        <f>_xlfn.XLOOKUP(tblSales[[#This Row],[Store ID]],tblStores[Store ID],tblStores[Manager])</f>
        <v>Lisa Young</v>
      </c>
      <c r="G1071" t="str">
        <f>_xlfn.XLOOKUP(tblSales[[#This Row],[Category ID]],tblCategories[Category ID],tblCategories[Category])</f>
        <v>Ladieswear</v>
      </c>
      <c r="H1071">
        <v>71434</v>
      </c>
      <c r="I1071">
        <v>78205</v>
      </c>
      <c r="J1071">
        <v>191</v>
      </c>
      <c r="K1071">
        <f>tblSales[[#This Row],[Sales]]-tblSales[[#This Row],[Budget]]</f>
        <v>-6771</v>
      </c>
      <c r="L1071" s="3">
        <f>(tblSales[[#This Row],[Sales]]-tblSales[[#This Row],[Budget]])/tblSales[[#This Row],[Budget]]</f>
        <v>-8.6580141934658905E-2</v>
      </c>
      <c r="M1071" s="2">
        <f>tblSales[[#This Row],[Sales]]/tblSales[[#This Row],[Transactions]]</f>
        <v>374</v>
      </c>
    </row>
    <row r="1072" spans="1:13" x14ac:dyDescent="0.25">
      <c r="A1072" s="1">
        <v>46076</v>
      </c>
      <c r="B1072" t="s">
        <v>20</v>
      </c>
      <c r="C1072" t="s">
        <v>19</v>
      </c>
      <c r="D1072" t="str">
        <f>_xlfn.XLOOKUP(tblSales[[#This Row],[Store ID]],tblStores[Store ID],tblStores[Store Name])</f>
        <v>Cape Town CBD</v>
      </c>
      <c r="E1072" t="str">
        <f>_xlfn.XLOOKUP(tblSales[[#This Row],[Store ID]],tblStores[Store ID],tblStores[Province])</f>
        <v>Western Cape</v>
      </c>
      <c r="F1072" t="str">
        <f>_xlfn.XLOOKUP(tblSales[[#This Row],[Store ID]],tblStores[Store ID],tblStores[Manager])</f>
        <v>Brian Hall</v>
      </c>
      <c r="G1072" t="str">
        <f>_xlfn.XLOOKUP(tblSales[[#This Row],[Category ID]],tblCategories[Category ID],tblCategories[Category])</f>
        <v>Accessories</v>
      </c>
      <c r="H1072">
        <v>10332</v>
      </c>
      <c r="I1072">
        <v>10546</v>
      </c>
      <c r="J1072">
        <v>42</v>
      </c>
      <c r="K1072">
        <f>tblSales[[#This Row],[Sales]]-tblSales[[#This Row],[Budget]]</f>
        <v>-214</v>
      </c>
      <c r="L1072" s="3">
        <f>(tblSales[[#This Row],[Sales]]-tblSales[[#This Row],[Budget]])/tblSales[[#This Row],[Budget]]</f>
        <v>-2.0292053859283142E-2</v>
      </c>
      <c r="M1072" s="2">
        <f>tblSales[[#This Row],[Sales]]/tblSales[[#This Row],[Transactions]]</f>
        <v>246</v>
      </c>
    </row>
    <row r="1073" spans="1:13" x14ac:dyDescent="0.25">
      <c r="A1073" s="1">
        <v>46076</v>
      </c>
      <c r="B1073" t="s">
        <v>21</v>
      </c>
      <c r="C1073" t="s">
        <v>11</v>
      </c>
      <c r="D1073" t="str">
        <f>_xlfn.XLOOKUP(tblSales[[#This Row],[Store ID]],tblStores[Store ID],tblStores[Store Name])</f>
        <v>Canal Walk</v>
      </c>
      <c r="E1073" t="str">
        <f>_xlfn.XLOOKUP(tblSales[[#This Row],[Store ID]],tblStores[Store ID],tblStores[Province])</f>
        <v>Western Cape</v>
      </c>
      <c r="F1073" t="str">
        <f>_xlfn.XLOOKUP(tblSales[[#This Row],[Store ID]],tblStores[Store ID],tblStores[Manager])</f>
        <v>Megan Scott</v>
      </c>
      <c r="G1073" t="str">
        <f>_xlfn.XLOOKUP(tblSales[[#This Row],[Category ID]],tblCategories[Category ID],tblCategories[Category])</f>
        <v>Footwear</v>
      </c>
      <c r="H1073">
        <v>24570</v>
      </c>
      <c r="I1073">
        <v>24819</v>
      </c>
      <c r="J1073">
        <v>63</v>
      </c>
      <c r="K1073">
        <f>tblSales[[#This Row],[Sales]]-tblSales[[#This Row],[Budget]]</f>
        <v>-249</v>
      </c>
      <c r="L1073" s="3">
        <f>(tblSales[[#This Row],[Sales]]-tblSales[[#This Row],[Budget]])/tblSales[[#This Row],[Budget]]</f>
        <v>-1.0032636286715822E-2</v>
      </c>
      <c r="M1073" s="2">
        <f>tblSales[[#This Row],[Sales]]/tblSales[[#This Row],[Transactions]]</f>
        <v>390</v>
      </c>
    </row>
    <row r="1074" spans="1:13" x14ac:dyDescent="0.25">
      <c r="A1074" s="1">
        <v>46076</v>
      </c>
      <c r="B1074" t="s">
        <v>23</v>
      </c>
      <c r="C1074" t="s">
        <v>7</v>
      </c>
      <c r="D1074" t="str">
        <f>_xlfn.XLOOKUP(tblSales[[#This Row],[Store ID]],tblStores[Store ID],tblStores[Store Name])</f>
        <v>Stellenbosch</v>
      </c>
      <c r="E1074" t="str">
        <f>_xlfn.XLOOKUP(tblSales[[#This Row],[Store ID]],tblStores[Store ID],tblStores[Province])</f>
        <v>Western Cape</v>
      </c>
      <c r="F1074" t="str">
        <f>_xlfn.XLOOKUP(tblSales[[#This Row],[Store ID]],tblStores[Store ID],tblStores[Manager])</f>
        <v>Jason King</v>
      </c>
      <c r="G1074" t="str">
        <f>_xlfn.XLOOKUP(tblSales[[#This Row],[Category ID]],tblCategories[Category ID],tblCategories[Category])</f>
        <v>Menswear</v>
      </c>
      <c r="H1074">
        <v>52015</v>
      </c>
      <c r="I1074">
        <v>50899</v>
      </c>
      <c r="J1074">
        <v>101</v>
      </c>
      <c r="K1074">
        <f>tblSales[[#This Row],[Sales]]-tblSales[[#This Row],[Budget]]</f>
        <v>1116</v>
      </c>
      <c r="L1074" s="3">
        <f>(tblSales[[#This Row],[Sales]]-tblSales[[#This Row],[Budget]])/tblSales[[#This Row],[Budget]]</f>
        <v>2.1925774573174326E-2</v>
      </c>
      <c r="M1074" s="2">
        <f>tblSales[[#This Row],[Sales]]/tblSales[[#This Row],[Transactions]]</f>
        <v>515</v>
      </c>
    </row>
    <row r="1075" spans="1:13" x14ac:dyDescent="0.25">
      <c r="A1075" s="1">
        <v>46076</v>
      </c>
      <c r="B1075" t="s">
        <v>24</v>
      </c>
      <c r="C1075" t="s">
        <v>19</v>
      </c>
      <c r="D1075" t="str">
        <f>_xlfn.XLOOKUP(tblSales[[#This Row],[Store ID]],tblStores[Store ID],tblStores[Store Name])</f>
        <v>George</v>
      </c>
      <c r="E1075" t="str">
        <f>_xlfn.XLOOKUP(tblSales[[#This Row],[Store ID]],tblStores[Store ID],tblStores[Province])</f>
        <v>Western Cape</v>
      </c>
      <c r="F1075" t="str">
        <f>_xlfn.XLOOKUP(tblSales[[#This Row],[Store ID]],tblStores[Store ID],tblStores[Manager])</f>
        <v>Chloe Hill</v>
      </c>
      <c r="G1075" t="str">
        <f>_xlfn.XLOOKUP(tblSales[[#This Row],[Category ID]],tblCategories[Category ID],tblCategories[Category])</f>
        <v>Accessories</v>
      </c>
      <c r="H1075">
        <v>85358</v>
      </c>
      <c r="I1075">
        <v>81601</v>
      </c>
      <c r="J1075">
        <v>182</v>
      </c>
      <c r="K1075">
        <f>tblSales[[#This Row],[Sales]]-tblSales[[#This Row],[Budget]]</f>
        <v>3757</v>
      </c>
      <c r="L1075" s="3">
        <f>(tblSales[[#This Row],[Sales]]-tblSales[[#This Row],[Budget]])/tblSales[[#This Row],[Budget]]</f>
        <v>4.604110243747013E-2</v>
      </c>
      <c r="M1075" s="2">
        <f>tblSales[[#This Row],[Sales]]/tblSales[[#This Row],[Transactions]]</f>
        <v>469</v>
      </c>
    </row>
    <row r="1076" spans="1:13" x14ac:dyDescent="0.25">
      <c r="A1076" s="1">
        <v>46076</v>
      </c>
      <c r="B1076" t="s">
        <v>25</v>
      </c>
      <c r="C1076" t="s">
        <v>22</v>
      </c>
      <c r="D1076" t="str">
        <f>_xlfn.XLOOKUP(tblSales[[#This Row],[Store ID]],tblStores[Store ID],tblStores[Store Name])</f>
        <v>Paarl</v>
      </c>
      <c r="E1076" t="str">
        <f>_xlfn.XLOOKUP(tblSales[[#This Row],[Store ID]],tblStores[Store ID],tblStores[Province])</f>
        <v>Western Cape</v>
      </c>
      <c r="F1076" t="str">
        <f>_xlfn.XLOOKUP(tblSales[[#This Row],[Store ID]],tblStores[Store ID],tblStores[Manager])</f>
        <v>Andrew Lee</v>
      </c>
      <c r="G1076" t="str">
        <f>_xlfn.XLOOKUP(tblSales[[#This Row],[Category ID]],tblCategories[Category ID],tblCategories[Category])</f>
        <v>Kids</v>
      </c>
      <c r="H1076">
        <v>74649</v>
      </c>
      <c r="I1076">
        <v>80028</v>
      </c>
      <c r="J1076">
        <v>167</v>
      </c>
      <c r="K1076">
        <f>tblSales[[#This Row],[Sales]]-tblSales[[#This Row],[Budget]]</f>
        <v>-5379</v>
      </c>
      <c r="L1076" s="3">
        <f>(tblSales[[#This Row],[Sales]]-tblSales[[#This Row],[Budget]])/tblSales[[#This Row],[Budget]]</f>
        <v>-6.7213975108711951E-2</v>
      </c>
      <c r="M1076" s="2">
        <f>tblSales[[#This Row],[Sales]]/tblSales[[#This Row],[Transactions]]</f>
        <v>447</v>
      </c>
    </row>
    <row r="1077" spans="1:13" x14ac:dyDescent="0.25">
      <c r="A1077" s="1">
        <v>46076</v>
      </c>
      <c r="B1077" t="s">
        <v>26</v>
      </c>
      <c r="C1077" t="s">
        <v>19</v>
      </c>
      <c r="D1077" t="str">
        <f>_xlfn.XLOOKUP(tblSales[[#This Row],[Store ID]],tblStores[Store ID],tblStores[Store Name])</f>
        <v>Gqeberha</v>
      </c>
      <c r="E1077" t="str">
        <f>_xlfn.XLOOKUP(tblSales[[#This Row],[Store ID]],tblStores[Store ID],tblStores[Province])</f>
        <v>Eastern Cape</v>
      </c>
      <c r="F1077" t="str">
        <f>_xlfn.XLOOKUP(tblSales[[#This Row],[Store ID]],tblStores[Store ID],tblStores[Manager])</f>
        <v>Emma Baker</v>
      </c>
      <c r="G1077" t="str">
        <f>_xlfn.XLOOKUP(tblSales[[#This Row],[Category ID]],tblCategories[Category ID],tblCategories[Category])</f>
        <v>Accessories</v>
      </c>
      <c r="H1077">
        <v>23659</v>
      </c>
      <c r="I1077">
        <v>25206</v>
      </c>
      <c r="J1077">
        <v>59</v>
      </c>
      <c r="K1077">
        <f>tblSales[[#This Row],[Sales]]-tblSales[[#This Row],[Budget]]</f>
        <v>-1547</v>
      </c>
      <c r="L1077" s="3">
        <f>(tblSales[[#This Row],[Sales]]-tblSales[[#This Row],[Budget]])/tblSales[[#This Row],[Budget]]</f>
        <v>-6.137427596603983E-2</v>
      </c>
      <c r="M1077" s="2">
        <f>tblSales[[#This Row],[Sales]]/tblSales[[#This Row],[Transactions]]</f>
        <v>401</v>
      </c>
    </row>
    <row r="1078" spans="1:13" x14ac:dyDescent="0.25">
      <c r="A1078" s="1">
        <v>46076</v>
      </c>
      <c r="B1078" t="s">
        <v>27</v>
      </c>
      <c r="C1078" t="s">
        <v>9</v>
      </c>
      <c r="D1078" t="str">
        <f>_xlfn.XLOOKUP(tblSales[[#This Row],[Store ID]],tblStores[Store ID],tblStores[Store Name])</f>
        <v>East London</v>
      </c>
      <c r="E1078" t="str">
        <f>_xlfn.XLOOKUP(tblSales[[#This Row],[Store ID]],tblStores[Store ID],tblStores[Province])</f>
        <v>Eastern Cape</v>
      </c>
      <c r="F1078" t="str">
        <f>_xlfn.XLOOKUP(tblSales[[#This Row],[Store ID]],tblStores[Store ID],tblStores[Manager])</f>
        <v>Daniel Evans</v>
      </c>
      <c r="G1078" t="str">
        <f>_xlfn.XLOOKUP(tblSales[[#This Row],[Category ID]],tblCategories[Category ID],tblCategories[Category])</f>
        <v>Ladieswear</v>
      </c>
      <c r="H1078">
        <v>56406</v>
      </c>
      <c r="I1078">
        <v>60124</v>
      </c>
      <c r="J1078">
        <v>158</v>
      </c>
      <c r="K1078">
        <f>tblSales[[#This Row],[Sales]]-tblSales[[#This Row],[Budget]]</f>
        <v>-3718</v>
      </c>
      <c r="L1078" s="3">
        <f>(tblSales[[#This Row],[Sales]]-tblSales[[#This Row],[Budget]])/tblSales[[#This Row],[Budget]]</f>
        <v>-6.183886634289136E-2</v>
      </c>
      <c r="M1078" s="2">
        <f>tblSales[[#This Row],[Sales]]/tblSales[[#This Row],[Transactions]]</f>
        <v>357</v>
      </c>
    </row>
    <row r="1079" spans="1:13" x14ac:dyDescent="0.25">
      <c r="A1079" s="1">
        <v>46076</v>
      </c>
      <c r="B1079" t="s">
        <v>28</v>
      </c>
      <c r="C1079" t="s">
        <v>11</v>
      </c>
      <c r="D1079" t="str">
        <f>_xlfn.XLOOKUP(tblSales[[#This Row],[Store ID]],tblStores[Store ID],tblStores[Store Name])</f>
        <v>Bloemfontein</v>
      </c>
      <c r="E1079" t="str">
        <f>_xlfn.XLOOKUP(tblSales[[#This Row],[Store ID]],tblStores[Store ID],tblStores[Province])</f>
        <v>Free State</v>
      </c>
      <c r="F1079" t="str">
        <f>_xlfn.XLOOKUP(tblSales[[#This Row],[Store ID]],tblStores[Store ID],tblStores[Manager])</f>
        <v>Rachel Moore</v>
      </c>
      <c r="G1079" t="str">
        <f>_xlfn.XLOOKUP(tblSales[[#This Row],[Category ID]],tblCategories[Category ID],tblCategories[Category])</f>
        <v>Footwear</v>
      </c>
      <c r="H1079">
        <v>33945</v>
      </c>
      <c r="I1079">
        <v>38120</v>
      </c>
      <c r="J1079">
        <v>73</v>
      </c>
      <c r="K1079">
        <f>tblSales[[#This Row],[Sales]]-tblSales[[#This Row],[Budget]]</f>
        <v>-4175</v>
      </c>
      <c r="L1079" s="3">
        <f>(tblSales[[#This Row],[Sales]]-tblSales[[#This Row],[Budget]])/tblSales[[#This Row],[Budget]]</f>
        <v>-0.10952256033578174</v>
      </c>
      <c r="M1079" s="2">
        <f>tblSales[[#This Row],[Sales]]/tblSales[[#This Row],[Transactions]]</f>
        <v>465</v>
      </c>
    </row>
    <row r="1080" spans="1:13" x14ac:dyDescent="0.25">
      <c r="A1080" s="1">
        <v>46076</v>
      </c>
      <c r="B1080" t="s">
        <v>29</v>
      </c>
      <c r="C1080" t="s">
        <v>19</v>
      </c>
      <c r="D1080" t="str">
        <f>_xlfn.XLOOKUP(tblSales[[#This Row],[Store ID]],tblStores[Store ID],tblStores[Store Name])</f>
        <v>Polokwane</v>
      </c>
      <c r="E1080" t="str">
        <f>_xlfn.XLOOKUP(tblSales[[#This Row],[Store ID]],tblStores[Store ID],tblStores[Province])</f>
        <v>Limpopo</v>
      </c>
      <c r="F1080" t="str">
        <f>_xlfn.XLOOKUP(tblSales[[#This Row],[Store ID]],tblStores[Store ID],tblStores[Manager])</f>
        <v>Kevin Harris</v>
      </c>
      <c r="G1080" t="str">
        <f>_xlfn.XLOOKUP(tblSales[[#This Row],[Category ID]],tblCategories[Category ID],tblCategories[Category])</f>
        <v>Accessories</v>
      </c>
      <c r="H1080">
        <v>8880</v>
      </c>
      <c r="I1080">
        <v>9420</v>
      </c>
      <c r="J1080">
        <v>48</v>
      </c>
      <c r="K1080">
        <f>tblSales[[#This Row],[Sales]]-tblSales[[#This Row],[Budget]]</f>
        <v>-540</v>
      </c>
      <c r="L1080" s="3">
        <f>(tblSales[[#This Row],[Sales]]-tblSales[[#This Row],[Budget]])/tblSales[[#This Row],[Budget]]</f>
        <v>-5.7324840764331211E-2</v>
      </c>
      <c r="M1080" s="2">
        <f>tblSales[[#This Row],[Sales]]/tblSales[[#This Row],[Transactions]]</f>
        <v>185</v>
      </c>
    </row>
    <row r="1081" spans="1:13" x14ac:dyDescent="0.25">
      <c r="A1081" s="1">
        <v>46076</v>
      </c>
      <c r="B1081" t="s">
        <v>30</v>
      </c>
      <c r="C1081" t="s">
        <v>9</v>
      </c>
      <c r="D1081" t="str">
        <f>_xlfn.XLOOKUP(tblSales[[#This Row],[Store ID]],tblStores[Store ID],tblStores[Store Name])</f>
        <v>Nelspruit</v>
      </c>
      <c r="E1081" t="str">
        <f>_xlfn.XLOOKUP(tblSales[[#This Row],[Store ID]],tblStores[Store ID],tblStores[Province])</f>
        <v>Mpumalanga</v>
      </c>
      <c r="F1081" t="str">
        <f>_xlfn.XLOOKUP(tblSales[[#This Row],[Store ID]],tblStores[Store ID],tblStores[Manager])</f>
        <v>Olivia Turner</v>
      </c>
      <c r="G1081" t="str">
        <f>_xlfn.XLOOKUP(tblSales[[#This Row],[Category ID]],tblCategories[Category ID],tblCategories[Category])</f>
        <v>Ladieswear</v>
      </c>
      <c r="H1081">
        <v>68880</v>
      </c>
      <c r="I1081">
        <v>76661</v>
      </c>
      <c r="J1081">
        <v>164</v>
      </c>
      <c r="K1081">
        <f>tblSales[[#This Row],[Sales]]-tblSales[[#This Row],[Budget]]</f>
        <v>-7781</v>
      </c>
      <c r="L1081" s="3">
        <f>(tblSales[[#This Row],[Sales]]-tblSales[[#This Row],[Budget]])/tblSales[[#This Row],[Budget]]</f>
        <v>-0.101498806433519</v>
      </c>
      <c r="M1081" s="2">
        <f>tblSales[[#This Row],[Sales]]/tblSales[[#This Row],[Transactions]]</f>
        <v>420</v>
      </c>
    </row>
    <row r="1082" spans="1:13" x14ac:dyDescent="0.25">
      <c r="A1082" s="1">
        <v>46077</v>
      </c>
      <c r="B1082" t="s">
        <v>6</v>
      </c>
      <c r="C1082" t="s">
        <v>9</v>
      </c>
      <c r="D1082" t="str">
        <f>_xlfn.XLOOKUP(tblSales[[#This Row],[Store ID]],tblStores[Store ID],tblStores[Store Name])</f>
        <v>Durban CBD</v>
      </c>
      <c r="E1082" t="str">
        <f>_xlfn.XLOOKUP(tblSales[[#This Row],[Store ID]],tblStores[Store ID],tblStores[Province])</f>
        <v>KZN</v>
      </c>
      <c r="F1082" t="str">
        <f>_xlfn.XLOOKUP(tblSales[[#This Row],[Store ID]],tblStores[Store ID],tblStores[Manager])</f>
        <v>Sarah Adams</v>
      </c>
      <c r="G1082" t="str">
        <f>_xlfn.XLOOKUP(tblSales[[#This Row],[Category ID]],tblCategories[Category ID],tblCategories[Category])</f>
        <v>Ladieswear</v>
      </c>
      <c r="H1082">
        <v>23274</v>
      </c>
      <c r="I1082">
        <v>22812</v>
      </c>
      <c r="J1082">
        <v>54</v>
      </c>
      <c r="K1082">
        <f>tblSales[[#This Row],[Sales]]-tblSales[[#This Row],[Budget]]</f>
        <v>462</v>
      </c>
      <c r="L1082" s="3">
        <f>(tblSales[[#This Row],[Sales]]-tblSales[[#This Row],[Budget]])/tblSales[[#This Row],[Budget]]</f>
        <v>2.0252498684902684E-2</v>
      </c>
      <c r="M1082" s="2">
        <f>tblSales[[#This Row],[Sales]]/tblSales[[#This Row],[Transactions]]</f>
        <v>431</v>
      </c>
    </row>
    <row r="1083" spans="1:13" x14ac:dyDescent="0.25">
      <c r="A1083" s="1">
        <v>46077</v>
      </c>
      <c r="B1083" t="s">
        <v>8</v>
      </c>
      <c r="C1083" t="s">
        <v>22</v>
      </c>
      <c r="D1083" t="str">
        <f>_xlfn.XLOOKUP(tblSales[[#This Row],[Store ID]],tblStores[Store ID],tblStores[Store Name])</f>
        <v>Gateway</v>
      </c>
      <c r="E1083" t="str">
        <f>_xlfn.XLOOKUP(tblSales[[#This Row],[Store ID]],tblStores[Store ID],tblStores[Province])</f>
        <v>KZN</v>
      </c>
      <c r="F1083" t="str">
        <f>_xlfn.XLOOKUP(tblSales[[#This Row],[Store ID]],tblStores[Store ID],tblStores[Manager])</f>
        <v>Michael Jones</v>
      </c>
      <c r="G1083" t="str">
        <f>_xlfn.XLOOKUP(tblSales[[#This Row],[Category ID]],tblCategories[Category ID],tblCategories[Category])</f>
        <v>Kids</v>
      </c>
      <c r="H1083">
        <v>21730</v>
      </c>
      <c r="I1083">
        <v>22310</v>
      </c>
      <c r="J1083">
        <v>106</v>
      </c>
      <c r="K1083">
        <f>tblSales[[#This Row],[Sales]]-tblSales[[#This Row],[Budget]]</f>
        <v>-580</v>
      </c>
      <c r="L1083" s="3">
        <f>(tblSales[[#This Row],[Sales]]-tblSales[[#This Row],[Budget]])/tblSales[[#This Row],[Budget]]</f>
        <v>-2.5997310623038995E-2</v>
      </c>
      <c r="M1083" s="2">
        <f>tblSales[[#This Row],[Sales]]/tblSales[[#This Row],[Transactions]]</f>
        <v>205</v>
      </c>
    </row>
    <row r="1084" spans="1:13" x14ac:dyDescent="0.25">
      <c r="A1084" s="1">
        <v>46077</v>
      </c>
      <c r="B1084" t="s">
        <v>10</v>
      </c>
      <c r="C1084" t="s">
        <v>19</v>
      </c>
      <c r="D1084" t="str">
        <f>_xlfn.XLOOKUP(tblSales[[#This Row],[Store ID]],tblStores[Store ID],tblStores[Store Name])</f>
        <v>Ballito</v>
      </c>
      <c r="E1084" t="str">
        <f>_xlfn.XLOOKUP(tblSales[[#This Row],[Store ID]],tblStores[Store ID],tblStores[Province])</f>
        <v>KZN</v>
      </c>
      <c r="F1084" t="str">
        <f>_xlfn.XLOOKUP(tblSales[[#This Row],[Store ID]],tblStores[Store ID],tblStores[Manager])</f>
        <v>Linda Smith</v>
      </c>
      <c r="G1084" t="str">
        <f>_xlfn.XLOOKUP(tblSales[[#This Row],[Category ID]],tblCategories[Category ID],tblCategories[Category])</f>
        <v>Accessories</v>
      </c>
      <c r="H1084">
        <v>74227</v>
      </c>
      <c r="I1084">
        <v>74287</v>
      </c>
      <c r="J1084">
        <v>199</v>
      </c>
      <c r="K1084">
        <f>tblSales[[#This Row],[Sales]]-tblSales[[#This Row],[Budget]]</f>
        <v>-60</v>
      </c>
      <c r="L1084" s="3">
        <f>(tblSales[[#This Row],[Sales]]-tblSales[[#This Row],[Budget]])/tblSales[[#This Row],[Budget]]</f>
        <v>-8.0767832864431189E-4</v>
      </c>
      <c r="M1084" s="2">
        <f>tblSales[[#This Row],[Sales]]/tblSales[[#This Row],[Transactions]]</f>
        <v>373</v>
      </c>
    </row>
    <row r="1085" spans="1:13" x14ac:dyDescent="0.25">
      <c r="A1085" s="1">
        <v>46077</v>
      </c>
      <c r="B1085" t="s">
        <v>12</v>
      </c>
      <c r="C1085" t="s">
        <v>9</v>
      </c>
      <c r="D1085" t="str">
        <f>_xlfn.XLOOKUP(tblSales[[#This Row],[Store ID]],tblStores[Store ID],tblStores[Store Name])</f>
        <v>Pietermaritzburg</v>
      </c>
      <c r="E1085" t="str">
        <f>_xlfn.XLOOKUP(tblSales[[#This Row],[Store ID]],tblStores[Store ID],tblStores[Province])</f>
        <v>KZN</v>
      </c>
      <c r="F1085" t="str">
        <f>_xlfn.XLOOKUP(tblSales[[#This Row],[Store ID]],tblStores[Store ID],tblStores[Manager])</f>
        <v>Peter Brown</v>
      </c>
      <c r="G1085" t="str">
        <f>_xlfn.XLOOKUP(tblSales[[#This Row],[Category ID]],tblCategories[Category ID],tblCategories[Category])</f>
        <v>Ladieswear</v>
      </c>
      <c r="H1085">
        <v>22825</v>
      </c>
      <c r="I1085">
        <v>23077</v>
      </c>
      <c r="J1085">
        <v>55</v>
      </c>
      <c r="K1085">
        <f>tblSales[[#This Row],[Sales]]-tblSales[[#This Row],[Budget]]</f>
        <v>-252</v>
      </c>
      <c r="L1085" s="3">
        <f>(tblSales[[#This Row],[Sales]]-tblSales[[#This Row],[Budget]])/tblSales[[#This Row],[Budget]]</f>
        <v>-1.0919963600121332E-2</v>
      </c>
      <c r="M1085" s="2">
        <f>tblSales[[#This Row],[Sales]]/tblSales[[#This Row],[Transactions]]</f>
        <v>415</v>
      </c>
    </row>
    <row r="1086" spans="1:13" x14ac:dyDescent="0.25">
      <c r="A1086" s="1">
        <v>46077</v>
      </c>
      <c r="B1086" t="s">
        <v>13</v>
      </c>
      <c r="C1086" t="s">
        <v>19</v>
      </c>
      <c r="D1086" t="str">
        <f>_xlfn.XLOOKUP(tblSales[[#This Row],[Store ID]],tblStores[Store ID],tblStores[Store Name])</f>
        <v>Richards Bay</v>
      </c>
      <c r="E1086" t="str">
        <f>_xlfn.XLOOKUP(tblSales[[#This Row],[Store ID]],tblStores[Store ID],tblStores[Province])</f>
        <v>KZN</v>
      </c>
      <c r="F1086" t="str">
        <f>_xlfn.XLOOKUP(tblSales[[#This Row],[Store ID]],tblStores[Store ID],tblStores[Manager])</f>
        <v>David Green</v>
      </c>
      <c r="G1086" t="str">
        <f>_xlfn.XLOOKUP(tblSales[[#This Row],[Category ID]],tblCategories[Category ID],tblCategories[Category])</f>
        <v>Accessories</v>
      </c>
      <c r="H1086">
        <v>33525</v>
      </c>
      <c r="I1086">
        <v>37351</v>
      </c>
      <c r="J1086">
        <v>149</v>
      </c>
      <c r="K1086">
        <f>tblSales[[#This Row],[Sales]]-tblSales[[#This Row],[Budget]]</f>
        <v>-3826</v>
      </c>
      <c r="L1086" s="3">
        <f>(tblSales[[#This Row],[Sales]]-tblSales[[#This Row],[Budget]])/tblSales[[#This Row],[Budget]]</f>
        <v>-0.10243366978126422</v>
      </c>
      <c r="M1086" s="2">
        <f>tblSales[[#This Row],[Sales]]/tblSales[[#This Row],[Transactions]]</f>
        <v>225</v>
      </c>
    </row>
    <row r="1087" spans="1:13" x14ac:dyDescent="0.25">
      <c r="A1087" s="1">
        <v>46077</v>
      </c>
      <c r="B1087" t="s">
        <v>14</v>
      </c>
      <c r="C1087" t="s">
        <v>11</v>
      </c>
      <c r="D1087" t="str">
        <f>_xlfn.XLOOKUP(tblSales[[#This Row],[Store ID]],tblStores[Store ID],tblStores[Store Name])</f>
        <v>Sandton</v>
      </c>
      <c r="E1087" t="str">
        <f>_xlfn.XLOOKUP(tblSales[[#This Row],[Store ID]],tblStores[Store ID],tblStores[Province])</f>
        <v>Gauteng</v>
      </c>
      <c r="F1087" t="str">
        <f>_xlfn.XLOOKUP(tblSales[[#This Row],[Store ID]],tblStores[Store ID],tblStores[Manager])</f>
        <v>Karen White</v>
      </c>
      <c r="G1087" t="str">
        <f>_xlfn.XLOOKUP(tblSales[[#This Row],[Category ID]],tblCategories[Category ID],tblCategories[Category])</f>
        <v>Footwear</v>
      </c>
      <c r="H1087">
        <v>27600</v>
      </c>
      <c r="I1087">
        <v>31606</v>
      </c>
      <c r="J1087">
        <v>115</v>
      </c>
      <c r="K1087">
        <f>tblSales[[#This Row],[Sales]]-tblSales[[#This Row],[Budget]]</f>
        <v>-4006</v>
      </c>
      <c r="L1087" s="3">
        <f>(tblSales[[#This Row],[Sales]]-tblSales[[#This Row],[Budget]])/tblSales[[#This Row],[Budget]]</f>
        <v>-0.12674808580649244</v>
      </c>
      <c r="M1087" s="2">
        <f>tblSales[[#This Row],[Sales]]/tblSales[[#This Row],[Transactions]]</f>
        <v>240</v>
      </c>
    </row>
    <row r="1088" spans="1:13" x14ac:dyDescent="0.25">
      <c r="A1088" s="1">
        <v>46077</v>
      </c>
      <c r="B1088" t="s">
        <v>15</v>
      </c>
      <c r="C1088" t="s">
        <v>7</v>
      </c>
      <c r="D1088" t="str">
        <f>_xlfn.XLOOKUP(tblSales[[#This Row],[Store ID]],tblStores[Store ID],tblStores[Store Name])</f>
        <v>Rosebank</v>
      </c>
      <c r="E1088" t="str">
        <f>_xlfn.XLOOKUP(tblSales[[#This Row],[Store ID]],tblStores[Store ID],tblStores[Province])</f>
        <v>Gauteng</v>
      </c>
      <c r="F1088" t="str">
        <f>_xlfn.XLOOKUP(tblSales[[#This Row],[Store ID]],tblStores[Store ID],tblStores[Manager])</f>
        <v>James Taylor</v>
      </c>
      <c r="G1088" t="str">
        <f>_xlfn.XLOOKUP(tblSales[[#This Row],[Category ID]],tblCategories[Category ID],tblCategories[Category])</f>
        <v>Menswear</v>
      </c>
      <c r="H1088">
        <v>23546</v>
      </c>
      <c r="I1088">
        <v>23618</v>
      </c>
      <c r="J1088">
        <v>61</v>
      </c>
      <c r="K1088">
        <f>tblSales[[#This Row],[Sales]]-tblSales[[#This Row],[Budget]]</f>
        <v>-72</v>
      </c>
      <c r="L1088" s="3">
        <f>(tblSales[[#This Row],[Sales]]-tblSales[[#This Row],[Budget]])/tblSales[[#This Row],[Budget]]</f>
        <v>-3.0485223134897113E-3</v>
      </c>
      <c r="M1088" s="2">
        <f>tblSales[[#This Row],[Sales]]/tblSales[[#This Row],[Transactions]]</f>
        <v>386</v>
      </c>
    </row>
    <row r="1089" spans="1:13" x14ac:dyDescent="0.25">
      <c r="A1089" s="1">
        <v>46077</v>
      </c>
      <c r="B1089" t="s">
        <v>16</v>
      </c>
      <c r="C1089" t="s">
        <v>19</v>
      </c>
      <c r="D1089" t="str">
        <f>_xlfn.XLOOKUP(tblSales[[#This Row],[Store ID]],tblStores[Store ID],tblStores[Store Name])</f>
        <v>Pretoria</v>
      </c>
      <c r="E1089" t="str">
        <f>_xlfn.XLOOKUP(tblSales[[#This Row],[Store ID]],tblStores[Store ID],tblStores[Province])</f>
        <v>Gauteng</v>
      </c>
      <c r="F1089" t="str">
        <f>_xlfn.XLOOKUP(tblSales[[#This Row],[Store ID]],tblStores[Store ID],tblStores[Manager])</f>
        <v>Susan Clark</v>
      </c>
      <c r="G1089" t="str">
        <f>_xlfn.XLOOKUP(tblSales[[#This Row],[Category ID]],tblCategories[Category ID],tblCategories[Category])</f>
        <v>Accessories</v>
      </c>
      <c r="H1089">
        <v>31500</v>
      </c>
      <c r="I1089">
        <v>34854</v>
      </c>
      <c r="J1089">
        <v>175</v>
      </c>
      <c r="K1089">
        <f>tblSales[[#This Row],[Sales]]-tblSales[[#This Row],[Budget]]</f>
        <v>-3354</v>
      </c>
      <c r="L1089" s="3">
        <f>(tblSales[[#This Row],[Sales]]-tblSales[[#This Row],[Budget]])/tblSales[[#This Row],[Budget]]</f>
        <v>-9.622998794973317E-2</v>
      </c>
      <c r="M1089" s="2">
        <f>tblSales[[#This Row],[Sales]]/tblSales[[#This Row],[Transactions]]</f>
        <v>180</v>
      </c>
    </row>
    <row r="1090" spans="1:13" x14ac:dyDescent="0.25">
      <c r="A1090" s="1">
        <v>46077</v>
      </c>
      <c r="B1090" t="s">
        <v>17</v>
      </c>
      <c r="C1090" t="s">
        <v>19</v>
      </c>
      <c r="D1090" t="str">
        <f>_xlfn.XLOOKUP(tblSales[[#This Row],[Store ID]],tblStores[Store ID],tblStores[Store Name])</f>
        <v>Centurion</v>
      </c>
      <c r="E1090" t="str">
        <f>_xlfn.XLOOKUP(tblSales[[#This Row],[Store ID]],tblStores[Store ID],tblStores[Province])</f>
        <v>Gauteng</v>
      </c>
      <c r="F1090" t="str">
        <f>_xlfn.XLOOKUP(tblSales[[#This Row],[Store ID]],tblStores[Store ID],tblStores[Manager])</f>
        <v>Mark Wilson</v>
      </c>
      <c r="G1090" t="str">
        <f>_xlfn.XLOOKUP(tblSales[[#This Row],[Category ID]],tblCategories[Category ID],tblCategories[Category])</f>
        <v>Accessories</v>
      </c>
      <c r="H1090">
        <v>97658</v>
      </c>
      <c r="I1090">
        <v>95328</v>
      </c>
      <c r="J1090">
        <v>193</v>
      </c>
      <c r="K1090">
        <f>tblSales[[#This Row],[Sales]]-tblSales[[#This Row],[Budget]]</f>
        <v>2330</v>
      </c>
      <c r="L1090" s="3">
        <f>(tblSales[[#This Row],[Sales]]-tblSales[[#This Row],[Budget]])/tblSales[[#This Row],[Budget]]</f>
        <v>2.44419268210809E-2</v>
      </c>
      <c r="M1090" s="2">
        <f>tblSales[[#This Row],[Sales]]/tblSales[[#This Row],[Transactions]]</f>
        <v>506</v>
      </c>
    </row>
    <row r="1091" spans="1:13" x14ac:dyDescent="0.25">
      <c r="A1091" s="1">
        <v>46077</v>
      </c>
      <c r="B1091" t="s">
        <v>18</v>
      </c>
      <c r="C1091" t="s">
        <v>19</v>
      </c>
      <c r="D1091" t="str">
        <f>_xlfn.XLOOKUP(tblSales[[#This Row],[Store ID]],tblStores[Store ID],tblStores[Store Name])</f>
        <v>East Rand</v>
      </c>
      <c r="E1091" t="str">
        <f>_xlfn.XLOOKUP(tblSales[[#This Row],[Store ID]],tblStores[Store ID],tblStores[Province])</f>
        <v>Gauteng</v>
      </c>
      <c r="F1091" t="str">
        <f>_xlfn.XLOOKUP(tblSales[[#This Row],[Store ID]],tblStores[Store ID],tblStores[Manager])</f>
        <v>Lisa Young</v>
      </c>
      <c r="G1091" t="str">
        <f>_xlfn.XLOOKUP(tblSales[[#This Row],[Category ID]],tblCategories[Category ID],tblCategories[Category])</f>
        <v>Accessories</v>
      </c>
      <c r="H1091">
        <v>50730</v>
      </c>
      <c r="I1091">
        <v>53958</v>
      </c>
      <c r="J1091">
        <v>178</v>
      </c>
      <c r="K1091">
        <f>tblSales[[#This Row],[Sales]]-tblSales[[#This Row],[Budget]]</f>
        <v>-3228</v>
      </c>
      <c r="L1091" s="3">
        <f>(tblSales[[#This Row],[Sales]]-tblSales[[#This Row],[Budget]])/tblSales[[#This Row],[Budget]]</f>
        <v>-5.9824307794951632E-2</v>
      </c>
      <c r="M1091" s="2">
        <f>tblSales[[#This Row],[Sales]]/tblSales[[#This Row],[Transactions]]</f>
        <v>285</v>
      </c>
    </row>
    <row r="1092" spans="1:13" x14ac:dyDescent="0.25">
      <c r="A1092" s="1">
        <v>46077</v>
      </c>
      <c r="B1092" t="s">
        <v>20</v>
      </c>
      <c r="C1092" t="s">
        <v>11</v>
      </c>
      <c r="D1092" t="str">
        <f>_xlfn.XLOOKUP(tblSales[[#This Row],[Store ID]],tblStores[Store ID],tblStores[Store Name])</f>
        <v>Cape Town CBD</v>
      </c>
      <c r="E1092" t="str">
        <f>_xlfn.XLOOKUP(tblSales[[#This Row],[Store ID]],tblStores[Store ID],tblStores[Province])</f>
        <v>Western Cape</v>
      </c>
      <c r="F1092" t="str">
        <f>_xlfn.XLOOKUP(tblSales[[#This Row],[Store ID]],tblStores[Store ID],tblStores[Manager])</f>
        <v>Brian Hall</v>
      </c>
      <c r="G1092" t="str">
        <f>_xlfn.XLOOKUP(tblSales[[#This Row],[Category ID]],tblCategories[Category ID],tblCategories[Category])</f>
        <v>Footwear</v>
      </c>
      <c r="H1092">
        <v>44652</v>
      </c>
      <c r="I1092">
        <v>49399</v>
      </c>
      <c r="J1092">
        <v>122</v>
      </c>
      <c r="K1092">
        <f>tblSales[[#This Row],[Sales]]-tblSales[[#This Row],[Budget]]</f>
        <v>-4747</v>
      </c>
      <c r="L1092" s="3">
        <f>(tblSales[[#This Row],[Sales]]-tblSales[[#This Row],[Budget]])/tblSales[[#This Row],[Budget]]</f>
        <v>-9.6095062653090146E-2</v>
      </c>
      <c r="M1092" s="2">
        <f>tblSales[[#This Row],[Sales]]/tblSales[[#This Row],[Transactions]]</f>
        <v>366</v>
      </c>
    </row>
    <row r="1093" spans="1:13" x14ac:dyDescent="0.25">
      <c r="A1093" s="1">
        <v>46077</v>
      </c>
      <c r="B1093" t="s">
        <v>21</v>
      </c>
      <c r="C1093" t="s">
        <v>9</v>
      </c>
      <c r="D1093" t="str">
        <f>_xlfn.XLOOKUP(tblSales[[#This Row],[Store ID]],tblStores[Store ID],tblStores[Store Name])</f>
        <v>Canal Walk</v>
      </c>
      <c r="E1093" t="str">
        <f>_xlfn.XLOOKUP(tblSales[[#This Row],[Store ID]],tblStores[Store ID],tblStores[Province])</f>
        <v>Western Cape</v>
      </c>
      <c r="F1093" t="str">
        <f>_xlfn.XLOOKUP(tblSales[[#This Row],[Store ID]],tblStores[Store ID],tblStores[Manager])</f>
        <v>Megan Scott</v>
      </c>
      <c r="G1093" t="str">
        <f>_xlfn.XLOOKUP(tblSales[[#This Row],[Category ID]],tblCategories[Category ID],tblCategories[Category])</f>
        <v>Ladieswear</v>
      </c>
      <c r="H1093">
        <v>52699</v>
      </c>
      <c r="I1093">
        <v>54808</v>
      </c>
      <c r="J1093">
        <v>151</v>
      </c>
      <c r="K1093">
        <f>tblSales[[#This Row],[Sales]]-tblSales[[#This Row],[Budget]]</f>
        <v>-2109</v>
      </c>
      <c r="L1093" s="3">
        <f>(tblSales[[#This Row],[Sales]]-tblSales[[#This Row],[Budget]])/tblSales[[#This Row],[Budget]]</f>
        <v>-3.8479783973142605E-2</v>
      </c>
      <c r="M1093" s="2">
        <f>tblSales[[#This Row],[Sales]]/tblSales[[#This Row],[Transactions]]</f>
        <v>349</v>
      </c>
    </row>
    <row r="1094" spans="1:13" x14ac:dyDescent="0.25">
      <c r="A1094" s="1">
        <v>46077</v>
      </c>
      <c r="B1094" t="s">
        <v>23</v>
      </c>
      <c r="C1094" t="s">
        <v>19</v>
      </c>
      <c r="D1094" t="str">
        <f>_xlfn.XLOOKUP(tblSales[[#This Row],[Store ID]],tblStores[Store ID],tblStores[Store Name])</f>
        <v>Stellenbosch</v>
      </c>
      <c r="E1094" t="str">
        <f>_xlfn.XLOOKUP(tblSales[[#This Row],[Store ID]],tblStores[Store ID],tblStores[Province])</f>
        <v>Western Cape</v>
      </c>
      <c r="F1094" t="str">
        <f>_xlfn.XLOOKUP(tblSales[[#This Row],[Store ID]],tblStores[Store ID],tblStores[Manager])</f>
        <v>Jason King</v>
      </c>
      <c r="G1094" t="str">
        <f>_xlfn.XLOOKUP(tblSales[[#This Row],[Category ID]],tblCategories[Category ID],tblCategories[Category])</f>
        <v>Accessories</v>
      </c>
      <c r="H1094">
        <v>79336</v>
      </c>
      <c r="I1094">
        <v>85616</v>
      </c>
      <c r="J1094">
        <v>188</v>
      </c>
      <c r="K1094">
        <f>tblSales[[#This Row],[Sales]]-tblSales[[#This Row],[Budget]]</f>
        <v>-6280</v>
      </c>
      <c r="L1094" s="3">
        <f>(tblSales[[#This Row],[Sales]]-tblSales[[#This Row],[Budget]])/tblSales[[#This Row],[Budget]]</f>
        <v>-7.3350775555970846E-2</v>
      </c>
      <c r="M1094" s="2">
        <f>tblSales[[#This Row],[Sales]]/tblSales[[#This Row],[Transactions]]</f>
        <v>422</v>
      </c>
    </row>
    <row r="1095" spans="1:13" x14ac:dyDescent="0.25">
      <c r="A1095" s="1">
        <v>46077</v>
      </c>
      <c r="B1095" t="s">
        <v>24</v>
      </c>
      <c r="C1095" t="s">
        <v>22</v>
      </c>
      <c r="D1095" t="str">
        <f>_xlfn.XLOOKUP(tblSales[[#This Row],[Store ID]],tblStores[Store ID],tblStores[Store Name])</f>
        <v>George</v>
      </c>
      <c r="E1095" t="str">
        <f>_xlfn.XLOOKUP(tblSales[[#This Row],[Store ID]],tblStores[Store ID],tblStores[Province])</f>
        <v>Western Cape</v>
      </c>
      <c r="F1095" t="str">
        <f>_xlfn.XLOOKUP(tblSales[[#This Row],[Store ID]],tblStores[Store ID],tblStores[Manager])</f>
        <v>Chloe Hill</v>
      </c>
      <c r="G1095" t="str">
        <f>_xlfn.XLOOKUP(tblSales[[#This Row],[Category ID]],tblCategories[Category ID],tblCategories[Category])</f>
        <v>Kids</v>
      </c>
      <c r="H1095">
        <v>89598</v>
      </c>
      <c r="I1095">
        <v>83192</v>
      </c>
      <c r="J1095">
        <v>218</v>
      </c>
      <c r="K1095">
        <f>tblSales[[#This Row],[Sales]]-tblSales[[#This Row],[Budget]]</f>
        <v>6406</v>
      </c>
      <c r="L1095" s="3">
        <f>(tblSales[[#This Row],[Sales]]-tblSales[[#This Row],[Budget]])/tblSales[[#This Row],[Budget]]</f>
        <v>7.7002596403500337E-2</v>
      </c>
      <c r="M1095" s="2">
        <f>tblSales[[#This Row],[Sales]]/tblSales[[#This Row],[Transactions]]</f>
        <v>411</v>
      </c>
    </row>
    <row r="1096" spans="1:13" x14ac:dyDescent="0.25">
      <c r="A1096" s="1">
        <v>46077</v>
      </c>
      <c r="B1096" t="s">
        <v>25</v>
      </c>
      <c r="C1096" t="s">
        <v>9</v>
      </c>
      <c r="D1096" t="str">
        <f>_xlfn.XLOOKUP(tblSales[[#This Row],[Store ID]],tblStores[Store ID],tblStores[Store Name])</f>
        <v>Paarl</v>
      </c>
      <c r="E1096" t="str">
        <f>_xlfn.XLOOKUP(tblSales[[#This Row],[Store ID]],tblStores[Store ID],tblStores[Province])</f>
        <v>Western Cape</v>
      </c>
      <c r="F1096" t="str">
        <f>_xlfn.XLOOKUP(tblSales[[#This Row],[Store ID]],tblStores[Store ID],tblStores[Manager])</f>
        <v>Andrew Lee</v>
      </c>
      <c r="G1096" t="str">
        <f>_xlfn.XLOOKUP(tblSales[[#This Row],[Category ID]],tblCategories[Category ID],tblCategories[Category])</f>
        <v>Ladieswear</v>
      </c>
      <c r="H1096">
        <v>12390</v>
      </c>
      <c r="I1096">
        <v>12251</v>
      </c>
      <c r="J1096">
        <v>35</v>
      </c>
      <c r="K1096">
        <f>tblSales[[#This Row],[Sales]]-tblSales[[#This Row],[Budget]]</f>
        <v>139</v>
      </c>
      <c r="L1096" s="3">
        <f>(tblSales[[#This Row],[Sales]]-tblSales[[#This Row],[Budget]])/tblSales[[#This Row],[Budget]]</f>
        <v>1.1346012570402415E-2</v>
      </c>
      <c r="M1096" s="2">
        <f>tblSales[[#This Row],[Sales]]/tblSales[[#This Row],[Transactions]]</f>
        <v>354</v>
      </c>
    </row>
    <row r="1097" spans="1:13" x14ac:dyDescent="0.25">
      <c r="A1097" s="1">
        <v>46077</v>
      </c>
      <c r="B1097" t="s">
        <v>26</v>
      </c>
      <c r="C1097" t="s">
        <v>22</v>
      </c>
      <c r="D1097" t="str">
        <f>_xlfn.XLOOKUP(tblSales[[#This Row],[Store ID]],tblStores[Store ID],tblStores[Store Name])</f>
        <v>Gqeberha</v>
      </c>
      <c r="E1097" t="str">
        <f>_xlfn.XLOOKUP(tblSales[[#This Row],[Store ID]],tblStores[Store ID],tblStores[Province])</f>
        <v>Eastern Cape</v>
      </c>
      <c r="F1097" t="str">
        <f>_xlfn.XLOOKUP(tblSales[[#This Row],[Store ID]],tblStores[Store ID],tblStores[Manager])</f>
        <v>Emma Baker</v>
      </c>
      <c r="G1097" t="str">
        <f>_xlfn.XLOOKUP(tblSales[[#This Row],[Category ID]],tblCategories[Category ID],tblCategories[Category])</f>
        <v>Kids</v>
      </c>
      <c r="H1097">
        <v>78225</v>
      </c>
      <c r="I1097">
        <v>77714</v>
      </c>
      <c r="J1097">
        <v>175</v>
      </c>
      <c r="K1097">
        <f>tblSales[[#This Row],[Sales]]-tblSales[[#This Row],[Budget]]</f>
        <v>511</v>
      </c>
      <c r="L1097" s="3">
        <f>(tblSales[[#This Row],[Sales]]-tblSales[[#This Row],[Budget]])/tblSales[[#This Row],[Budget]]</f>
        <v>6.5753918212934611E-3</v>
      </c>
      <c r="M1097" s="2">
        <f>tblSales[[#This Row],[Sales]]/tblSales[[#This Row],[Transactions]]</f>
        <v>447</v>
      </c>
    </row>
    <row r="1098" spans="1:13" x14ac:dyDescent="0.25">
      <c r="A1098" s="1">
        <v>46077</v>
      </c>
      <c r="B1098" t="s">
        <v>27</v>
      </c>
      <c r="C1098" t="s">
        <v>7</v>
      </c>
      <c r="D1098" t="str">
        <f>_xlfn.XLOOKUP(tblSales[[#This Row],[Store ID]],tblStores[Store ID],tblStores[Store Name])</f>
        <v>East London</v>
      </c>
      <c r="E1098" t="str">
        <f>_xlfn.XLOOKUP(tblSales[[#This Row],[Store ID]],tblStores[Store ID],tblStores[Province])</f>
        <v>Eastern Cape</v>
      </c>
      <c r="F1098" t="str">
        <f>_xlfn.XLOOKUP(tblSales[[#This Row],[Store ID]],tblStores[Store ID],tblStores[Manager])</f>
        <v>Daniel Evans</v>
      </c>
      <c r="G1098" t="str">
        <f>_xlfn.XLOOKUP(tblSales[[#This Row],[Category ID]],tblCategories[Category ID],tblCategories[Category])</f>
        <v>Menswear</v>
      </c>
      <c r="H1098">
        <v>12144</v>
      </c>
      <c r="I1098">
        <v>12424</v>
      </c>
      <c r="J1098">
        <v>46</v>
      </c>
      <c r="K1098">
        <f>tblSales[[#This Row],[Sales]]-tblSales[[#This Row],[Budget]]</f>
        <v>-280</v>
      </c>
      <c r="L1098" s="3">
        <f>(tblSales[[#This Row],[Sales]]-tblSales[[#This Row],[Budget]])/tblSales[[#This Row],[Budget]]</f>
        <v>-2.2537025112685124E-2</v>
      </c>
      <c r="M1098" s="2">
        <f>tblSales[[#This Row],[Sales]]/tblSales[[#This Row],[Transactions]]</f>
        <v>264</v>
      </c>
    </row>
    <row r="1099" spans="1:13" x14ac:dyDescent="0.25">
      <c r="A1099" s="1">
        <v>46077</v>
      </c>
      <c r="B1099" t="s">
        <v>28</v>
      </c>
      <c r="C1099" t="s">
        <v>11</v>
      </c>
      <c r="D1099" t="str">
        <f>_xlfn.XLOOKUP(tblSales[[#This Row],[Store ID]],tblStores[Store ID],tblStores[Store Name])</f>
        <v>Bloemfontein</v>
      </c>
      <c r="E1099" t="str">
        <f>_xlfn.XLOOKUP(tblSales[[#This Row],[Store ID]],tblStores[Store ID],tblStores[Province])</f>
        <v>Free State</v>
      </c>
      <c r="F1099" t="str">
        <f>_xlfn.XLOOKUP(tblSales[[#This Row],[Store ID]],tblStores[Store ID],tblStores[Manager])</f>
        <v>Rachel Moore</v>
      </c>
      <c r="G1099" t="str">
        <f>_xlfn.XLOOKUP(tblSales[[#This Row],[Category ID]],tblCategories[Category ID],tblCategories[Category])</f>
        <v>Footwear</v>
      </c>
      <c r="H1099">
        <v>19220</v>
      </c>
      <c r="I1099">
        <v>20233</v>
      </c>
      <c r="J1099">
        <v>62</v>
      </c>
      <c r="K1099">
        <f>tblSales[[#This Row],[Sales]]-tblSales[[#This Row],[Budget]]</f>
        <v>-1013</v>
      </c>
      <c r="L1099" s="3">
        <f>(tblSales[[#This Row],[Sales]]-tblSales[[#This Row],[Budget]])/tblSales[[#This Row],[Budget]]</f>
        <v>-5.0066722680769039E-2</v>
      </c>
      <c r="M1099" s="2">
        <f>tblSales[[#This Row],[Sales]]/tblSales[[#This Row],[Transactions]]</f>
        <v>310</v>
      </c>
    </row>
    <row r="1100" spans="1:13" x14ac:dyDescent="0.25">
      <c r="A1100" s="1">
        <v>46077</v>
      </c>
      <c r="B1100" t="s">
        <v>29</v>
      </c>
      <c r="C1100" t="s">
        <v>9</v>
      </c>
      <c r="D1100" t="str">
        <f>_xlfn.XLOOKUP(tblSales[[#This Row],[Store ID]],tblStores[Store ID],tblStores[Store Name])</f>
        <v>Polokwane</v>
      </c>
      <c r="E1100" t="str">
        <f>_xlfn.XLOOKUP(tblSales[[#This Row],[Store ID]],tblStores[Store ID],tblStores[Province])</f>
        <v>Limpopo</v>
      </c>
      <c r="F1100" t="str">
        <f>_xlfn.XLOOKUP(tblSales[[#This Row],[Store ID]],tblStores[Store ID],tblStores[Manager])</f>
        <v>Kevin Harris</v>
      </c>
      <c r="G1100" t="str">
        <f>_xlfn.XLOOKUP(tblSales[[#This Row],[Category ID]],tblCategories[Category ID],tblCategories[Category])</f>
        <v>Ladieswear</v>
      </c>
      <c r="H1100">
        <v>24765</v>
      </c>
      <c r="I1100">
        <v>23623</v>
      </c>
      <c r="J1100">
        <v>65</v>
      </c>
      <c r="K1100">
        <f>tblSales[[#This Row],[Sales]]-tblSales[[#This Row],[Budget]]</f>
        <v>1142</v>
      </c>
      <c r="L1100" s="3">
        <f>(tblSales[[#This Row],[Sales]]-tblSales[[#This Row],[Budget]])/tblSales[[#This Row],[Budget]]</f>
        <v>4.834271684375397E-2</v>
      </c>
      <c r="M1100" s="2">
        <f>tblSales[[#This Row],[Sales]]/tblSales[[#This Row],[Transactions]]</f>
        <v>381</v>
      </c>
    </row>
    <row r="1101" spans="1:13" x14ac:dyDescent="0.25">
      <c r="A1101" s="1">
        <v>46077</v>
      </c>
      <c r="B1101" t="s">
        <v>30</v>
      </c>
      <c r="C1101" t="s">
        <v>9</v>
      </c>
      <c r="D1101" t="str">
        <f>_xlfn.XLOOKUP(tblSales[[#This Row],[Store ID]],tblStores[Store ID],tblStores[Store Name])</f>
        <v>Nelspruit</v>
      </c>
      <c r="E1101" t="str">
        <f>_xlfn.XLOOKUP(tblSales[[#This Row],[Store ID]],tblStores[Store ID],tblStores[Province])</f>
        <v>Mpumalanga</v>
      </c>
      <c r="F1101" t="str">
        <f>_xlfn.XLOOKUP(tblSales[[#This Row],[Store ID]],tblStores[Store ID],tblStores[Manager])</f>
        <v>Olivia Turner</v>
      </c>
      <c r="G1101" t="str">
        <f>_xlfn.XLOOKUP(tblSales[[#This Row],[Category ID]],tblCategories[Category ID],tblCategories[Category])</f>
        <v>Ladieswear</v>
      </c>
      <c r="H1101">
        <v>76954</v>
      </c>
      <c r="I1101">
        <v>71331</v>
      </c>
      <c r="J1101">
        <v>218</v>
      </c>
      <c r="K1101">
        <f>tblSales[[#This Row],[Sales]]-tblSales[[#This Row],[Budget]]</f>
        <v>5623</v>
      </c>
      <c r="L1101" s="3">
        <f>(tblSales[[#This Row],[Sales]]-tblSales[[#This Row],[Budget]])/tblSales[[#This Row],[Budget]]</f>
        <v>7.8829681344716879E-2</v>
      </c>
      <c r="M1101" s="2">
        <f>tblSales[[#This Row],[Sales]]/tblSales[[#This Row],[Transactions]]</f>
        <v>353</v>
      </c>
    </row>
    <row r="1102" spans="1:13" x14ac:dyDescent="0.25">
      <c r="A1102" s="1">
        <v>46078</v>
      </c>
      <c r="B1102" t="s">
        <v>6</v>
      </c>
      <c r="C1102" t="s">
        <v>11</v>
      </c>
      <c r="D1102" t="str">
        <f>_xlfn.XLOOKUP(tblSales[[#This Row],[Store ID]],tblStores[Store ID],tblStores[Store Name])</f>
        <v>Durban CBD</v>
      </c>
      <c r="E1102" t="str">
        <f>_xlfn.XLOOKUP(tblSales[[#This Row],[Store ID]],tblStores[Store ID],tblStores[Province])</f>
        <v>KZN</v>
      </c>
      <c r="F1102" t="str">
        <f>_xlfn.XLOOKUP(tblSales[[#This Row],[Store ID]],tblStores[Store ID],tblStores[Manager])</f>
        <v>Sarah Adams</v>
      </c>
      <c r="G1102" t="str">
        <f>_xlfn.XLOOKUP(tblSales[[#This Row],[Category ID]],tblCategories[Category ID],tblCategories[Category])</f>
        <v>Footwear</v>
      </c>
      <c r="H1102">
        <v>23184</v>
      </c>
      <c r="I1102">
        <v>25719</v>
      </c>
      <c r="J1102">
        <v>46</v>
      </c>
      <c r="K1102">
        <f>tblSales[[#This Row],[Sales]]-tblSales[[#This Row],[Budget]]</f>
        <v>-2535</v>
      </c>
      <c r="L1102" s="3">
        <f>(tblSales[[#This Row],[Sales]]-tblSales[[#This Row],[Budget]])/tblSales[[#This Row],[Budget]]</f>
        <v>-9.8565263035110234E-2</v>
      </c>
      <c r="M1102" s="2">
        <f>tblSales[[#This Row],[Sales]]/tblSales[[#This Row],[Transactions]]</f>
        <v>504</v>
      </c>
    </row>
    <row r="1103" spans="1:13" x14ac:dyDescent="0.25">
      <c r="A1103" s="1">
        <v>46078</v>
      </c>
      <c r="B1103" t="s">
        <v>8</v>
      </c>
      <c r="C1103" t="s">
        <v>19</v>
      </c>
      <c r="D1103" t="str">
        <f>_xlfn.XLOOKUP(tblSales[[#This Row],[Store ID]],tblStores[Store ID],tblStores[Store Name])</f>
        <v>Gateway</v>
      </c>
      <c r="E1103" t="str">
        <f>_xlfn.XLOOKUP(tblSales[[#This Row],[Store ID]],tblStores[Store ID],tblStores[Province])</f>
        <v>KZN</v>
      </c>
      <c r="F1103" t="str">
        <f>_xlfn.XLOOKUP(tblSales[[#This Row],[Store ID]],tblStores[Store ID],tblStores[Manager])</f>
        <v>Michael Jones</v>
      </c>
      <c r="G1103" t="str">
        <f>_xlfn.XLOOKUP(tblSales[[#This Row],[Category ID]],tblCategories[Category ID],tblCategories[Category])</f>
        <v>Accessories</v>
      </c>
      <c r="H1103">
        <v>27060</v>
      </c>
      <c r="I1103">
        <v>27448</v>
      </c>
      <c r="J1103">
        <v>66</v>
      </c>
      <c r="K1103">
        <f>tblSales[[#This Row],[Sales]]-tblSales[[#This Row],[Budget]]</f>
        <v>-388</v>
      </c>
      <c r="L1103" s="3">
        <f>(tblSales[[#This Row],[Sales]]-tblSales[[#This Row],[Budget]])/tblSales[[#This Row],[Budget]]</f>
        <v>-1.4135820460507141E-2</v>
      </c>
      <c r="M1103" s="2">
        <f>tblSales[[#This Row],[Sales]]/tblSales[[#This Row],[Transactions]]</f>
        <v>410</v>
      </c>
    </row>
    <row r="1104" spans="1:13" x14ac:dyDescent="0.25">
      <c r="A1104" s="1">
        <v>46078</v>
      </c>
      <c r="B1104" t="s">
        <v>10</v>
      </c>
      <c r="C1104" t="s">
        <v>19</v>
      </c>
      <c r="D1104" t="str">
        <f>_xlfn.XLOOKUP(tblSales[[#This Row],[Store ID]],tblStores[Store ID],tblStores[Store Name])</f>
        <v>Ballito</v>
      </c>
      <c r="E1104" t="str">
        <f>_xlfn.XLOOKUP(tblSales[[#This Row],[Store ID]],tblStores[Store ID],tblStores[Province])</f>
        <v>KZN</v>
      </c>
      <c r="F1104" t="str">
        <f>_xlfn.XLOOKUP(tblSales[[#This Row],[Store ID]],tblStores[Store ID],tblStores[Manager])</f>
        <v>Linda Smith</v>
      </c>
      <c r="G1104" t="str">
        <f>_xlfn.XLOOKUP(tblSales[[#This Row],[Category ID]],tblCategories[Category ID],tblCategories[Category])</f>
        <v>Accessories</v>
      </c>
      <c r="H1104">
        <v>40672</v>
      </c>
      <c r="I1104">
        <v>46405</v>
      </c>
      <c r="J1104">
        <v>164</v>
      </c>
      <c r="K1104">
        <f>tblSales[[#This Row],[Sales]]-tblSales[[#This Row],[Budget]]</f>
        <v>-5733</v>
      </c>
      <c r="L1104" s="3">
        <f>(tblSales[[#This Row],[Sales]]-tblSales[[#This Row],[Budget]])/tblSales[[#This Row],[Budget]]</f>
        <v>-0.12354272168947311</v>
      </c>
      <c r="M1104" s="2">
        <f>tblSales[[#This Row],[Sales]]/tblSales[[#This Row],[Transactions]]</f>
        <v>248</v>
      </c>
    </row>
    <row r="1105" spans="1:13" x14ac:dyDescent="0.25">
      <c r="A1105" s="1">
        <v>46078</v>
      </c>
      <c r="B1105" t="s">
        <v>12</v>
      </c>
      <c r="C1105" t="s">
        <v>7</v>
      </c>
      <c r="D1105" t="str">
        <f>_xlfn.XLOOKUP(tblSales[[#This Row],[Store ID]],tblStores[Store ID],tblStores[Store Name])</f>
        <v>Pietermaritzburg</v>
      </c>
      <c r="E1105" t="str">
        <f>_xlfn.XLOOKUP(tblSales[[#This Row],[Store ID]],tblStores[Store ID],tblStores[Province])</f>
        <v>KZN</v>
      </c>
      <c r="F1105" t="str">
        <f>_xlfn.XLOOKUP(tblSales[[#This Row],[Store ID]],tblStores[Store ID],tblStores[Manager])</f>
        <v>Peter Brown</v>
      </c>
      <c r="G1105" t="str">
        <f>_xlfn.XLOOKUP(tblSales[[#This Row],[Category ID]],tblCategories[Category ID],tblCategories[Category])</f>
        <v>Menswear</v>
      </c>
      <c r="H1105">
        <v>34680</v>
      </c>
      <c r="I1105">
        <v>36008</v>
      </c>
      <c r="J1105">
        <v>170</v>
      </c>
      <c r="K1105">
        <f>tblSales[[#This Row],[Sales]]-tblSales[[#This Row],[Budget]]</f>
        <v>-1328</v>
      </c>
      <c r="L1105" s="3">
        <f>(tblSales[[#This Row],[Sales]]-tblSales[[#This Row],[Budget]])/tblSales[[#This Row],[Budget]]</f>
        <v>-3.6880693179293489E-2</v>
      </c>
      <c r="M1105" s="2">
        <f>tblSales[[#This Row],[Sales]]/tblSales[[#This Row],[Transactions]]</f>
        <v>204</v>
      </c>
    </row>
    <row r="1106" spans="1:13" x14ac:dyDescent="0.25">
      <c r="A1106" s="1">
        <v>46078</v>
      </c>
      <c r="B1106" t="s">
        <v>13</v>
      </c>
      <c r="C1106" t="s">
        <v>11</v>
      </c>
      <c r="D1106" t="str">
        <f>_xlfn.XLOOKUP(tblSales[[#This Row],[Store ID]],tblStores[Store ID],tblStores[Store Name])</f>
        <v>Richards Bay</v>
      </c>
      <c r="E1106" t="str">
        <f>_xlfn.XLOOKUP(tblSales[[#This Row],[Store ID]],tblStores[Store ID],tblStores[Province])</f>
        <v>KZN</v>
      </c>
      <c r="F1106" t="str">
        <f>_xlfn.XLOOKUP(tblSales[[#This Row],[Store ID]],tblStores[Store ID],tblStores[Manager])</f>
        <v>David Green</v>
      </c>
      <c r="G1106" t="str">
        <f>_xlfn.XLOOKUP(tblSales[[#This Row],[Category ID]],tblCategories[Category ID],tblCategories[Category])</f>
        <v>Footwear</v>
      </c>
      <c r="H1106">
        <v>78568</v>
      </c>
      <c r="I1106">
        <v>88867</v>
      </c>
      <c r="J1106">
        <v>184</v>
      </c>
      <c r="K1106">
        <f>tblSales[[#This Row],[Sales]]-tblSales[[#This Row],[Budget]]</f>
        <v>-10299</v>
      </c>
      <c r="L1106" s="3">
        <f>(tblSales[[#This Row],[Sales]]-tblSales[[#This Row],[Budget]])/tblSales[[#This Row],[Budget]]</f>
        <v>-0.11589228847603722</v>
      </c>
      <c r="M1106" s="2">
        <f>tblSales[[#This Row],[Sales]]/tblSales[[#This Row],[Transactions]]</f>
        <v>427</v>
      </c>
    </row>
    <row r="1107" spans="1:13" x14ac:dyDescent="0.25">
      <c r="A1107" s="1">
        <v>46078</v>
      </c>
      <c r="B1107" t="s">
        <v>14</v>
      </c>
      <c r="C1107" t="s">
        <v>9</v>
      </c>
      <c r="D1107" t="str">
        <f>_xlfn.XLOOKUP(tblSales[[#This Row],[Store ID]],tblStores[Store ID],tblStores[Store Name])</f>
        <v>Sandton</v>
      </c>
      <c r="E1107" t="str">
        <f>_xlfn.XLOOKUP(tblSales[[#This Row],[Store ID]],tblStores[Store ID],tblStores[Province])</f>
        <v>Gauteng</v>
      </c>
      <c r="F1107" t="str">
        <f>_xlfn.XLOOKUP(tblSales[[#This Row],[Store ID]],tblStores[Store ID],tblStores[Manager])</f>
        <v>Karen White</v>
      </c>
      <c r="G1107" t="str">
        <f>_xlfn.XLOOKUP(tblSales[[#This Row],[Category ID]],tblCategories[Category ID],tblCategories[Category])</f>
        <v>Ladieswear</v>
      </c>
      <c r="H1107">
        <v>100912</v>
      </c>
      <c r="I1107">
        <v>95201</v>
      </c>
      <c r="J1107">
        <v>212</v>
      </c>
      <c r="K1107">
        <f>tblSales[[#This Row],[Sales]]-tblSales[[#This Row],[Budget]]</f>
        <v>5711</v>
      </c>
      <c r="L1107" s="3">
        <f>(tblSales[[#This Row],[Sales]]-tblSales[[#This Row],[Budget]])/tblSales[[#This Row],[Budget]]</f>
        <v>5.9988865663175808E-2</v>
      </c>
      <c r="M1107" s="2">
        <f>tblSales[[#This Row],[Sales]]/tblSales[[#This Row],[Transactions]]</f>
        <v>476</v>
      </c>
    </row>
    <row r="1108" spans="1:13" x14ac:dyDescent="0.25">
      <c r="A1108" s="1">
        <v>46078</v>
      </c>
      <c r="B1108" t="s">
        <v>15</v>
      </c>
      <c r="C1108" t="s">
        <v>9</v>
      </c>
      <c r="D1108" t="str">
        <f>_xlfn.XLOOKUP(tblSales[[#This Row],[Store ID]],tblStores[Store ID],tblStores[Store Name])</f>
        <v>Rosebank</v>
      </c>
      <c r="E1108" t="str">
        <f>_xlfn.XLOOKUP(tblSales[[#This Row],[Store ID]],tblStores[Store ID],tblStores[Province])</f>
        <v>Gauteng</v>
      </c>
      <c r="F1108" t="str">
        <f>_xlfn.XLOOKUP(tblSales[[#This Row],[Store ID]],tblStores[Store ID],tblStores[Manager])</f>
        <v>James Taylor</v>
      </c>
      <c r="G1108" t="str">
        <f>_xlfn.XLOOKUP(tblSales[[#This Row],[Category ID]],tblCategories[Category ID],tblCategories[Category])</f>
        <v>Ladieswear</v>
      </c>
      <c r="H1108">
        <v>23058</v>
      </c>
      <c r="I1108">
        <v>24542</v>
      </c>
      <c r="J1108">
        <v>61</v>
      </c>
      <c r="K1108">
        <f>tblSales[[#This Row],[Sales]]-tblSales[[#This Row],[Budget]]</f>
        <v>-1484</v>
      </c>
      <c r="L1108" s="3">
        <f>(tblSales[[#This Row],[Sales]]-tblSales[[#This Row],[Budget]])/tblSales[[#This Row],[Budget]]</f>
        <v>-6.0467769537934972E-2</v>
      </c>
      <c r="M1108" s="2">
        <f>tblSales[[#This Row],[Sales]]/tblSales[[#This Row],[Transactions]]</f>
        <v>378</v>
      </c>
    </row>
    <row r="1109" spans="1:13" x14ac:dyDescent="0.25">
      <c r="A1109" s="1">
        <v>46078</v>
      </c>
      <c r="B1109" t="s">
        <v>16</v>
      </c>
      <c r="C1109" t="s">
        <v>19</v>
      </c>
      <c r="D1109" t="str">
        <f>_xlfn.XLOOKUP(tblSales[[#This Row],[Store ID]],tblStores[Store ID],tblStores[Store Name])</f>
        <v>Pretoria</v>
      </c>
      <c r="E1109" t="str">
        <f>_xlfn.XLOOKUP(tblSales[[#This Row],[Store ID]],tblStores[Store ID],tblStores[Province])</f>
        <v>Gauteng</v>
      </c>
      <c r="F1109" t="str">
        <f>_xlfn.XLOOKUP(tblSales[[#This Row],[Store ID]],tblStores[Store ID],tblStores[Manager])</f>
        <v>Susan Clark</v>
      </c>
      <c r="G1109" t="str">
        <f>_xlfn.XLOOKUP(tblSales[[#This Row],[Category ID]],tblCategories[Category ID],tblCategories[Category])</f>
        <v>Accessories</v>
      </c>
      <c r="H1109">
        <v>51246</v>
      </c>
      <c r="I1109">
        <v>57413</v>
      </c>
      <c r="J1109">
        <v>117</v>
      </c>
      <c r="K1109">
        <f>tblSales[[#This Row],[Sales]]-tblSales[[#This Row],[Budget]]</f>
        <v>-6167</v>
      </c>
      <c r="L1109" s="3">
        <f>(tblSales[[#This Row],[Sales]]-tblSales[[#This Row],[Budget]])/tblSales[[#This Row],[Budget]]</f>
        <v>-0.10741469701983872</v>
      </c>
      <c r="M1109" s="2">
        <f>tblSales[[#This Row],[Sales]]/tblSales[[#This Row],[Transactions]]</f>
        <v>438</v>
      </c>
    </row>
    <row r="1110" spans="1:13" x14ac:dyDescent="0.25">
      <c r="A1110" s="1">
        <v>46078</v>
      </c>
      <c r="B1110" t="s">
        <v>17</v>
      </c>
      <c r="C1110" t="s">
        <v>11</v>
      </c>
      <c r="D1110" t="str">
        <f>_xlfn.XLOOKUP(tblSales[[#This Row],[Store ID]],tblStores[Store ID],tblStores[Store Name])</f>
        <v>Centurion</v>
      </c>
      <c r="E1110" t="str">
        <f>_xlfn.XLOOKUP(tblSales[[#This Row],[Store ID]],tblStores[Store ID],tblStores[Province])</f>
        <v>Gauteng</v>
      </c>
      <c r="F1110" t="str">
        <f>_xlfn.XLOOKUP(tblSales[[#This Row],[Store ID]],tblStores[Store ID],tblStores[Manager])</f>
        <v>Mark Wilson</v>
      </c>
      <c r="G1110" t="str">
        <f>_xlfn.XLOOKUP(tblSales[[#This Row],[Category ID]],tblCategories[Category ID],tblCategories[Category])</f>
        <v>Footwear</v>
      </c>
      <c r="H1110">
        <v>58330</v>
      </c>
      <c r="I1110">
        <v>56486</v>
      </c>
      <c r="J1110">
        <v>190</v>
      </c>
      <c r="K1110">
        <f>tblSales[[#This Row],[Sales]]-tblSales[[#This Row],[Budget]]</f>
        <v>1844</v>
      </c>
      <c r="L1110" s="3">
        <f>(tblSales[[#This Row],[Sales]]-tblSales[[#This Row],[Budget]])/tblSales[[#This Row],[Budget]]</f>
        <v>3.2645257231880463E-2</v>
      </c>
      <c r="M1110" s="2">
        <f>tblSales[[#This Row],[Sales]]/tblSales[[#This Row],[Transactions]]</f>
        <v>307</v>
      </c>
    </row>
    <row r="1111" spans="1:13" x14ac:dyDescent="0.25">
      <c r="A1111" s="1">
        <v>46078</v>
      </c>
      <c r="B1111" t="s">
        <v>18</v>
      </c>
      <c r="C1111" t="s">
        <v>22</v>
      </c>
      <c r="D1111" t="str">
        <f>_xlfn.XLOOKUP(tblSales[[#This Row],[Store ID]],tblStores[Store ID],tblStores[Store Name])</f>
        <v>East Rand</v>
      </c>
      <c r="E1111" t="str">
        <f>_xlfn.XLOOKUP(tblSales[[#This Row],[Store ID]],tblStores[Store ID],tblStores[Province])</f>
        <v>Gauteng</v>
      </c>
      <c r="F1111" t="str">
        <f>_xlfn.XLOOKUP(tblSales[[#This Row],[Store ID]],tblStores[Store ID],tblStores[Manager])</f>
        <v>Lisa Young</v>
      </c>
      <c r="G1111" t="str">
        <f>_xlfn.XLOOKUP(tblSales[[#This Row],[Category ID]],tblCategories[Category ID],tblCategories[Category])</f>
        <v>Kids</v>
      </c>
      <c r="H1111">
        <v>45210</v>
      </c>
      <c r="I1111">
        <v>49785</v>
      </c>
      <c r="J1111">
        <v>110</v>
      </c>
      <c r="K1111">
        <f>tblSales[[#This Row],[Sales]]-tblSales[[#This Row],[Budget]]</f>
        <v>-4575</v>
      </c>
      <c r="L1111" s="3">
        <f>(tblSales[[#This Row],[Sales]]-tblSales[[#This Row],[Budget]])/tblSales[[#This Row],[Budget]]</f>
        <v>-9.1895149141307628E-2</v>
      </c>
      <c r="M1111" s="2">
        <f>tblSales[[#This Row],[Sales]]/tblSales[[#This Row],[Transactions]]</f>
        <v>411</v>
      </c>
    </row>
    <row r="1112" spans="1:13" x14ac:dyDescent="0.25">
      <c r="A1112" s="1">
        <v>46078</v>
      </c>
      <c r="B1112" t="s">
        <v>20</v>
      </c>
      <c r="C1112" t="s">
        <v>9</v>
      </c>
      <c r="D1112" t="str">
        <f>_xlfn.XLOOKUP(tblSales[[#This Row],[Store ID]],tblStores[Store ID],tblStores[Store Name])</f>
        <v>Cape Town CBD</v>
      </c>
      <c r="E1112" t="str">
        <f>_xlfn.XLOOKUP(tblSales[[#This Row],[Store ID]],tblStores[Store ID],tblStores[Province])</f>
        <v>Western Cape</v>
      </c>
      <c r="F1112" t="str">
        <f>_xlfn.XLOOKUP(tblSales[[#This Row],[Store ID]],tblStores[Store ID],tblStores[Manager])</f>
        <v>Brian Hall</v>
      </c>
      <c r="G1112" t="str">
        <f>_xlfn.XLOOKUP(tblSales[[#This Row],[Category ID]],tblCategories[Category ID],tblCategories[Category])</f>
        <v>Ladieswear</v>
      </c>
      <c r="H1112">
        <v>68320</v>
      </c>
      <c r="I1112">
        <v>73444</v>
      </c>
      <c r="J1112">
        <v>140</v>
      </c>
      <c r="K1112">
        <f>tblSales[[#This Row],[Sales]]-tblSales[[#This Row],[Budget]]</f>
        <v>-5124</v>
      </c>
      <c r="L1112" s="3">
        <f>(tblSales[[#This Row],[Sales]]-tblSales[[#This Row],[Budget]])/tblSales[[#This Row],[Budget]]</f>
        <v>-6.9767441860465115E-2</v>
      </c>
      <c r="M1112" s="2">
        <f>tblSales[[#This Row],[Sales]]/tblSales[[#This Row],[Transactions]]</f>
        <v>488</v>
      </c>
    </row>
    <row r="1113" spans="1:13" x14ac:dyDescent="0.25">
      <c r="A1113" s="1">
        <v>46078</v>
      </c>
      <c r="B1113" t="s">
        <v>21</v>
      </c>
      <c r="C1113" t="s">
        <v>19</v>
      </c>
      <c r="D1113" t="str">
        <f>_xlfn.XLOOKUP(tblSales[[#This Row],[Store ID]],tblStores[Store ID],tblStores[Store Name])</f>
        <v>Canal Walk</v>
      </c>
      <c r="E1113" t="str">
        <f>_xlfn.XLOOKUP(tblSales[[#This Row],[Store ID]],tblStores[Store ID],tblStores[Province])</f>
        <v>Western Cape</v>
      </c>
      <c r="F1113" t="str">
        <f>_xlfn.XLOOKUP(tblSales[[#This Row],[Store ID]],tblStores[Store ID],tblStores[Manager])</f>
        <v>Megan Scott</v>
      </c>
      <c r="G1113" t="str">
        <f>_xlfn.XLOOKUP(tblSales[[#This Row],[Category ID]],tblCategories[Category ID],tblCategories[Category])</f>
        <v>Accessories</v>
      </c>
      <c r="H1113">
        <v>51060</v>
      </c>
      <c r="I1113">
        <v>56940</v>
      </c>
      <c r="J1113">
        <v>111</v>
      </c>
      <c r="K1113">
        <f>tblSales[[#This Row],[Sales]]-tblSales[[#This Row],[Budget]]</f>
        <v>-5880</v>
      </c>
      <c r="L1113" s="3">
        <f>(tblSales[[#This Row],[Sales]]-tblSales[[#This Row],[Budget]])/tblSales[[#This Row],[Budget]]</f>
        <v>-0.10326659641728135</v>
      </c>
      <c r="M1113" s="2">
        <f>tblSales[[#This Row],[Sales]]/tblSales[[#This Row],[Transactions]]</f>
        <v>460</v>
      </c>
    </row>
    <row r="1114" spans="1:13" x14ac:dyDescent="0.25">
      <c r="A1114" s="1">
        <v>46078</v>
      </c>
      <c r="B1114" t="s">
        <v>23</v>
      </c>
      <c r="C1114" t="s">
        <v>19</v>
      </c>
      <c r="D1114" t="str">
        <f>_xlfn.XLOOKUP(tblSales[[#This Row],[Store ID]],tblStores[Store ID],tblStores[Store Name])</f>
        <v>Stellenbosch</v>
      </c>
      <c r="E1114" t="str">
        <f>_xlfn.XLOOKUP(tblSales[[#This Row],[Store ID]],tblStores[Store ID],tblStores[Province])</f>
        <v>Western Cape</v>
      </c>
      <c r="F1114" t="str">
        <f>_xlfn.XLOOKUP(tblSales[[#This Row],[Store ID]],tblStores[Store ID],tblStores[Manager])</f>
        <v>Jason King</v>
      </c>
      <c r="G1114" t="str">
        <f>_xlfn.XLOOKUP(tblSales[[#This Row],[Category ID]],tblCategories[Category ID],tblCategories[Category])</f>
        <v>Accessories</v>
      </c>
      <c r="H1114">
        <v>57036</v>
      </c>
      <c r="I1114">
        <v>54196</v>
      </c>
      <c r="J1114">
        <v>196</v>
      </c>
      <c r="K1114">
        <f>tblSales[[#This Row],[Sales]]-tblSales[[#This Row],[Budget]]</f>
        <v>2840</v>
      </c>
      <c r="L1114" s="3">
        <f>(tblSales[[#This Row],[Sales]]-tblSales[[#This Row],[Budget]])/tblSales[[#This Row],[Budget]]</f>
        <v>5.2402391320392649E-2</v>
      </c>
      <c r="M1114" s="2">
        <f>tblSales[[#This Row],[Sales]]/tblSales[[#This Row],[Transactions]]</f>
        <v>291</v>
      </c>
    </row>
    <row r="1115" spans="1:13" x14ac:dyDescent="0.25">
      <c r="A1115" s="1">
        <v>46078</v>
      </c>
      <c r="B1115" t="s">
        <v>24</v>
      </c>
      <c r="C1115" t="s">
        <v>19</v>
      </c>
      <c r="D1115" t="str">
        <f>_xlfn.XLOOKUP(tblSales[[#This Row],[Store ID]],tblStores[Store ID],tblStores[Store Name])</f>
        <v>George</v>
      </c>
      <c r="E1115" t="str">
        <f>_xlfn.XLOOKUP(tblSales[[#This Row],[Store ID]],tblStores[Store ID],tblStores[Province])</f>
        <v>Western Cape</v>
      </c>
      <c r="F1115" t="str">
        <f>_xlfn.XLOOKUP(tblSales[[#This Row],[Store ID]],tblStores[Store ID],tblStores[Manager])</f>
        <v>Chloe Hill</v>
      </c>
      <c r="G1115" t="str">
        <f>_xlfn.XLOOKUP(tblSales[[#This Row],[Category ID]],tblCategories[Category ID],tblCategories[Category])</f>
        <v>Accessories</v>
      </c>
      <c r="H1115">
        <v>71176</v>
      </c>
      <c r="I1115">
        <v>76275</v>
      </c>
      <c r="J1115">
        <v>217</v>
      </c>
      <c r="K1115">
        <f>tblSales[[#This Row],[Sales]]-tblSales[[#This Row],[Budget]]</f>
        <v>-5099</v>
      </c>
      <c r="L1115" s="3">
        <f>(tblSales[[#This Row],[Sales]]-tblSales[[#This Row],[Budget]])/tblSales[[#This Row],[Budget]]</f>
        <v>-6.6850213044903309E-2</v>
      </c>
      <c r="M1115" s="2">
        <f>tblSales[[#This Row],[Sales]]/tblSales[[#This Row],[Transactions]]</f>
        <v>328</v>
      </c>
    </row>
    <row r="1116" spans="1:13" x14ac:dyDescent="0.25">
      <c r="A1116" s="1">
        <v>46078</v>
      </c>
      <c r="B1116" t="s">
        <v>25</v>
      </c>
      <c r="C1116" t="s">
        <v>9</v>
      </c>
      <c r="D1116" t="str">
        <f>_xlfn.XLOOKUP(tblSales[[#This Row],[Store ID]],tblStores[Store ID],tblStores[Store Name])</f>
        <v>Paarl</v>
      </c>
      <c r="E1116" t="str">
        <f>_xlfn.XLOOKUP(tblSales[[#This Row],[Store ID]],tblStores[Store ID],tblStores[Province])</f>
        <v>Western Cape</v>
      </c>
      <c r="F1116" t="str">
        <f>_xlfn.XLOOKUP(tblSales[[#This Row],[Store ID]],tblStores[Store ID],tblStores[Manager])</f>
        <v>Andrew Lee</v>
      </c>
      <c r="G1116" t="str">
        <f>_xlfn.XLOOKUP(tblSales[[#This Row],[Category ID]],tblCategories[Category ID],tblCategories[Category])</f>
        <v>Ladieswear</v>
      </c>
      <c r="H1116">
        <v>110592</v>
      </c>
      <c r="I1116">
        <v>126494</v>
      </c>
      <c r="J1116">
        <v>216</v>
      </c>
      <c r="K1116">
        <f>tblSales[[#This Row],[Sales]]-tblSales[[#This Row],[Budget]]</f>
        <v>-15902</v>
      </c>
      <c r="L1116" s="3">
        <f>(tblSales[[#This Row],[Sales]]-tblSales[[#This Row],[Budget]])/tblSales[[#This Row],[Budget]]</f>
        <v>-0.12571347257577434</v>
      </c>
      <c r="M1116" s="2">
        <f>tblSales[[#This Row],[Sales]]/tblSales[[#This Row],[Transactions]]</f>
        <v>512</v>
      </c>
    </row>
    <row r="1117" spans="1:13" x14ac:dyDescent="0.25">
      <c r="A1117" s="1">
        <v>46078</v>
      </c>
      <c r="B1117" t="s">
        <v>26</v>
      </c>
      <c r="C1117" t="s">
        <v>9</v>
      </c>
      <c r="D1117" t="str">
        <f>_xlfn.XLOOKUP(tblSales[[#This Row],[Store ID]],tblStores[Store ID],tblStores[Store Name])</f>
        <v>Gqeberha</v>
      </c>
      <c r="E1117" t="str">
        <f>_xlfn.XLOOKUP(tblSales[[#This Row],[Store ID]],tblStores[Store ID],tblStores[Province])</f>
        <v>Eastern Cape</v>
      </c>
      <c r="F1117" t="str">
        <f>_xlfn.XLOOKUP(tblSales[[#This Row],[Store ID]],tblStores[Store ID],tblStores[Manager])</f>
        <v>Emma Baker</v>
      </c>
      <c r="G1117" t="str">
        <f>_xlfn.XLOOKUP(tblSales[[#This Row],[Category ID]],tblCategories[Category ID],tblCategories[Category])</f>
        <v>Ladieswear</v>
      </c>
      <c r="H1117">
        <v>74491</v>
      </c>
      <c r="I1117">
        <v>79971</v>
      </c>
      <c r="J1117">
        <v>163</v>
      </c>
      <c r="K1117">
        <f>tblSales[[#This Row],[Sales]]-tblSales[[#This Row],[Budget]]</f>
        <v>-5480</v>
      </c>
      <c r="L1117" s="3">
        <f>(tblSales[[#This Row],[Sales]]-tblSales[[#This Row],[Budget]])/tblSales[[#This Row],[Budget]]</f>
        <v>-6.8524840254592295E-2</v>
      </c>
      <c r="M1117" s="2">
        <f>tblSales[[#This Row],[Sales]]/tblSales[[#This Row],[Transactions]]</f>
        <v>457</v>
      </c>
    </row>
    <row r="1118" spans="1:13" x14ac:dyDescent="0.25">
      <c r="A1118" s="1">
        <v>46078</v>
      </c>
      <c r="B1118" t="s">
        <v>27</v>
      </c>
      <c r="C1118" t="s">
        <v>22</v>
      </c>
      <c r="D1118" t="str">
        <f>_xlfn.XLOOKUP(tblSales[[#This Row],[Store ID]],tblStores[Store ID],tblStores[Store Name])</f>
        <v>East London</v>
      </c>
      <c r="E1118" t="str">
        <f>_xlfn.XLOOKUP(tblSales[[#This Row],[Store ID]],tblStores[Store ID],tblStores[Province])</f>
        <v>Eastern Cape</v>
      </c>
      <c r="F1118" t="str">
        <f>_xlfn.XLOOKUP(tblSales[[#This Row],[Store ID]],tblStores[Store ID],tblStores[Manager])</f>
        <v>Daniel Evans</v>
      </c>
      <c r="G1118" t="str">
        <f>_xlfn.XLOOKUP(tblSales[[#This Row],[Category ID]],tblCategories[Category ID],tblCategories[Category])</f>
        <v>Kids</v>
      </c>
      <c r="H1118">
        <v>51624</v>
      </c>
      <c r="I1118">
        <v>56280</v>
      </c>
      <c r="J1118">
        <v>216</v>
      </c>
      <c r="K1118">
        <f>tblSales[[#This Row],[Sales]]-tblSales[[#This Row],[Budget]]</f>
        <v>-4656</v>
      </c>
      <c r="L1118" s="3">
        <f>(tblSales[[#This Row],[Sales]]-tblSales[[#This Row],[Budget]])/tblSales[[#This Row],[Budget]]</f>
        <v>-8.272921108742004E-2</v>
      </c>
      <c r="M1118" s="2">
        <f>tblSales[[#This Row],[Sales]]/tblSales[[#This Row],[Transactions]]</f>
        <v>239</v>
      </c>
    </row>
    <row r="1119" spans="1:13" x14ac:dyDescent="0.25">
      <c r="A1119" s="1">
        <v>46078</v>
      </c>
      <c r="B1119" t="s">
        <v>28</v>
      </c>
      <c r="C1119" t="s">
        <v>19</v>
      </c>
      <c r="D1119" t="str">
        <f>_xlfn.XLOOKUP(tblSales[[#This Row],[Store ID]],tblStores[Store ID],tblStores[Store Name])</f>
        <v>Bloemfontein</v>
      </c>
      <c r="E1119" t="str">
        <f>_xlfn.XLOOKUP(tblSales[[#This Row],[Store ID]],tblStores[Store ID],tblStores[Province])</f>
        <v>Free State</v>
      </c>
      <c r="F1119" t="str">
        <f>_xlfn.XLOOKUP(tblSales[[#This Row],[Store ID]],tblStores[Store ID],tblStores[Manager])</f>
        <v>Rachel Moore</v>
      </c>
      <c r="G1119" t="str">
        <f>_xlfn.XLOOKUP(tblSales[[#This Row],[Category ID]],tblCategories[Category ID],tblCategories[Category])</f>
        <v>Accessories</v>
      </c>
      <c r="H1119">
        <v>75046</v>
      </c>
      <c r="I1119">
        <v>78247</v>
      </c>
      <c r="J1119">
        <v>157</v>
      </c>
      <c r="K1119">
        <f>tblSales[[#This Row],[Sales]]-tblSales[[#This Row],[Budget]]</f>
        <v>-3201</v>
      </c>
      <c r="L1119" s="3">
        <f>(tblSales[[#This Row],[Sales]]-tblSales[[#This Row],[Budget]])/tblSales[[#This Row],[Budget]]</f>
        <v>-4.0908916635781563E-2</v>
      </c>
      <c r="M1119" s="2">
        <f>tblSales[[#This Row],[Sales]]/tblSales[[#This Row],[Transactions]]</f>
        <v>478</v>
      </c>
    </row>
    <row r="1120" spans="1:13" x14ac:dyDescent="0.25">
      <c r="A1120" s="1">
        <v>46078</v>
      </c>
      <c r="B1120" t="s">
        <v>29</v>
      </c>
      <c r="C1120" t="s">
        <v>11</v>
      </c>
      <c r="D1120" t="str">
        <f>_xlfn.XLOOKUP(tblSales[[#This Row],[Store ID]],tblStores[Store ID],tblStores[Store Name])</f>
        <v>Polokwane</v>
      </c>
      <c r="E1120" t="str">
        <f>_xlfn.XLOOKUP(tblSales[[#This Row],[Store ID]],tblStores[Store ID],tblStores[Province])</f>
        <v>Limpopo</v>
      </c>
      <c r="F1120" t="str">
        <f>_xlfn.XLOOKUP(tblSales[[#This Row],[Store ID]],tblStores[Store ID],tblStores[Manager])</f>
        <v>Kevin Harris</v>
      </c>
      <c r="G1120" t="str">
        <f>_xlfn.XLOOKUP(tblSales[[#This Row],[Category ID]],tblCategories[Category ID],tblCategories[Category])</f>
        <v>Footwear</v>
      </c>
      <c r="H1120">
        <v>93771</v>
      </c>
      <c r="I1120">
        <v>91096</v>
      </c>
      <c r="J1120">
        <v>207</v>
      </c>
      <c r="K1120">
        <f>tblSales[[#This Row],[Sales]]-tblSales[[#This Row],[Budget]]</f>
        <v>2675</v>
      </c>
      <c r="L1120" s="3">
        <f>(tblSales[[#This Row],[Sales]]-tblSales[[#This Row],[Budget]])/tblSales[[#This Row],[Budget]]</f>
        <v>2.936462632826908E-2</v>
      </c>
      <c r="M1120" s="2">
        <f>tblSales[[#This Row],[Sales]]/tblSales[[#This Row],[Transactions]]</f>
        <v>453</v>
      </c>
    </row>
    <row r="1121" spans="1:13" x14ac:dyDescent="0.25">
      <c r="A1121" s="1">
        <v>46078</v>
      </c>
      <c r="B1121" t="s">
        <v>30</v>
      </c>
      <c r="C1121" t="s">
        <v>11</v>
      </c>
      <c r="D1121" t="str">
        <f>_xlfn.XLOOKUP(tblSales[[#This Row],[Store ID]],tblStores[Store ID],tblStores[Store Name])</f>
        <v>Nelspruit</v>
      </c>
      <c r="E1121" t="str">
        <f>_xlfn.XLOOKUP(tblSales[[#This Row],[Store ID]],tblStores[Store ID],tblStores[Province])</f>
        <v>Mpumalanga</v>
      </c>
      <c r="F1121" t="str">
        <f>_xlfn.XLOOKUP(tblSales[[#This Row],[Store ID]],tblStores[Store ID],tblStores[Manager])</f>
        <v>Olivia Turner</v>
      </c>
      <c r="G1121" t="str">
        <f>_xlfn.XLOOKUP(tblSales[[#This Row],[Category ID]],tblCategories[Category ID],tblCategories[Category])</f>
        <v>Footwear</v>
      </c>
      <c r="H1121">
        <v>16986</v>
      </c>
      <c r="I1121">
        <v>15739</v>
      </c>
      <c r="J1121">
        <v>38</v>
      </c>
      <c r="K1121">
        <f>tblSales[[#This Row],[Sales]]-tblSales[[#This Row],[Budget]]</f>
        <v>1247</v>
      </c>
      <c r="L1121" s="3">
        <f>(tblSales[[#This Row],[Sales]]-tblSales[[#This Row],[Budget]])/tblSales[[#This Row],[Budget]]</f>
        <v>7.9229938369655001E-2</v>
      </c>
      <c r="M1121" s="2">
        <f>tblSales[[#This Row],[Sales]]/tblSales[[#This Row],[Transactions]]</f>
        <v>447</v>
      </c>
    </row>
    <row r="1122" spans="1:13" x14ac:dyDescent="0.25">
      <c r="A1122" s="1">
        <v>46079</v>
      </c>
      <c r="B1122" t="s">
        <v>6</v>
      </c>
      <c r="C1122" t="s">
        <v>11</v>
      </c>
      <c r="D1122" t="str">
        <f>_xlfn.XLOOKUP(tblSales[[#This Row],[Store ID]],tblStores[Store ID],tblStores[Store Name])</f>
        <v>Durban CBD</v>
      </c>
      <c r="E1122" t="str">
        <f>_xlfn.XLOOKUP(tblSales[[#This Row],[Store ID]],tblStores[Store ID],tblStores[Province])</f>
        <v>KZN</v>
      </c>
      <c r="F1122" t="str">
        <f>_xlfn.XLOOKUP(tblSales[[#This Row],[Store ID]],tblStores[Store ID],tblStores[Manager])</f>
        <v>Sarah Adams</v>
      </c>
      <c r="G1122" t="str">
        <f>_xlfn.XLOOKUP(tblSales[[#This Row],[Category ID]],tblCategories[Category ID],tblCategories[Category])</f>
        <v>Footwear</v>
      </c>
      <c r="H1122">
        <v>14904</v>
      </c>
      <c r="I1122">
        <v>15910</v>
      </c>
      <c r="J1122">
        <v>72</v>
      </c>
      <c r="K1122">
        <f>tblSales[[#This Row],[Sales]]-tblSales[[#This Row],[Budget]]</f>
        <v>-1006</v>
      </c>
      <c r="L1122" s="3">
        <f>(tblSales[[#This Row],[Sales]]-tblSales[[#This Row],[Budget]])/tblSales[[#This Row],[Budget]]</f>
        <v>-6.323067253299812E-2</v>
      </c>
      <c r="M1122" s="2">
        <f>tblSales[[#This Row],[Sales]]/tblSales[[#This Row],[Transactions]]</f>
        <v>207</v>
      </c>
    </row>
    <row r="1123" spans="1:13" x14ac:dyDescent="0.25">
      <c r="A1123" s="1">
        <v>46079</v>
      </c>
      <c r="B1123" t="s">
        <v>8</v>
      </c>
      <c r="C1123" t="s">
        <v>9</v>
      </c>
      <c r="D1123" t="str">
        <f>_xlfn.XLOOKUP(tblSales[[#This Row],[Store ID]],tblStores[Store ID],tblStores[Store Name])</f>
        <v>Gateway</v>
      </c>
      <c r="E1123" t="str">
        <f>_xlfn.XLOOKUP(tblSales[[#This Row],[Store ID]],tblStores[Store ID],tblStores[Province])</f>
        <v>KZN</v>
      </c>
      <c r="F1123" t="str">
        <f>_xlfn.XLOOKUP(tblSales[[#This Row],[Store ID]],tblStores[Store ID],tblStores[Manager])</f>
        <v>Michael Jones</v>
      </c>
      <c r="G1123" t="str">
        <f>_xlfn.XLOOKUP(tblSales[[#This Row],[Category ID]],tblCategories[Category ID],tblCategories[Category])</f>
        <v>Ladieswear</v>
      </c>
      <c r="H1123">
        <v>26986</v>
      </c>
      <c r="I1123">
        <v>30922</v>
      </c>
      <c r="J1123">
        <v>103</v>
      </c>
      <c r="K1123">
        <f>tblSales[[#This Row],[Sales]]-tblSales[[#This Row],[Budget]]</f>
        <v>-3936</v>
      </c>
      <c r="L1123" s="3">
        <f>(tblSales[[#This Row],[Sales]]-tblSales[[#This Row],[Budget]])/tblSales[[#This Row],[Budget]]</f>
        <v>-0.12728801500549772</v>
      </c>
      <c r="M1123" s="2">
        <f>tblSales[[#This Row],[Sales]]/tblSales[[#This Row],[Transactions]]</f>
        <v>262</v>
      </c>
    </row>
    <row r="1124" spans="1:13" x14ac:dyDescent="0.25">
      <c r="A1124" s="1">
        <v>46079</v>
      </c>
      <c r="B1124" t="s">
        <v>10</v>
      </c>
      <c r="C1124" t="s">
        <v>22</v>
      </c>
      <c r="D1124" t="str">
        <f>_xlfn.XLOOKUP(tblSales[[#This Row],[Store ID]],tblStores[Store ID],tblStores[Store Name])</f>
        <v>Ballito</v>
      </c>
      <c r="E1124" t="str">
        <f>_xlfn.XLOOKUP(tblSales[[#This Row],[Store ID]],tblStores[Store ID],tblStores[Province])</f>
        <v>KZN</v>
      </c>
      <c r="F1124" t="str">
        <f>_xlfn.XLOOKUP(tblSales[[#This Row],[Store ID]],tblStores[Store ID],tblStores[Manager])</f>
        <v>Linda Smith</v>
      </c>
      <c r="G1124" t="str">
        <f>_xlfn.XLOOKUP(tblSales[[#This Row],[Category ID]],tblCategories[Category ID],tblCategories[Category])</f>
        <v>Kids</v>
      </c>
      <c r="H1124">
        <v>15192</v>
      </c>
      <c r="I1124">
        <v>16295</v>
      </c>
      <c r="J1124">
        <v>72</v>
      </c>
      <c r="K1124">
        <f>tblSales[[#This Row],[Sales]]-tblSales[[#This Row],[Budget]]</f>
        <v>-1103</v>
      </c>
      <c r="L1124" s="3">
        <f>(tblSales[[#This Row],[Sales]]-tblSales[[#This Row],[Budget]])/tblSales[[#This Row],[Budget]]</f>
        <v>-6.768947529917152E-2</v>
      </c>
      <c r="M1124" s="2">
        <f>tblSales[[#This Row],[Sales]]/tblSales[[#This Row],[Transactions]]</f>
        <v>211</v>
      </c>
    </row>
    <row r="1125" spans="1:13" x14ac:dyDescent="0.25">
      <c r="A1125" s="1">
        <v>46079</v>
      </c>
      <c r="B1125" t="s">
        <v>12</v>
      </c>
      <c r="C1125" t="s">
        <v>22</v>
      </c>
      <c r="D1125" t="str">
        <f>_xlfn.XLOOKUP(tblSales[[#This Row],[Store ID]],tblStores[Store ID],tblStores[Store Name])</f>
        <v>Pietermaritzburg</v>
      </c>
      <c r="E1125" t="str">
        <f>_xlfn.XLOOKUP(tblSales[[#This Row],[Store ID]],tblStores[Store ID],tblStores[Province])</f>
        <v>KZN</v>
      </c>
      <c r="F1125" t="str">
        <f>_xlfn.XLOOKUP(tblSales[[#This Row],[Store ID]],tblStores[Store ID],tblStores[Manager])</f>
        <v>Peter Brown</v>
      </c>
      <c r="G1125" t="str">
        <f>_xlfn.XLOOKUP(tblSales[[#This Row],[Category ID]],tblCategories[Category ID],tblCategories[Category])</f>
        <v>Kids</v>
      </c>
      <c r="H1125">
        <v>39759</v>
      </c>
      <c r="I1125">
        <v>36104</v>
      </c>
      <c r="J1125">
        <v>87</v>
      </c>
      <c r="K1125">
        <f>tblSales[[#This Row],[Sales]]-tblSales[[#This Row],[Budget]]</f>
        <v>3655</v>
      </c>
      <c r="L1125" s="3">
        <f>(tblSales[[#This Row],[Sales]]-tblSales[[#This Row],[Budget]])/tblSales[[#This Row],[Budget]]</f>
        <v>0.10123532018612896</v>
      </c>
      <c r="M1125" s="2">
        <f>tblSales[[#This Row],[Sales]]/tblSales[[#This Row],[Transactions]]</f>
        <v>457</v>
      </c>
    </row>
    <row r="1126" spans="1:13" x14ac:dyDescent="0.25">
      <c r="A1126" s="1">
        <v>46079</v>
      </c>
      <c r="B1126" t="s">
        <v>13</v>
      </c>
      <c r="C1126" t="s">
        <v>11</v>
      </c>
      <c r="D1126" t="str">
        <f>_xlfn.XLOOKUP(tblSales[[#This Row],[Store ID]],tblStores[Store ID],tblStores[Store Name])</f>
        <v>Richards Bay</v>
      </c>
      <c r="E1126" t="str">
        <f>_xlfn.XLOOKUP(tblSales[[#This Row],[Store ID]],tblStores[Store ID],tblStores[Province])</f>
        <v>KZN</v>
      </c>
      <c r="F1126" t="str">
        <f>_xlfn.XLOOKUP(tblSales[[#This Row],[Store ID]],tblStores[Store ID],tblStores[Manager])</f>
        <v>David Green</v>
      </c>
      <c r="G1126" t="str">
        <f>_xlfn.XLOOKUP(tblSales[[#This Row],[Category ID]],tblCategories[Category ID],tblCategories[Category])</f>
        <v>Footwear</v>
      </c>
      <c r="H1126">
        <v>30195</v>
      </c>
      <c r="I1126">
        <v>33728</v>
      </c>
      <c r="J1126">
        <v>61</v>
      </c>
      <c r="K1126">
        <f>tblSales[[#This Row],[Sales]]-tblSales[[#This Row],[Budget]]</f>
        <v>-3533</v>
      </c>
      <c r="L1126" s="3">
        <f>(tblSales[[#This Row],[Sales]]-tblSales[[#This Row],[Budget]])/tblSales[[#This Row],[Budget]]</f>
        <v>-0.10474976280834915</v>
      </c>
      <c r="M1126" s="2">
        <f>tblSales[[#This Row],[Sales]]/tblSales[[#This Row],[Transactions]]</f>
        <v>495</v>
      </c>
    </row>
    <row r="1127" spans="1:13" x14ac:dyDescent="0.25">
      <c r="A1127" s="1">
        <v>46079</v>
      </c>
      <c r="B1127" t="s">
        <v>14</v>
      </c>
      <c r="C1127" t="s">
        <v>19</v>
      </c>
      <c r="D1127" t="str">
        <f>_xlfn.XLOOKUP(tblSales[[#This Row],[Store ID]],tblStores[Store ID],tblStores[Store Name])</f>
        <v>Sandton</v>
      </c>
      <c r="E1127" t="str">
        <f>_xlfn.XLOOKUP(tblSales[[#This Row],[Store ID]],tblStores[Store ID],tblStores[Province])</f>
        <v>Gauteng</v>
      </c>
      <c r="F1127" t="str">
        <f>_xlfn.XLOOKUP(tblSales[[#This Row],[Store ID]],tblStores[Store ID],tblStores[Manager])</f>
        <v>Karen White</v>
      </c>
      <c r="G1127" t="str">
        <f>_xlfn.XLOOKUP(tblSales[[#This Row],[Category ID]],tblCategories[Category ID],tblCategories[Category])</f>
        <v>Accessories</v>
      </c>
      <c r="H1127">
        <v>47012</v>
      </c>
      <c r="I1127">
        <v>48907</v>
      </c>
      <c r="J1127">
        <v>92</v>
      </c>
      <c r="K1127">
        <f>tblSales[[#This Row],[Sales]]-tblSales[[#This Row],[Budget]]</f>
        <v>-1895</v>
      </c>
      <c r="L1127" s="3">
        <f>(tblSales[[#This Row],[Sales]]-tblSales[[#This Row],[Budget]])/tblSales[[#This Row],[Budget]]</f>
        <v>-3.8747009630523237E-2</v>
      </c>
      <c r="M1127" s="2">
        <f>tblSales[[#This Row],[Sales]]/tblSales[[#This Row],[Transactions]]</f>
        <v>511</v>
      </c>
    </row>
    <row r="1128" spans="1:13" x14ac:dyDescent="0.25">
      <c r="A1128" s="1">
        <v>46079</v>
      </c>
      <c r="B1128" t="s">
        <v>15</v>
      </c>
      <c r="C1128" t="s">
        <v>9</v>
      </c>
      <c r="D1128" t="str">
        <f>_xlfn.XLOOKUP(tblSales[[#This Row],[Store ID]],tblStores[Store ID],tblStores[Store Name])</f>
        <v>Rosebank</v>
      </c>
      <c r="E1128" t="str">
        <f>_xlfn.XLOOKUP(tblSales[[#This Row],[Store ID]],tblStores[Store ID],tblStores[Province])</f>
        <v>Gauteng</v>
      </c>
      <c r="F1128" t="str">
        <f>_xlfn.XLOOKUP(tblSales[[#This Row],[Store ID]],tblStores[Store ID],tblStores[Manager])</f>
        <v>James Taylor</v>
      </c>
      <c r="G1128" t="str">
        <f>_xlfn.XLOOKUP(tblSales[[#This Row],[Category ID]],tblCategories[Category ID],tblCategories[Category])</f>
        <v>Ladieswear</v>
      </c>
      <c r="H1128">
        <v>53955</v>
      </c>
      <c r="I1128">
        <v>57906</v>
      </c>
      <c r="J1128">
        <v>165</v>
      </c>
      <c r="K1128">
        <f>tblSales[[#This Row],[Sales]]-tblSales[[#This Row],[Budget]]</f>
        <v>-3951</v>
      </c>
      <c r="L1128" s="3">
        <f>(tblSales[[#This Row],[Sales]]-tblSales[[#This Row],[Budget]])/tblSales[[#This Row],[Budget]]</f>
        <v>-6.8231271370842395E-2</v>
      </c>
      <c r="M1128" s="2">
        <f>tblSales[[#This Row],[Sales]]/tblSales[[#This Row],[Transactions]]</f>
        <v>327</v>
      </c>
    </row>
    <row r="1129" spans="1:13" x14ac:dyDescent="0.25">
      <c r="A1129" s="1">
        <v>46079</v>
      </c>
      <c r="B1129" t="s">
        <v>16</v>
      </c>
      <c r="C1129" t="s">
        <v>7</v>
      </c>
      <c r="D1129" t="str">
        <f>_xlfn.XLOOKUP(tblSales[[#This Row],[Store ID]],tblStores[Store ID],tblStores[Store Name])</f>
        <v>Pretoria</v>
      </c>
      <c r="E1129" t="str">
        <f>_xlfn.XLOOKUP(tblSales[[#This Row],[Store ID]],tblStores[Store ID],tblStores[Province])</f>
        <v>Gauteng</v>
      </c>
      <c r="F1129" t="str">
        <f>_xlfn.XLOOKUP(tblSales[[#This Row],[Store ID]],tblStores[Store ID],tblStores[Manager])</f>
        <v>Susan Clark</v>
      </c>
      <c r="G1129" t="str">
        <f>_xlfn.XLOOKUP(tblSales[[#This Row],[Category ID]],tblCategories[Category ID],tblCategories[Category])</f>
        <v>Menswear</v>
      </c>
      <c r="H1129">
        <v>49896</v>
      </c>
      <c r="I1129">
        <v>50102</v>
      </c>
      <c r="J1129">
        <v>132</v>
      </c>
      <c r="K1129">
        <f>tblSales[[#This Row],[Sales]]-tblSales[[#This Row],[Budget]]</f>
        <v>-206</v>
      </c>
      <c r="L1129" s="3">
        <f>(tblSales[[#This Row],[Sales]]-tblSales[[#This Row],[Budget]])/tblSales[[#This Row],[Budget]]</f>
        <v>-4.1116123108857934E-3</v>
      </c>
      <c r="M1129" s="2">
        <f>tblSales[[#This Row],[Sales]]/tblSales[[#This Row],[Transactions]]</f>
        <v>378</v>
      </c>
    </row>
    <row r="1130" spans="1:13" x14ac:dyDescent="0.25">
      <c r="A1130" s="1">
        <v>46079</v>
      </c>
      <c r="B1130" t="s">
        <v>17</v>
      </c>
      <c r="C1130" t="s">
        <v>22</v>
      </c>
      <c r="D1130" t="str">
        <f>_xlfn.XLOOKUP(tblSales[[#This Row],[Store ID]],tblStores[Store ID],tblStores[Store Name])</f>
        <v>Centurion</v>
      </c>
      <c r="E1130" t="str">
        <f>_xlfn.XLOOKUP(tblSales[[#This Row],[Store ID]],tblStores[Store ID],tblStores[Province])</f>
        <v>Gauteng</v>
      </c>
      <c r="F1130" t="str">
        <f>_xlfn.XLOOKUP(tblSales[[#This Row],[Store ID]],tblStores[Store ID],tblStores[Manager])</f>
        <v>Mark Wilson</v>
      </c>
      <c r="G1130" t="str">
        <f>_xlfn.XLOOKUP(tblSales[[#This Row],[Category ID]],tblCategories[Category ID],tblCategories[Category])</f>
        <v>Kids</v>
      </c>
      <c r="H1130">
        <v>36432</v>
      </c>
      <c r="I1130">
        <v>32906</v>
      </c>
      <c r="J1130">
        <v>176</v>
      </c>
      <c r="K1130">
        <f>tblSales[[#This Row],[Sales]]-tblSales[[#This Row],[Budget]]</f>
        <v>3526</v>
      </c>
      <c r="L1130" s="3">
        <f>(tblSales[[#This Row],[Sales]]-tblSales[[#This Row],[Budget]])/tblSales[[#This Row],[Budget]]</f>
        <v>0.107153710569501</v>
      </c>
      <c r="M1130" s="2">
        <f>tblSales[[#This Row],[Sales]]/tblSales[[#This Row],[Transactions]]</f>
        <v>207</v>
      </c>
    </row>
    <row r="1131" spans="1:13" x14ac:dyDescent="0.25">
      <c r="A1131" s="1">
        <v>46079</v>
      </c>
      <c r="B1131" t="s">
        <v>18</v>
      </c>
      <c r="C1131" t="s">
        <v>22</v>
      </c>
      <c r="D1131" t="str">
        <f>_xlfn.XLOOKUP(tblSales[[#This Row],[Store ID]],tblStores[Store ID],tblStores[Store Name])</f>
        <v>East Rand</v>
      </c>
      <c r="E1131" t="str">
        <f>_xlfn.XLOOKUP(tblSales[[#This Row],[Store ID]],tblStores[Store ID],tblStores[Province])</f>
        <v>Gauteng</v>
      </c>
      <c r="F1131" t="str">
        <f>_xlfn.XLOOKUP(tblSales[[#This Row],[Store ID]],tblStores[Store ID],tblStores[Manager])</f>
        <v>Lisa Young</v>
      </c>
      <c r="G1131" t="str">
        <f>_xlfn.XLOOKUP(tblSales[[#This Row],[Category ID]],tblCategories[Category ID],tblCategories[Category])</f>
        <v>Kids</v>
      </c>
      <c r="H1131">
        <v>42742</v>
      </c>
      <c r="I1131">
        <v>47751</v>
      </c>
      <c r="J1131">
        <v>86</v>
      </c>
      <c r="K1131">
        <f>tblSales[[#This Row],[Sales]]-tblSales[[#This Row],[Budget]]</f>
        <v>-5009</v>
      </c>
      <c r="L1131" s="3">
        <f>(tblSales[[#This Row],[Sales]]-tblSales[[#This Row],[Budget]])/tblSales[[#This Row],[Budget]]</f>
        <v>-0.10489832673661284</v>
      </c>
      <c r="M1131" s="2">
        <f>tblSales[[#This Row],[Sales]]/tblSales[[#This Row],[Transactions]]</f>
        <v>497</v>
      </c>
    </row>
    <row r="1132" spans="1:13" x14ac:dyDescent="0.25">
      <c r="A1132" s="1">
        <v>46079</v>
      </c>
      <c r="B1132" t="s">
        <v>20</v>
      </c>
      <c r="C1132" t="s">
        <v>11</v>
      </c>
      <c r="D1132" t="str">
        <f>_xlfn.XLOOKUP(tblSales[[#This Row],[Store ID]],tblStores[Store ID],tblStores[Store Name])</f>
        <v>Cape Town CBD</v>
      </c>
      <c r="E1132" t="str">
        <f>_xlfn.XLOOKUP(tblSales[[#This Row],[Store ID]],tblStores[Store ID],tblStores[Province])</f>
        <v>Western Cape</v>
      </c>
      <c r="F1132" t="str">
        <f>_xlfn.XLOOKUP(tblSales[[#This Row],[Store ID]],tblStores[Store ID],tblStores[Manager])</f>
        <v>Brian Hall</v>
      </c>
      <c r="G1132" t="str">
        <f>_xlfn.XLOOKUP(tblSales[[#This Row],[Category ID]],tblCategories[Category ID],tblCategories[Category])</f>
        <v>Footwear</v>
      </c>
      <c r="H1132">
        <v>46368</v>
      </c>
      <c r="I1132">
        <v>49899</v>
      </c>
      <c r="J1132">
        <v>92</v>
      </c>
      <c r="K1132">
        <f>tblSales[[#This Row],[Sales]]-tblSales[[#This Row],[Budget]]</f>
        <v>-3531</v>
      </c>
      <c r="L1132" s="3">
        <f>(tblSales[[#This Row],[Sales]]-tblSales[[#This Row],[Budget]])/tblSales[[#This Row],[Budget]]</f>
        <v>-7.0762941141105026E-2</v>
      </c>
      <c r="M1132" s="2">
        <f>tblSales[[#This Row],[Sales]]/tblSales[[#This Row],[Transactions]]</f>
        <v>504</v>
      </c>
    </row>
    <row r="1133" spans="1:13" x14ac:dyDescent="0.25">
      <c r="A1133" s="1">
        <v>46079</v>
      </c>
      <c r="B1133" t="s">
        <v>21</v>
      </c>
      <c r="C1133" t="s">
        <v>22</v>
      </c>
      <c r="D1133" t="str">
        <f>_xlfn.XLOOKUP(tblSales[[#This Row],[Store ID]],tblStores[Store ID],tblStores[Store Name])</f>
        <v>Canal Walk</v>
      </c>
      <c r="E1133" t="str">
        <f>_xlfn.XLOOKUP(tblSales[[#This Row],[Store ID]],tblStores[Store ID],tblStores[Province])</f>
        <v>Western Cape</v>
      </c>
      <c r="F1133" t="str">
        <f>_xlfn.XLOOKUP(tblSales[[#This Row],[Store ID]],tblStores[Store ID],tblStores[Manager])</f>
        <v>Megan Scott</v>
      </c>
      <c r="G1133" t="str">
        <f>_xlfn.XLOOKUP(tblSales[[#This Row],[Category ID]],tblCategories[Category ID],tblCategories[Category])</f>
        <v>Kids</v>
      </c>
      <c r="H1133">
        <v>84915</v>
      </c>
      <c r="I1133">
        <v>92099</v>
      </c>
      <c r="J1133">
        <v>185</v>
      </c>
      <c r="K1133">
        <f>tblSales[[#This Row],[Sales]]-tblSales[[#This Row],[Budget]]</f>
        <v>-7184</v>
      </c>
      <c r="L1133" s="3">
        <f>(tblSales[[#This Row],[Sales]]-tblSales[[#This Row],[Budget]])/tblSales[[#This Row],[Budget]]</f>
        <v>-7.8003018490971673E-2</v>
      </c>
      <c r="M1133" s="2">
        <f>tblSales[[#This Row],[Sales]]/tblSales[[#This Row],[Transactions]]</f>
        <v>459</v>
      </c>
    </row>
    <row r="1134" spans="1:13" x14ac:dyDescent="0.25">
      <c r="A1134" s="1">
        <v>46079</v>
      </c>
      <c r="B1134" t="s">
        <v>23</v>
      </c>
      <c r="C1134" t="s">
        <v>9</v>
      </c>
      <c r="D1134" t="str">
        <f>_xlfn.XLOOKUP(tblSales[[#This Row],[Store ID]],tblStores[Store ID],tblStores[Store Name])</f>
        <v>Stellenbosch</v>
      </c>
      <c r="E1134" t="str">
        <f>_xlfn.XLOOKUP(tblSales[[#This Row],[Store ID]],tblStores[Store ID],tblStores[Province])</f>
        <v>Western Cape</v>
      </c>
      <c r="F1134" t="str">
        <f>_xlfn.XLOOKUP(tblSales[[#This Row],[Store ID]],tblStores[Store ID],tblStores[Manager])</f>
        <v>Jason King</v>
      </c>
      <c r="G1134" t="str">
        <f>_xlfn.XLOOKUP(tblSales[[#This Row],[Category ID]],tblCategories[Category ID],tblCategories[Category])</f>
        <v>Ladieswear</v>
      </c>
      <c r="H1134">
        <v>61380</v>
      </c>
      <c r="I1134">
        <v>59756</v>
      </c>
      <c r="J1134">
        <v>220</v>
      </c>
      <c r="K1134">
        <f>tblSales[[#This Row],[Sales]]-tblSales[[#This Row],[Budget]]</f>
        <v>1624</v>
      </c>
      <c r="L1134" s="3">
        <f>(tblSales[[#This Row],[Sales]]-tblSales[[#This Row],[Budget]])/tblSales[[#This Row],[Budget]]</f>
        <v>2.7177187228060781E-2</v>
      </c>
      <c r="M1134" s="2">
        <f>tblSales[[#This Row],[Sales]]/tblSales[[#This Row],[Transactions]]</f>
        <v>279</v>
      </c>
    </row>
    <row r="1135" spans="1:13" x14ac:dyDescent="0.25">
      <c r="A1135" s="1">
        <v>46079</v>
      </c>
      <c r="B1135" t="s">
        <v>24</v>
      </c>
      <c r="C1135" t="s">
        <v>9</v>
      </c>
      <c r="D1135" t="str">
        <f>_xlfn.XLOOKUP(tblSales[[#This Row],[Store ID]],tblStores[Store ID],tblStores[Store Name])</f>
        <v>George</v>
      </c>
      <c r="E1135" t="str">
        <f>_xlfn.XLOOKUP(tblSales[[#This Row],[Store ID]],tblStores[Store ID],tblStores[Province])</f>
        <v>Western Cape</v>
      </c>
      <c r="F1135" t="str">
        <f>_xlfn.XLOOKUP(tblSales[[#This Row],[Store ID]],tblStores[Store ID],tblStores[Manager])</f>
        <v>Chloe Hill</v>
      </c>
      <c r="G1135" t="str">
        <f>_xlfn.XLOOKUP(tblSales[[#This Row],[Category ID]],tblCategories[Category ID],tblCategories[Category])</f>
        <v>Ladieswear</v>
      </c>
      <c r="H1135">
        <v>45562</v>
      </c>
      <c r="I1135">
        <v>43135</v>
      </c>
      <c r="J1135">
        <v>209</v>
      </c>
      <c r="K1135">
        <f>tblSales[[#This Row],[Sales]]-tblSales[[#This Row],[Budget]]</f>
        <v>2427</v>
      </c>
      <c r="L1135" s="3">
        <f>(tblSales[[#This Row],[Sales]]-tblSales[[#This Row],[Budget]])/tblSales[[#This Row],[Budget]]</f>
        <v>5.626521386345195E-2</v>
      </c>
      <c r="M1135" s="2">
        <f>tblSales[[#This Row],[Sales]]/tblSales[[#This Row],[Transactions]]</f>
        <v>218</v>
      </c>
    </row>
    <row r="1136" spans="1:13" x14ac:dyDescent="0.25">
      <c r="A1136" s="1">
        <v>46079</v>
      </c>
      <c r="B1136" t="s">
        <v>25</v>
      </c>
      <c r="C1136" t="s">
        <v>9</v>
      </c>
      <c r="D1136" t="str">
        <f>_xlfn.XLOOKUP(tblSales[[#This Row],[Store ID]],tblStores[Store ID],tblStores[Store Name])</f>
        <v>Paarl</v>
      </c>
      <c r="E1136" t="str">
        <f>_xlfn.XLOOKUP(tblSales[[#This Row],[Store ID]],tblStores[Store ID],tblStores[Province])</f>
        <v>Western Cape</v>
      </c>
      <c r="F1136" t="str">
        <f>_xlfn.XLOOKUP(tblSales[[#This Row],[Store ID]],tblStores[Store ID],tblStores[Manager])</f>
        <v>Andrew Lee</v>
      </c>
      <c r="G1136" t="str">
        <f>_xlfn.XLOOKUP(tblSales[[#This Row],[Category ID]],tblCategories[Category ID],tblCategories[Category])</f>
        <v>Ladieswear</v>
      </c>
      <c r="H1136">
        <v>40006</v>
      </c>
      <c r="I1136">
        <v>39777</v>
      </c>
      <c r="J1136">
        <v>166</v>
      </c>
      <c r="K1136">
        <f>tblSales[[#This Row],[Sales]]-tblSales[[#This Row],[Budget]]</f>
        <v>229</v>
      </c>
      <c r="L1136" s="3">
        <f>(tblSales[[#This Row],[Sales]]-tblSales[[#This Row],[Budget]])/tblSales[[#This Row],[Budget]]</f>
        <v>5.757095809135933E-3</v>
      </c>
      <c r="M1136" s="2">
        <f>tblSales[[#This Row],[Sales]]/tblSales[[#This Row],[Transactions]]</f>
        <v>241</v>
      </c>
    </row>
    <row r="1137" spans="1:13" x14ac:dyDescent="0.25">
      <c r="A1137" s="1">
        <v>46079</v>
      </c>
      <c r="B1137" t="s">
        <v>26</v>
      </c>
      <c r="C1137" t="s">
        <v>11</v>
      </c>
      <c r="D1137" t="str">
        <f>_xlfn.XLOOKUP(tblSales[[#This Row],[Store ID]],tblStores[Store ID],tblStores[Store Name])</f>
        <v>Gqeberha</v>
      </c>
      <c r="E1137" t="str">
        <f>_xlfn.XLOOKUP(tblSales[[#This Row],[Store ID]],tblStores[Store ID],tblStores[Province])</f>
        <v>Eastern Cape</v>
      </c>
      <c r="F1137" t="str">
        <f>_xlfn.XLOOKUP(tblSales[[#This Row],[Store ID]],tblStores[Store ID],tblStores[Manager])</f>
        <v>Emma Baker</v>
      </c>
      <c r="G1137" t="str">
        <f>_xlfn.XLOOKUP(tblSales[[#This Row],[Category ID]],tblCategories[Category ID],tblCategories[Category])</f>
        <v>Footwear</v>
      </c>
      <c r="H1137">
        <v>49184</v>
      </c>
      <c r="I1137">
        <v>47514</v>
      </c>
      <c r="J1137">
        <v>106</v>
      </c>
      <c r="K1137">
        <f>tblSales[[#This Row],[Sales]]-tblSales[[#This Row],[Budget]]</f>
        <v>1670</v>
      </c>
      <c r="L1137" s="3">
        <f>(tblSales[[#This Row],[Sales]]-tblSales[[#This Row],[Budget]])/tblSales[[#This Row],[Budget]]</f>
        <v>3.5147535463231891E-2</v>
      </c>
      <c r="M1137" s="2">
        <f>tblSales[[#This Row],[Sales]]/tblSales[[#This Row],[Transactions]]</f>
        <v>464</v>
      </c>
    </row>
    <row r="1138" spans="1:13" x14ac:dyDescent="0.25">
      <c r="A1138" s="1">
        <v>46079</v>
      </c>
      <c r="B1138" t="s">
        <v>27</v>
      </c>
      <c r="C1138" t="s">
        <v>9</v>
      </c>
      <c r="D1138" t="str">
        <f>_xlfn.XLOOKUP(tblSales[[#This Row],[Store ID]],tblStores[Store ID],tblStores[Store Name])</f>
        <v>East London</v>
      </c>
      <c r="E1138" t="str">
        <f>_xlfn.XLOOKUP(tblSales[[#This Row],[Store ID]],tblStores[Store ID],tblStores[Province])</f>
        <v>Eastern Cape</v>
      </c>
      <c r="F1138" t="str">
        <f>_xlfn.XLOOKUP(tblSales[[#This Row],[Store ID]],tblStores[Store ID],tblStores[Manager])</f>
        <v>Daniel Evans</v>
      </c>
      <c r="G1138" t="str">
        <f>_xlfn.XLOOKUP(tblSales[[#This Row],[Category ID]],tblCategories[Category ID],tblCategories[Category])</f>
        <v>Ladieswear</v>
      </c>
      <c r="H1138">
        <v>57040</v>
      </c>
      <c r="I1138">
        <v>51416</v>
      </c>
      <c r="J1138">
        <v>184</v>
      </c>
      <c r="K1138">
        <f>tblSales[[#This Row],[Sales]]-tblSales[[#This Row],[Budget]]</f>
        <v>5624</v>
      </c>
      <c r="L1138" s="3">
        <f>(tblSales[[#This Row],[Sales]]-tblSales[[#This Row],[Budget]])/tblSales[[#This Row],[Budget]]</f>
        <v>0.10938229344950988</v>
      </c>
      <c r="M1138" s="2">
        <f>tblSales[[#This Row],[Sales]]/tblSales[[#This Row],[Transactions]]</f>
        <v>310</v>
      </c>
    </row>
    <row r="1139" spans="1:13" x14ac:dyDescent="0.25">
      <c r="A1139" s="1">
        <v>46079</v>
      </c>
      <c r="B1139" t="s">
        <v>28</v>
      </c>
      <c r="C1139" t="s">
        <v>11</v>
      </c>
      <c r="D1139" t="str">
        <f>_xlfn.XLOOKUP(tblSales[[#This Row],[Store ID]],tblStores[Store ID],tblStores[Store Name])</f>
        <v>Bloemfontein</v>
      </c>
      <c r="E1139" t="str">
        <f>_xlfn.XLOOKUP(tblSales[[#This Row],[Store ID]],tblStores[Store ID],tblStores[Province])</f>
        <v>Free State</v>
      </c>
      <c r="F1139" t="str">
        <f>_xlfn.XLOOKUP(tblSales[[#This Row],[Store ID]],tblStores[Store ID],tblStores[Manager])</f>
        <v>Rachel Moore</v>
      </c>
      <c r="G1139" t="str">
        <f>_xlfn.XLOOKUP(tblSales[[#This Row],[Category ID]],tblCategories[Category ID],tblCategories[Category])</f>
        <v>Footwear</v>
      </c>
      <c r="H1139">
        <v>55944</v>
      </c>
      <c r="I1139">
        <v>50908</v>
      </c>
      <c r="J1139">
        <v>216</v>
      </c>
      <c r="K1139">
        <f>tblSales[[#This Row],[Sales]]-tblSales[[#This Row],[Budget]]</f>
        <v>5036</v>
      </c>
      <c r="L1139" s="3">
        <f>(tblSales[[#This Row],[Sales]]-tblSales[[#This Row],[Budget]])/tblSales[[#This Row],[Budget]]</f>
        <v>9.8923548361750616E-2</v>
      </c>
      <c r="M1139" s="2">
        <f>tblSales[[#This Row],[Sales]]/tblSales[[#This Row],[Transactions]]</f>
        <v>259</v>
      </c>
    </row>
    <row r="1140" spans="1:13" x14ac:dyDescent="0.25">
      <c r="A1140" s="1">
        <v>46079</v>
      </c>
      <c r="B1140" t="s">
        <v>29</v>
      </c>
      <c r="C1140" t="s">
        <v>22</v>
      </c>
      <c r="D1140" t="str">
        <f>_xlfn.XLOOKUP(tblSales[[#This Row],[Store ID]],tblStores[Store ID],tblStores[Store Name])</f>
        <v>Polokwane</v>
      </c>
      <c r="E1140" t="str">
        <f>_xlfn.XLOOKUP(tblSales[[#This Row],[Store ID]],tblStores[Store ID],tblStores[Province])</f>
        <v>Limpopo</v>
      </c>
      <c r="F1140" t="str">
        <f>_xlfn.XLOOKUP(tblSales[[#This Row],[Store ID]],tblStores[Store ID],tblStores[Manager])</f>
        <v>Kevin Harris</v>
      </c>
      <c r="G1140" t="str">
        <f>_xlfn.XLOOKUP(tblSales[[#This Row],[Category ID]],tblCategories[Category ID],tblCategories[Category])</f>
        <v>Kids</v>
      </c>
      <c r="H1140">
        <v>38522</v>
      </c>
      <c r="I1140">
        <v>42120</v>
      </c>
      <c r="J1140">
        <v>187</v>
      </c>
      <c r="K1140">
        <f>tblSales[[#This Row],[Sales]]-tblSales[[#This Row],[Budget]]</f>
        <v>-3598</v>
      </c>
      <c r="L1140" s="3">
        <f>(tblSales[[#This Row],[Sales]]-tblSales[[#This Row],[Budget]])/tblSales[[#This Row],[Budget]]</f>
        <v>-8.5422602089268759E-2</v>
      </c>
      <c r="M1140" s="2">
        <f>tblSales[[#This Row],[Sales]]/tblSales[[#This Row],[Transactions]]</f>
        <v>206</v>
      </c>
    </row>
    <row r="1141" spans="1:13" x14ac:dyDescent="0.25">
      <c r="A1141" s="1">
        <v>46079</v>
      </c>
      <c r="B1141" t="s">
        <v>30</v>
      </c>
      <c r="C1141" t="s">
        <v>19</v>
      </c>
      <c r="D1141" t="str">
        <f>_xlfn.XLOOKUP(tblSales[[#This Row],[Store ID]],tblStores[Store ID],tblStores[Store Name])</f>
        <v>Nelspruit</v>
      </c>
      <c r="E1141" t="str">
        <f>_xlfn.XLOOKUP(tblSales[[#This Row],[Store ID]],tblStores[Store ID],tblStores[Province])</f>
        <v>Mpumalanga</v>
      </c>
      <c r="F1141" t="str">
        <f>_xlfn.XLOOKUP(tblSales[[#This Row],[Store ID]],tblStores[Store ID],tblStores[Manager])</f>
        <v>Olivia Turner</v>
      </c>
      <c r="G1141" t="str">
        <f>_xlfn.XLOOKUP(tblSales[[#This Row],[Category ID]],tblCategories[Category ID],tblCategories[Category])</f>
        <v>Accessories</v>
      </c>
      <c r="H1141">
        <v>68136</v>
      </c>
      <c r="I1141">
        <v>69678</v>
      </c>
      <c r="J1141">
        <v>204</v>
      </c>
      <c r="K1141">
        <f>tblSales[[#This Row],[Sales]]-tblSales[[#This Row],[Budget]]</f>
        <v>-1542</v>
      </c>
      <c r="L1141" s="3">
        <f>(tblSales[[#This Row],[Sales]]-tblSales[[#This Row],[Budget]])/tblSales[[#This Row],[Budget]]</f>
        <v>-2.2130371135796089E-2</v>
      </c>
      <c r="M1141" s="2">
        <f>tblSales[[#This Row],[Sales]]/tblSales[[#This Row],[Transactions]]</f>
        <v>334</v>
      </c>
    </row>
    <row r="1142" spans="1:13" x14ac:dyDescent="0.25">
      <c r="A1142" s="1">
        <v>46080</v>
      </c>
      <c r="B1142" t="s">
        <v>6</v>
      </c>
      <c r="C1142" t="s">
        <v>19</v>
      </c>
      <c r="D1142" t="str">
        <f>_xlfn.XLOOKUP(tblSales[[#This Row],[Store ID]],tblStores[Store ID],tblStores[Store Name])</f>
        <v>Durban CBD</v>
      </c>
      <c r="E1142" t="str">
        <f>_xlfn.XLOOKUP(tblSales[[#This Row],[Store ID]],tblStores[Store ID],tblStores[Province])</f>
        <v>KZN</v>
      </c>
      <c r="F1142" t="str">
        <f>_xlfn.XLOOKUP(tblSales[[#This Row],[Store ID]],tblStores[Store ID],tblStores[Manager])</f>
        <v>Sarah Adams</v>
      </c>
      <c r="G1142" t="str">
        <f>_xlfn.XLOOKUP(tblSales[[#This Row],[Category ID]],tblCategories[Category ID],tblCategories[Category])</f>
        <v>Accessories</v>
      </c>
      <c r="H1142">
        <v>63525</v>
      </c>
      <c r="I1142">
        <v>58329</v>
      </c>
      <c r="J1142">
        <v>175</v>
      </c>
      <c r="K1142">
        <f>tblSales[[#This Row],[Sales]]-tblSales[[#This Row],[Budget]]</f>
        <v>5196</v>
      </c>
      <c r="L1142" s="3">
        <f>(tblSales[[#This Row],[Sales]]-tblSales[[#This Row],[Budget]])/tblSales[[#This Row],[Budget]]</f>
        <v>8.9080903152805632E-2</v>
      </c>
      <c r="M1142" s="2">
        <f>tblSales[[#This Row],[Sales]]/tblSales[[#This Row],[Transactions]]</f>
        <v>363</v>
      </c>
    </row>
    <row r="1143" spans="1:13" x14ac:dyDescent="0.25">
      <c r="A1143" s="1">
        <v>46080</v>
      </c>
      <c r="B1143" t="s">
        <v>8</v>
      </c>
      <c r="C1143" t="s">
        <v>22</v>
      </c>
      <c r="D1143" t="str">
        <f>_xlfn.XLOOKUP(tblSales[[#This Row],[Store ID]],tblStores[Store ID],tblStores[Store Name])</f>
        <v>Gateway</v>
      </c>
      <c r="E1143" t="str">
        <f>_xlfn.XLOOKUP(tblSales[[#This Row],[Store ID]],tblStores[Store ID],tblStores[Province])</f>
        <v>KZN</v>
      </c>
      <c r="F1143" t="str">
        <f>_xlfn.XLOOKUP(tblSales[[#This Row],[Store ID]],tblStores[Store ID],tblStores[Manager])</f>
        <v>Michael Jones</v>
      </c>
      <c r="G1143" t="str">
        <f>_xlfn.XLOOKUP(tblSales[[#This Row],[Category ID]],tblCategories[Category ID],tblCategories[Category])</f>
        <v>Kids</v>
      </c>
      <c r="H1143">
        <v>49348</v>
      </c>
      <c r="I1143">
        <v>56219</v>
      </c>
      <c r="J1143">
        <v>169</v>
      </c>
      <c r="K1143">
        <f>tblSales[[#This Row],[Sales]]-tblSales[[#This Row],[Budget]]</f>
        <v>-6871</v>
      </c>
      <c r="L1143" s="3">
        <f>(tblSales[[#This Row],[Sales]]-tblSales[[#This Row],[Budget]])/tblSales[[#This Row],[Budget]]</f>
        <v>-0.12221846706629431</v>
      </c>
      <c r="M1143" s="2">
        <f>tblSales[[#This Row],[Sales]]/tblSales[[#This Row],[Transactions]]</f>
        <v>292</v>
      </c>
    </row>
    <row r="1144" spans="1:13" x14ac:dyDescent="0.25">
      <c r="A1144" s="1">
        <v>46080</v>
      </c>
      <c r="B1144" t="s">
        <v>10</v>
      </c>
      <c r="C1144" t="s">
        <v>19</v>
      </c>
      <c r="D1144" t="str">
        <f>_xlfn.XLOOKUP(tblSales[[#This Row],[Store ID]],tblStores[Store ID],tblStores[Store Name])</f>
        <v>Ballito</v>
      </c>
      <c r="E1144" t="str">
        <f>_xlfn.XLOOKUP(tblSales[[#This Row],[Store ID]],tblStores[Store ID],tblStores[Province])</f>
        <v>KZN</v>
      </c>
      <c r="F1144" t="str">
        <f>_xlfn.XLOOKUP(tblSales[[#This Row],[Store ID]],tblStores[Store ID],tblStores[Manager])</f>
        <v>Linda Smith</v>
      </c>
      <c r="G1144" t="str">
        <f>_xlfn.XLOOKUP(tblSales[[#This Row],[Category ID]],tblCategories[Category ID],tblCategories[Category])</f>
        <v>Accessories</v>
      </c>
      <c r="H1144">
        <v>22776</v>
      </c>
      <c r="I1144">
        <v>21405</v>
      </c>
      <c r="J1144">
        <v>52</v>
      </c>
      <c r="K1144">
        <f>tblSales[[#This Row],[Sales]]-tblSales[[#This Row],[Budget]]</f>
        <v>1371</v>
      </c>
      <c r="L1144" s="3">
        <f>(tblSales[[#This Row],[Sales]]-tblSales[[#This Row],[Budget]])/tblSales[[#This Row],[Budget]]</f>
        <v>6.4050455501051151E-2</v>
      </c>
      <c r="M1144" s="2">
        <f>tblSales[[#This Row],[Sales]]/tblSales[[#This Row],[Transactions]]</f>
        <v>438</v>
      </c>
    </row>
    <row r="1145" spans="1:13" x14ac:dyDescent="0.25">
      <c r="A1145" s="1">
        <v>46080</v>
      </c>
      <c r="B1145" t="s">
        <v>12</v>
      </c>
      <c r="C1145" t="s">
        <v>19</v>
      </c>
      <c r="D1145" t="str">
        <f>_xlfn.XLOOKUP(tblSales[[#This Row],[Store ID]],tblStores[Store ID],tblStores[Store Name])</f>
        <v>Pietermaritzburg</v>
      </c>
      <c r="E1145" t="str">
        <f>_xlfn.XLOOKUP(tblSales[[#This Row],[Store ID]],tblStores[Store ID],tblStores[Province])</f>
        <v>KZN</v>
      </c>
      <c r="F1145" t="str">
        <f>_xlfn.XLOOKUP(tblSales[[#This Row],[Store ID]],tblStores[Store ID],tblStores[Manager])</f>
        <v>Peter Brown</v>
      </c>
      <c r="G1145" t="str">
        <f>_xlfn.XLOOKUP(tblSales[[#This Row],[Category ID]],tblCategories[Category ID],tblCategories[Category])</f>
        <v>Accessories</v>
      </c>
      <c r="H1145">
        <v>66392</v>
      </c>
      <c r="I1145">
        <v>61278</v>
      </c>
      <c r="J1145">
        <v>172</v>
      </c>
      <c r="K1145">
        <f>tblSales[[#This Row],[Sales]]-tblSales[[#This Row],[Budget]]</f>
        <v>5114</v>
      </c>
      <c r="L1145" s="3">
        <f>(tblSales[[#This Row],[Sales]]-tblSales[[#This Row],[Budget]])/tblSales[[#This Row],[Budget]]</f>
        <v>8.3455726361826424E-2</v>
      </c>
      <c r="M1145" s="2">
        <f>tblSales[[#This Row],[Sales]]/tblSales[[#This Row],[Transactions]]</f>
        <v>386</v>
      </c>
    </row>
    <row r="1146" spans="1:13" x14ac:dyDescent="0.25">
      <c r="A1146" s="1">
        <v>46080</v>
      </c>
      <c r="B1146" t="s">
        <v>13</v>
      </c>
      <c r="C1146" t="s">
        <v>9</v>
      </c>
      <c r="D1146" t="str">
        <f>_xlfn.XLOOKUP(tblSales[[#This Row],[Store ID]],tblStores[Store ID],tblStores[Store Name])</f>
        <v>Richards Bay</v>
      </c>
      <c r="E1146" t="str">
        <f>_xlfn.XLOOKUP(tblSales[[#This Row],[Store ID]],tblStores[Store ID],tblStores[Province])</f>
        <v>KZN</v>
      </c>
      <c r="F1146" t="str">
        <f>_xlfn.XLOOKUP(tblSales[[#This Row],[Store ID]],tblStores[Store ID],tblStores[Manager])</f>
        <v>David Green</v>
      </c>
      <c r="G1146" t="str">
        <f>_xlfn.XLOOKUP(tblSales[[#This Row],[Category ID]],tblCategories[Category ID],tblCategories[Category])</f>
        <v>Ladieswear</v>
      </c>
      <c r="H1146">
        <v>46191</v>
      </c>
      <c r="I1146">
        <v>45404</v>
      </c>
      <c r="J1146">
        <v>89</v>
      </c>
      <c r="K1146">
        <f>tblSales[[#This Row],[Sales]]-tblSales[[#This Row],[Budget]]</f>
        <v>787</v>
      </c>
      <c r="L1146" s="3">
        <f>(tblSales[[#This Row],[Sales]]-tblSales[[#This Row],[Budget]])/tblSales[[#This Row],[Budget]]</f>
        <v>1.733327460135671E-2</v>
      </c>
      <c r="M1146" s="2">
        <f>tblSales[[#This Row],[Sales]]/tblSales[[#This Row],[Transactions]]</f>
        <v>519</v>
      </c>
    </row>
    <row r="1147" spans="1:13" x14ac:dyDescent="0.25">
      <c r="A1147" s="1">
        <v>46080</v>
      </c>
      <c r="B1147" t="s">
        <v>14</v>
      </c>
      <c r="C1147" t="s">
        <v>22</v>
      </c>
      <c r="D1147" t="str">
        <f>_xlfn.XLOOKUP(tblSales[[#This Row],[Store ID]],tblStores[Store ID],tblStores[Store Name])</f>
        <v>Sandton</v>
      </c>
      <c r="E1147" t="str">
        <f>_xlfn.XLOOKUP(tblSales[[#This Row],[Store ID]],tblStores[Store ID],tblStores[Province])</f>
        <v>Gauteng</v>
      </c>
      <c r="F1147" t="str">
        <f>_xlfn.XLOOKUP(tblSales[[#This Row],[Store ID]],tblStores[Store ID],tblStores[Manager])</f>
        <v>Karen White</v>
      </c>
      <c r="G1147" t="str">
        <f>_xlfn.XLOOKUP(tblSales[[#This Row],[Category ID]],tblCategories[Category ID],tblCategories[Category])</f>
        <v>Kids</v>
      </c>
      <c r="H1147">
        <v>32010</v>
      </c>
      <c r="I1147">
        <v>36413</v>
      </c>
      <c r="J1147">
        <v>110</v>
      </c>
      <c r="K1147">
        <f>tblSales[[#This Row],[Sales]]-tblSales[[#This Row],[Budget]]</f>
        <v>-4403</v>
      </c>
      <c r="L1147" s="3">
        <f>(tblSales[[#This Row],[Sales]]-tblSales[[#This Row],[Budget]])/tblSales[[#This Row],[Budget]]</f>
        <v>-0.12091835333534727</v>
      </c>
      <c r="M1147" s="2">
        <f>tblSales[[#This Row],[Sales]]/tblSales[[#This Row],[Transactions]]</f>
        <v>291</v>
      </c>
    </row>
    <row r="1148" spans="1:13" x14ac:dyDescent="0.25">
      <c r="A1148" s="1">
        <v>46080</v>
      </c>
      <c r="B1148" t="s">
        <v>15</v>
      </c>
      <c r="C1148" t="s">
        <v>19</v>
      </c>
      <c r="D1148" t="str">
        <f>_xlfn.XLOOKUP(tblSales[[#This Row],[Store ID]],tblStores[Store ID],tblStores[Store Name])</f>
        <v>Rosebank</v>
      </c>
      <c r="E1148" t="str">
        <f>_xlfn.XLOOKUP(tblSales[[#This Row],[Store ID]],tblStores[Store ID],tblStores[Province])</f>
        <v>Gauteng</v>
      </c>
      <c r="F1148" t="str">
        <f>_xlfn.XLOOKUP(tblSales[[#This Row],[Store ID]],tblStores[Store ID],tblStores[Manager])</f>
        <v>James Taylor</v>
      </c>
      <c r="G1148" t="str">
        <f>_xlfn.XLOOKUP(tblSales[[#This Row],[Category ID]],tblCategories[Category ID],tblCategories[Category])</f>
        <v>Accessories</v>
      </c>
      <c r="H1148">
        <v>71910</v>
      </c>
      <c r="I1148">
        <v>82635</v>
      </c>
      <c r="J1148">
        <v>170</v>
      </c>
      <c r="K1148">
        <f>tblSales[[#This Row],[Sales]]-tblSales[[#This Row],[Budget]]</f>
        <v>-10725</v>
      </c>
      <c r="L1148" s="3">
        <f>(tblSales[[#This Row],[Sales]]-tblSales[[#This Row],[Budget]])/tblSales[[#This Row],[Budget]]</f>
        <v>-0.12978762025776003</v>
      </c>
      <c r="M1148" s="2">
        <f>tblSales[[#This Row],[Sales]]/tblSales[[#This Row],[Transactions]]</f>
        <v>423</v>
      </c>
    </row>
    <row r="1149" spans="1:13" x14ac:dyDescent="0.25">
      <c r="A1149" s="1">
        <v>46080</v>
      </c>
      <c r="B1149" t="s">
        <v>16</v>
      </c>
      <c r="C1149" t="s">
        <v>7</v>
      </c>
      <c r="D1149" t="str">
        <f>_xlfn.XLOOKUP(tblSales[[#This Row],[Store ID]],tblStores[Store ID],tblStores[Store Name])</f>
        <v>Pretoria</v>
      </c>
      <c r="E1149" t="str">
        <f>_xlfn.XLOOKUP(tblSales[[#This Row],[Store ID]],tblStores[Store ID],tblStores[Province])</f>
        <v>Gauteng</v>
      </c>
      <c r="F1149" t="str">
        <f>_xlfn.XLOOKUP(tblSales[[#This Row],[Store ID]],tblStores[Store ID],tblStores[Manager])</f>
        <v>Susan Clark</v>
      </c>
      <c r="G1149" t="str">
        <f>_xlfn.XLOOKUP(tblSales[[#This Row],[Category ID]],tblCategories[Category ID],tblCategories[Category])</f>
        <v>Menswear</v>
      </c>
      <c r="H1149">
        <v>22848</v>
      </c>
      <c r="I1149">
        <v>23108</v>
      </c>
      <c r="J1149">
        <v>64</v>
      </c>
      <c r="K1149">
        <f>tblSales[[#This Row],[Sales]]-tblSales[[#This Row],[Budget]]</f>
        <v>-260</v>
      </c>
      <c r="L1149" s="3">
        <f>(tblSales[[#This Row],[Sales]]-tblSales[[#This Row],[Budget]])/tblSales[[#This Row],[Budget]]</f>
        <v>-1.1251514626969016E-2</v>
      </c>
      <c r="M1149" s="2">
        <f>tblSales[[#This Row],[Sales]]/tblSales[[#This Row],[Transactions]]</f>
        <v>357</v>
      </c>
    </row>
    <row r="1150" spans="1:13" x14ac:dyDescent="0.25">
      <c r="A1150" s="1">
        <v>46080</v>
      </c>
      <c r="B1150" t="s">
        <v>17</v>
      </c>
      <c r="C1150" t="s">
        <v>19</v>
      </c>
      <c r="D1150" t="str">
        <f>_xlfn.XLOOKUP(tblSales[[#This Row],[Store ID]],tblStores[Store ID],tblStores[Store Name])</f>
        <v>Centurion</v>
      </c>
      <c r="E1150" t="str">
        <f>_xlfn.XLOOKUP(tblSales[[#This Row],[Store ID]],tblStores[Store ID],tblStores[Province])</f>
        <v>Gauteng</v>
      </c>
      <c r="F1150" t="str">
        <f>_xlfn.XLOOKUP(tblSales[[#This Row],[Store ID]],tblStores[Store ID],tblStores[Manager])</f>
        <v>Mark Wilson</v>
      </c>
      <c r="G1150" t="str">
        <f>_xlfn.XLOOKUP(tblSales[[#This Row],[Category ID]],tblCategories[Category ID],tblCategories[Category])</f>
        <v>Accessories</v>
      </c>
      <c r="H1150">
        <v>58976</v>
      </c>
      <c r="I1150">
        <v>67216</v>
      </c>
      <c r="J1150">
        <v>194</v>
      </c>
      <c r="K1150">
        <f>tblSales[[#This Row],[Sales]]-tblSales[[#This Row],[Budget]]</f>
        <v>-8240</v>
      </c>
      <c r="L1150" s="3">
        <f>(tblSales[[#This Row],[Sales]]-tblSales[[#This Row],[Budget]])/tblSales[[#This Row],[Budget]]</f>
        <v>-0.12258985955724827</v>
      </c>
      <c r="M1150" s="2">
        <f>tblSales[[#This Row],[Sales]]/tblSales[[#This Row],[Transactions]]</f>
        <v>304</v>
      </c>
    </row>
    <row r="1151" spans="1:13" x14ac:dyDescent="0.25">
      <c r="A1151" s="1">
        <v>46080</v>
      </c>
      <c r="B1151" t="s">
        <v>18</v>
      </c>
      <c r="C1151" t="s">
        <v>22</v>
      </c>
      <c r="D1151" t="str">
        <f>_xlfn.XLOOKUP(tblSales[[#This Row],[Store ID]],tblStores[Store ID],tblStores[Store Name])</f>
        <v>East Rand</v>
      </c>
      <c r="E1151" t="str">
        <f>_xlfn.XLOOKUP(tblSales[[#This Row],[Store ID]],tblStores[Store ID],tblStores[Province])</f>
        <v>Gauteng</v>
      </c>
      <c r="F1151" t="str">
        <f>_xlfn.XLOOKUP(tblSales[[#This Row],[Store ID]],tblStores[Store ID],tblStores[Manager])</f>
        <v>Lisa Young</v>
      </c>
      <c r="G1151" t="str">
        <f>_xlfn.XLOOKUP(tblSales[[#This Row],[Category ID]],tblCategories[Category ID],tblCategories[Category])</f>
        <v>Kids</v>
      </c>
      <c r="H1151">
        <v>31416</v>
      </c>
      <c r="I1151">
        <v>31305</v>
      </c>
      <c r="J1151">
        <v>132</v>
      </c>
      <c r="K1151">
        <f>tblSales[[#This Row],[Sales]]-tblSales[[#This Row],[Budget]]</f>
        <v>111</v>
      </c>
      <c r="L1151" s="3">
        <f>(tblSales[[#This Row],[Sales]]-tblSales[[#This Row],[Budget]])/tblSales[[#This Row],[Budget]]</f>
        <v>3.5457594633445137E-3</v>
      </c>
      <c r="M1151" s="2">
        <f>tblSales[[#This Row],[Sales]]/tblSales[[#This Row],[Transactions]]</f>
        <v>238</v>
      </c>
    </row>
    <row r="1152" spans="1:13" x14ac:dyDescent="0.25">
      <c r="A1152" s="1">
        <v>46080</v>
      </c>
      <c r="B1152" t="s">
        <v>20</v>
      </c>
      <c r="C1152" t="s">
        <v>19</v>
      </c>
      <c r="D1152" t="str">
        <f>_xlfn.XLOOKUP(tblSales[[#This Row],[Store ID]],tblStores[Store ID],tblStores[Store Name])</f>
        <v>Cape Town CBD</v>
      </c>
      <c r="E1152" t="str">
        <f>_xlfn.XLOOKUP(tblSales[[#This Row],[Store ID]],tblStores[Store ID],tblStores[Province])</f>
        <v>Western Cape</v>
      </c>
      <c r="F1152" t="str">
        <f>_xlfn.XLOOKUP(tblSales[[#This Row],[Store ID]],tblStores[Store ID],tblStores[Manager])</f>
        <v>Brian Hall</v>
      </c>
      <c r="G1152" t="str">
        <f>_xlfn.XLOOKUP(tblSales[[#This Row],[Category ID]],tblCategories[Category ID],tblCategories[Category])</f>
        <v>Accessories</v>
      </c>
      <c r="H1152">
        <v>71280</v>
      </c>
      <c r="I1152">
        <v>64592</v>
      </c>
      <c r="J1152">
        <v>220</v>
      </c>
      <c r="K1152">
        <f>tblSales[[#This Row],[Sales]]-tblSales[[#This Row],[Budget]]</f>
        <v>6688</v>
      </c>
      <c r="L1152" s="3">
        <f>(tblSales[[#This Row],[Sales]]-tblSales[[#This Row],[Budget]])/tblSales[[#This Row],[Budget]]</f>
        <v>0.10354223433242507</v>
      </c>
      <c r="M1152" s="2">
        <f>tblSales[[#This Row],[Sales]]/tblSales[[#This Row],[Transactions]]</f>
        <v>324</v>
      </c>
    </row>
    <row r="1153" spans="1:13" x14ac:dyDescent="0.25">
      <c r="A1153" s="1">
        <v>46080</v>
      </c>
      <c r="B1153" t="s">
        <v>21</v>
      </c>
      <c r="C1153" t="s">
        <v>19</v>
      </c>
      <c r="D1153" t="str">
        <f>_xlfn.XLOOKUP(tblSales[[#This Row],[Store ID]],tblStores[Store ID],tblStores[Store Name])</f>
        <v>Canal Walk</v>
      </c>
      <c r="E1153" t="str">
        <f>_xlfn.XLOOKUP(tblSales[[#This Row],[Store ID]],tblStores[Store ID],tblStores[Province])</f>
        <v>Western Cape</v>
      </c>
      <c r="F1153" t="str">
        <f>_xlfn.XLOOKUP(tblSales[[#This Row],[Store ID]],tblStores[Store ID],tblStores[Manager])</f>
        <v>Megan Scott</v>
      </c>
      <c r="G1153" t="str">
        <f>_xlfn.XLOOKUP(tblSales[[#This Row],[Category ID]],tblCategories[Category ID],tblCategories[Category])</f>
        <v>Accessories</v>
      </c>
      <c r="H1153">
        <v>57590</v>
      </c>
      <c r="I1153">
        <v>63389</v>
      </c>
      <c r="J1153">
        <v>130</v>
      </c>
      <c r="K1153">
        <f>tblSales[[#This Row],[Sales]]-tblSales[[#This Row],[Budget]]</f>
        <v>-5799</v>
      </c>
      <c r="L1153" s="3">
        <f>(tblSales[[#This Row],[Sales]]-tblSales[[#This Row],[Budget]])/tblSales[[#This Row],[Budget]]</f>
        <v>-9.1482749372919586E-2</v>
      </c>
      <c r="M1153" s="2">
        <f>tblSales[[#This Row],[Sales]]/tblSales[[#This Row],[Transactions]]</f>
        <v>443</v>
      </c>
    </row>
    <row r="1154" spans="1:13" x14ac:dyDescent="0.25">
      <c r="A1154" s="1">
        <v>46080</v>
      </c>
      <c r="B1154" t="s">
        <v>23</v>
      </c>
      <c r="C1154" t="s">
        <v>11</v>
      </c>
      <c r="D1154" t="str">
        <f>_xlfn.XLOOKUP(tblSales[[#This Row],[Store ID]],tblStores[Store ID],tblStores[Store Name])</f>
        <v>Stellenbosch</v>
      </c>
      <c r="E1154" t="str">
        <f>_xlfn.XLOOKUP(tblSales[[#This Row],[Store ID]],tblStores[Store ID],tblStores[Province])</f>
        <v>Western Cape</v>
      </c>
      <c r="F1154" t="str">
        <f>_xlfn.XLOOKUP(tblSales[[#This Row],[Store ID]],tblStores[Store ID],tblStores[Manager])</f>
        <v>Jason King</v>
      </c>
      <c r="G1154" t="str">
        <f>_xlfn.XLOOKUP(tblSales[[#This Row],[Category ID]],tblCategories[Category ID],tblCategories[Category])</f>
        <v>Footwear</v>
      </c>
      <c r="H1154">
        <v>32118</v>
      </c>
      <c r="I1154">
        <v>31286</v>
      </c>
      <c r="J1154">
        <v>159</v>
      </c>
      <c r="K1154">
        <f>tblSales[[#This Row],[Sales]]-tblSales[[#This Row],[Budget]]</f>
        <v>832</v>
      </c>
      <c r="L1154" s="3">
        <f>(tblSales[[#This Row],[Sales]]-tblSales[[#This Row],[Budget]])/tblSales[[#This Row],[Budget]]</f>
        <v>2.6593364444160328E-2</v>
      </c>
      <c r="M1154" s="2">
        <f>tblSales[[#This Row],[Sales]]/tblSales[[#This Row],[Transactions]]</f>
        <v>202</v>
      </c>
    </row>
    <row r="1155" spans="1:13" x14ac:dyDescent="0.25">
      <c r="A1155" s="1">
        <v>46080</v>
      </c>
      <c r="B1155" t="s">
        <v>24</v>
      </c>
      <c r="C1155" t="s">
        <v>9</v>
      </c>
      <c r="D1155" t="str">
        <f>_xlfn.XLOOKUP(tblSales[[#This Row],[Store ID]],tblStores[Store ID],tblStores[Store Name])</f>
        <v>George</v>
      </c>
      <c r="E1155" t="str">
        <f>_xlfn.XLOOKUP(tblSales[[#This Row],[Store ID]],tblStores[Store ID],tblStores[Province])</f>
        <v>Western Cape</v>
      </c>
      <c r="F1155" t="str">
        <f>_xlfn.XLOOKUP(tblSales[[#This Row],[Store ID]],tblStores[Store ID],tblStores[Manager])</f>
        <v>Chloe Hill</v>
      </c>
      <c r="G1155" t="str">
        <f>_xlfn.XLOOKUP(tblSales[[#This Row],[Category ID]],tblCategories[Category ID],tblCategories[Category])</f>
        <v>Ladieswear</v>
      </c>
      <c r="H1155">
        <v>51831</v>
      </c>
      <c r="I1155">
        <v>47714</v>
      </c>
      <c r="J1155">
        <v>117</v>
      </c>
      <c r="K1155">
        <f>tblSales[[#This Row],[Sales]]-tblSales[[#This Row],[Budget]]</f>
        <v>4117</v>
      </c>
      <c r="L1155" s="3">
        <f>(tblSales[[#This Row],[Sales]]-tblSales[[#This Row],[Budget]])/tblSales[[#This Row],[Budget]]</f>
        <v>8.6284947814058766E-2</v>
      </c>
      <c r="M1155" s="2">
        <f>tblSales[[#This Row],[Sales]]/tblSales[[#This Row],[Transactions]]</f>
        <v>443</v>
      </c>
    </row>
    <row r="1156" spans="1:13" x14ac:dyDescent="0.25">
      <c r="A1156" s="1">
        <v>46080</v>
      </c>
      <c r="B1156" t="s">
        <v>25</v>
      </c>
      <c r="C1156" t="s">
        <v>7</v>
      </c>
      <c r="D1156" t="str">
        <f>_xlfn.XLOOKUP(tblSales[[#This Row],[Store ID]],tblStores[Store ID],tblStores[Store Name])</f>
        <v>Paarl</v>
      </c>
      <c r="E1156" t="str">
        <f>_xlfn.XLOOKUP(tblSales[[#This Row],[Store ID]],tblStores[Store ID],tblStores[Province])</f>
        <v>Western Cape</v>
      </c>
      <c r="F1156" t="str">
        <f>_xlfn.XLOOKUP(tblSales[[#This Row],[Store ID]],tblStores[Store ID],tblStores[Manager])</f>
        <v>Andrew Lee</v>
      </c>
      <c r="G1156" t="str">
        <f>_xlfn.XLOOKUP(tblSales[[#This Row],[Category ID]],tblCategories[Category ID],tblCategories[Category])</f>
        <v>Menswear</v>
      </c>
      <c r="H1156">
        <v>35035</v>
      </c>
      <c r="I1156">
        <v>36201</v>
      </c>
      <c r="J1156">
        <v>77</v>
      </c>
      <c r="K1156">
        <f>tblSales[[#This Row],[Sales]]-tblSales[[#This Row],[Budget]]</f>
        <v>-1166</v>
      </c>
      <c r="L1156" s="3">
        <f>(tblSales[[#This Row],[Sales]]-tblSales[[#This Row],[Budget]])/tblSales[[#This Row],[Budget]]</f>
        <v>-3.2209054998480702E-2</v>
      </c>
      <c r="M1156" s="2">
        <f>tblSales[[#This Row],[Sales]]/tblSales[[#This Row],[Transactions]]</f>
        <v>455</v>
      </c>
    </row>
    <row r="1157" spans="1:13" x14ac:dyDescent="0.25">
      <c r="A1157" s="1">
        <v>46080</v>
      </c>
      <c r="B1157" t="s">
        <v>26</v>
      </c>
      <c r="C1157" t="s">
        <v>7</v>
      </c>
      <c r="D1157" t="str">
        <f>_xlfn.XLOOKUP(tblSales[[#This Row],[Store ID]],tblStores[Store ID],tblStores[Store Name])</f>
        <v>Gqeberha</v>
      </c>
      <c r="E1157" t="str">
        <f>_xlfn.XLOOKUP(tblSales[[#This Row],[Store ID]],tblStores[Store ID],tblStores[Province])</f>
        <v>Eastern Cape</v>
      </c>
      <c r="F1157" t="str">
        <f>_xlfn.XLOOKUP(tblSales[[#This Row],[Store ID]],tblStores[Store ID],tblStores[Manager])</f>
        <v>Emma Baker</v>
      </c>
      <c r="G1157" t="str">
        <f>_xlfn.XLOOKUP(tblSales[[#This Row],[Category ID]],tblCategories[Category ID],tblCategories[Category])</f>
        <v>Menswear</v>
      </c>
      <c r="H1157">
        <v>44176</v>
      </c>
      <c r="I1157">
        <v>48301</v>
      </c>
      <c r="J1157">
        <v>88</v>
      </c>
      <c r="K1157">
        <f>tblSales[[#This Row],[Sales]]-tblSales[[#This Row],[Budget]]</f>
        <v>-4125</v>
      </c>
      <c r="L1157" s="3">
        <f>(tblSales[[#This Row],[Sales]]-tblSales[[#This Row],[Budget]])/tblSales[[#This Row],[Budget]]</f>
        <v>-8.5401958551582779E-2</v>
      </c>
      <c r="M1157" s="2">
        <f>tblSales[[#This Row],[Sales]]/tblSales[[#This Row],[Transactions]]</f>
        <v>502</v>
      </c>
    </row>
    <row r="1158" spans="1:13" x14ac:dyDescent="0.25">
      <c r="A1158" s="1">
        <v>46080</v>
      </c>
      <c r="B1158" t="s">
        <v>27</v>
      </c>
      <c r="C1158" t="s">
        <v>11</v>
      </c>
      <c r="D1158" t="str">
        <f>_xlfn.XLOOKUP(tblSales[[#This Row],[Store ID]],tblStores[Store ID],tblStores[Store Name])</f>
        <v>East London</v>
      </c>
      <c r="E1158" t="str">
        <f>_xlfn.XLOOKUP(tblSales[[#This Row],[Store ID]],tblStores[Store ID],tblStores[Province])</f>
        <v>Eastern Cape</v>
      </c>
      <c r="F1158" t="str">
        <f>_xlfn.XLOOKUP(tblSales[[#This Row],[Store ID]],tblStores[Store ID],tblStores[Manager])</f>
        <v>Daniel Evans</v>
      </c>
      <c r="G1158" t="str">
        <f>_xlfn.XLOOKUP(tblSales[[#This Row],[Category ID]],tblCategories[Category ID],tblCategories[Category])</f>
        <v>Footwear</v>
      </c>
      <c r="H1158">
        <v>17385</v>
      </c>
      <c r="I1158">
        <v>17983</v>
      </c>
      <c r="J1158">
        <v>61</v>
      </c>
      <c r="K1158">
        <f>tblSales[[#This Row],[Sales]]-tblSales[[#This Row],[Budget]]</f>
        <v>-598</v>
      </c>
      <c r="L1158" s="3">
        <f>(tblSales[[#This Row],[Sales]]-tblSales[[#This Row],[Budget]])/tblSales[[#This Row],[Budget]]</f>
        <v>-3.3253628426847578E-2</v>
      </c>
      <c r="M1158" s="2">
        <f>tblSales[[#This Row],[Sales]]/tblSales[[#This Row],[Transactions]]</f>
        <v>285</v>
      </c>
    </row>
    <row r="1159" spans="1:13" x14ac:dyDescent="0.25">
      <c r="A1159" s="1">
        <v>46080</v>
      </c>
      <c r="B1159" t="s">
        <v>28</v>
      </c>
      <c r="C1159" t="s">
        <v>11</v>
      </c>
      <c r="D1159" t="str">
        <f>_xlfn.XLOOKUP(tblSales[[#This Row],[Store ID]],tblStores[Store ID],tblStores[Store Name])</f>
        <v>Bloemfontein</v>
      </c>
      <c r="E1159" t="str">
        <f>_xlfn.XLOOKUP(tblSales[[#This Row],[Store ID]],tblStores[Store ID],tblStores[Province])</f>
        <v>Free State</v>
      </c>
      <c r="F1159" t="str">
        <f>_xlfn.XLOOKUP(tblSales[[#This Row],[Store ID]],tblStores[Store ID],tblStores[Manager])</f>
        <v>Rachel Moore</v>
      </c>
      <c r="G1159" t="str">
        <f>_xlfn.XLOOKUP(tblSales[[#This Row],[Category ID]],tblCategories[Category ID],tblCategories[Category])</f>
        <v>Footwear</v>
      </c>
      <c r="H1159">
        <v>43200</v>
      </c>
      <c r="I1159">
        <v>46946</v>
      </c>
      <c r="J1159">
        <v>200</v>
      </c>
      <c r="K1159">
        <f>tblSales[[#This Row],[Sales]]-tblSales[[#This Row],[Budget]]</f>
        <v>-3746</v>
      </c>
      <c r="L1159" s="3">
        <f>(tblSales[[#This Row],[Sales]]-tblSales[[#This Row],[Budget]])/tblSales[[#This Row],[Budget]]</f>
        <v>-7.9793805649043578E-2</v>
      </c>
      <c r="M1159" s="2">
        <f>tblSales[[#This Row],[Sales]]/tblSales[[#This Row],[Transactions]]</f>
        <v>216</v>
      </c>
    </row>
    <row r="1160" spans="1:13" x14ac:dyDescent="0.25">
      <c r="A1160" s="1">
        <v>46080</v>
      </c>
      <c r="B1160" t="s">
        <v>29</v>
      </c>
      <c r="C1160" t="s">
        <v>9</v>
      </c>
      <c r="D1160" t="str">
        <f>_xlfn.XLOOKUP(tblSales[[#This Row],[Store ID]],tblStores[Store ID],tblStores[Store Name])</f>
        <v>Polokwane</v>
      </c>
      <c r="E1160" t="str">
        <f>_xlfn.XLOOKUP(tblSales[[#This Row],[Store ID]],tblStores[Store ID],tblStores[Province])</f>
        <v>Limpopo</v>
      </c>
      <c r="F1160" t="str">
        <f>_xlfn.XLOOKUP(tblSales[[#This Row],[Store ID]],tblStores[Store ID],tblStores[Manager])</f>
        <v>Kevin Harris</v>
      </c>
      <c r="G1160" t="str">
        <f>_xlfn.XLOOKUP(tblSales[[#This Row],[Category ID]],tblCategories[Category ID],tblCategories[Category])</f>
        <v>Ladieswear</v>
      </c>
      <c r="H1160">
        <v>17015</v>
      </c>
      <c r="I1160">
        <v>18362</v>
      </c>
      <c r="J1160">
        <v>41</v>
      </c>
      <c r="K1160">
        <f>tblSales[[#This Row],[Sales]]-tblSales[[#This Row],[Budget]]</f>
        <v>-1347</v>
      </c>
      <c r="L1160" s="3">
        <f>(tblSales[[#This Row],[Sales]]-tblSales[[#This Row],[Budget]])/tblSales[[#This Row],[Budget]]</f>
        <v>-7.3358022001960566E-2</v>
      </c>
      <c r="M1160" s="2">
        <f>tblSales[[#This Row],[Sales]]/tblSales[[#This Row],[Transactions]]</f>
        <v>415</v>
      </c>
    </row>
    <row r="1161" spans="1:13" x14ac:dyDescent="0.25">
      <c r="A1161" s="1">
        <v>46080</v>
      </c>
      <c r="B1161" t="s">
        <v>30</v>
      </c>
      <c r="C1161" t="s">
        <v>7</v>
      </c>
      <c r="D1161" t="str">
        <f>_xlfn.XLOOKUP(tblSales[[#This Row],[Store ID]],tblStores[Store ID],tblStores[Store Name])</f>
        <v>Nelspruit</v>
      </c>
      <c r="E1161" t="str">
        <f>_xlfn.XLOOKUP(tblSales[[#This Row],[Store ID]],tblStores[Store ID],tblStores[Province])</f>
        <v>Mpumalanga</v>
      </c>
      <c r="F1161" t="str">
        <f>_xlfn.XLOOKUP(tblSales[[#This Row],[Store ID]],tblStores[Store ID],tblStores[Manager])</f>
        <v>Olivia Turner</v>
      </c>
      <c r="G1161" t="str">
        <f>_xlfn.XLOOKUP(tblSales[[#This Row],[Category ID]],tblCategories[Category ID],tblCategories[Category])</f>
        <v>Menswear</v>
      </c>
      <c r="H1161">
        <v>12369</v>
      </c>
      <c r="I1161">
        <v>11299</v>
      </c>
      <c r="J1161">
        <v>57</v>
      </c>
      <c r="K1161">
        <f>tblSales[[#This Row],[Sales]]-tblSales[[#This Row],[Budget]]</f>
        <v>1070</v>
      </c>
      <c r="L1161" s="3">
        <f>(tblSales[[#This Row],[Sales]]-tblSales[[#This Row],[Budget]])/tblSales[[#This Row],[Budget]]</f>
        <v>9.469864589786707E-2</v>
      </c>
      <c r="M1161" s="2">
        <f>tblSales[[#This Row],[Sales]]/tblSales[[#This Row],[Transactions]]</f>
        <v>217</v>
      </c>
    </row>
    <row r="1162" spans="1:13" x14ac:dyDescent="0.25">
      <c r="A1162" s="1">
        <v>46081</v>
      </c>
      <c r="B1162" t="s">
        <v>6</v>
      </c>
      <c r="C1162" t="s">
        <v>22</v>
      </c>
      <c r="D1162" t="str">
        <f>_xlfn.XLOOKUP(tblSales[[#This Row],[Store ID]],tblStores[Store ID],tblStores[Store Name])</f>
        <v>Durban CBD</v>
      </c>
      <c r="E1162" t="str">
        <f>_xlfn.XLOOKUP(tblSales[[#This Row],[Store ID]],tblStores[Store ID],tblStores[Province])</f>
        <v>KZN</v>
      </c>
      <c r="F1162" t="str">
        <f>_xlfn.XLOOKUP(tblSales[[#This Row],[Store ID]],tblStores[Store ID],tblStores[Manager])</f>
        <v>Sarah Adams</v>
      </c>
      <c r="G1162" t="str">
        <f>_xlfn.XLOOKUP(tblSales[[#This Row],[Category ID]],tblCategories[Category ID],tblCategories[Category])</f>
        <v>Kids</v>
      </c>
      <c r="H1162">
        <v>38232</v>
      </c>
      <c r="I1162">
        <v>39904</v>
      </c>
      <c r="J1162">
        <v>177</v>
      </c>
      <c r="K1162">
        <f>tblSales[[#This Row],[Sales]]-tblSales[[#This Row],[Budget]]</f>
        <v>-1672</v>
      </c>
      <c r="L1162" s="3">
        <f>(tblSales[[#This Row],[Sales]]-tblSales[[#This Row],[Budget]])/tblSales[[#This Row],[Budget]]</f>
        <v>-4.1900561347233363E-2</v>
      </c>
      <c r="M1162" s="2">
        <f>tblSales[[#This Row],[Sales]]/tblSales[[#This Row],[Transactions]]</f>
        <v>216</v>
      </c>
    </row>
    <row r="1163" spans="1:13" x14ac:dyDescent="0.25">
      <c r="A1163" s="1">
        <v>46081</v>
      </c>
      <c r="B1163" t="s">
        <v>8</v>
      </c>
      <c r="C1163" t="s">
        <v>9</v>
      </c>
      <c r="D1163" t="str">
        <f>_xlfn.XLOOKUP(tblSales[[#This Row],[Store ID]],tblStores[Store ID],tblStores[Store Name])</f>
        <v>Gateway</v>
      </c>
      <c r="E1163" t="str">
        <f>_xlfn.XLOOKUP(tblSales[[#This Row],[Store ID]],tblStores[Store ID],tblStores[Province])</f>
        <v>KZN</v>
      </c>
      <c r="F1163" t="str">
        <f>_xlfn.XLOOKUP(tblSales[[#This Row],[Store ID]],tblStores[Store ID],tblStores[Manager])</f>
        <v>Michael Jones</v>
      </c>
      <c r="G1163" t="str">
        <f>_xlfn.XLOOKUP(tblSales[[#This Row],[Category ID]],tblCategories[Category ID],tblCategories[Category])</f>
        <v>Ladieswear</v>
      </c>
      <c r="H1163">
        <v>39188</v>
      </c>
      <c r="I1163">
        <v>39070</v>
      </c>
      <c r="J1163">
        <v>101</v>
      </c>
      <c r="K1163">
        <f>tblSales[[#This Row],[Sales]]-tblSales[[#This Row],[Budget]]</f>
        <v>118</v>
      </c>
      <c r="L1163" s="3">
        <f>(tblSales[[#This Row],[Sales]]-tblSales[[#This Row],[Budget]])/tblSales[[#This Row],[Budget]]</f>
        <v>3.0202201177373946E-3</v>
      </c>
      <c r="M1163" s="2">
        <f>tblSales[[#This Row],[Sales]]/tblSales[[#This Row],[Transactions]]</f>
        <v>388</v>
      </c>
    </row>
    <row r="1164" spans="1:13" x14ac:dyDescent="0.25">
      <c r="A1164" s="1">
        <v>46081</v>
      </c>
      <c r="B1164" t="s">
        <v>10</v>
      </c>
      <c r="C1164" t="s">
        <v>11</v>
      </c>
      <c r="D1164" t="str">
        <f>_xlfn.XLOOKUP(tblSales[[#This Row],[Store ID]],tblStores[Store ID],tblStores[Store Name])</f>
        <v>Ballito</v>
      </c>
      <c r="E1164" t="str">
        <f>_xlfn.XLOOKUP(tblSales[[#This Row],[Store ID]],tblStores[Store ID],tblStores[Province])</f>
        <v>KZN</v>
      </c>
      <c r="F1164" t="str">
        <f>_xlfn.XLOOKUP(tblSales[[#This Row],[Store ID]],tblStores[Store ID],tblStores[Manager])</f>
        <v>Linda Smith</v>
      </c>
      <c r="G1164" t="str">
        <f>_xlfn.XLOOKUP(tblSales[[#This Row],[Category ID]],tblCategories[Category ID],tblCategories[Category])</f>
        <v>Footwear</v>
      </c>
      <c r="H1164">
        <v>49445</v>
      </c>
      <c r="I1164">
        <v>44709</v>
      </c>
      <c r="J1164">
        <v>145</v>
      </c>
      <c r="K1164">
        <f>tblSales[[#This Row],[Sales]]-tblSales[[#This Row],[Budget]]</f>
        <v>4736</v>
      </c>
      <c r="L1164" s="3">
        <f>(tblSales[[#This Row],[Sales]]-tblSales[[#This Row],[Budget]])/tblSales[[#This Row],[Budget]]</f>
        <v>0.10592945491959113</v>
      </c>
      <c r="M1164" s="2">
        <f>tblSales[[#This Row],[Sales]]/tblSales[[#This Row],[Transactions]]</f>
        <v>341</v>
      </c>
    </row>
    <row r="1165" spans="1:13" x14ac:dyDescent="0.25">
      <c r="A1165" s="1">
        <v>46081</v>
      </c>
      <c r="B1165" t="s">
        <v>12</v>
      </c>
      <c r="C1165" t="s">
        <v>7</v>
      </c>
      <c r="D1165" t="str">
        <f>_xlfn.XLOOKUP(tblSales[[#This Row],[Store ID]],tblStores[Store ID],tblStores[Store Name])</f>
        <v>Pietermaritzburg</v>
      </c>
      <c r="E1165" t="str">
        <f>_xlfn.XLOOKUP(tblSales[[#This Row],[Store ID]],tblStores[Store ID],tblStores[Province])</f>
        <v>KZN</v>
      </c>
      <c r="F1165" t="str">
        <f>_xlfn.XLOOKUP(tblSales[[#This Row],[Store ID]],tblStores[Store ID],tblStores[Manager])</f>
        <v>Peter Brown</v>
      </c>
      <c r="G1165" t="str">
        <f>_xlfn.XLOOKUP(tblSales[[#This Row],[Category ID]],tblCategories[Category ID],tblCategories[Category])</f>
        <v>Menswear</v>
      </c>
      <c r="H1165">
        <v>31293</v>
      </c>
      <c r="I1165">
        <v>33181</v>
      </c>
      <c r="J1165">
        <v>171</v>
      </c>
      <c r="K1165">
        <f>tblSales[[#This Row],[Sales]]-tblSales[[#This Row],[Budget]]</f>
        <v>-1888</v>
      </c>
      <c r="L1165" s="3">
        <f>(tblSales[[#This Row],[Sales]]-tblSales[[#This Row],[Budget]])/tblSales[[#This Row],[Budget]]</f>
        <v>-5.6900033151502369E-2</v>
      </c>
      <c r="M1165" s="2">
        <f>tblSales[[#This Row],[Sales]]/tblSales[[#This Row],[Transactions]]</f>
        <v>183</v>
      </c>
    </row>
    <row r="1166" spans="1:13" x14ac:dyDescent="0.25">
      <c r="A1166" s="1">
        <v>46081</v>
      </c>
      <c r="B1166" t="s">
        <v>13</v>
      </c>
      <c r="C1166" t="s">
        <v>19</v>
      </c>
      <c r="D1166" t="str">
        <f>_xlfn.XLOOKUP(tblSales[[#This Row],[Store ID]],tblStores[Store ID],tblStores[Store Name])</f>
        <v>Richards Bay</v>
      </c>
      <c r="E1166" t="str">
        <f>_xlfn.XLOOKUP(tblSales[[#This Row],[Store ID]],tblStores[Store ID],tblStores[Province])</f>
        <v>KZN</v>
      </c>
      <c r="F1166" t="str">
        <f>_xlfn.XLOOKUP(tblSales[[#This Row],[Store ID]],tblStores[Store ID],tblStores[Manager])</f>
        <v>David Green</v>
      </c>
      <c r="G1166" t="str">
        <f>_xlfn.XLOOKUP(tblSales[[#This Row],[Category ID]],tblCategories[Category ID],tblCategories[Category])</f>
        <v>Accessories</v>
      </c>
      <c r="H1166">
        <v>24429</v>
      </c>
      <c r="I1166">
        <v>22264</v>
      </c>
      <c r="J1166">
        <v>51</v>
      </c>
      <c r="K1166">
        <f>tblSales[[#This Row],[Sales]]-tblSales[[#This Row],[Budget]]</f>
        <v>2165</v>
      </c>
      <c r="L1166" s="3">
        <f>(tblSales[[#This Row],[Sales]]-tblSales[[#This Row],[Budget]])/tblSales[[#This Row],[Budget]]</f>
        <v>9.7242184692777581E-2</v>
      </c>
      <c r="M1166" s="2">
        <f>tblSales[[#This Row],[Sales]]/tblSales[[#This Row],[Transactions]]</f>
        <v>479</v>
      </c>
    </row>
    <row r="1167" spans="1:13" x14ac:dyDescent="0.25">
      <c r="A1167" s="1">
        <v>46081</v>
      </c>
      <c r="B1167" t="s">
        <v>14</v>
      </c>
      <c r="C1167" t="s">
        <v>7</v>
      </c>
      <c r="D1167" t="str">
        <f>_xlfn.XLOOKUP(tblSales[[#This Row],[Store ID]],tblStores[Store ID],tblStores[Store Name])</f>
        <v>Sandton</v>
      </c>
      <c r="E1167" t="str">
        <f>_xlfn.XLOOKUP(tblSales[[#This Row],[Store ID]],tblStores[Store ID],tblStores[Province])</f>
        <v>Gauteng</v>
      </c>
      <c r="F1167" t="str">
        <f>_xlfn.XLOOKUP(tblSales[[#This Row],[Store ID]],tblStores[Store ID],tblStores[Manager])</f>
        <v>Karen White</v>
      </c>
      <c r="G1167" t="str">
        <f>_xlfn.XLOOKUP(tblSales[[#This Row],[Category ID]],tblCategories[Category ID],tblCategories[Category])</f>
        <v>Menswear</v>
      </c>
      <c r="H1167">
        <v>55062</v>
      </c>
      <c r="I1167">
        <v>51016</v>
      </c>
      <c r="J1167">
        <v>126</v>
      </c>
      <c r="K1167">
        <f>tblSales[[#This Row],[Sales]]-tblSales[[#This Row],[Budget]]</f>
        <v>4046</v>
      </c>
      <c r="L1167" s="3">
        <f>(tblSales[[#This Row],[Sales]]-tblSales[[#This Row],[Budget]])/tblSales[[#This Row],[Budget]]</f>
        <v>7.9308452250274428E-2</v>
      </c>
      <c r="M1167" s="2">
        <f>tblSales[[#This Row],[Sales]]/tblSales[[#This Row],[Transactions]]</f>
        <v>437</v>
      </c>
    </row>
    <row r="1168" spans="1:13" x14ac:dyDescent="0.25">
      <c r="A1168" s="1">
        <v>46081</v>
      </c>
      <c r="B1168" t="s">
        <v>15</v>
      </c>
      <c r="C1168" t="s">
        <v>22</v>
      </c>
      <c r="D1168" t="str">
        <f>_xlfn.XLOOKUP(tblSales[[#This Row],[Store ID]],tblStores[Store ID],tblStores[Store Name])</f>
        <v>Rosebank</v>
      </c>
      <c r="E1168" t="str">
        <f>_xlfn.XLOOKUP(tblSales[[#This Row],[Store ID]],tblStores[Store ID],tblStores[Province])</f>
        <v>Gauteng</v>
      </c>
      <c r="F1168" t="str">
        <f>_xlfn.XLOOKUP(tblSales[[#This Row],[Store ID]],tblStores[Store ID],tblStores[Manager])</f>
        <v>James Taylor</v>
      </c>
      <c r="G1168" t="str">
        <f>_xlfn.XLOOKUP(tblSales[[#This Row],[Category ID]],tblCategories[Category ID],tblCategories[Category])</f>
        <v>Kids</v>
      </c>
      <c r="H1168">
        <v>42560</v>
      </c>
      <c r="I1168">
        <v>41299</v>
      </c>
      <c r="J1168">
        <v>190</v>
      </c>
      <c r="K1168">
        <f>tblSales[[#This Row],[Sales]]-tblSales[[#This Row],[Budget]]</f>
        <v>1261</v>
      </c>
      <c r="L1168" s="3">
        <f>(tblSales[[#This Row],[Sales]]-tblSales[[#This Row],[Budget]])/tblSales[[#This Row],[Budget]]</f>
        <v>3.0533426959490545E-2</v>
      </c>
      <c r="M1168" s="2">
        <f>tblSales[[#This Row],[Sales]]/tblSales[[#This Row],[Transactions]]</f>
        <v>224</v>
      </c>
    </row>
    <row r="1169" spans="1:13" x14ac:dyDescent="0.25">
      <c r="A1169" s="1">
        <v>46081</v>
      </c>
      <c r="B1169" t="s">
        <v>16</v>
      </c>
      <c r="C1169" t="s">
        <v>11</v>
      </c>
      <c r="D1169" t="str">
        <f>_xlfn.XLOOKUP(tblSales[[#This Row],[Store ID]],tblStores[Store ID],tblStores[Store Name])</f>
        <v>Pretoria</v>
      </c>
      <c r="E1169" t="str">
        <f>_xlfn.XLOOKUP(tblSales[[#This Row],[Store ID]],tblStores[Store ID],tblStores[Province])</f>
        <v>Gauteng</v>
      </c>
      <c r="F1169" t="str">
        <f>_xlfn.XLOOKUP(tblSales[[#This Row],[Store ID]],tblStores[Store ID],tblStores[Manager])</f>
        <v>Susan Clark</v>
      </c>
      <c r="G1169" t="str">
        <f>_xlfn.XLOOKUP(tblSales[[#This Row],[Category ID]],tblCategories[Category ID],tblCategories[Category])</f>
        <v>Footwear</v>
      </c>
      <c r="H1169">
        <v>50424</v>
      </c>
      <c r="I1169">
        <v>55745</v>
      </c>
      <c r="J1169">
        <v>132</v>
      </c>
      <c r="K1169">
        <f>tblSales[[#This Row],[Sales]]-tblSales[[#This Row],[Budget]]</f>
        <v>-5321</v>
      </c>
      <c r="L1169" s="3">
        <f>(tblSales[[#This Row],[Sales]]-tblSales[[#This Row],[Budget]])/tblSales[[#This Row],[Budget]]</f>
        <v>-9.5452506951296076E-2</v>
      </c>
      <c r="M1169" s="2">
        <f>tblSales[[#This Row],[Sales]]/tblSales[[#This Row],[Transactions]]</f>
        <v>382</v>
      </c>
    </row>
    <row r="1170" spans="1:13" x14ac:dyDescent="0.25">
      <c r="A1170" s="1">
        <v>46081</v>
      </c>
      <c r="B1170" t="s">
        <v>17</v>
      </c>
      <c r="C1170" t="s">
        <v>7</v>
      </c>
      <c r="D1170" t="str">
        <f>_xlfn.XLOOKUP(tblSales[[#This Row],[Store ID]],tblStores[Store ID],tblStores[Store Name])</f>
        <v>Centurion</v>
      </c>
      <c r="E1170" t="str">
        <f>_xlfn.XLOOKUP(tblSales[[#This Row],[Store ID]],tblStores[Store ID],tblStores[Province])</f>
        <v>Gauteng</v>
      </c>
      <c r="F1170" t="str">
        <f>_xlfn.XLOOKUP(tblSales[[#This Row],[Store ID]],tblStores[Store ID],tblStores[Manager])</f>
        <v>Mark Wilson</v>
      </c>
      <c r="G1170" t="str">
        <f>_xlfn.XLOOKUP(tblSales[[#This Row],[Category ID]],tblCategories[Category ID],tblCategories[Category])</f>
        <v>Menswear</v>
      </c>
      <c r="H1170">
        <v>40560</v>
      </c>
      <c r="I1170">
        <v>41913</v>
      </c>
      <c r="J1170">
        <v>156</v>
      </c>
      <c r="K1170">
        <f>tblSales[[#This Row],[Sales]]-tblSales[[#This Row],[Budget]]</f>
        <v>-1353</v>
      </c>
      <c r="L1170" s="3">
        <f>(tblSales[[#This Row],[Sales]]-tblSales[[#This Row],[Budget]])/tblSales[[#This Row],[Budget]]</f>
        <v>-3.2281153818624293E-2</v>
      </c>
      <c r="M1170" s="2">
        <f>tblSales[[#This Row],[Sales]]/tblSales[[#This Row],[Transactions]]</f>
        <v>260</v>
      </c>
    </row>
    <row r="1171" spans="1:13" x14ac:dyDescent="0.25">
      <c r="A1171" s="1">
        <v>46081</v>
      </c>
      <c r="B1171" t="s">
        <v>18</v>
      </c>
      <c r="C1171" t="s">
        <v>9</v>
      </c>
      <c r="D1171" t="str">
        <f>_xlfn.XLOOKUP(tblSales[[#This Row],[Store ID]],tblStores[Store ID],tblStores[Store Name])</f>
        <v>East Rand</v>
      </c>
      <c r="E1171" t="str">
        <f>_xlfn.XLOOKUP(tblSales[[#This Row],[Store ID]],tblStores[Store ID],tblStores[Province])</f>
        <v>Gauteng</v>
      </c>
      <c r="F1171" t="str">
        <f>_xlfn.XLOOKUP(tblSales[[#This Row],[Store ID]],tblStores[Store ID],tblStores[Manager])</f>
        <v>Lisa Young</v>
      </c>
      <c r="G1171" t="str">
        <f>_xlfn.XLOOKUP(tblSales[[#This Row],[Category ID]],tblCategories[Category ID],tblCategories[Category])</f>
        <v>Ladieswear</v>
      </c>
      <c r="H1171">
        <v>61965</v>
      </c>
      <c r="I1171">
        <v>60338</v>
      </c>
      <c r="J1171">
        <v>135</v>
      </c>
      <c r="K1171">
        <f>tblSales[[#This Row],[Sales]]-tblSales[[#This Row],[Budget]]</f>
        <v>1627</v>
      </c>
      <c r="L1171" s="3">
        <f>(tblSales[[#This Row],[Sales]]-tblSales[[#This Row],[Budget]])/tblSales[[#This Row],[Budget]]</f>
        <v>2.6964765156286253E-2</v>
      </c>
      <c r="M1171" s="2">
        <f>tblSales[[#This Row],[Sales]]/tblSales[[#This Row],[Transactions]]</f>
        <v>459</v>
      </c>
    </row>
    <row r="1172" spans="1:13" x14ac:dyDescent="0.25">
      <c r="A1172" s="1">
        <v>46081</v>
      </c>
      <c r="B1172" t="s">
        <v>20</v>
      </c>
      <c r="C1172" t="s">
        <v>9</v>
      </c>
      <c r="D1172" t="str">
        <f>_xlfn.XLOOKUP(tblSales[[#This Row],[Store ID]],tblStores[Store ID],tblStores[Store Name])</f>
        <v>Cape Town CBD</v>
      </c>
      <c r="E1172" t="str">
        <f>_xlfn.XLOOKUP(tblSales[[#This Row],[Store ID]],tblStores[Store ID],tblStores[Province])</f>
        <v>Western Cape</v>
      </c>
      <c r="F1172" t="str">
        <f>_xlfn.XLOOKUP(tblSales[[#This Row],[Store ID]],tblStores[Store ID],tblStores[Manager])</f>
        <v>Brian Hall</v>
      </c>
      <c r="G1172" t="str">
        <f>_xlfn.XLOOKUP(tblSales[[#This Row],[Category ID]],tblCategories[Category ID],tblCategories[Category])</f>
        <v>Ladieswear</v>
      </c>
      <c r="H1172">
        <v>56721</v>
      </c>
      <c r="I1172">
        <v>56339</v>
      </c>
      <c r="J1172">
        <v>111</v>
      </c>
      <c r="K1172">
        <f>tblSales[[#This Row],[Sales]]-tblSales[[#This Row],[Budget]]</f>
        <v>382</v>
      </c>
      <c r="L1172" s="3">
        <f>(tblSales[[#This Row],[Sales]]-tblSales[[#This Row],[Budget]])/tblSales[[#This Row],[Budget]]</f>
        <v>6.7803830383925878E-3</v>
      </c>
      <c r="M1172" s="2">
        <f>tblSales[[#This Row],[Sales]]/tblSales[[#This Row],[Transactions]]</f>
        <v>511</v>
      </c>
    </row>
    <row r="1173" spans="1:13" x14ac:dyDescent="0.25">
      <c r="A1173" s="1">
        <v>46081</v>
      </c>
      <c r="B1173" t="s">
        <v>21</v>
      </c>
      <c r="C1173" t="s">
        <v>7</v>
      </c>
      <c r="D1173" t="str">
        <f>_xlfn.XLOOKUP(tblSales[[#This Row],[Store ID]],tblStores[Store ID],tblStores[Store Name])</f>
        <v>Canal Walk</v>
      </c>
      <c r="E1173" t="str">
        <f>_xlfn.XLOOKUP(tblSales[[#This Row],[Store ID]],tblStores[Store ID],tblStores[Province])</f>
        <v>Western Cape</v>
      </c>
      <c r="F1173" t="str">
        <f>_xlfn.XLOOKUP(tblSales[[#This Row],[Store ID]],tblStores[Store ID],tblStores[Manager])</f>
        <v>Megan Scott</v>
      </c>
      <c r="G1173" t="str">
        <f>_xlfn.XLOOKUP(tblSales[[#This Row],[Category ID]],tblCategories[Category ID],tblCategories[Category])</f>
        <v>Menswear</v>
      </c>
      <c r="H1173">
        <v>81664</v>
      </c>
      <c r="I1173">
        <v>76383</v>
      </c>
      <c r="J1173">
        <v>176</v>
      </c>
      <c r="K1173">
        <f>tblSales[[#This Row],[Sales]]-tblSales[[#This Row],[Budget]]</f>
        <v>5281</v>
      </c>
      <c r="L1173" s="3">
        <f>(tblSales[[#This Row],[Sales]]-tblSales[[#This Row],[Budget]])/tblSales[[#This Row],[Budget]]</f>
        <v>6.9138420852807567E-2</v>
      </c>
      <c r="M1173" s="2">
        <f>tblSales[[#This Row],[Sales]]/tblSales[[#This Row],[Transactions]]</f>
        <v>464</v>
      </c>
    </row>
    <row r="1174" spans="1:13" x14ac:dyDescent="0.25">
      <c r="A1174" s="1">
        <v>46081</v>
      </c>
      <c r="B1174" t="s">
        <v>23</v>
      </c>
      <c r="C1174" t="s">
        <v>7</v>
      </c>
      <c r="D1174" t="str">
        <f>_xlfn.XLOOKUP(tblSales[[#This Row],[Store ID]],tblStores[Store ID],tblStores[Store Name])</f>
        <v>Stellenbosch</v>
      </c>
      <c r="E1174" t="str">
        <f>_xlfn.XLOOKUP(tblSales[[#This Row],[Store ID]],tblStores[Store ID],tblStores[Province])</f>
        <v>Western Cape</v>
      </c>
      <c r="F1174" t="str">
        <f>_xlfn.XLOOKUP(tblSales[[#This Row],[Store ID]],tblStores[Store ID],tblStores[Manager])</f>
        <v>Jason King</v>
      </c>
      <c r="G1174" t="str">
        <f>_xlfn.XLOOKUP(tblSales[[#This Row],[Category ID]],tblCategories[Category ID],tblCategories[Category])</f>
        <v>Menswear</v>
      </c>
      <c r="H1174">
        <v>17028</v>
      </c>
      <c r="I1174">
        <v>17865</v>
      </c>
      <c r="J1174">
        <v>36</v>
      </c>
      <c r="K1174">
        <f>tblSales[[#This Row],[Sales]]-tblSales[[#This Row],[Budget]]</f>
        <v>-837</v>
      </c>
      <c r="L1174" s="3">
        <f>(tblSales[[#This Row],[Sales]]-tblSales[[#This Row],[Budget]])/tblSales[[#This Row],[Budget]]</f>
        <v>-4.6851385390428213E-2</v>
      </c>
      <c r="M1174" s="2">
        <f>tblSales[[#This Row],[Sales]]/tblSales[[#This Row],[Transactions]]</f>
        <v>473</v>
      </c>
    </row>
    <row r="1175" spans="1:13" x14ac:dyDescent="0.25">
      <c r="A1175" s="1">
        <v>46081</v>
      </c>
      <c r="B1175" t="s">
        <v>24</v>
      </c>
      <c r="C1175" t="s">
        <v>19</v>
      </c>
      <c r="D1175" t="str">
        <f>_xlfn.XLOOKUP(tblSales[[#This Row],[Store ID]],tblStores[Store ID],tblStores[Store Name])</f>
        <v>George</v>
      </c>
      <c r="E1175" t="str">
        <f>_xlfn.XLOOKUP(tblSales[[#This Row],[Store ID]],tblStores[Store ID],tblStores[Province])</f>
        <v>Western Cape</v>
      </c>
      <c r="F1175" t="str">
        <f>_xlfn.XLOOKUP(tblSales[[#This Row],[Store ID]],tblStores[Store ID],tblStores[Manager])</f>
        <v>Chloe Hill</v>
      </c>
      <c r="G1175" t="str">
        <f>_xlfn.XLOOKUP(tblSales[[#This Row],[Category ID]],tblCategories[Category ID],tblCategories[Category])</f>
        <v>Accessories</v>
      </c>
      <c r="H1175">
        <v>39025</v>
      </c>
      <c r="I1175">
        <v>38095</v>
      </c>
      <c r="J1175">
        <v>175</v>
      </c>
      <c r="K1175">
        <f>tblSales[[#This Row],[Sales]]-tblSales[[#This Row],[Budget]]</f>
        <v>930</v>
      </c>
      <c r="L1175" s="3">
        <f>(tblSales[[#This Row],[Sales]]-tblSales[[#This Row],[Budget]])/tblSales[[#This Row],[Budget]]</f>
        <v>2.4412652579078618E-2</v>
      </c>
      <c r="M1175" s="2">
        <f>tblSales[[#This Row],[Sales]]/tblSales[[#This Row],[Transactions]]</f>
        <v>223</v>
      </c>
    </row>
    <row r="1176" spans="1:13" x14ac:dyDescent="0.25">
      <c r="A1176" s="1">
        <v>46081</v>
      </c>
      <c r="B1176" t="s">
        <v>25</v>
      </c>
      <c r="C1176" t="s">
        <v>22</v>
      </c>
      <c r="D1176" t="str">
        <f>_xlfn.XLOOKUP(tblSales[[#This Row],[Store ID]],tblStores[Store ID],tblStores[Store Name])</f>
        <v>Paarl</v>
      </c>
      <c r="E1176" t="str">
        <f>_xlfn.XLOOKUP(tblSales[[#This Row],[Store ID]],tblStores[Store ID],tblStores[Province])</f>
        <v>Western Cape</v>
      </c>
      <c r="F1176" t="str">
        <f>_xlfn.XLOOKUP(tblSales[[#This Row],[Store ID]],tblStores[Store ID],tblStores[Manager])</f>
        <v>Andrew Lee</v>
      </c>
      <c r="G1176" t="str">
        <f>_xlfn.XLOOKUP(tblSales[[#This Row],[Category ID]],tblCategories[Category ID],tblCategories[Category])</f>
        <v>Kids</v>
      </c>
      <c r="H1176">
        <v>34799</v>
      </c>
      <c r="I1176">
        <v>39197</v>
      </c>
      <c r="J1176">
        <v>89</v>
      </c>
      <c r="K1176">
        <f>tblSales[[#This Row],[Sales]]-tblSales[[#This Row],[Budget]]</f>
        <v>-4398</v>
      </c>
      <c r="L1176" s="3">
        <f>(tblSales[[#This Row],[Sales]]-tblSales[[#This Row],[Budget]])/tblSales[[#This Row],[Budget]]</f>
        <v>-0.11220246447432201</v>
      </c>
      <c r="M1176" s="2">
        <f>tblSales[[#This Row],[Sales]]/tblSales[[#This Row],[Transactions]]</f>
        <v>391</v>
      </c>
    </row>
    <row r="1177" spans="1:13" x14ac:dyDescent="0.25">
      <c r="A1177" s="1">
        <v>46081</v>
      </c>
      <c r="B1177" t="s">
        <v>26</v>
      </c>
      <c r="C1177" t="s">
        <v>19</v>
      </c>
      <c r="D1177" t="str">
        <f>_xlfn.XLOOKUP(tblSales[[#This Row],[Store ID]],tblStores[Store ID],tblStores[Store Name])</f>
        <v>Gqeberha</v>
      </c>
      <c r="E1177" t="str">
        <f>_xlfn.XLOOKUP(tblSales[[#This Row],[Store ID]],tblStores[Store ID],tblStores[Province])</f>
        <v>Eastern Cape</v>
      </c>
      <c r="F1177" t="str">
        <f>_xlfn.XLOOKUP(tblSales[[#This Row],[Store ID]],tblStores[Store ID],tblStores[Manager])</f>
        <v>Emma Baker</v>
      </c>
      <c r="G1177" t="str">
        <f>_xlfn.XLOOKUP(tblSales[[#This Row],[Category ID]],tblCategories[Category ID],tblCategories[Category])</f>
        <v>Accessories</v>
      </c>
      <c r="H1177">
        <v>18602</v>
      </c>
      <c r="I1177">
        <v>17597</v>
      </c>
      <c r="J1177">
        <v>71</v>
      </c>
      <c r="K1177">
        <f>tblSales[[#This Row],[Sales]]-tblSales[[#This Row],[Budget]]</f>
        <v>1005</v>
      </c>
      <c r="L1177" s="3">
        <f>(tblSales[[#This Row],[Sales]]-tblSales[[#This Row],[Budget]])/tblSales[[#This Row],[Budget]]</f>
        <v>5.7112007728590097E-2</v>
      </c>
      <c r="M1177" s="2">
        <f>tblSales[[#This Row],[Sales]]/tblSales[[#This Row],[Transactions]]</f>
        <v>262</v>
      </c>
    </row>
    <row r="1178" spans="1:13" x14ac:dyDescent="0.25">
      <c r="A1178" s="1">
        <v>46081</v>
      </c>
      <c r="B1178" t="s">
        <v>27</v>
      </c>
      <c r="C1178" t="s">
        <v>19</v>
      </c>
      <c r="D1178" t="str">
        <f>_xlfn.XLOOKUP(tblSales[[#This Row],[Store ID]],tblStores[Store ID],tblStores[Store Name])</f>
        <v>East London</v>
      </c>
      <c r="E1178" t="str">
        <f>_xlfn.XLOOKUP(tblSales[[#This Row],[Store ID]],tblStores[Store ID],tblStores[Province])</f>
        <v>Eastern Cape</v>
      </c>
      <c r="F1178" t="str">
        <f>_xlfn.XLOOKUP(tblSales[[#This Row],[Store ID]],tblStores[Store ID],tblStores[Manager])</f>
        <v>Daniel Evans</v>
      </c>
      <c r="G1178" t="str">
        <f>_xlfn.XLOOKUP(tblSales[[#This Row],[Category ID]],tblCategories[Category ID],tblCategories[Category])</f>
        <v>Accessories</v>
      </c>
      <c r="H1178">
        <v>27621</v>
      </c>
      <c r="I1178">
        <v>25650</v>
      </c>
      <c r="J1178">
        <v>99</v>
      </c>
      <c r="K1178">
        <f>tblSales[[#This Row],[Sales]]-tblSales[[#This Row],[Budget]]</f>
        <v>1971</v>
      </c>
      <c r="L1178" s="3">
        <f>(tblSales[[#This Row],[Sales]]-tblSales[[#This Row],[Budget]])/tblSales[[#This Row],[Budget]]</f>
        <v>7.6842105263157892E-2</v>
      </c>
      <c r="M1178" s="2">
        <f>tblSales[[#This Row],[Sales]]/tblSales[[#This Row],[Transactions]]</f>
        <v>279</v>
      </c>
    </row>
    <row r="1179" spans="1:13" x14ac:dyDescent="0.25">
      <c r="A1179" s="1">
        <v>46081</v>
      </c>
      <c r="B1179" t="s">
        <v>28</v>
      </c>
      <c r="C1179" t="s">
        <v>19</v>
      </c>
      <c r="D1179" t="str">
        <f>_xlfn.XLOOKUP(tblSales[[#This Row],[Store ID]],tblStores[Store ID],tblStores[Store Name])</f>
        <v>Bloemfontein</v>
      </c>
      <c r="E1179" t="str">
        <f>_xlfn.XLOOKUP(tblSales[[#This Row],[Store ID]],tblStores[Store ID],tblStores[Province])</f>
        <v>Free State</v>
      </c>
      <c r="F1179" t="str">
        <f>_xlfn.XLOOKUP(tblSales[[#This Row],[Store ID]],tblStores[Store ID],tblStores[Manager])</f>
        <v>Rachel Moore</v>
      </c>
      <c r="G1179" t="str">
        <f>_xlfn.XLOOKUP(tblSales[[#This Row],[Category ID]],tblCategories[Category ID],tblCategories[Category])</f>
        <v>Accessories</v>
      </c>
      <c r="H1179">
        <v>22128</v>
      </c>
      <c r="I1179">
        <v>22466</v>
      </c>
      <c r="J1179">
        <v>48</v>
      </c>
      <c r="K1179">
        <f>tblSales[[#This Row],[Sales]]-tblSales[[#This Row],[Budget]]</f>
        <v>-338</v>
      </c>
      <c r="L1179" s="3">
        <f>(tblSales[[#This Row],[Sales]]-tblSales[[#This Row],[Budget]])/tblSales[[#This Row],[Budget]]</f>
        <v>-1.5044956823644618E-2</v>
      </c>
      <c r="M1179" s="2">
        <f>tblSales[[#This Row],[Sales]]/tblSales[[#This Row],[Transactions]]</f>
        <v>461</v>
      </c>
    </row>
    <row r="1180" spans="1:13" x14ac:dyDescent="0.25">
      <c r="A1180" s="1">
        <v>46081</v>
      </c>
      <c r="B1180" t="s">
        <v>29</v>
      </c>
      <c r="C1180" t="s">
        <v>19</v>
      </c>
      <c r="D1180" t="str">
        <f>_xlfn.XLOOKUP(tblSales[[#This Row],[Store ID]],tblStores[Store ID],tblStores[Store Name])</f>
        <v>Polokwane</v>
      </c>
      <c r="E1180" t="str">
        <f>_xlfn.XLOOKUP(tblSales[[#This Row],[Store ID]],tblStores[Store ID],tblStores[Province])</f>
        <v>Limpopo</v>
      </c>
      <c r="F1180" t="str">
        <f>_xlfn.XLOOKUP(tblSales[[#This Row],[Store ID]],tblStores[Store ID],tblStores[Manager])</f>
        <v>Kevin Harris</v>
      </c>
      <c r="G1180" t="str">
        <f>_xlfn.XLOOKUP(tblSales[[#This Row],[Category ID]],tblCategories[Category ID],tblCategories[Category])</f>
        <v>Accessories</v>
      </c>
      <c r="H1180">
        <v>17384</v>
      </c>
      <c r="I1180">
        <v>18564</v>
      </c>
      <c r="J1180">
        <v>53</v>
      </c>
      <c r="K1180">
        <f>tblSales[[#This Row],[Sales]]-tblSales[[#This Row],[Budget]]</f>
        <v>-1180</v>
      </c>
      <c r="L1180" s="3">
        <f>(tblSales[[#This Row],[Sales]]-tblSales[[#This Row],[Budget]])/tblSales[[#This Row],[Budget]]</f>
        <v>-6.3563887093298854E-2</v>
      </c>
      <c r="M1180" s="2">
        <f>tblSales[[#This Row],[Sales]]/tblSales[[#This Row],[Transactions]]</f>
        <v>328</v>
      </c>
    </row>
    <row r="1181" spans="1:13" x14ac:dyDescent="0.25">
      <c r="A1181" s="1">
        <v>46081</v>
      </c>
      <c r="B1181" t="s">
        <v>30</v>
      </c>
      <c r="C1181" t="s">
        <v>22</v>
      </c>
      <c r="D1181" t="str">
        <f>_xlfn.XLOOKUP(tblSales[[#This Row],[Store ID]],tblStores[Store ID],tblStores[Store Name])</f>
        <v>Nelspruit</v>
      </c>
      <c r="E1181" t="str">
        <f>_xlfn.XLOOKUP(tblSales[[#This Row],[Store ID]],tblStores[Store ID],tblStores[Province])</f>
        <v>Mpumalanga</v>
      </c>
      <c r="F1181" t="str">
        <f>_xlfn.XLOOKUP(tblSales[[#This Row],[Store ID]],tblStores[Store ID],tblStores[Manager])</f>
        <v>Olivia Turner</v>
      </c>
      <c r="G1181" t="str">
        <f>_xlfn.XLOOKUP(tblSales[[#This Row],[Category ID]],tblCategories[Category ID],tblCategories[Category])</f>
        <v>Kids</v>
      </c>
      <c r="H1181">
        <v>16860</v>
      </c>
      <c r="I1181">
        <v>18232</v>
      </c>
      <c r="J1181">
        <v>60</v>
      </c>
      <c r="K1181">
        <f>tblSales[[#This Row],[Sales]]-tblSales[[#This Row],[Budget]]</f>
        <v>-1372</v>
      </c>
      <c r="L1181" s="3">
        <f>(tblSales[[#This Row],[Sales]]-tblSales[[#This Row],[Budget]])/tblSales[[#This Row],[Budget]]</f>
        <v>-7.5252303641948223E-2</v>
      </c>
      <c r="M1181" s="2">
        <f>tblSales[[#This Row],[Sales]]/tblSales[[#This Row],[Transactions]]</f>
        <v>281</v>
      </c>
    </row>
    <row r="1182" spans="1:13" x14ac:dyDescent="0.25">
      <c r="A1182" s="1">
        <v>46082</v>
      </c>
      <c r="B1182" t="s">
        <v>6</v>
      </c>
      <c r="C1182" t="s">
        <v>11</v>
      </c>
      <c r="D1182" t="str">
        <f>_xlfn.XLOOKUP(tblSales[[#This Row],[Store ID]],tblStores[Store ID],tblStores[Store Name])</f>
        <v>Durban CBD</v>
      </c>
      <c r="E1182" t="str">
        <f>_xlfn.XLOOKUP(tblSales[[#This Row],[Store ID]],tblStores[Store ID],tblStores[Province])</f>
        <v>KZN</v>
      </c>
      <c r="F1182" t="str">
        <f>_xlfn.XLOOKUP(tblSales[[#This Row],[Store ID]],tblStores[Store ID],tblStores[Manager])</f>
        <v>Sarah Adams</v>
      </c>
      <c r="G1182" t="str">
        <f>_xlfn.XLOOKUP(tblSales[[#This Row],[Category ID]],tblCategories[Category ID],tblCategories[Category])</f>
        <v>Footwear</v>
      </c>
      <c r="H1182">
        <v>43078</v>
      </c>
      <c r="I1182">
        <v>40151</v>
      </c>
      <c r="J1182">
        <v>119</v>
      </c>
      <c r="K1182">
        <f>tblSales[[#This Row],[Sales]]-tblSales[[#This Row],[Budget]]</f>
        <v>2927</v>
      </c>
      <c r="L1182" s="3">
        <f>(tblSales[[#This Row],[Sales]]-tblSales[[#This Row],[Budget]])/tblSales[[#This Row],[Budget]]</f>
        <v>7.289980324275859E-2</v>
      </c>
      <c r="M1182" s="2">
        <f>tblSales[[#This Row],[Sales]]/tblSales[[#This Row],[Transactions]]</f>
        <v>362</v>
      </c>
    </row>
    <row r="1183" spans="1:13" x14ac:dyDescent="0.25">
      <c r="A1183" s="1">
        <v>46082</v>
      </c>
      <c r="B1183" t="s">
        <v>8</v>
      </c>
      <c r="C1183" t="s">
        <v>9</v>
      </c>
      <c r="D1183" t="str">
        <f>_xlfn.XLOOKUP(tblSales[[#This Row],[Store ID]],tblStores[Store ID],tblStores[Store Name])</f>
        <v>Gateway</v>
      </c>
      <c r="E1183" t="str">
        <f>_xlfn.XLOOKUP(tblSales[[#This Row],[Store ID]],tblStores[Store ID],tblStores[Province])</f>
        <v>KZN</v>
      </c>
      <c r="F1183" t="str">
        <f>_xlfn.XLOOKUP(tblSales[[#This Row],[Store ID]],tblStores[Store ID],tblStores[Manager])</f>
        <v>Michael Jones</v>
      </c>
      <c r="G1183" t="str">
        <f>_xlfn.XLOOKUP(tblSales[[#This Row],[Category ID]],tblCategories[Category ID],tblCategories[Category])</f>
        <v>Ladieswear</v>
      </c>
      <c r="H1183">
        <v>19500</v>
      </c>
      <c r="I1183">
        <v>20570</v>
      </c>
      <c r="J1183">
        <v>60</v>
      </c>
      <c r="K1183">
        <f>tblSales[[#This Row],[Sales]]-tblSales[[#This Row],[Budget]]</f>
        <v>-1070</v>
      </c>
      <c r="L1183" s="3">
        <f>(tblSales[[#This Row],[Sales]]-tblSales[[#This Row],[Budget]])/tblSales[[#This Row],[Budget]]</f>
        <v>-5.201750121536218E-2</v>
      </c>
      <c r="M1183" s="2">
        <f>tblSales[[#This Row],[Sales]]/tblSales[[#This Row],[Transactions]]</f>
        <v>325</v>
      </c>
    </row>
    <row r="1184" spans="1:13" x14ac:dyDescent="0.25">
      <c r="A1184" s="1">
        <v>46082</v>
      </c>
      <c r="B1184" t="s">
        <v>10</v>
      </c>
      <c r="C1184" t="s">
        <v>9</v>
      </c>
      <c r="D1184" t="str">
        <f>_xlfn.XLOOKUP(tblSales[[#This Row],[Store ID]],tblStores[Store ID],tblStores[Store Name])</f>
        <v>Ballito</v>
      </c>
      <c r="E1184" t="str">
        <f>_xlfn.XLOOKUP(tblSales[[#This Row],[Store ID]],tblStores[Store ID],tblStores[Province])</f>
        <v>KZN</v>
      </c>
      <c r="F1184" t="str">
        <f>_xlfn.XLOOKUP(tblSales[[#This Row],[Store ID]],tblStores[Store ID],tblStores[Manager])</f>
        <v>Linda Smith</v>
      </c>
      <c r="G1184" t="str">
        <f>_xlfn.XLOOKUP(tblSales[[#This Row],[Category ID]],tblCategories[Category ID],tblCategories[Category])</f>
        <v>Ladieswear</v>
      </c>
      <c r="H1184">
        <v>49648</v>
      </c>
      <c r="I1184">
        <v>50276</v>
      </c>
      <c r="J1184">
        <v>116</v>
      </c>
      <c r="K1184">
        <f>tblSales[[#This Row],[Sales]]-tblSales[[#This Row],[Budget]]</f>
        <v>-628</v>
      </c>
      <c r="L1184" s="3">
        <f>(tblSales[[#This Row],[Sales]]-tblSales[[#This Row],[Budget]])/tblSales[[#This Row],[Budget]]</f>
        <v>-1.2491049407271859E-2</v>
      </c>
      <c r="M1184" s="2">
        <f>tblSales[[#This Row],[Sales]]/tblSales[[#This Row],[Transactions]]</f>
        <v>428</v>
      </c>
    </row>
    <row r="1185" spans="1:13" x14ac:dyDescent="0.25">
      <c r="A1185" s="1">
        <v>46082</v>
      </c>
      <c r="B1185" t="s">
        <v>12</v>
      </c>
      <c r="C1185" t="s">
        <v>19</v>
      </c>
      <c r="D1185" t="str">
        <f>_xlfn.XLOOKUP(tblSales[[#This Row],[Store ID]],tblStores[Store ID],tblStores[Store Name])</f>
        <v>Pietermaritzburg</v>
      </c>
      <c r="E1185" t="str">
        <f>_xlfn.XLOOKUP(tblSales[[#This Row],[Store ID]],tblStores[Store ID],tblStores[Province])</f>
        <v>KZN</v>
      </c>
      <c r="F1185" t="str">
        <f>_xlfn.XLOOKUP(tblSales[[#This Row],[Store ID]],tblStores[Store ID],tblStores[Manager])</f>
        <v>Peter Brown</v>
      </c>
      <c r="G1185" t="str">
        <f>_xlfn.XLOOKUP(tblSales[[#This Row],[Category ID]],tblCategories[Category ID],tblCategories[Category])</f>
        <v>Accessories</v>
      </c>
      <c r="H1185">
        <v>68208</v>
      </c>
      <c r="I1185">
        <v>73212</v>
      </c>
      <c r="J1185">
        <v>203</v>
      </c>
      <c r="K1185">
        <f>tblSales[[#This Row],[Sales]]-tblSales[[#This Row],[Budget]]</f>
        <v>-5004</v>
      </c>
      <c r="L1185" s="3">
        <f>(tblSales[[#This Row],[Sales]]-tblSales[[#This Row],[Budget]])/tblSales[[#This Row],[Budget]]</f>
        <v>-6.8349450909686943E-2</v>
      </c>
      <c r="M1185" s="2">
        <f>tblSales[[#This Row],[Sales]]/tblSales[[#This Row],[Transactions]]</f>
        <v>336</v>
      </c>
    </row>
    <row r="1186" spans="1:13" x14ac:dyDescent="0.25">
      <c r="A1186" s="1">
        <v>46082</v>
      </c>
      <c r="B1186" t="s">
        <v>13</v>
      </c>
      <c r="C1186" t="s">
        <v>9</v>
      </c>
      <c r="D1186" t="str">
        <f>_xlfn.XLOOKUP(tblSales[[#This Row],[Store ID]],tblStores[Store ID],tblStores[Store Name])</f>
        <v>Richards Bay</v>
      </c>
      <c r="E1186" t="str">
        <f>_xlfn.XLOOKUP(tblSales[[#This Row],[Store ID]],tblStores[Store ID],tblStores[Province])</f>
        <v>KZN</v>
      </c>
      <c r="F1186" t="str">
        <f>_xlfn.XLOOKUP(tblSales[[#This Row],[Store ID]],tblStores[Store ID],tblStores[Manager])</f>
        <v>David Green</v>
      </c>
      <c r="G1186" t="str">
        <f>_xlfn.XLOOKUP(tblSales[[#This Row],[Category ID]],tblCategories[Category ID],tblCategories[Category])</f>
        <v>Ladieswear</v>
      </c>
      <c r="H1186">
        <v>84130</v>
      </c>
      <c r="I1186">
        <v>83383</v>
      </c>
      <c r="J1186">
        <v>179</v>
      </c>
      <c r="K1186">
        <f>tblSales[[#This Row],[Sales]]-tblSales[[#This Row],[Budget]]</f>
        <v>747</v>
      </c>
      <c r="L1186" s="3">
        <f>(tblSales[[#This Row],[Sales]]-tblSales[[#This Row],[Budget]])/tblSales[[#This Row],[Budget]]</f>
        <v>8.9586606382595965E-3</v>
      </c>
      <c r="M1186" s="2">
        <f>tblSales[[#This Row],[Sales]]/tblSales[[#This Row],[Transactions]]</f>
        <v>470</v>
      </c>
    </row>
    <row r="1187" spans="1:13" x14ac:dyDescent="0.25">
      <c r="A1187" s="1">
        <v>46082</v>
      </c>
      <c r="B1187" t="s">
        <v>14</v>
      </c>
      <c r="C1187" t="s">
        <v>22</v>
      </c>
      <c r="D1187" t="str">
        <f>_xlfn.XLOOKUP(tblSales[[#This Row],[Store ID]],tblStores[Store ID],tblStores[Store Name])</f>
        <v>Sandton</v>
      </c>
      <c r="E1187" t="str">
        <f>_xlfn.XLOOKUP(tblSales[[#This Row],[Store ID]],tblStores[Store ID],tblStores[Province])</f>
        <v>Gauteng</v>
      </c>
      <c r="F1187" t="str">
        <f>_xlfn.XLOOKUP(tblSales[[#This Row],[Store ID]],tblStores[Store ID],tblStores[Manager])</f>
        <v>Karen White</v>
      </c>
      <c r="G1187" t="str">
        <f>_xlfn.XLOOKUP(tblSales[[#This Row],[Category ID]],tblCategories[Category ID],tblCategories[Category])</f>
        <v>Kids</v>
      </c>
      <c r="H1187">
        <v>38304</v>
      </c>
      <c r="I1187">
        <v>34519</v>
      </c>
      <c r="J1187">
        <v>144</v>
      </c>
      <c r="K1187">
        <f>tblSales[[#This Row],[Sales]]-tblSales[[#This Row],[Budget]]</f>
        <v>3785</v>
      </c>
      <c r="L1187" s="3">
        <f>(tblSales[[#This Row],[Sales]]-tblSales[[#This Row],[Budget]])/tblSales[[#This Row],[Budget]]</f>
        <v>0.10964975810423246</v>
      </c>
      <c r="M1187" s="2">
        <f>tblSales[[#This Row],[Sales]]/tblSales[[#This Row],[Transactions]]</f>
        <v>266</v>
      </c>
    </row>
    <row r="1188" spans="1:13" x14ac:dyDescent="0.25">
      <c r="A1188" s="1">
        <v>46082</v>
      </c>
      <c r="B1188" t="s">
        <v>15</v>
      </c>
      <c r="C1188" t="s">
        <v>9</v>
      </c>
      <c r="D1188" t="str">
        <f>_xlfn.XLOOKUP(tblSales[[#This Row],[Store ID]],tblStores[Store ID],tblStores[Store Name])</f>
        <v>Rosebank</v>
      </c>
      <c r="E1188" t="str">
        <f>_xlfn.XLOOKUP(tblSales[[#This Row],[Store ID]],tblStores[Store ID],tblStores[Province])</f>
        <v>Gauteng</v>
      </c>
      <c r="F1188" t="str">
        <f>_xlfn.XLOOKUP(tblSales[[#This Row],[Store ID]],tblStores[Store ID],tblStores[Manager])</f>
        <v>James Taylor</v>
      </c>
      <c r="G1188" t="str">
        <f>_xlfn.XLOOKUP(tblSales[[#This Row],[Category ID]],tblCategories[Category ID],tblCategories[Category])</f>
        <v>Ladieswear</v>
      </c>
      <c r="H1188">
        <v>46228</v>
      </c>
      <c r="I1188">
        <v>46645</v>
      </c>
      <c r="J1188">
        <v>91</v>
      </c>
      <c r="K1188">
        <f>tblSales[[#This Row],[Sales]]-tblSales[[#This Row],[Budget]]</f>
        <v>-417</v>
      </c>
      <c r="L1188" s="3">
        <f>(tblSales[[#This Row],[Sales]]-tblSales[[#This Row],[Budget]])/tblSales[[#This Row],[Budget]]</f>
        <v>-8.9398649372923137E-3</v>
      </c>
      <c r="M1188" s="2">
        <f>tblSales[[#This Row],[Sales]]/tblSales[[#This Row],[Transactions]]</f>
        <v>508</v>
      </c>
    </row>
    <row r="1189" spans="1:13" x14ac:dyDescent="0.25">
      <c r="A1189" s="1">
        <v>46082</v>
      </c>
      <c r="B1189" t="s">
        <v>16</v>
      </c>
      <c r="C1189" t="s">
        <v>22</v>
      </c>
      <c r="D1189" t="str">
        <f>_xlfn.XLOOKUP(tblSales[[#This Row],[Store ID]],tblStores[Store ID],tblStores[Store Name])</f>
        <v>Pretoria</v>
      </c>
      <c r="E1189" t="str">
        <f>_xlfn.XLOOKUP(tblSales[[#This Row],[Store ID]],tblStores[Store ID],tblStores[Province])</f>
        <v>Gauteng</v>
      </c>
      <c r="F1189" t="str">
        <f>_xlfn.XLOOKUP(tblSales[[#This Row],[Store ID]],tblStores[Store ID],tblStores[Manager])</f>
        <v>Susan Clark</v>
      </c>
      <c r="G1189" t="str">
        <f>_xlfn.XLOOKUP(tblSales[[#This Row],[Category ID]],tblCategories[Category ID],tblCategories[Category])</f>
        <v>Kids</v>
      </c>
      <c r="H1189">
        <v>24081</v>
      </c>
      <c r="I1189">
        <v>26957</v>
      </c>
      <c r="J1189">
        <v>69</v>
      </c>
      <c r="K1189">
        <f>tblSales[[#This Row],[Sales]]-tblSales[[#This Row],[Budget]]</f>
        <v>-2876</v>
      </c>
      <c r="L1189" s="3">
        <f>(tblSales[[#This Row],[Sales]]-tblSales[[#This Row],[Budget]])/tblSales[[#This Row],[Budget]]</f>
        <v>-0.10668842972140817</v>
      </c>
      <c r="M1189" s="2">
        <f>tblSales[[#This Row],[Sales]]/tblSales[[#This Row],[Transactions]]</f>
        <v>349</v>
      </c>
    </row>
    <row r="1190" spans="1:13" x14ac:dyDescent="0.25">
      <c r="A1190" s="1">
        <v>46082</v>
      </c>
      <c r="B1190" t="s">
        <v>17</v>
      </c>
      <c r="C1190" t="s">
        <v>11</v>
      </c>
      <c r="D1190" t="str">
        <f>_xlfn.XLOOKUP(tblSales[[#This Row],[Store ID]],tblStores[Store ID],tblStores[Store Name])</f>
        <v>Centurion</v>
      </c>
      <c r="E1190" t="str">
        <f>_xlfn.XLOOKUP(tblSales[[#This Row],[Store ID]],tblStores[Store ID],tblStores[Province])</f>
        <v>Gauteng</v>
      </c>
      <c r="F1190" t="str">
        <f>_xlfn.XLOOKUP(tblSales[[#This Row],[Store ID]],tblStores[Store ID],tblStores[Manager])</f>
        <v>Mark Wilson</v>
      </c>
      <c r="G1190" t="str">
        <f>_xlfn.XLOOKUP(tblSales[[#This Row],[Category ID]],tblCategories[Category ID],tblCategories[Category])</f>
        <v>Footwear</v>
      </c>
      <c r="H1190">
        <v>54087</v>
      </c>
      <c r="I1190">
        <v>59154</v>
      </c>
      <c r="J1190">
        <v>149</v>
      </c>
      <c r="K1190">
        <f>tblSales[[#This Row],[Sales]]-tblSales[[#This Row],[Budget]]</f>
        <v>-5067</v>
      </c>
      <c r="L1190" s="3">
        <f>(tblSales[[#This Row],[Sales]]-tblSales[[#This Row],[Budget]])/tblSales[[#This Row],[Budget]]</f>
        <v>-8.5657774622172639E-2</v>
      </c>
      <c r="M1190" s="2">
        <f>tblSales[[#This Row],[Sales]]/tblSales[[#This Row],[Transactions]]</f>
        <v>363</v>
      </c>
    </row>
    <row r="1191" spans="1:13" x14ac:dyDescent="0.25">
      <c r="A1191" s="1">
        <v>46082</v>
      </c>
      <c r="B1191" t="s">
        <v>18</v>
      </c>
      <c r="C1191" t="s">
        <v>11</v>
      </c>
      <c r="D1191" t="str">
        <f>_xlfn.XLOOKUP(tblSales[[#This Row],[Store ID]],tblStores[Store ID],tblStores[Store Name])</f>
        <v>East Rand</v>
      </c>
      <c r="E1191" t="str">
        <f>_xlfn.XLOOKUP(tblSales[[#This Row],[Store ID]],tblStores[Store ID],tblStores[Province])</f>
        <v>Gauteng</v>
      </c>
      <c r="F1191" t="str">
        <f>_xlfn.XLOOKUP(tblSales[[#This Row],[Store ID]],tblStores[Store ID],tblStores[Manager])</f>
        <v>Lisa Young</v>
      </c>
      <c r="G1191" t="str">
        <f>_xlfn.XLOOKUP(tblSales[[#This Row],[Category ID]],tblCategories[Category ID],tblCategories[Category])</f>
        <v>Footwear</v>
      </c>
      <c r="H1191">
        <v>41360</v>
      </c>
      <c r="I1191">
        <v>39041</v>
      </c>
      <c r="J1191">
        <v>176</v>
      </c>
      <c r="K1191">
        <f>tblSales[[#This Row],[Sales]]-tblSales[[#This Row],[Budget]]</f>
        <v>2319</v>
      </c>
      <c r="L1191" s="3">
        <f>(tblSales[[#This Row],[Sales]]-tblSales[[#This Row],[Budget]])/tblSales[[#This Row],[Budget]]</f>
        <v>5.9399093260930819E-2</v>
      </c>
      <c r="M1191" s="2">
        <f>tblSales[[#This Row],[Sales]]/tblSales[[#This Row],[Transactions]]</f>
        <v>235</v>
      </c>
    </row>
    <row r="1192" spans="1:13" x14ac:dyDescent="0.25">
      <c r="A1192" s="1">
        <v>46082</v>
      </c>
      <c r="B1192" t="s">
        <v>20</v>
      </c>
      <c r="C1192" t="s">
        <v>19</v>
      </c>
      <c r="D1192" t="str">
        <f>_xlfn.XLOOKUP(tblSales[[#This Row],[Store ID]],tblStores[Store ID],tblStores[Store Name])</f>
        <v>Cape Town CBD</v>
      </c>
      <c r="E1192" t="str">
        <f>_xlfn.XLOOKUP(tblSales[[#This Row],[Store ID]],tblStores[Store ID],tblStores[Province])</f>
        <v>Western Cape</v>
      </c>
      <c r="F1192" t="str">
        <f>_xlfn.XLOOKUP(tblSales[[#This Row],[Store ID]],tblStores[Store ID],tblStores[Manager])</f>
        <v>Brian Hall</v>
      </c>
      <c r="G1192" t="str">
        <f>_xlfn.XLOOKUP(tblSales[[#This Row],[Category ID]],tblCategories[Category ID],tblCategories[Category])</f>
        <v>Accessories</v>
      </c>
      <c r="H1192">
        <v>17765</v>
      </c>
      <c r="I1192">
        <v>19802</v>
      </c>
      <c r="J1192">
        <v>55</v>
      </c>
      <c r="K1192">
        <f>tblSales[[#This Row],[Sales]]-tblSales[[#This Row],[Budget]]</f>
        <v>-2037</v>
      </c>
      <c r="L1192" s="3">
        <f>(tblSales[[#This Row],[Sales]]-tblSales[[#This Row],[Budget]])/tblSales[[#This Row],[Budget]]</f>
        <v>-0.10286839713160287</v>
      </c>
      <c r="M1192" s="2">
        <f>tblSales[[#This Row],[Sales]]/tblSales[[#This Row],[Transactions]]</f>
        <v>323</v>
      </c>
    </row>
    <row r="1193" spans="1:13" x14ac:dyDescent="0.25">
      <c r="A1193" s="1">
        <v>46082</v>
      </c>
      <c r="B1193" t="s">
        <v>21</v>
      </c>
      <c r="C1193" t="s">
        <v>9</v>
      </c>
      <c r="D1193" t="str">
        <f>_xlfn.XLOOKUP(tblSales[[#This Row],[Store ID]],tblStores[Store ID],tblStores[Store Name])</f>
        <v>Canal Walk</v>
      </c>
      <c r="E1193" t="str">
        <f>_xlfn.XLOOKUP(tblSales[[#This Row],[Store ID]],tblStores[Store ID],tblStores[Province])</f>
        <v>Western Cape</v>
      </c>
      <c r="F1193" t="str">
        <f>_xlfn.XLOOKUP(tblSales[[#This Row],[Store ID]],tblStores[Store ID],tblStores[Manager])</f>
        <v>Megan Scott</v>
      </c>
      <c r="G1193" t="str">
        <f>_xlfn.XLOOKUP(tblSales[[#This Row],[Category ID]],tblCategories[Category ID],tblCategories[Category])</f>
        <v>Ladieswear</v>
      </c>
      <c r="H1193">
        <v>48160</v>
      </c>
      <c r="I1193">
        <v>46513</v>
      </c>
      <c r="J1193">
        <v>172</v>
      </c>
      <c r="K1193">
        <f>tblSales[[#This Row],[Sales]]-tblSales[[#This Row],[Budget]]</f>
        <v>1647</v>
      </c>
      <c r="L1193" s="3">
        <f>(tblSales[[#This Row],[Sales]]-tblSales[[#This Row],[Budget]])/tblSales[[#This Row],[Budget]]</f>
        <v>3.5409455421065078E-2</v>
      </c>
      <c r="M1193" s="2">
        <f>tblSales[[#This Row],[Sales]]/tblSales[[#This Row],[Transactions]]</f>
        <v>280</v>
      </c>
    </row>
    <row r="1194" spans="1:13" x14ac:dyDescent="0.25">
      <c r="A1194" s="1">
        <v>46082</v>
      </c>
      <c r="B1194" t="s">
        <v>23</v>
      </c>
      <c r="C1194" t="s">
        <v>7</v>
      </c>
      <c r="D1194" t="str">
        <f>_xlfn.XLOOKUP(tblSales[[#This Row],[Store ID]],tblStores[Store ID],tblStores[Store Name])</f>
        <v>Stellenbosch</v>
      </c>
      <c r="E1194" t="str">
        <f>_xlfn.XLOOKUP(tblSales[[#This Row],[Store ID]],tblStores[Store ID],tblStores[Province])</f>
        <v>Western Cape</v>
      </c>
      <c r="F1194" t="str">
        <f>_xlfn.XLOOKUP(tblSales[[#This Row],[Store ID]],tblStores[Store ID],tblStores[Manager])</f>
        <v>Jason King</v>
      </c>
      <c r="G1194" t="str">
        <f>_xlfn.XLOOKUP(tblSales[[#This Row],[Category ID]],tblCategories[Category ID],tblCategories[Category])</f>
        <v>Menswear</v>
      </c>
      <c r="H1194">
        <v>10206</v>
      </c>
      <c r="I1194">
        <v>11353</v>
      </c>
      <c r="J1194">
        <v>54</v>
      </c>
      <c r="K1194">
        <f>tblSales[[#This Row],[Sales]]-tblSales[[#This Row],[Budget]]</f>
        <v>-1147</v>
      </c>
      <c r="L1194" s="3">
        <f>(tblSales[[#This Row],[Sales]]-tblSales[[#This Row],[Budget]])/tblSales[[#This Row],[Budget]]</f>
        <v>-0.10103056460847352</v>
      </c>
      <c r="M1194" s="2">
        <f>tblSales[[#This Row],[Sales]]/tblSales[[#This Row],[Transactions]]</f>
        <v>189</v>
      </c>
    </row>
    <row r="1195" spans="1:13" x14ac:dyDescent="0.25">
      <c r="A1195" s="1">
        <v>46082</v>
      </c>
      <c r="B1195" t="s">
        <v>24</v>
      </c>
      <c r="C1195" t="s">
        <v>7</v>
      </c>
      <c r="D1195" t="str">
        <f>_xlfn.XLOOKUP(tblSales[[#This Row],[Store ID]],tblStores[Store ID],tblStores[Store Name])</f>
        <v>George</v>
      </c>
      <c r="E1195" t="str">
        <f>_xlfn.XLOOKUP(tblSales[[#This Row],[Store ID]],tblStores[Store ID],tblStores[Province])</f>
        <v>Western Cape</v>
      </c>
      <c r="F1195" t="str">
        <f>_xlfn.XLOOKUP(tblSales[[#This Row],[Store ID]],tblStores[Store ID],tblStores[Manager])</f>
        <v>Chloe Hill</v>
      </c>
      <c r="G1195" t="str">
        <f>_xlfn.XLOOKUP(tblSales[[#This Row],[Category ID]],tblCategories[Category ID],tblCategories[Category])</f>
        <v>Menswear</v>
      </c>
      <c r="H1195">
        <v>87108</v>
      </c>
      <c r="I1195">
        <v>87219</v>
      </c>
      <c r="J1195">
        <v>183</v>
      </c>
      <c r="K1195">
        <f>tblSales[[#This Row],[Sales]]-tblSales[[#This Row],[Budget]]</f>
        <v>-111</v>
      </c>
      <c r="L1195" s="3">
        <f>(tblSales[[#This Row],[Sales]]-tblSales[[#This Row],[Budget]])/tblSales[[#This Row],[Budget]]</f>
        <v>-1.272658480376982E-3</v>
      </c>
      <c r="M1195" s="2">
        <f>tblSales[[#This Row],[Sales]]/tblSales[[#This Row],[Transactions]]</f>
        <v>476</v>
      </c>
    </row>
    <row r="1196" spans="1:13" x14ac:dyDescent="0.25">
      <c r="A1196" s="1">
        <v>46082</v>
      </c>
      <c r="B1196" t="s">
        <v>25</v>
      </c>
      <c r="C1196" t="s">
        <v>19</v>
      </c>
      <c r="D1196" t="str">
        <f>_xlfn.XLOOKUP(tblSales[[#This Row],[Store ID]],tblStores[Store ID],tblStores[Store Name])</f>
        <v>Paarl</v>
      </c>
      <c r="E1196" t="str">
        <f>_xlfn.XLOOKUP(tblSales[[#This Row],[Store ID]],tblStores[Store ID],tblStores[Province])</f>
        <v>Western Cape</v>
      </c>
      <c r="F1196" t="str">
        <f>_xlfn.XLOOKUP(tblSales[[#This Row],[Store ID]],tblStores[Store ID],tblStores[Manager])</f>
        <v>Andrew Lee</v>
      </c>
      <c r="G1196" t="str">
        <f>_xlfn.XLOOKUP(tblSales[[#This Row],[Category ID]],tblCategories[Category ID],tblCategories[Category])</f>
        <v>Accessories</v>
      </c>
      <c r="H1196">
        <v>17622</v>
      </c>
      <c r="I1196">
        <v>18289</v>
      </c>
      <c r="J1196">
        <v>89</v>
      </c>
      <c r="K1196">
        <f>tblSales[[#This Row],[Sales]]-tblSales[[#This Row],[Budget]]</f>
        <v>-667</v>
      </c>
      <c r="L1196" s="3">
        <f>(tblSales[[#This Row],[Sales]]-tblSales[[#This Row],[Budget]])/tblSales[[#This Row],[Budget]]</f>
        <v>-3.6470009295204768E-2</v>
      </c>
      <c r="M1196" s="2">
        <f>tblSales[[#This Row],[Sales]]/tblSales[[#This Row],[Transactions]]</f>
        <v>198</v>
      </c>
    </row>
    <row r="1197" spans="1:13" x14ac:dyDescent="0.25">
      <c r="A1197" s="1">
        <v>46082</v>
      </c>
      <c r="B1197" t="s">
        <v>26</v>
      </c>
      <c r="C1197" t="s">
        <v>19</v>
      </c>
      <c r="D1197" t="str">
        <f>_xlfn.XLOOKUP(tblSales[[#This Row],[Store ID]],tblStores[Store ID],tblStores[Store Name])</f>
        <v>Gqeberha</v>
      </c>
      <c r="E1197" t="str">
        <f>_xlfn.XLOOKUP(tblSales[[#This Row],[Store ID]],tblStores[Store ID],tblStores[Province])</f>
        <v>Eastern Cape</v>
      </c>
      <c r="F1197" t="str">
        <f>_xlfn.XLOOKUP(tblSales[[#This Row],[Store ID]],tblStores[Store ID],tblStores[Manager])</f>
        <v>Emma Baker</v>
      </c>
      <c r="G1197" t="str">
        <f>_xlfn.XLOOKUP(tblSales[[#This Row],[Category ID]],tblCategories[Category ID],tblCategories[Category])</f>
        <v>Accessories</v>
      </c>
      <c r="H1197">
        <v>72833</v>
      </c>
      <c r="I1197">
        <v>77456</v>
      </c>
      <c r="J1197">
        <v>173</v>
      </c>
      <c r="K1197">
        <f>tblSales[[#This Row],[Sales]]-tblSales[[#This Row],[Budget]]</f>
        <v>-4623</v>
      </c>
      <c r="L1197" s="3">
        <f>(tblSales[[#This Row],[Sales]]-tblSales[[#This Row],[Budget]])/tblSales[[#This Row],[Budget]]</f>
        <v>-5.9685498863871103E-2</v>
      </c>
      <c r="M1197" s="2">
        <f>tblSales[[#This Row],[Sales]]/tblSales[[#This Row],[Transactions]]</f>
        <v>421</v>
      </c>
    </row>
    <row r="1198" spans="1:13" x14ac:dyDescent="0.25">
      <c r="A1198" s="1">
        <v>46082</v>
      </c>
      <c r="B1198" t="s">
        <v>27</v>
      </c>
      <c r="C1198" t="s">
        <v>9</v>
      </c>
      <c r="D1198" t="str">
        <f>_xlfn.XLOOKUP(tblSales[[#This Row],[Store ID]],tblStores[Store ID],tblStores[Store Name])</f>
        <v>East London</v>
      </c>
      <c r="E1198" t="str">
        <f>_xlfn.XLOOKUP(tblSales[[#This Row],[Store ID]],tblStores[Store ID],tblStores[Province])</f>
        <v>Eastern Cape</v>
      </c>
      <c r="F1198" t="str">
        <f>_xlfn.XLOOKUP(tblSales[[#This Row],[Store ID]],tblStores[Store ID],tblStores[Manager])</f>
        <v>Daniel Evans</v>
      </c>
      <c r="G1198" t="str">
        <f>_xlfn.XLOOKUP(tblSales[[#This Row],[Category ID]],tblCategories[Category ID],tblCategories[Category])</f>
        <v>Ladieswear</v>
      </c>
      <c r="H1198">
        <v>48640</v>
      </c>
      <c r="I1198">
        <v>46491</v>
      </c>
      <c r="J1198">
        <v>128</v>
      </c>
      <c r="K1198">
        <f>tblSales[[#This Row],[Sales]]-tblSales[[#This Row],[Budget]]</f>
        <v>2149</v>
      </c>
      <c r="L1198" s="3">
        <f>(tblSales[[#This Row],[Sales]]-tblSales[[#This Row],[Budget]])/tblSales[[#This Row],[Budget]]</f>
        <v>4.6224000344152631E-2</v>
      </c>
      <c r="M1198" s="2">
        <f>tblSales[[#This Row],[Sales]]/tblSales[[#This Row],[Transactions]]</f>
        <v>380</v>
      </c>
    </row>
    <row r="1199" spans="1:13" x14ac:dyDescent="0.25">
      <c r="A1199" s="1">
        <v>46082</v>
      </c>
      <c r="B1199" t="s">
        <v>28</v>
      </c>
      <c r="C1199" t="s">
        <v>19</v>
      </c>
      <c r="D1199" t="str">
        <f>_xlfn.XLOOKUP(tblSales[[#This Row],[Store ID]],tblStores[Store ID],tblStores[Store Name])</f>
        <v>Bloemfontein</v>
      </c>
      <c r="E1199" t="str">
        <f>_xlfn.XLOOKUP(tblSales[[#This Row],[Store ID]],tblStores[Store ID],tblStores[Province])</f>
        <v>Free State</v>
      </c>
      <c r="F1199" t="str">
        <f>_xlfn.XLOOKUP(tblSales[[#This Row],[Store ID]],tblStores[Store ID],tblStores[Manager])</f>
        <v>Rachel Moore</v>
      </c>
      <c r="G1199" t="str">
        <f>_xlfn.XLOOKUP(tblSales[[#This Row],[Category ID]],tblCategories[Category ID],tblCategories[Category])</f>
        <v>Accessories</v>
      </c>
      <c r="H1199">
        <v>27032</v>
      </c>
      <c r="I1199">
        <v>27469</v>
      </c>
      <c r="J1199">
        <v>109</v>
      </c>
      <c r="K1199">
        <f>tblSales[[#This Row],[Sales]]-tblSales[[#This Row],[Budget]]</f>
        <v>-437</v>
      </c>
      <c r="L1199" s="3">
        <f>(tblSales[[#This Row],[Sales]]-tblSales[[#This Row],[Budget]])/tblSales[[#This Row],[Budget]]</f>
        <v>-1.590884269540209E-2</v>
      </c>
      <c r="M1199" s="2">
        <f>tblSales[[#This Row],[Sales]]/tblSales[[#This Row],[Transactions]]</f>
        <v>248</v>
      </c>
    </row>
    <row r="1200" spans="1:13" x14ac:dyDescent="0.25">
      <c r="A1200" s="1">
        <v>46082</v>
      </c>
      <c r="B1200" t="s">
        <v>29</v>
      </c>
      <c r="C1200" t="s">
        <v>19</v>
      </c>
      <c r="D1200" t="str">
        <f>_xlfn.XLOOKUP(tblSales[[#This Row],[Store ID]],tblStores[Store ID],tblStores[Store Name])</f>
        <v>Polokwane</v>
      </c>
      <c r="E1200" t="str">
        <f>_xlfn.XLOOKUP(tblSales[[#This Row],[Store ID]],tblStores[Store ID],tblStores[Province])</f>
        <v>Limpopo</v>
      </c>
      <c r="F1200" t="str">
        <f>_xlfn.XLOOKUP(tblSales[[#This Row],[Store ID]],tblStores[Store ID],tblStores[Manager])</f>
        <v>Kevin Harris</v>
      </c>
      <c r="G1200" t="str">
        <f>_xlfn.XLOOKUP(tblSales[[#This Row],[Category ID]],tblCategories[Category ID],tblCategories[Category])</f>
        <v>Accessories</v>
      </c>
      <c r="H1200">
        <v>22214</v>
      </c>
      <c r="I1200">
        <v>22013</v>
      </c>
      <c r="J1200">
        <v>58</v>
      </c>
      <c r="K1200">
        <f>tblSales[[#This Row],[Sales]]-tblSales[[#This Row],[Budget]]</f>
        <v>201</v>
      </c>
      <c r="L1200" s="3">
        <f>(tblSales[[#This Row],[Sales]]-tblSales[[#This Row],[Budget]])/tblSales[[#This Row],[Budget]]</f>
        <v>9.1309680643256261E-3</v>
      </c>
      <c r="M1200" s="2">
        <f>tblSales[[#This Row],[Sales]]/tblSales[[#This Row],[Transactions]]</f>
        <v>383</v>
      </c>
    </row>
    <row r="1201" spans="1:13" x14ac:dyDescent="0.25">
      <c r="A1201" s="1">
        <v>46082</v>
      </c>
      <c r="B1201" t="s">
        <v>30</v>
      </c>
      <c r="C1201" t="s">
        <v>7</v>
      </c>
      <c r="D1201" t="str">
        <f>_xlfn.XLOOKUP(tblSales[[#This Row],[Store ID]],tblStores[Store ID],tblStores[Store Name])</f>
        <v>Nelspruit</v>
      </c>
      <c r="E1201" t="str">
        <f>_xlfn.XLOOKUP(tblSales[[#This Row],[Store ID]],tblStores[Store ID],tblStores[Province])</f>
        <v>Mpumalanga</v>
      </c>
      <c r="F1201" t="str">
        <f>_xlfn.XLOOKUP(tblSales[[#This Row],[Store ID]],tblStores[Store ID],tblStores[Manager])</f>
        <v>Olivia Turner</v>
      </c>
      <c r="G1201" t="str">
        <f>_xlfn.XLOOKUP(tblSales[[#This Row],[Category ID]],tblCategories[Category ID],tblCategories[Category])</f>
        <v>Menswear</v>
      </c>
      <c r="H1201">
        <v>61608</v>
      </c>
      <c r="I1201">
        <v>68507</v>
      </c>
      <c r="J1201">
        <v>204</v>
      </c>
      <c r="K1201">
        <f>tblSales[[#This Row],[Sales]]-tblSales[[#This Row],[Budget]]</f>
        <v>-6899</v>
      </c>
      <c r="L1201" s="3">
        <f>(tblSales[[#This Row],[Sales]]-tblSales[[#This Row],[Budget]])/tblSales[[#This Row],[Budget]]</f>
        <v>-0.10070503744142935</v>
      </c>
      <c r="M1201" s="2">
        <f>tblSales[[#This Row],[Sales]]/tblSales[[#This Row],[Transactions]]</f>
        <v>302</v>
      </c>
    </row>
    <row r="1202" spans="1:13" x14ac:dyDescent="0.25">
      <c r="A1202" s="1">
        <v>46083</v>
      </c>
      <c r="B1202" t="s">
        <v>6</v>
      </c>
      <c r="C1202" t="s">
        <v>19</v>
      </c>
      <c r="D1202" t="str">
        <f>_xlfn.XLOOKUP(tblSales[[#This Row],[Store ID]],tblStores[Store ID],tblStores[Store Name])</f>
        <v>Durban CBD</v>
      </c>
      <c r="E1202" t="str">
        <f>_xlfn.XLOOKUP(tblSales[[#This Row],[Store ID]],tblStores[Store ID],tblStores[Province])</f>
        <v>KZN</v>
      </c>
      <c r="F1202" t="str">
        <f>_xlfn.XLOOKUP(tblSales[[#This Row],[Store ID]],tblStores[Store ID],tblStores[Manager])</f>
        <v>Sarah Adams</v>
      </c>
      <c r="G1202" t="str">
        <f>_xlfn.XLOOKUP(tblSales[[#This Row],[Category ID]],tblCategories[Category ID],tblCategories[Category])</f>
        <v>Accessories</v>
      </c>
      <c r="H1202">
        <v>55440</v>
      </c>
      <c r="I1202">
        <v>60390</v>
      </c>
      <c r="J1202">
        <v>210</v>
      </c>
      <c r="K1202">
        <f>tblSales[[#This Row],[Sales]]-tblSales[[#This Row],[Budget]]</f>
        <v>-4950</v>
      </c>
      <c r="L1202" s="3">
        <f>(tblSales[[#This Row],[Sales]]-tblSales[[#This Row],[Budget]])/tblSales[[#This Row],[Budget]]</f>
        <v>-8.1967213114754092E-2</v>
      </c>
      <c r="M1202" s="2">
        <f>tblSales[[#This Row],[Sales]]/tblSales[[#This Row],[Transactions]]</f>
        <v>264</v>
      </c>
    </row>
    <row r="1203" spans="1:13" x14ac:dyDescent="0.25">
      <c r="A1203" s="1">
        <v>46083</v>
      </c>
      <c r="B1203" t="s">
        <v>8</v>
      </c>
      <c r="C1203" t="s">
        <v>9</v>
      </c>
      <c r="D1203" t="str">
        <f>_xlfn.XLOOKUP(tblSales[[#This Row],[Store ID]],tblStores[Store ID],tblStores[Store Name])</f>
        <v>Gateway</v>
      </c>
      <c r="E1203" t="str">
        <f>_xlfn.XLOOKUP(tblSales[[#This Row],[Store ID]],tblStores[Store ID],tblStores[Province])</f>
        <v>KZN</v>
      </c>
      <c r="F1203" t="str">
        <f>_xlfn.XLOOKUP(tblSales[[#This Row],[Store ID]],tblStores[Store ID],tblStores[Manager])</f>
        <v>Michael Jones</v>
      </c>
      <c r="G1203" t="str">
        <f>_xlfn.XLOOKUP(tblSales[[#This Row],[Category ID]],tblCategories[Category ID],tblCategories[Category])</f>
        <v>Ladieswear</v>
      </c>
      <c r="H1203">
        <v>38889</v>
      </c>
      <c r="I1203">
        <v>36741</v>
      </c>
      <c r="J1203">
        <v>149</v>
      </c>
      <c r="K1203">
        <f>tblSales[[#This Row],[Sales]]-tblSales[[#This Row],[Budget]]</f>
        <v>2148</v>
      </c>
      <c r="L1203" s="3">
        <f>(tblSales[[#This Row],[Sales]]-tblSales[[#This Row],[Budget]])/tblSales[[#This Row],[Budget]]</f>
        <v>5.8463297133991995E-2</v>
      </c>
      <c r="M1203" s="2">
        <f>tblSales[[#This Row],[Sales]]/tblSales[[#This Row],[Transactions]]</f>
        <v>261</v>
      </c>
    </row>
    <row r="1204" spans="1:13" x14ac:dyDescent="0.25">
      <c r="A1204" s="1">
        <v>46083</v>
      </c>
      <c r="B1204" t="s">
        <v>10</v>
      </c>
      <c r="C1204" t="s">
        <v>19</v>
      </c>
      <c r="D1204" t="str">
        <f>_xlfn.XLOOKUP(tblSales[[#This Row],[Store ID]],tblStores[Store ID],tblStores[Store Name])</f>
        <v>Ballito</v>
      </c>
      <c r="E1204" t="str">
        <f>_xlfn.XLOOKUP(tblSales[[#This Row],[Store ID]],tblStores[Store ID],tblStores[Province])</f>
        <v>KZN</v>
      </c>
      <c r="F1204" t="str">
        <f>_xlfn.XLOOKUP(tblSales[[#This Row],[Store ID]],tblStores[Store ID],tblStores[Manager])</f>
        <v>Linda Smith</v>
      </c>
      <c r="G1204" t="str">
        <f>_xlfn.XLOOKUP(tblSales[[#This Row],[Category ID]],tblCategories[Category ID],tblCategories[Category])</f>
        <v>Accessories</v>
      </c>
      <c r="H1204">
        <v>51562</v>
      </c>
      <c r="I1204">
        <v>55892</v>
      </c>
      <c r="J1204">
        <v>203</v>
      </c>
      <c r="K1204">
        <f>tblSales[[#This Row],[Sales]]-tblSales[[#This Row],[Budget]]</f>
        <v>-4330</v>
      </c>
      <c r="L1204" s="3">
        <f>(tblSales[[#This Row],[Sales]]-tblSales[[#This Row],[Budget]])/tblSales[[#This Row],[Budget]]</f>
        <v>-7.7470836613468833E-2</v>
      </c>
      <c r="M1204" s="2">
        <f>tblSales[[#This Row],[Sales]]/tblSales[[#This Row],[Transactions]]</f>
        <v>254</v>
      </c>
    </row>
    <row r="1205" spans="1:13" x14ac:dyDescent="0.25">
      <c r="A1205" s="1">
        <v>46083</v>
      </c>
      <c r="B1205" t="s">
        <v>12</v>
      </c>
      <c r="C1205" t="s">
        <v>11</v>
      </c>
      <c r="D1205" t="str">
        <f>_xlfn.XLOOKUP(tblSales[[#This Row],[Store ID]],tblStores[Store ID],tblStores[Store Name])</f>
        <v>Pietermaritzburg</v>
      </c>
      <c r="E1205" t="str">
        <f>_xlfn.XLOOKUP(tblSales[[#This Row],[Store ID]],tblStores[Store ID],tblStores[Province])</f>
        <v>KZN</v>
      </c>
      <c r="F1205" t="str">
        <f>_xlfn.XLOOKUP(tblSales[[#This Row],[Store ID]],tblStores[Store ID],tblStores[Manager])</f>
        <v>Peter Brown</v>
      </c>
      <c r="G1205" t="str">
        <f>_xlfn.XLOOKUP(tblSales[[#This Row],[Category ID]],tblCategories[Category ID],tblCategories[Category])</f>
        <v>Footwear</v>
      </c>
      <c r="H1205">
        <v>25200</v>
      </c>
      <c r="I1205">
        <v>24058</v>
      </c>
      <c r="J1205">
        <v>126</v>
      </c>
      <c r="K1205">
        <f>tblSales[[#This Row],[Sales]]-tblSales[[#This Row],[Budget]]</f>
        <v>1142</v>
      </c>
      <c r="L1205" s="3">
        <f>(tblSales[[#This Row],[Sales]]-tblSales[[#This Row],[Budget]])/tblSales[[#This Row],[Budget]]</f>
        <v>4.7468617507689749E-2</v>
      </c>
      <c r="M1205" s="2">
        <f>tblSales[[#This Row],[Sales]]/tblSales[[#This Row],[Transactions]]</f>
        <v>200</v>
      </c>
    </row>
    <row r="1206" spans="1:13" x14ac:dyDescent="0.25">
      <c r="A1206" s="1">
        <v>46083</v>
      </c>
      <c r="B1206" t="s">
        <v>13</v>
      </c>
      <c r="C1206" t="s">
        <v>11</v>
      </c>
      <c r="D1206" t="str">
        <f>_xlfn.XLOOKUP(tblSales[[#This Row],[Store ID]],tblStores[Store ID],tblStores[Store Name])</f>
        <v>Richards Bay</v>
      </c>
      <c r="E1206" t="str">
        <f>_xlfn.XLOOKUP(tblSales[[#This Row],[Store ID]],tblStores[Store ID],tblStores[Province])</f>
        <v>KZN</v>
      </c>
      <c r="F1206" t="str">
        <f>_xlfn.XLOOKUP(tblSales[[#This Row],[Store ID]],tblStores[Store ID],tblStores[Manager])</f>
        <v>David Green</v>
      </c>
      <c r="G1206" t="str">
        <f>_xlfn.XLOOKUP(tblSales[[#This Row],[Category ID]],tblCategories[Category ID],tblCategories[Category])</f>
        <v>Footwear</v>
      </c>
      <c r="H1206">
        <v>19928</v>
      </c>
      <c r="I1206">
        <v>19252</v>
      </c>
      <c r="J1206">
        <v>94</v>
      </c>
      <c r="K1206">
        <f>tblSales[[#This Row],[Sales]]-tblSales[[#This Row],[Budget]]</f>
        <v>676</v>
      </c>
      <c r="L1206" s="3">
        <f>(tblSales[[#This Row],[Sales]]-tblSales[[#This Row],[Budget]])/tblSales[[#This Row],[Budget]]</f>
        <v>3.5113234988572613E-2</v>
      </c>
      <c r="M1206" s="2">
        <f>tblSales[[#This Row],[Sales]]/tblSales[[#This Row],[Transactions]]</f>
        <v>212</v>
      </c>
    </row>
    <row r="1207" spans="1:13" x14ac:dyDescent="0.25">
      <c r="A1207" s="1">
        <v>46083</v>
      </c>
      <c r="B1207" t="s">
        <v>14</v>
      </c>
      <c r="C1207" t="s">
        <v>9</v>
      </c>
      <c r="D1207" t="str">
        <f>_xlfn.XLOOKUP(tblSales[[#This Row],[Store ID]],tblStores[Store ID],tblStores[Store Name])</f>
        <v>Sandton</v>
      </c>
      <c r="E1207" t="str">
        <f>_xlfn.XLOOKUP(tblSales[[#This Row],[Store ID]],tblStores[Store ID],tblStores[Province])</f>
        <v>Gauteng</v>
      </c>
      <c r="F1207" t="str">
        <f>_xlfn.XLOOKUP(tblSales[[#This Row],[Store ID]],tblStores[Store ID],tblStores[Manager])</f>
        <v>Karen White</v>
      </c>
      <c r="G1207" t="str">
        <f>_xlfn.XLOOKUP(tblSales[[#This Row],[Category ID]],tblCategories[Category ID],tblCategories[Category])</f>
        <v>Ladieswear</v>
      </c>
      <c r="H1207">
        <v>12825</v>
      </c>
      <c r="I1207">
        <v>13202</v>
      </c>
      <c r="J1207">
        <v>45</v>
      </c>
      <c r="K1207">
        <f>tblSales[[#This Row],[Sales]]-tblSales[[#This Row],[Budget]]</f>
        <v>-377</v>
      </c>
      <c r="L1207" s="3">
        <f>(tblSales[[#This Row],[Sales]]-tblSales[[#This Row],[Budget]])/tblSales[[#This Row],[Budget]]</f>
        <v>-2.8556279351613392E-2</v>
      </c>
      <c r="M1207" s="2">
        <f>tblSales[[#This Row],[Sales]]/tblSales[[#This Row],[Transactions]]</f>
        <v>285</v>
      </c>
    </row>
    <row r="1208" spans="1:13" x14ac:dyDescent="0.25">
      <c r="A1208" s="1">
        <v>46083</v>
      </c>
      <c r="B1208" t="s">
        <v>15</v>
      </c>
      <c r="C1208" t="s">
        <v>22</v>
      </c>
      <c r="D1208" t="str">
        <f>_xlfn.XLOOKUP(tblSales[[#This Row],[Store ID]],tblStores[Store ID],tblStores[Store Name])</f>
        <v>Rosebank</v>
      </c>
      <c r="E1208" t="str">
        <f>_xlfn.XLOOKUP(tblSales[[#This Row],[Store ID]],tblStores[Store ID],tblStores[Province])</f>
        <v>Gauteng</v>
      </c>
      <c r="F1208" t="str">
        <f>_xlfn.XLOOKUP(tblSales[[#This Row],[Store ID]],tblStores[Store ID],tblStores[Manager])</f>
        <v>James Taylor</v>
      </c>
      <c r="G1208" t="str">
        <f>_xlfn.XLOOKUP(tblSales[[#This Row],[Category ID]],tblCategories[Category ID],tblCategories[Category])</f>
        <v>Kids</v>
      </c>
      <c r="H1208">
        <v>56280</v>
      </c>
      <c r="I1208">
        <v>63566</v>
      </c>
      <c r="J1208">
        <v>134</v>
      </c>
      <c r="K1208">
        <f>tblSales[[#This Row],[Sales]]-tblSales[[#This Row],[Budget]]</f>
        <v>-7286</v>
      </c>
      <c r="L1208" s="3">
        <f>(tblSales[[#This Row],[Sales]]-tblSales[[#This Row],[Budget]])/tblSales[[#This Row],[Budget]]</f>
        <v>-0.11462102381776422</v>
      </c>
      <c r="M1208" s="2">
        <f>tblSales[[#This Row],[Sales]]/tblSales[[#This Row],[Transactions]]</f>
        <v>420</v>
      </c>
    </row>
    <row r="1209" spans="1:13" x14ac:dyDescent="0.25">
      <c r="A1209" s="1">
        <v>46083</v>
      </c>
      <c r="B1209" t="s">
        <v>16</v>
      </c>
      <c r="C1209" t="s">
        <v>7</v>
      </c>
      <c r="D1209" t="str">
        <f>_xlfn.XLOOKUP(tblSales[[#This Row],[Store ID]],tblStores[Store ID],tblStores[Store Name])</f>
        <v>Pretoria</v>
      </c>
      <c r="E1209" t="str">
        <f>_xlfn.XLOOKUP(tblSales[[#This Row],[Store ID]],tblStores[Store ID],tblStores[Province])</f>
        <v>Gauteng</v>
      </c>
      <c r="F1209" t="str">
        <f>_xlfn.XLOOKUP(tblSales[[#This Row],[Store ID]],tblStores[Store ID],tblStores[Manager])</f>
        <v>Susan Clark</v>
      </c>
      <c r="G1209" t="str">
        <f>_xlfn.XLOOKUP(tblSales[[#This Row],[Category ID]],tblCategories[Category ID],tblCategories[Category])</f>
        <v>Menswear</v>
      </c>
      <c r="H1209">
        <v>23040</v>
      </c>
      <c r="I1209">
        <v>22602</v>
      </c>
      <c r="J1209">
        <v>45</v>
      </c>
      <c r="K1209">
        <f>tblSales[[#This Row],[Sales]]-tblSales[[#This Row],[Budget]]</f>
        <v>438</v>
      </c>
      <c r="L1209" s="3">
        <f>(tblSales[[#This Row],[Sales]]-tblSales[[#This Row],[Budget]])/tblSales[[#This Row],[Budget]]</f>
        <v>1.9378816033979295E-2</v>
      </c>
      <c r="M1209" s="2">
        <f>tblSales[[#This Row],[Sales]]/tblSales[[#This Row],[Transactions]]</f>
        <v>512</v>
      </c>
    </row>
    <row r="1210" spans="1:13" x14ac:dyDescent="0.25">
      <c r="A1210" s="1">
        <v>46083</v>
      </c>
      <c r="B1210" t="s">
        <v>17</v>
      </c>
      <c r="C1210" t="s">
        <v>19</v>
      </c>
      <c r="D1210" t="str">
        <f>_xlfn.XLOOKUP(tblSales[[#This Row],[Store ID]],tblStores[Store ID],tblStores[Store Name])</f>
        <v>Centurion</v>
      </c>
      <c r="E1210" t="str">
        <f>_xlfn.XLOOKUP(tblSales[[#This Row],[Store ID]],tblStores[Store ID],tblStores[Province])</f>
        <v>Gauteng</v>
      </c>
      <c r="F1210" t="str">
        <f>_xlfn.XLOOKUP(tblSales[[#This Row],[Store ID]],tblStores[Store ID],tblStores[Manager])</f>
        <v>Mark Wilson</v>
      </c>
      <c r="G1210" t="str">
        <f>_xlfn.XLOOKUP(tblSales[[#This Row],[Category ID]],tblCategories[Category ID],tblCategories[Category])</f>
        <v>Accessories</v>
      </c>
      <c r="H1210">
        <v>63040</v>
      </c>
      <c r="I1210">
        <v>69893</v>
      </c>
      <c r="J1210">
        <v>197</v>
      </c>
      <c r="K1210">
        <f>tblSales[[#This Row],[Sales]]-tblSales[[#This Row],[Budget]]</f>
        <v>-6853</v>
      </c>
      <c r="L1210" s="3">
        <f>(tblSales[[#This Row],[Sales]]-tblSales[[#This Row],[Budget]])/tblSales[[#This Row],[Budget]]</f>
        <v>-9.8049876239394498E-2</v>
      </c>
      <c r="M1210" s="2">
        <f>tblSales[[#This Row],[Sales]]/tblSales[[#This Row],[Transactions]]</f>
        <v>320</v>
      </c>
    </row>
    <row r="1211" spans="1:13" x14ac:dyDescent="0.25">
      <c r="A1211" s="1">
        <v>46083</v>
      </c>
      <c r="B1211" t="s">
        <v>18</v>
      </c>
      <c r="C1211" t="s">
        <v>22</v>
      </c>
      <c r="D1211" t="str">
        <f>_xlfn.XLOOKUP(tblSales[[#This Row],[Store ID]],tblStores[Store ID],tblStores[Store Name])</f>
        <v>East Rand</v>
      </c>
      <c r="E1211" t="str">
        <f>_xlfn.XLOOKUP(tblSales[[#This Row],[Store ID]],tblStores[Store ID],tblStores[Province])</f>
        <v>Gauteng</v>
      </c>
      <c r="F1211" t="str">
        <f>_xlfn.XLOOKUP(tblSales[[#This Row],[Store ID]],tblStores[Store ID],tblStores[Manager])</f>
        <v>Lisa Young</v>
      </c>
      <c r="G1211" t="str">
        <f>_xlfn.XLOOKUP(tblSales[[#This Row],[Category ID]],tblCategories[Category ID],tblCategories[Category])</f>
        <v>Kids</v>
      </c>
      <c r="H1211">
        <v>83814</v>
      </c>
      <c r="I1211">
        <v>87379</v>
      </c>
      <c r="J1211">
        <v>183</v>
      </c>
      <c r="K1211">
        <f>tblSales[[#This Row],[Sales]]-tblSales[[#This Row],[Budget]]</f>
        <v>-3565</v>
      </c>
      <c r="L1211" s="3">
        <f>(tblSales[[#This Row],[Sales]]-tblSales[[#This Row],[Budget]])/tblSales[[#This Row],[Budget]]</f>
        <v>-4.079927671408462E-2</v>
      </c>
      <c r="M1211" s="2">
        <f>tblSales[[#This Row],[Sales]]/tblSales[[#This Row],[Transactions]]</f>
        <v>458</v>
      </c>
    </row>
    <row r="1212" spans="1:13" x14ac:dyDescent="0.25">
      <c r="A1212" s="1">
        <v>46083</v>
      </c>
      <c r="B1212" t="s">
        <v>20</v>
      </c>
      <c r="C1212" t="s">
        <v>11</v>
      </c>
      <c r="D1212" t="str">
        <f>_xlfn.XLOOKUP(tblSales[[#This Row],[Store ID]],tblStores[Store ID],tblStores[Store Name])</f>
        <v>Cape Town CBD</v>
      </c>
      <c r="E1212" t="str">
        <f>_xlfn.XLOOKUP(tblSales[[#This Row],[Store ID]],tblStores[Store ID],tblStores[Province])</f>
        <v>Western Cape</v>
      </c>
      <c r="F1212" t="str">
        <f>_xlfn.XLOOKUP(tblSales[[#This Row],[Store ID]],tblStores[Store ID],tblStores[Manager])</f>
        <v>Brian Hall</v>
      </c>
      <c r="G1212" t="str">
        <f>_xlfn.XLOOKUP(tblSales[[#This Row],[Category ID]],tblCategories[Category ID],tblCategories[Category])</f>
        <v>Footwear</v>
      </c>
      <c r="H1212">
        <v>75346</v>
      </c>
      <c r="I1212">
        <v>74692</v>
      </c>
      <c r="J1212">
        <v>202</v>
      </c>
      <c r="K1212">
        <f>tblSales[[#This Row],[Sales]]-tblSales[[#This Row],[Budget]]</f>
        <v>654</v>
      </c>
      <c r="L1212" s="3">
        <f>(tblSales[[#This Row],[Sales]]-tblSales[[#This Row],[Budget]])/tblSales[[#This Row],[Budget]]</f>
        <v>8.7559578000321325E-3</v>
      </c>
      <c r="M1212" s="2">
        <f>tblSales[[#This Row],[Sales]]/tblSales[[#This Row],[Transactions]]</f>
        <v>373</v>
      </c>
    </row>
    <row r="1213" spans="1:13" x14ac:dyDescent="0.25">
      <c r="A1213" s="1">
        <v>46083</v>
      </c>
      <c r="B1213" t="s">
        <v>21</v>
      </c>
      <c r="C1213" t="s">
        <v>7</v>
      </c>
      <c r="D1213" t="str">
        <f>_xlfn.XLOOKUP(tblSales[[#This Row],[Store ID]],tblStores[Store ID],tblStores[Store Name])</f>
        <v>Canal Walk</v>
      </c>
      <c r="E1213" t="str">
        <f>_xlfn.XLOOKUP(tblSales[[#This Row],[Store ID]],tblStores[Store ID],tblStores[Province])</f>
        <v>Western Cape</v>
      </c>
      <c r="F1213" t="str">
        <f>_xlfn.XLOOKUP(tblSales[[#This Row],[Store ID]],tblStores[Store ID],tblStores[Manager])</f>
        <v>Megan Scott</v>
      </c>
      <c r="G1213" t="str">
        <f>_xlfn.XLOOKUP(tblSales[[#This Row],[Category ID]],tblCategories[Category ID],tblCategories[Category])</f>
        <v>Menswear</v>
      </c>
      <c r="H1213">
        <v>51436</v>
      </c>
      <c r="I1213">
        <v>51131</v>
      </c>
      <c r="J1213">
        <v>167</v>
      </c>
      <c r="K1213">
        <f>tblSales[[#This Row],[Sales]]-tblSales[[#This Row],[Budget]]</f>
        <v>305</v>
      </c>
      <c r="L1213" s="3">
        <f>(tblSales[[#This Row],[Sales]]-tblSales[[#This Row],[Budget]])/tblSales[[#This Row],[Budget]]</f>
        <v>5.9650701140208486E-3</v>
      </c>
      <c r="M1213" s="2">
        <f>tblSales[[#This Row],[Sales]]/tblSales[[#This Row],[Transactions]]</f>
        <v>308</v>
      </c>
    </row>
    <row r="1214" spans="1:13" x14ac:dyDescent="0.25">
      <c r="A1214" s="1">
        <v>46083</v>
      </c>
      <c r="B1214" t="s">
        <v>23</v>
      </c>
      <c r="C1214" t="s">
        <v>9</v>
      </c>
      <c r="D1214" t="str">
        <f>_xlfn.XLOOKUP(tblSales[[#This Row],[Store ID]],tblStores[Store ID],tblStores[Store Name])</f>
        <v>Stellenbosch</v>
      </c>
      <c r="E1214" t="str">
        <f>_xlfn.XLOOKUP(tblSales[[#This Row],[Store ID]],tblStores[Store ID],tblStores[Province])</f>
        <v>Western Cape</v>
      </c>
      <c r="F1214" t="str">
        <f>_xlfn.XLOOKUP(tblSales[[#This Row],[Store ID]],tblStores[Store ID],tblStores[Manager])</f>
        <v>Jason King</v>
      </c>
      <c r="G1214" t="str">
        <f>_xlfn.XLOOKUP(tblSales[[#This Row],[Category ID]],tblCategories[Category ID],tblCategories[Category])</f>
        <v>Ladieswear</v>
      </c>
      <c r="H1214">
        <v>64629</v>
      </c>
      <c r="I1214">
        <v>63867</v>
      </c>
      <c r="J1214">
        <v>167</v>
      </c>
      <c r="K1214">
        <f>tblSales[[#This Row],[Sales]]-tblSales[[#This Row],[Budget]]</f>
        <v>762</v>
      </c>
      <c r="L1214" s="3">
        <f>(tblSales[[#This Row],[Sales]]-tblSales[[#This Row],[Budget]])/tblSales[[#This Row],[Budget]]</f>
        <v>1.1931044201230683E-2</v>
      </c>
      <c r="M1214" s="2">
        <f>tblSales[[#This Row],[Sales]]/tblSales[[#This Row],[Transactions]]</f>
        <v>387</v>
      </c>
    </row>
    <row r="1215" spans="1:13" x14ac:dyDescent="0.25">
      <c r="A1215" s="1">
        <v>46083</v>
      </c>
      <c r="B1215" t="s">
        <v>24</v>
      </c>
      <c r="C1215" t="s">
        <v>22</v>
      </c>
      <c r="D1215" t="str">
        <f>_xlfn.XLOOKUP(tblSales[[#This Row],[Store ID]],tblStores[Store ID],tblStores[Store Name])</f>
        <v>George</v>
      </c>
      <c r="E1215" t="str">
        <f>_xlfn.XLOOKUP(tblSales[[#This Row],[Store ID]],tblStores[Store ID],tblStores[Province])</f>
        <v>Western Cape</v>
      </c>
      <c r="F1215" t="str">
        <f>_xlfn.XLOOKUP(tblSales[[#This Row],[Store ID]],tblStores[Store ID],tblStores[Manager])</f>
        <v>Chloe Hill</v>
      </c>
      <c r="G1215" t="str">
        <f>_xlfn.XLOOKUP(tblSales[[#This Row],[Category ID]],tblCategories[Category ID],tblCategories[Category])</f>
        <v>Kids</v>
      </c>
      <c r="H1215">
        <v>67734</v>
      </c>
      <c r="I1215">
        <v>75983</v>
      </c>
      <c r="J1215">
        <v>159</v>
      </c>
      <c r="K1215">
        <f>tblSales[[#This Row],[Sales]]-tblSales[[#This Row],[Budget]]</f>
        <v>-8249</v>
      </c>
      <c r="L1215" s="3">
        <f>(tblSales[[#This Row],[Sales]]-tblSales[[#This Row],[Budget]])/tblSales[[#This Row],[Budget]]</f>
        <v>-0.10856375768263954</v>
      </c>
      <c r="M1215" s="2">
        <f>tblSales[[#This Row],[Sales]]/tblSales[[#This Row],[Transactions]]</f>
        <v>426</v>
      </c>
    </row>
    <row r="1216" spans="1:13" x14ac:dyDescent="0.25">
      <c r="A1216" s="1">
        <v>46083</v>
      </c>
      <c r="B1216" t="s">
        <v>25</v>
      </c>
      <c r="C1216" t="s">
        <v>7</v>
      </c>
      <c r="D1216" t="str">
        <f>_xlfn.XLOOKUP(tblSales[[#This Row],[Store ID]],tblStores[Store ID],tblStores[Store Name])</f>
        <v>Paarl</v>
      </c>
      <c r="E1216" t="str">
        <f>_xlfn.XLOOKUP(tblSales[[#This Row],[Store ID]],tblStores[Store ID],tblStores[Province])</f>
        <v>Western Cape</v>
      </c>
      <c r="F1216" t="str">
        <f>_xlfn.XLOOKUP(tblSales[[#This Row],[Store ID]],tblStores[Store ID],tblStores[Manager])</f>
        <v>Andrew Lee</v>
      </c>
      <c r="G1216" t="str">
        <f>_xlfn.XLOOKUP(tblSales[[#This Row],[Category ID]],tblCategories[Category ID],tblCategories[Category])</f>
        <v>Menswear</v>
      </c>
      <c r="H1216">
        <v>40913</v>
      </c>
      <c r="I1216">
        <v>41321</v>
      </c>
      <c r="J1216">
        <v>163</v>
      </c>
      <c r="K1216">
        <f>tblSales[[#This Row],[Sales]]-tblSales[[#This Row],[Budget]]</f>
        <v>-408</v>
      </c>
      <c r="L1216" s="3">
        <f>(tblSales[[#This Row],[Sales]]-tblSales[[#This Row],[Budget]])/tblSales[[#This Row],[Budget]]</f>
        <v>-9.8739139904648974E-3</v>
      </c>
      <c r="M1216" s="2">
        <f>tblSales[[#This Row],[Sales]]/tblSales[[#This Row],[Transactions]]</f>
        <v>251</v>
      </c>
    </row>
    <row r="1217" spans="1:13" x14ac:dyDescent="0.25">
      <c r="A1217" s="1">
        <v>46083</v>
      </c>
      <c r="B1217" t="s">
        <v>26</v>
      </c>
      <c r="C1217" t="s">
        <v>9</v>
      </c>
      <c r="D1217" t="str">
        <f>_xlfn.XLOOKUP(tblSales[[#This Row],[Store ID]],tblStores[Store ID],tblStores[Store Name])</f>
        <v>Gqeberha</v>
      </c>
      <c r="E1217" t="str">
        <f>_xlfn.XLOOKUP(tblSales[[#This Row],[Store ID]],tblStores[Store ID],tblStores[Province])</f>
        <v>Eastern Cape</v>
      </c>
      <c r="F1217" t="str">
        <f>_xlfn.XLOOKUP(tblSales[[#This Row],[Store ID]],tblStores[Store ID],tblStores[Manager])</f>
        <v>Emma Baker</v>
      </c>
      <c r="G1217" t="str">
        <f>_xlfn.XLOOKUP(tblSales[[#This Row],[Category ID]],tblCategories[Category ID],tblCategories[Category])</f>
        <v>Ladieswear</v>
      </c>
      <c r="H1217">
        <v>23922</v>
      </c>
      <c r="I1217">
        <v>25378</v>
      </c>
      <c r="J1217">
        <v>54</v>
      </c>
      <c r="K1217">
        <f>tblSales[[#This Row],[Sales]]-tblSales[[#This Row],[Budget]]</f>
        <v>-1456</v>
      </c>
      <c r="L1217" s="3">
        <f>(tblSales[[#This Row],[Sales]]-tblSales[[#This Row],[Budget]])/tblSales[[#This Row],[Budget]]</f>
        <v>-5.7372527385924819E-2</v>
      </c>
      <c r="M1217" s="2">
        <f>tblSales[[#This Row],[Sales]]/tblSales[[#This Row],[Transactions]]</f>
        <v>443</v>
      </c>
    </row>
    <row r="1218" spans="1:13" x14ac:dyDescent="0.25">
      <c r="A1218" s="1">
        <v>46083</v>
      </c>
      <c r="B1218" t="s">
        <v>27</v>
      </c>
      <c r="C1218" t="s">
        <v>9</v>
      </c>
      <c r="D1218" t="str">
        <f>_xlfn.XLOOKUP(tblSales[[#This Row],[Store ID]],tblStores[Store ID],tblStores[Store Name])</f>
        <v>East London</v>
      </c>
      <c r="E1218" t="str">
        <f>_xlfn.XLOOKUP(tblSales[[#This Row],[Store ID]],tblStores[Store ID],tblStores[Province])</f>
        <v>Eastern Cape</v>
      </c>
      <c r="F1218" t="str">
        <f>_xlfn.XLOOKUP(tblSales[[#This Row],[Store ID]],tblStores[Store ID],tblStores[Manager])</f>
        <v>Daniel Evans</v>
      </c>
      <c r="G1218" t="str">
        <f>_xlfn.XLOOKUP(tblSales[[#This Row],[Category ID]],tblCategories[Category ID],tblCategories[Category])</f>
        <v>Ladieswear</v>
      </c>
      <c r="H1218">
        <v>20075</v>
      </c>
      <c r="I1218">
        <v>18857</v>
      </c>
      <c r="J1218">
        <v>73</v>
      </c>
      <c r="K1218">
        <f>tblSales[[#This Row],[Sales]]-tblSales[[#This Row],[Budget]]</f>
        <v>1218</v>
      </c>
      <c r="L1218" s="3">
        <f>(tblSales[[#This Row],[Sales]]-tblSales[[#This Row],[Budget]])/tblSales[[#This Row],[Budget]]</f>
        <v>6.4591398419685003E-2</v>
      </c>
      <c r="M1218" s="2">
        <f>tblSales[[#This Row],[Sales]]/tblSales[[#This Row],[Transactions]]</f>
        <v>275</v>
      </c>
    </row>
    <row r="1219" spans="1:13" x14ac:dyDescent="0.25">
      <c r="A1219" s="1">
        <v>46083</v>
      </c>
      <c r="B1219" t="s">
        <v>28</v>
      </c>
      <c r="C1219" t="s">
        <v>19</v>
      </c>
      <c r="D1219" t="str">
        <f>_xlfn.XLOOKUP(tblSales[[#This Row],[Store ID]],tblStores[Store ID],tblStores[Store Name])</f>
        <v>Bloemfontein</v>
      </c>
      <c r="E1219" t="str">
        <f>_xlfn.XLOOKUP(tblSales[[#This Row],[Store ID]],tblStores[Store ID],tblStores[Province])</f>
        <v>Free State</v>
      </c>
      <c r="F1219" t="str">
        <f>_xlfn.XLOOKUP(tblSales[[#This Row],[Store ID]],tblStores[Store ID],tblStores[Manager])</f>
        <v>Rachel Moore</v>
      </c>
      <c r="G1219" t="str">
        <f>_xlfn.XLOOKUP(tblSales[[#This Row],[Category ID]],tblCategories[Category ID],tblCategories[Category])</f>
        <v>Accessories</v>
      </c>
      <c r="H1219">
        <v>52320</v>
      </c>
      <c r="I1219">
        <v>55735</v>
      </c>
      <c r="J1219">
        <v>218</v>
      </c>
      <c r="K1219">
        <f>tblSales[[#This Row],[Sales]]-tblSales[[#This Row],[Budget]]</f>
        <v>-3415</v>
      </c>
      <c r="L1219" s="3">
        <f>(tblSales[[#This Row],[Sales]]-tblSales[[#This Row],[Budget]])/tblSales[[#This Row],[Budget]]</f>
        <v>-6.1272091145599714E-2</v>
      </c>
      <c r="M1219" s="2">
        <f>tblSales[[#This Row],[Sales]]/tblSales[[#This Row],[Transactions]]</f>
        <v>240</v>
      </c>
    </row>
    <row r="1220" spans="1:13" x14ac:dyDescent="0.25">
      <c r="A1220" s="1">
        <v>46083</v>
      </c>
      <c r="B1220" t="s">
        <v>29</v>
      </c>
      <c r="C1220" t="s">
        <v>11</v>
      </c>
      <c r="D1220" t="str">
        <f>_xlfn.XLOOKUP(tblSales[[#This Row],[Store ID]],tblStores[Store ID],tblStores[Store Name])</f>
        <v>Polokwane</v>
      </c>
      <c r="E1220" t="str">
        <f>_xlfn.XLOOKUP(tblSales[[#This Row],[Store ID]],tblStores[Store ID],tblStores[Province])</f>
        <v>Limpopo</v>
      </c>
      <c r="F1220" t="str">
        <f>_xlfn.XLOOKUP(tblSales[[#This Row],[Store ID]],tblStores[Store ID],tblStores[Manager])</f>
        <v>Kevin Harris</v>
      </c>
      <c r="G1220" t="str">
        <f>_xlfn.XLOOKUP(tblSales[[#This Row],[Category ID]],tblCategories[Category ID],tblCategories[Category])</f>
        <v>Footwear</v>
      </c>
      <c r="H1220">
        <v>28322</v>
      </c>
      <c r="I1220">
        <v>28899</v>
      </c>
      <c r="J1220">
        <v>119</v>
      </c>
      <c r="K1220">
        <f>tblSales[[#This Row],[Sales]]-tblSales[[#This Row],[Budget]]</f>
        <v>-577</v>
      </c>
      <c r="L1220" s="3">
        <f>(tblSales[[#This Row],[Sales]]-tblSales[[#This Row],[Budget]])/tblSales[[#This Row],[Budget]]</f>
        <v>-1.9966088791999723E-2</v>
      </c>
      <c r="M1220" s="2">
        <f>tblSales[[#This Row],[Sales]]/tblSales[[#This Row],[Transactions]]</f>
        <v>238</v>
      </c>
    </row>
    <row r="1221" spans="1:13" x14ac:dyDescent="0.25">
      <c r="A1221" s="1">
        <v>46083</v>
      </c>
      <c r="B1221" t="s">
        <v>30</v>
      </c>
      <c r="C1221" t="s">
        <v>11</v>
      </c>
      <c r="D1221" t="str">
        <f>_xlfn.XLOOKUP(tblSales[[#This Row],[Store ID]],tblStores[Store ID],tblStores[Store Name])</f>
        <v>Nelspruit</v>
      </c>
      <c r="E1221" t="str">
        <f>_xlfn.XLOOKUP(tblSales[[#This Row],[Store ID]],tblStores[Store ID],tblStores[Province])</f>
        <v>Mpumalanga</v>
      </c>
      <c r="F1221" t="str">
        <f>_xlfn.XLOOKUP(tblSales[[#This Row],[Store ID]],tblStores[Store ID],tblStores[Manager])</f>
        <v>Olivia Turner</v>
      </c>
      <c r="G1221" t="str">
        <f>_xlfn.XLOOKUP(tblSales[[#This Row],[Category ID]],tblCategories[Category ID],tblCategories[Category])</f>
        <v>Footwear</v>
      </c>
      <c r="H1221">
        <v>45059</v>
      </c>
      <c r="I1221">
        <v>47208</v>
      </c>
      <c r="J1221">
        <v>157</v>
      </c>
      <c r="K1221">
        <f>tblSales[[#This Row],[Sales]]-tblSales[[#This Row],[Budget]]</f>
        <v>-2149</v>
      </c>
      <c r="L1221" s="3">
        <f>(tblSales[[#This Row],[Sales]]-tblSales[[#This Row],[Budget]])/tblSales[[#This Row],[Budget]]</f>
        <v>-4.5521945432977461E-2</v>
      </c>
      <c r="M1221" s="2">
        <f>tblSales[[#This Row],[Sales]]/tblSales[[#This Row],[Transactions]]</f>
        <v>287</v>
      </c>
    </row>
    <row r="1222" spans="1:13" x14ac:dyDescent="0.25">
      <c r="A1222" s="1">
        <v>46084</v>
      </c>
      <c r="B1222" t="s">
        <v>6</v>
      </c>
      <c r="C1222" t="s">
        <v>11</v>
      </c>
      <c r="D1222" t="str">
        <f>_xlfn.XLOOKUP(tblSales[[#This Row],[Store ID]],tblStores[Store ID],tblStores[Store Name])</f>
        <v>Durban CBD</v>
      </c>
      <c r="E1222" t="str">
        <f>_xlfn.XLOOKUP(tblSales[[#This Row],[Store ID]],tblStores[Store ID],tblStores[Province])</f>
        <v>KZN</v>
      </c>
      <c r="F1222" t="str">
        <f>_xlfn.XLOOKUP(tblSales[[#This Row],[Store ID]],tblStores[Store ID],tblStores[Manager])</f>
        <v>Sarah Adams</v>
      </c>
      <c r="G1222" t="str">
        <f>_xlfn.XLOOKUP(tblSales[[#This Row],[Category ID]],tblCategories[Category ID],tblCategories[Category])</f>
        <v>Footwear</v>
      </c>
      <c r="H1222">
        <v>12160</v>
      </c>
      <c r="I1222">
        <v>11075</v>
      </c>
      <c r="J1222">
        <v>40</v>
      </c>
      <c r="K1222">
        <f>tblSales[[#This Row],[Sales]]-tblSales[[#This Row],[Budget]]</f>
        <v>1085</v>
      </c>
      <c r="L1222" s="3">
        <f>(tblSales[[#This Row],[Sales]]-tblSales[[#This Row],[Budget]])/tblSales[[#This Row],[Budget]]</f>
        <v>9.7968397291196385E-2</v>
      </c>
      <c r="M1222" s="2">
        <f>tblSales[[#This Row],[Sales]]/tblSales[[#This Row],[Transactions]]</f>
        <v>304</v>
      </c>
    </row>
    <row r="1223" spans="1:13" x14ac:dyDescent="0.25">
      <c r="A1223" s="1">
        <v>46084</v>
      </c>
      <c r="B1223" t="s">
        <v>8</v>
      </c>
      <c r="C1223" t="s">
        <v>19</v>
      </c>
      <c r="D1223" t="str">
        <f>_xlfn.XLOOKUP(tblSales[[#This Row],[Store ID]],tblStores[Store ID],tblStores[Store Name])</f>
        <v>Gateway</v>
      </c>
      <c r="E1223" t="str">
        <f>_xlfn.XLOOKUP(tblSales[[#This Row],[Store ID]],tblStores[Store ID],tblStores[Province])</f>
        <v>KZN</v>
      </c>
      <c r="F1223" t="str">
        <f>_xlfn.XLOOKUP(tblSales[[#This Row],[Store ID]],tblStores[Store ID],tblStores[Manager])</f>
        <v>Michael Jones</v>
      </c>
      <c r="G1223" t="str">
        <f>_xlfn.XLOOKUP(tblSales[[#This Row],[Category ID]],tblCategories[Category ID],tblCategories[Category])</f>
        <v>Accessories</v>
      </c>
      <c r="H1223">
        <v>48732</v>
      </c>
      <c r="I1223">
        <v>45500</v>
      </c>
      <c r="J1223">
        <v>186</v>
      </c>
      <c r="K1223">
        <f>tblSales[[#This Row],[Sales]]-tblSales[[#This Row],[Budget]]</f>
        <v>3232</v>
      </c>
      <c r="L1223" s="3">
        <f>(tblSales[[#This Row],[Sales]]-tblSales[[#This Row],[Budget]])/tblSales[[#This Row],[Budget]]</f>
        <v>7.1032967032967034E-2</v>
      </c>
      <c r="M1223" s="2">
        <f>tblSales[[#This Row],[Sales]]/tblSales[[#This Row],[Transactions]]</f>
        <v>262</v>
      </c>
    </row>
    <row r="1224" spans="1:13" x14ac:dyDescent="0.25">
      <c r="A1224" s="1">
        <v>46084</v>
      </c>
      <c r="B1224" t="s">
        <v>10</v>
      </c>
      <c r="C1224" t="s">
        <v>19</v>
      </c>
      <c r="D1224" t="str">
        <f>_xlfn.XLOOKUP(tblSales[[#This Row],[Store ID]],tblStores[Store ID],tblStores[Store Name])</f>
        <v>Ballito</v>
      </c>
      <c r="E1224" t="str">
        <f>_xlfn.XLOOKUP(tblSales[[#This Row],[Store ID]],tblStores[Store ID],tblStores[Province])</f>
        <v>KZN</v>
      </c>
      <c r="F1224" t="str">
        <f>_xlfn.XLOOKUP(tblSales[[#This Row],[Store ID]],tblStores[Store ID],tblStores[Manager])</f>
        <v>Linda Smith</v>
      </c>
      <c r="G1224" t="str">
        <f>_xlfn.XLOOKUP(tblSales[[#This Row],[Category ID]],tblCategories[Category ID],tblCategories[Category])</f>
        <v>Accessories</v>
      </c>
      <c r="H1224">
        <v>21285</v>
      </c>
      <c r="I1224">
        <v>19938</v>
      </c>
      <c r="J1224">
        <v>45</v>
      </c>
      <c r="K1224">
        <f>tblSales[[#This Row],[Sales]]-tblSales[[#This Row],[Budget]]</f>
        <v>1347</v>
      </c>
      <c r="L1224" s="3">
        <f>(tblSales[[#This Row],[Sales]]-tblSales[[#This Row],[Budget]])/tblSales[[#This Row],[Budget]]</f>
        <v>6.7559434246163105E-2</v>
      </c>
      <c r="M1224" s="2">
        <f>tblSales[[#This Row],[Sales]]/tblSales[[#This Row],[Transactions]]</f>
        <v>473</v>
      </c>
    </row>
    <row r="1225" spans="1:13" x14ac:dyDescent="0.25">
      <c r="A1225" s="1">
        <v>46084</v>
      </c>
      <c r="B1225" t="s">
        <v>12</v>
      </c>
      <c r="C1225" t="s">
        <v>9</v>
      </c>
      <c r="D1225" t="str">
        <f>_xlfn.XLOOKUP(tblSales[[#This Row],[Store ID]],tblStores[Store ID],tblStores[Store Name])</f>
        <v>Pietermaritzburg</v>
      </c>
      <c r="E1225" t="str">
        <f>_xlfn.XLOOKUP(tblSales[[#This Row],[Store ID]],tblStores[Store ID],tblStores[Province])</f>
        <v>KZN</v>
      </c>
      <c r="F1225" t="str">
        <f>_xlfn.XLOOKUP(tblSales[[#This Row],[Store ID]],tblStores[Store ID],tblStores[Manager])</f>
        <v>Peter Brown</v>
      </c>
      <c r="G1225" t="str">
        <f>_xlfn.XLOOKUP(tblSales[[#This Row],[Category ID]],tblCategories[Category ID],tblCategories[Category])</f>
        <v>Ladieswear</v>
      </c>
      <c r="H1225">
        <v>27472</v>
      </c>
      <c r="I1225">
        <v>28273</v>
      </c>
      <c r="J1225">
        <v>101</v>
      </c>
      <c r="K1225">
        <f>tblSales[[#This Row],[Sales]]-tblSales[[#This Row],[Budget]]</f>
        <v>-801</v>
      </c>
      <c r="L1225" s="3">
        <f>(tblSales[[#This Row],[Sales]]-tblSales[[#This Row],[Budget]])/tblSales[[#This Row],[Budget]]</f>
        <v>-2.8330916422028084E-2</v>
      </c>
      <c r="M1225" s="2">
        <f>tblSales[[#This Row],[Sales]]/tblSales[[#This Row],[Transactions]]</f>
        <v>272</v>
      </c>
    </row>
    <row r="1226" spans="1:13" x14ac:dyDescent="0.25">
      <c r="A1226" s="1">
        <v>46084</v>
      </c>
      <c r="B1226" t="s">
        <v>13</v>
      </c>
      <c r="C1226" t="s">
        <v>11</v>
      </c>
      <c r="D1226" t="str">
        <f>_xlfn.XLOOKUP(tblSales[[#This Row],[Store ID]],tblStores[Store ID],tblStores[Store Name])</f>
        <v>Richards Bay</v>
      </c>
      <c r="E1226" t="str">
        <f>_xlfn.XLOOKUP(tblSales[[#This Row],[Store ID]],tblStores[Store ID],tblStores[Province])</f>
        <v>KZN</v>
      </c>
      <c r="F1226" t="str">
        <f>_xlfn.XLOOKUP(tblSales[[#This Row],[Store ID]],tblStores[Store ID],tblStores[Manager])</f>
        <v>David Green</v>
      </c>
      <c r="G1226" t="str">
        <f>_xlfn.XLOOKUP(tblSales[[#This Row],[Category ID]],tblCategories[Category ID],tblCategories[Category])</f>
        <v>Footwear</v>
      </c>
      <c r="H1226">
        <v>87984</v>
      </c>
      <c r="I1226">
        <v>93210</v>
      </c>
      <c r="J1226">
        <v>188</v>
      </c>
      <c r="K1226">
        <f>tblSales[[#This Row],[Sales]]-tblSales[[#This Row],[Budget]]</f>
        <v>-5226</v>
      </c>
      <c r="L1226" s="3">
        <f>(tblSales[[#This Row],[Sales]]-tblSales[[#This Row],[Budget]])/tblSales[[#This Row],[Budget]]</f>
        <v>-5.6066945606694563E-2</v>
      </c>
      <c r="M1226" s="2">
        <f>tblSales[[#This Row],[Sales]]/tblSales[[#This Row],[Transactions]]</f>
        <v>468</v>
      </c>
    </row>
    <row r="1227" spans="1:13" x14ac:dyDescent="0.25">
      <c r="A1227" s="1">
        <v>46084</v>
      </c>
      <c r="B1227" t="s">
        <v>14</v>
      </c>
      <c r="C1227" t="s">
        <v>22</v>
      </c>
      <c r="D1227" t="str">
        <f>_xlfn.XLOOKUP(tblSales[[#This Row],[Store ID]],tblStores[Store ID],tblStores[Store Name])</f>
        <v>Sandton</v>
      </c>
      <c r="E1227" t="str">
        <f>_xlfn.XLOOKUP(tblSales[[#This Row],[Store ID]],tblStores[Store ID],tblStores[Province])</f>
        <v>Gauteng</v>
      </c>
      <c r="F1227" t="str">
        <f>_xlfn.XLOOKUP(tblSales[[#This Row],[Store ID]],tblStores[Store ID],tblStores[Manager])</f>
        <v>Karen White</v>
      </c>
      <c r="G1227" t="str">
        <f>_xlfn.XLOOKUP(tblSales[[#This Row],[Category ID]],tblCategories[Category ID],tblCategories[Category])</f>
        <v>Kids</v>
      </c>
      <c r="H1227">
        <v>16240</v>
      </c>
      <c r="I1227">
        <v>16439</v>
      </c>
      <c r="J1227">
        <v>56</v>
      </c>
      <c r="K1227">
        <f>tblSales[[#This Row],[Sales]]-tblSales[[#This Row],[Budget]]</f>
        <v>-199</v>
      </c>
      <c r="L1227" s="3">
        <f>(tblSales[[#This Row],[Sales]]-tblSales[[#This Row],[Budget]])/tblSales[[#This Row],[Budget]]</f>
        <v>-1.2105359206764402E-2</v>
      </c>
      <c r="M1227" s="2">
        <f>tblSales[[#This Row],[Sales]]/tblSales[[#This Row],[Transactions]]</f>
        <v>290</v>
      </c>
    </row>
    <row r="1228" spans="1:13" x14ac:dyDescent="0.25">
      <c r="A1228" s="1">
        <v>46084</v>
      </c>
      <c r="B1228" t="s">
        <v>15</v>
      </c>
      <c r="C1228" t="s">
        <v>11</v>
      </c>
      <c r="D1228" t="str">
        <f>_xlfn.XLOOKUP(tblSales[[#This Row],[Store ID]],tblStores[Store ID],tblStores[Store Name])</f>
        <v>Rosebank</v>
      </c>
      <c r="E1228" t="str">
        <f>_xlfn.XLOOKUP(tblSales[[#This Row],[Store ID]],tblStores[Store ID],tblStores[Province])</f>
        <v>Gauteng</v>
      </c>
      <c r="F1228" t="str">
        <f>_xlfn.XLOOKUP(tblSales[[#This Row],[Store ID]],tblStores[Store ID],tblStores[Manager])</f>
        <v>James Taylor</v>
      </c>
      <c r="G1228" t="str">
        <f>_xlfn.XLOOKUP(tblSales[[#This Row],[Category ID]],tblCategories[Category ID],tblCategories[Category])</f>
        <v>Footwear</v>
      </c>
      <c r="H1228">
        <v>42186</v>
      </c>
      <c r="I1228">
        <v>40280</v>
      </c>
      <c r="J1228">
        <v>158</v>
      </c>
      <c r="K1228">
        <f>tblSales[[#This Row],[Sales]]-tblSales[[#This Row],[Budget]]</f>
        <v>1906</v>
      </c>
      <c r="L1228" s="3">
        <f>(tblSales[[#This Row],[Sales]]-tblSales[[#This Row],[Budget]])/tblSales[[#This Row],[Budget]]</f>
        <v>4.731876861966236E-2</v>
      </c>
      <c r="M1228" s="2">
        <f>tblSales[[#This Row],[Sales]]/tblSales[[#This Row],[Transactions]]</f>
        <v>267</v>
      </c>
    </row>
    <row r="1229" spans="1:13" x14ac:dyDescent="0.25">
      <c r="A1229" s="1">
        <v>46084</v>
      </c>
      <c r="B1229" t="s">
        <v>16</v>
      </c>
      <c r="C1229" t="s">
        <v>11</v>
      </c>
      <c r="D1229" t="str">
        <f>_xlfn.XLOOKUP(tblSales[[#This Row],[Store ID]],tblStores[Store ID],tblStores[Store Name])</f>
        <v>Pretoria</v>
      </c>
      <c r="E1229" t="str">
        <f>_xlfn.XLOOKUP(tblSales[[#This Row],[Store ID]],tblStores[Store ID],tblStores[Province])</f>
        <v>Gauteng</v>
      </c>
      <c r="F1229" t="str">
        <f>_xlfn.XLOOKUP(tblSales[[#This Row],[Store ID]],tblStores[Store ID],tblStores[Manager])</f>
        <v>Susan Clark</v>
      </c>
      <c r="G1229" t="str">
        <f>_xlfn.XLOOKUP(tblSales[[#This Row],[Category ID]],tblCategories[Category ID],tblCategories[Category])</f>
        <v>Footwear</v>
      </c>
      <c r="H1229">
        <v>47564</v>
      </c>
      <c r="I1229">
        <v>52256</v>
      </c>
      <c r="J1229">
        <v>188</v>
      </c>
      <c r="K1229">
        <f>tblSales[[#This Row],[Sales]]-tblSales[[#This Row],[Budget]]</f>
        <v>-4692</v>
      </c>
      <c r="L1229" s="3">
        <f>(tblSales[[#This Row],[Sales]]-tblSales[[#This Row],[Budget]])/tblSales[[#This Row],[Budget]]</f>
        <v>-8.9788732394366202E-2</v>
      </c>
      <c r="M1229" s="2">
        <f>tblSales[[#This Row],[Sales]]/tblSales[[#This Row],[Transactions]]</f>
        <v>253</v>
      </c>
    </row>
    <row r="1230" spans="1:13" x14ac:dyDescent="0.25">
      <c r="A1230" s="1">
        <v>46084</v>
      </c>
      <c r="B1230" t="s">
        <v>17</v>
      </c>
      <c r="C1230" t="s">
        <v>9</v>
      </c>
      <c r="D1230" t="str">
        <f>_xlfn.XLOOKUP(tblSales[[#This Row],[Store ID]],tblStores[Store ID],tblStores[Store Name])</f>
        <v>Centurion</v>
      </c>
      <c r="E1230" t="str">
        <f>_xlfn.XLOOKUP(tblSales[[#This Row],[Store ID]],tblStores[Store ID],tblStores[Province])</f>
        <v>Gauteng</v>
      </c>
      <c r="F1230" t="str">
        <f>_xlfn.XLOOKUP(tblSales[[#This Row],[Store ID]],tblStores[Store ID],tblStores[Manager])</f>
        <v>Mark Wilson</v>
      </c>
      <c r="G1230" t="str">
        <f>_xlfn.XLOOKUP(tblSales[[#This Row],[Category ID]],tblCategories[Category ID],tblCategories[Category])</f>
        <v>Ladieswear</v>
      </c>
      <c r="H1230">
        <v>100298</v>
      </c>
      <c r="I1230">
        <v>103076</v>
      </c>
      <c r="J1230">
        <v>194</v>
      </c>
      <c r="K1230">
        <f>tblSales[[#This Row],[Sales]]-tblSales[[#This Row],[Budget]]</f>
        <v>-2778</v>
      </c>
      <c r="L1230" s="3">
        <f>(tblSales[[#This Row],[Sales]]-tblSales[[#This Row],[Budget]])/tblSales[[#This Row],[Budget]]</f>
        <v>-2.6950987620784662E-2</v>
      </c>
      <c r="M1230" s="2">
        <f>tblSales[[#This Row],[Sales]]/tblSales[[#This Row],[Transactions]]</f>
        <v>517</v>
      </c>
    </row>
    <row r="1231" spans="1:13" x14ac:dyDescent="0.25">
      <c r="A1231" s="1">
        <v>46084</v>
      </c>
      <c r="B1231" t="s">
        <v>18</v>
      </c>
      <c r="C1231" t="s">
        <v>9</v>
      </c>
      <c r="D1231" t="str">
        <f>_xlfn.XLOOKUP(tblSales[[#This Row],[Store ID]],tblStores[Store ID],tblStores[Store Name])</f>
        <v>East Rand</v>
      </c>
      <c r="E1231" t="str">
        <f>_xlfn.XLOOKUP(tblSales[[#This Row],[Store ID]],tblStores[Store ID],tblStores[Province])</f>
        <v>Gauteng</v>
      </c>
      <c r="F1231" t="str">
        <f>_xlfn.XLOOKUP(tblSales[[#This Row],[Store ID]],tblStores[Store ID],tblStores[Manager])</f>
        <v>Lisa Young</v>
      </c>
      <c r="G1231" t="str">
        <f>_xlfn.XLOOKUP(tblSales[[#This Row],[Category ID]],tblCategories[Category ID],tblCategories[Category])</f>
        <v>Ladieswear</v>
      </c>
      <c r="H1231">
        <v>78100</v>
      </c>
      <c r="I1231">
        <v>88298</v>
      </c>
      <c r="J1231">
        <v>220</v>
      </c>
      <c r="K1231">
        <f>tblSales[[#This Row],[Sales]]-tblSales[[#This Row],[Budget]]</f>
        <v>-10198</v>
      </c>
      <c r="L1231" s="3">
        <f>(tblSales[[#This Row],[Sales]]-tblSales[[#This Row],[Budget]])/tblSales[[#This Row],[Budget]]</f>
        <v>-0.11549525470565584</v>
      </c>
      <c r="M1231" s="2">
        <f>tblSales[[#This Row],[Sales]]/tblSales[[#This Row],[Transactions]]</f>
        <v>355</v>
      </c>
    </row>
    <row r="1232" spans="1:13" x14ac:dyDescent="0.25">
      <c r="A1232" s="1">
        <v>46084</v>
      </c>
      <c r="B1232" t="s">
        <v>20</v>
      </c>
      <c r="C1232" t="s">
        <v>19</v>
      </c>
      <c r="D1232" t="str">
        <f>_xlfn.XLOOKUP(tblSales[[#This Row],[Store ID]],tblStores[Store ID],tblStores[Store Name])</f>
        <v>Cape Town CBD</v>
      </c>
      <c r="E1232" t="str">
        <f>_xlfn.XLOOKUP(tblSales[[#This Row],[Store ID]],tblStores[Store ID],tblStores[Province])</f>
        <v>Western Cape</v>
      </c>
      <c r="F1232" t="str">
        <f>_xlfn.XLOOKUP(tblSales[[#This Row],[Store ID]],tblStores[Store ID],tblStores[Manager])</f>
        <v>Brian Hall</v>
      </c>
      <c r="G1232" t="str">
        <f>_xlfn.XLOOKUP(tblSales[[#This Row],[Category ID]],tblCategories[Category ID],tblCategories[Category])</f>
        <v>Accessories</v>
      </c>
      <c r="H1232">
        <v>39990</v>
      </c>
      <c r="I1232">
        <v>38288</v>
      </c>
      <c r="J1232">
        <v>186</v>
      </c>
      <c r="K1232">
        <f>tblSales[[#This Row],[Sales]]-tblSales[[#This Row],[Budget]]</f>
        <v>1702</v>
      </c>
      <c r="L1232" s="3">
        <f>(tblSales[[#This Row],[Sales]]-tblSales[[#This Row],[Budget]])/tblSales[[#This Row],[Budget]]</f>
        <v>4.4452569995821145E-2</v>
      </c>
      <c r="M1232" s="2">
        <f>tblSales[[#This Row],[Sales]]/tblSales[[#This Row],[Transactions]]</f>
        <v>215</v>
      </c>
    </row>
    <row r="1233" spans="1:13" x14ac:dyDescent="0.25">
      <c r="A1233" s="1">
        <v>46084</v>
      </c>
      <c r="B1233" t="s">
        <v>21</v>
      </c>
      <c r="C1233" t="s">
        <v>11</v>
      </c>
      <c r="D1233" t="str">
        <f>_xlfn.XLOOKUP(tblSales[[#This Row],[Store ID]],tblStores[Store ID],tblStores[Store Name])</f>
        <v>Canal Walk</v>
      </c>
      <c r="E1233" t="str">
        <f>_xlfn.XLOOKUP(tblSales[[#This Row],[Store ID]],tblStores[Store ID],tblStores[Province])</f>
        <v>Western Cape</v>
      </c>
      <c r="F1233" t="str">
        <f>_xlfn.XLOOKUP(tblSales[[#This Row],[Store ID]],tblStores[Store ID],tblStores[Manager])</f>
        <v>Megan Scott</v>
      </c>
      <c r="G1233" t="str">
        <f>_xlfn.XLOOKUP(tblSales[[#This Row],[Category ID]],tblCategories[Category ID],tblCategories[Category])</f>
        <v>Footwear</v>
      </c>
      <c r="H1233">
        <v>15980</v>
      </c>
      <c r="I1233">
        <v>14448</v>
      </c>
      <c r="J1233">
        <v>68</v>
      </c>
      <c r="K1233">
        <f>tblSales[[#This Row],[Sales]]-tblSales[[#This Row],[Budget]]</f>
        <v>1532</v>
      </c>
      <c r="L1233" s="3">
        <f>(tblSales[[#This Row],[Sales]]-tblSales[[#This Row],[Budget]])/tblSales[[#This Row],[Budget]]</f>
        <v>0.10603543743078626</v>
      </c>
      <c r="M1233" s="2">
        <f>tblSales[[#This Row],[Sales]]/tblSales[[#This Row],[Transactions]]</f>
        <v>235</v>
      </c>
    </row>
    <row r="1234" spans="1:13" x14ac:dyDescent="0.25">
      <c r="A1234" s="1">
        <v>46084</v>
      </c>
      <c r="B1234" t="s">
        <v>23</v>
      </c>
      <c r="C1234" t="s">
        <v>19</v>
      </c>
      <c r="D1234" t="str">
        <f>_xlfn.XLOOKUP(tblSales[[#This Row],[Store ID]],tblStores[Store ID],tblStores[Store Name])</f>
        <v>Stellenbosch</v>
      </c>
      <c r="E1234" t="str">
        <f>_xlfn.XLOOKUP(tblSales[[#This Row],[Store ID]],tblStores[Store ID],tblStores[Province])</f>
        <v>Western Cape</v>
      </c>
      <c r="F1234" t="str">
        <f>_xlfn.XLOOKUP(tblSales[[#This Row],[Store ID]],tblStores[Store ID],tblStores[Manager])</f>
        <v>Jason King</v>
      </c>
      <c r="G1234" t="str">
        <f>_xlfn.XLOOKUP(tblSales[[#This Row],[Category ID]],tblCategories[Category ID],tblCategories[Category])</f>
        <v>Accessories</v>
      </c>
      <c r="H1234">
        <v>64616</v>
      </c>
      <c r="I1234">
        <v>71505</v>
      </c>
      <c r="J1234">
        <v>164</v>
      </c>
      <c r="K1234">
        <f>tblSales[[#This Row],[Sales]]-tblSales[[#This Row],[Budget]]</f>
        <v>-6889</v>
      </c>
      <c r="L1234" s="3">
        <f>(tblSales[[#This Row],[Sales]]-tblSales[[#This Row],[Budget]])/tblSales[[#This Row],[Budget]]</f>
        <v>-9.6342913083001191E-2</v>
      </c>
      <c r="M1234" s="2">
        <f>tblSales[[#This Row],[Sales]]/tblSales[[#This Row],[Transactions]]</f>
        <v>394</v>
      </c>
    </row>
    <row r="1235" spans="1:13" x14ac:dyDescent="0.25">
      <c r="A1235" s="1">
        <v>46084</v>
      </c>
      <c r="B1235" t="s">
        <v>24</v>
      </c>
      <c r="C1235" t="s">
        <v>19</v>
      </c>
      <c r="D1235" t="str">
        <f>_xlfn.XLOOKUP(tblSales[[#This Row],[Store ID]],tblStores[Store ID],tblStores[Store Name])</f>
        <v>George</v>
      </c>
      <c r="E1235" t="str">
        <f>_xlfn.XLOOKUP(tblSales[[#This Row],[Store ID]],tblStores[Store ID],tblStores[Province])</f>
        <v>Western Cape</v>
      </c>
      <c r="F1235" t="str">
        <f>_xlfn.XLOOKUP(tblSales[[#This Row],[Store ID]],tblStores[Store ID],tblStores[Manager])</f>
        <v>Chloe Hill</v>
      </c>
      <c r="G1235" t="str">
        <f>_xlfn.XLOOKUP(tblSales[[#This Row],[Category ID]],tblCategories[Category ID],tblCategories[Category])</f>
        <v>Accessories</v>
      </c>
      <c r="H1235">
        <v>15930</v>
      </c>
      <c r="I1235">
        <v>16232</v>
      </c>
      <c r="J1235">
        <v>59</v>
      </c>
      <c r="K1235">
        <f>tblSales[[#This Row],[Sales]]-tblSales[[#This Row],[Budget]]</f>
        <v>-302</v>
      </c>
      <c r="L1235" s="3">
        <f>(tblSales[[#This Row],[Sales]]-tblSales[[#This Row],[Budget]])/tblSales[[#This Row],[Budget]]</f>
        <v>-1.8605224248398226E-2</v>
      </c>
      <c r="M1235" s="2">
        <f>tblSales[[#This Row],[Sales]]/tblSales[[#This Row],[Transactions]]</f>
        <v>270</v>
      </c>
    </row>
    <row r="1236" spans="1:13" x14ac:dyDescent="0.25">
      <c r="A1236" s="1">
        <v>46084</v>
      </c>
      <c r="B1236" t="s">
        <v>25</v>
      </c>
      <c r="C1236" t="s">
        <v>19</v>
      </c>
      <c r="D1236" t="str">
        <f>_xlfn.XLOOKUP(tblSales[[#This Row],[Store ID]],tblStores[Store ID],tblStores[Store Name])</f>
        <v>Paarl</v>
      </c>
      <c r="E1236" t="str">
        <f>_xlfn.XLOOKUP(tblSales[[#This Row],[Store ID]],tblStores[Store ID],tblStores[Province])</f>
        <v>Western Cape</v>
      </c>
      <c r="F1236" t="str">
        <f>_xlfn.XLOOKUP(tblSales[[#This Row],[Store ID]],tblStores[Store ID],tblStores[Manager])</f>
        <v>Andrew Lee</v>
      </c>
      <c r="G1236" t="str">
        <f>_xlfn.XLOOKUP(tblSales[[#This Row],[Category ID]],tblCategories[Category ID],tblCategories[Category])</f>
        <v>Accessories</v>
      </c>
      <c r="H1236">
        <v>37412</v>
      </c>
      <c r="I1236">
        <v>41880</v>
      </c>
      <c r="J1236">
        <v>188</v>
      </c>
      <c r="K1236">
        <f>tblSales[[#This Row],[Sales]]-tblSales[[#This Row],[Budget]]</f>
        <v>-4468</v>
      </c>
      <c r="L1236" s="3">
        <f>(tblSales[[#This Row],[Sales]]-tblSales[[#This Row],[Budget]])/tblSales[[#This Row],[Budget]]</f>
        <v>-0.10668576886341929</v>
      </c>
      <c r="M1236" s="2">
        <f>tblSales[[#This Row],[Sales]]/tblSales[[#This Row],[Transactions]]</f>
        <v>199</v>
      </c>
    </row>
    <row r="1237" spans="1:13" x14ac:dyDescent="0.25">
      <c r="A1237" s="1">
        <v>46084</v>
      </c>
      <c r="B1237" t="s">
        <v>26</v>
      </c>
      <c r="C1237" t="s">
        <v>19</v>
      </c>
      <c r="D1237" t="str">
        <f>_xlfn.XLOOKUP(tblSales[[#This Row],[Store ID]],tblStores[Store ID],tblStores[Store Name])</f>
        <v>Gqeberha</v>
      </c>
      <c r="E1237" t="str">
        <f>_xlfn.XLOOKUP(tblSales[[#This Row],[Store ID]],tblStores[Store ID],tblStores[Province])</f>
        <v>Eastern Cape</v>
      </c>
      <c r="F1237" t="str">
        <f>_xlfn.XLOOKUP(tblSales[[#This Row],[Store ID]],tblStores[Store ID],tblStores[Manager])</f>
        <v>Emma Baker</v>
      </c>
      <c r="G1237" t="str">
        <f>_xlfn.XLOOKUP(tblSales[[#This Row],[Category ID]],tblCategories[Category ID],tblCategories[Category])</f>
        <v>Accessories</v>
      </c>
      <c r="H1237">
        <v>39120</v>
      </c>
      <c r="I1237">
        <v>36119</v>
      </c>
      <c r="J1237">
        <v>163</v>
      </c>
      <c r="K1237">
        <f>tblSales[[#This Row],[Sales]]-tblSales[[#This Row],[Budget]]</f>
        <v>3001</v>
      </c>
      <c r="L1237" s="3">
        <f>(tblSales[[#This Row],[Sales]]-tblSales[[#This Row],[Budget]])/tblSales[[#This Row],[Budget]]</f>
        <v>8.3086464187823589E-2</v>
      </c>
      <c r="M1237" s="2">
        <f>tblSales[[#This Row],[Sales]]/tblSales[[#This Row],[Transactions]]</f>
        <v>240</v>
      </c>
    </row>
    <row r="1238" spans="1:13" x14ac:dyDescent="0.25">
      <c r="A1238" s="1">
        <v>46084</v>
      </c>
      <c r="B1238" t="s">
        <v>27</v>
      </c>
      <c r="C1238" t="s">
        <v>9</v>
      </c>
      <c r="D1238" t="str">
        <f>_xlfn.XLOOKUP(tblSales[[#This Row],[Store ID]],tblStores[Store ID],tblStores[Store Name])</f>
        <v>East London</v>
      </c>
      <c r="E1238" t="str">
        <f>_xlfn.XLOOKUP(tblSales[[#This Row],[Store ID]],tblStores[Store ID],tblStores[Province])</f>
        <v>Eastern Cape</v>
      </c>
      <c r="F1238" t="str">
        <f>_xlfn.XLOOKUP(tblSales[[#This Row],[Store ID]],tblStores[Store ID],tblStores[Manager])</f>
        <v>Daniel Evans</v>
      </c>
      <c r="G1238" t="str">
        <f>_xlfn.XLOOKUP(tblSales[[#This Row],[Category ID]],tblCategories[Category ID],tblCategories[Category])</f>
        <v>Ladieswear</v>
      </c>
      <c r="H1238">
        <v>86184</v>
      </c>
      <c r="I1238">
        <v>95395</v>
      </c>
      <c r="J1238">
        <v>189</v>
      </c>
      <c r="K1238">
        <f>tblSales[[#This Row],[Sales]]-tblSales[[#This Row],[Budget]]</f>
        <v>-9211</v>
      </c>
      <c r="L1238" s="3">
        <f>(tblSales[[#This Row],[Sales]]-tblSales[[#This Row],[Budget]])/tblSales[[#This Row],[Budget]]</f>
        <v>-9.6556423292625398E-2</v>
      </c>
      <c r="M1238" s="2">
        <f>tblSales[[#This Row],[Sales]]/tblSales[[#This Row],[Transactions]]</f>
        <v>456</v>
      </c>
    </row>
    <row r="1239" spans="1:13" x14ac:dyDescent="0.25">
      <c r="A1239" s="1">
        <v>46084</v>
      </c>
      <c r="B1239" t="s">
        <v>28</v>
      </c>
      <c r="C1239" t="s">
        <v>11</v>
      </c>
      <c r="D1239" t="str">
        <f>_xlfn.XLOOKUP(tblSales[[#This Row],[Store ID]],tblStores[Store ID],tblStores[Store Name])</f>
        <v>Bloemfontein</v>
      </c>
      <c r="E1239" t="str">
        <f>_xlfn.XLOOKUP(tblSales[[#This Row],[Store ID]],tblStores[Store ID],tblStores[Province])</f>
        <v>Free State</v>
      </c>
      <c r="F1239" t="str">
        <f>_xlfn.XLOOKUP(tblSales[[#This Row],[Store ID]],tblStores[Store ID],tblStores[Manager])</f>
        <v>Rachel Moore</v>
      </c>
      <c r="G1239" t="str">
        <f>_xlfn.XLOOKUP(tblSales[[#This Row],[Category ID]],tblCategories[Category ID],tblCategories[Category])</f>
        <v>Footwear</v>
      </c>
      <c r="H1239">
        <v>66360</v>
      </c>
      <c r="I1239">
        <v>65868</v>
      </c>
      <c r="J1239">
        <v>168</v>
      </c>
      <c r="K1239">
        <f>tblSales[[#This Row],[Sales]]-tblSales[[#This Row],[Budget]]</f>
        <v>492</v>
      </c>
      <c r="L1239" s="3">
        <f>(tblSales[[#This Row],[Sales]]-tblSales[[#This Row],[Budget]])/tblSales[[#This Row],[Budget]]</f>
        <v>7.469484423392239E-3</v>
      </c>
      <c r="M1239" s="2">
        <f>tblSales[[#This Row],[Sales]]/tblSales[[#This Row],[Transactions]]</f>
        <v>395</v>
      </c>
    </row>
    <row r="1240" spans="1:13" x14ac:dyDescent="0.25">
      <c r="A1240" s="1">
        <v>46084</v>
      </c>
      <c r="B1240" t="s">
        <v>29</v>
      </c>
      <c r="C1240" t="s">
        <v>7</v>
      </c>
      <c r="D1240" t="str">
        <f>_xlfn.XLOOKUP(tblSales[[#This Row],[Store ID]],tblStores[Store ID],tblStores[Store Name])</f>
        <v>Polokwane</v>
      </c>
      <c r="E1240" t="str">
        <f>_xlfn.XLOOKUP(tblSales[[#This Row],[Store ID]],tblStores[Store ID],tblStores[Province])</f>
        <v>Limpopo</v>
      </c>
      <c r="F1240" t="str">
        <f>_xlfn.XLOOKUP(tblSales[[#This Row],[Store ID]],tblStores[Store ID],tblStores[Manager])</f>
        <v>Kevin Harris</v>
      </c>
      <c r="G1240" t="str">
        <f>_xlfn.XLOOKUP(tblSales[[#This Row],[Category ID]],tblCategories[Category ID],tblCategories[Category])</f>
        <v>Menswear</v>
      </c>
      <c r="H1240">
        <v>96063</v>
      </c>
      <c r="I1240">
        <v>96758</v>
      </c>
      <c r="J1240">
        <v>213</v>
      </c>
      <c r="K1240">
        <f>tblSales[[#This Row],[Sales]]-tblSales[[#This Row],[Budget]]</f>
        <v>-695</v>
      </c>
      <c r="L1240" s="3">
        <f>(tblSales[[#This Row],[Sales]]-tblSales[[#This Row],[Budget]])/tblSales[[#This Row],[Budget]]</f>
        <v>-7.182868600012402E-3</v>
      </c>
      <c r="M1240" s="2">
        <f>tblSales[[#This Row],[Sales]]/tblSales[[#This Row],[Transactions]]</f>
        <v>451</v>
      </c>
    </row>
    <row r="1241" spans="1:13" x14ac:dyDescent="0.25">
      <c r="A1241" s="1">
        <v>46084</v>
      </c>
      <c r="B1241" t="s">
        <v>30</v>
      </c>
      <c r="C1241" t="s">
        <v>11</v>
      </c>
      <c r="D1241" t="str">
        <f>_xlfn.XLOOKUP(tblSales[[#This Row],[Store ID]],tblStores[Store ID],tblStores[Store Name])</f>
        <v>Nelspruit</v>
      </c>
      <c r="E1241" t="str">
        <f>_xlfn.XLOOKUP(tblSales[[#This Row],[Store ID]],tblStores[Store ID],tblStores[Province])</f>
        <v>Mpumalanga</v>
      </c>
      <c r="F1241" t="str">
        <f>_xlfn.XLOOKUP(tblSales[[#This Row],[Store ID]],tblStores[Store ID],tblStores[Manager])</f>
        <v>Olivia Turner</v>
      </c>
      <c r="G1241" t="str">
        <f>_xlfn.XLOOKUP(tblSales[[#This Row],[Category ID]],tblCategories[Category ID],tblCategories[Category])</f>
        <v>Footwear</v>
      </c>
      <c r="H1241">
        <v>47388</v>
      </c>
      <c r="I1241">
        <v>49627</v>
      </c>
      <c r="J1241">
        <v>132</v>
      </c>
      <c r="K1241">
        <f>tblSales[[#This Row],[Sales]]-tblSales[[#This Row],[Budget]]</f>
        <v>-2239</v>
      </c>
      <c r="L1241" s="3">
        <f>(tblSales[[#This Row],[Sales]]-tblSales[[#This Row],[Budget]])/tblSales[[#This Row],[Budget]]</f>
        <v>-4.511656960928527E-2</v>
      </c>
      <c r="M1241" s="2">
        <f>tblSales[[#This Row],[Sales]]/tblSales[[#This Row],[Transactions]]</f>
        <v>359</v>
      </c>
    </row>
    <row r="1242" spans="1:13" x14ac:dyDescent="0.25">
      <c r="A1242" s="1">
        <v>46085</v>
      </c>
      <c r="B1242" t="s">
        <v>6</v>
      </c>
      <c r="C1242" t="s">
        <v>19</v>
      </c>
      <c r="D1242" t="str">
        <f>_xlfn.XLOOKUP(tblSales[[#This Row],[Store ID]],tblStores[Store ID],tblStores[Store Name])</f>
        <v>Durban CBD</v>
      </c>
      <c r="E1242" t="str">
        <f>_xlfn.XLOOKUP(tblSales[[#This Row],[Store ID]],tblStores[Store ID],tblStores[Province])</f>
        <v>KZN</v>
      </c>
      <c r="F1242" t="str">
        <f>_xlfn.XLOOKUP(tblSales[[#This Row],[Store ID]],tblStores[Store ID],tblStores[Manager])</f>
        <v>Sarah Adams</v>
      </c>
      <c r="G1242" t="str">
        <f>_xlfn.XLOOKUP(tblSales[[#This Row],[Category ID]],tblCategories[Category ID],tblCategories[Category])</f>
        <v>Accessories</v>
      </c>
      <c r="H1242">
        <v>23820</v>
      </c>
      <c r="I1242">
        <v>22235</v>
      </c>
      <c r="J1242">
        <v>60</v>
      </c>
      <c r="K1242">
        <f>tblSales[[#This Row],[Sales]]-tblSales[[#This Row],[Budget]]</f>
        <v>1585</v>
      </c>
      <c r="L1242" s="3">
        <f>(tblSales[[#This Row],[Sales]]-tblSales[[#This Row],[Budget]])/tblSales[[#This Row],[Budget]]</f>
        <v>7.1284011693276361E-2</v>
      </c>
      <c r="M1242" s="2">
        <f>tblSales[[#This Row],[Sales]]/tblSales[[#This Row],[Transactions]]</f>
        <v>397</v>
      </c>
    </row>
    <row r="1243" spans="1:13" x14ac:dyDescent="0.25">
      <c r="A1243" s="1">
        <v>46085</v>
      </c>
      <c r="B1243" t="s">
        <v>8</v>
      </c>
      <c r="C1243" t="s">
        <v>11</v>
      </c>
      <c r="D1243" t="str">
        <f>_xlfn.XLOOKUP(tblSales[[#This Row],[Store ID]],tblStores[Store ID],tblStores[Store Name])</f>
        <v>Gateway</v>
      </c>
      <c r="E1243" t="str">
        <f>_xlfn.XLOOKUP(tblSales[[#This Row],[Store ID]],tblStores[Store ID],tblStores[Province])</f>
        <v>KZN</v>
      </c>
      <c r="F1243" t="str">
        <f>_xlfn.XLOOKUP(tblSales[[#This Row],[Store ID]],tblStores[Store ID],tblStores[Manager])</f>
        <v>Michael Jones</v>
      </c>
      <c r="G1243" t="str">
        <f>_xlfn.XLOOKUP(tblSales[[#This Row],[Category ID]],tblCategories[Category ID],tblCategories[Category])</f>
        <v>Footwear</v>
      </c>
      <c r="H1243">
        <v>20868</v>
      </c>
      <c r="I1243">
        <v>20259</v>
      </c>
      <c r="J1243">
        <v>94</v>
      </c>
      <c r="K1243">
        <f>tblSales[[#This Row],[Sales]]-tblSales[[#This Row],[Budget]]</f>
        <v>609</v>
      </c>
      <c r="L1243" s="3">
        <f>(tblSales[[#This Row],[Sales]]-tblSales[[#This Row],[Budget]])/tblSales[[#This Row],[Budget]]</f>
        <v>3.0060713756848809E-2</v>
      </c>
      <c r="M1243" s="2">
        <f>tblSales[[#This Row],[Sales]]/tblSales[[#This Row],[Transactions]]</f>
        <v>222</v>
      </c>
    </row>
    <row r="1244" spans="1:13" x14ac:dyDescent="0.25">
      <c r="A1244" s="1">
        <v>46085</v>
      </c>
      <c r="B1244" t="s">
        <v>10</v>
      </c>
      <c r="C1244" t="s">
        <v>19</v>
      </c>
      <c r="D1244" t="str">
        <f>_xlfn.XLOOKUP(tblSales[[#This Row],[Store ID]],tblStores[Store ID],tblStores[Store Name])</f>
        <v>Ballito</v>
      </c>
      <c r="E1244" t="str">
        <f>_xlfn.XLOOKUP(tblSales[[#This Row],[Store ID]],tblStores[Store ID],tblStores[Province])</f>
        <v>KZN</v>
      </c>
      <c r="F1244" t="str">
        <f>_xlfn.XLOOKUP(tblSales[[#This Row],[Store ID]],tblStores[Store ID],tblStores[Manager])</f>
        <v>Linda Smith</v>
      </c>
      <c r="G1244" t="str">
        <f>_xlfn.XLOOKUP(tblSales[[#This Row],[Category ID]],tblCategories[Category ID],tblCategories[Category])</f>
        <v>Accessories</v>
      </c>
      <c r="H1244">
        <v>43229</v>
      </c>
      <c r="I1244">
        <v>40948</v>
      </c>
      <c r="J1244">
        <v>139</v>
      </c>
      <c r="K1244">
        <f>tblSales[[#This Row],[Sales]]-tblSales[[#This Row],[Budget]]</f>
        <v>2281</v>
      </c>
      <c r="L1244" s="3">
        <f>(tblSales[[#This Row],[Sales]]-tblSales[[#This Row],[Budget]])/tblSales[[#This Row],[Budget]]</f>
        <v>5.5704796327048937E-2</v>
      </c>
      <c r="M1244" s="2">
        <f>tblSales[[#This Row],[Sales]]/tblSales[[#This Row],[Transactions]]</f>
        <v>311</v>
      </c>
    </row>
    <row r="1245" spans="1:13" x14ac:dyDescent="0.25">
      <c r="A1245" s="1">
        <v>46085</v>
      </c>
      <c r="B1245" t="s">
        <v>12</v>
      </c>
      <c r="C1245" t="s">
        <v>7</v>
      </c>
      <c r="D1245" t="str">
        <f>_xlfn.XLOOKUP(tblSales[[#This Row],[Store ID]],tblStores[Store ID],tblStores[Store Name])</f>
        <v>Pietermaritzburg</v>
      </c>
      <c r="E1245" t="str">
        <f>_xlfn.XLOOKUP(tblSales[[#This Row],[Store ID]],tblStores[Store ID],tblStores[Province])</f>
        <v>KZN</v>
      </c>
      <c r="F1245" t="str">
        <f>_xlfn.XLOOKUP(tblSales[[#This Row],[Store ID]],tblStores[Store ID],tblStores[Manager])</f>
        <v>Peter Brown</v>
      </c>
      <c r="G1245" t="str">
        <f>_xlfn.XLOOKUP(tblSales[[#This Row],[Category ID]],tblCategories[Category ID],tblCategories[Category])</f>
        <v>Menswear</v>
      </c>
      <c r="H1245">
        <v>81354</v>
      </c>
      <c r="I1245">
        <v>75615</v>
      </c>
      <c r="J1245">
        <v>182</v>
      </c>
      <c r="K1245">
        <f>tblSales[[#This Row],[Sales]]-tblSales[[#This Row],[Budget]]</f>
        <v>5739</v>
      </c>
      <c r="L1245" s="3">
        <f>(tblSales[[#This Row],[Sales]]-tblSales[[#This Row],[Budget]])/tblSales[[#This Row],[Budget]]</f>
        <v>7.5897639357270383E-2</v>
      </c>
      <c r="M1245" s="2">
        <f>tblSales[[#This Row],[Sales]]/tblSales[[#This Row],[Transactions]]</f>
        <v>447</v>
      </c>
    </row>
    <row r="1246" spans="1:13" x14ac:dyDescent="0.25">
      <c r="A1246" s="1">
        <v>46085</v>
      </c>
      <c r="B1246" t="s">
        <v>13</v>
      </c>
      <c r="C1246" t="s">
        <v>7</v>
      </c>
      <c r="D1246" t="str">
        <f>_xlfn.XLOOKUP(tblSales[[#This Row],[Store ID]],tblStores[Store ID],tblStores[Store Name])</f>
        <v>Richards Bay</v>
      </c>
      <c r="E1246" t="str">
        <f>_xlfn.XLOOKUP(tblSales[[#This Row],[Store ID]],tblStores[Store ID],tblStores[Province])</f>
        <v>KZN</v>
      </c>
      <c r="F1246" t="str">
        <f>_xlfn.XLOOKUP(tblSales[[#This Row],[Store ID]],tblStores[Store ID],tblStores[Manager])</f>
        <v>David Green</v>
      </c>
      <c r="G1246" t="str">
        <f>_xlfn.XLOOKUP(tblSales[[#This Row],[Category ID]],tblCategories[Category ID],tblCategories[Category])</f>
        <v>Menswear</v>
      </c>
      <c r="H1246">
        <v>67465</v>
      </c>
      <c r="I1246">
        <v>64183</v>
      </c>
      <c r="J1246">
        <v>131</v>
      </c>
      <c r="K1246">
        <f>tblSales[[#This Row],[Sales]]-tblSales[[#This Row],[Budget]]</f>
        <v>3282</v>
      </c>
      <c r="L1246" s="3">
        <f>(tblSales[[#This Row],[Sales]]-tblSales[[#This Row],[Budget]])/tblSales[[#This Row],[Budget]]</f>
        <v>5.113503575713195E-2</v>
      </c>
      <c r="M1246" s="2">
        <f>tblSales[[#This Row],[Sales]]/tblSales[[#This Row],[Transactions]]</f>
        <v>515</v>
      </c>
    </row>
    <row r="1247" spans="1:13" x14ac:dyDescent="0.25">
      <c r="A1247" s="1">
        <v>46085</v>
      </c>
      <c r="B1247" t="s">
        <v>14</v>
      </c>
      <c r="C1247" t="s">
        <v>22</v>
      </c>
      <c r="D1247" t="str">
        <f>_xlfn.XLOOKUP(tblSales[[#This Row],[Store ID]],tblStores[Store ID],tblStores[Store Name])</f>
        <v>Sandton</v>
      </c>
      <c r="E1247" t="str">
        <f>_xlfn.XLOOKUP(tblSales[[#This Row],[Store ID]],tblStores[Store ID],tblStores[Province])</f>
        <v>Gauteng</v>
      </c>
      <c r="F1247" t="str">
        <f>_xlfn.XLOOKUP(tblSales[[#This Row],[Store ID]],tblStores[Store ID],tblStores[Manager])</f>
        <v>Karen White</v>
      </c>
      <c r="G1247" t="str">
        <f>_xlfn.XLOOKUP(tblSales[[#This Row],[Category ID]],tblCategories[Category ID],tblCategories[Category])</f>
        <v>Kids</v>
      </c>
      <c r="H1247">
        <v>50735</v>
      </c>
      <c r="I1247">
        <v>47013</v>
      </c>
      <c r="J1247">
        <v>139</v>
      </c>
      <c r="K1247">
        <f>tblSales[[#This Row],[Sales]]-tblSales[[#This Row],[Budget]]</f>
        <v>3722</v>
      </c>
      <c r="L1247" s="3">
        <f>(tblSales[[#This Row],[Sales]]-tblSales[[#This Row],[Budget]])/tblSales[[#This Row],[Budget]]</f>
        <v>7.9169591389615643E-2</v>
      </c>
      <c r="M1247" s="2">
        <f>tblSales[[#This Row],[Sales]]/tblSales[[#This Row],[Transactions]]</f>
        <v>365</v>
      </c>
    </row>
    <row r="1248" spans="1:13" x14ac:dyDescent="0.25">
      <c r="A1248" s="1">
        <v>46085</v>
      </c>
      <c r="B1248" t="s">
        <v>15</v>
      </c>
      <c r="C1248" t="s">
        <v>11</v>
      </c>
      <c r="D1248" t="str">
        <f>_xlfn.XLOOKUP(tblSales[[#This Row],[Store ID]],tblStores[Store ID],tblStores[Store Name])</f>
        <v>Rosebank</v>
      </c>
      <c r="E1248" t="str">
        <f>_xlfn.XLOOKUP(tblSales[[#This Row],[Store ID]],tblStores[Store ID],tblStores[Province])</f>
        <v>Gauteng</v>
      </c>
      <c r="F1248" t="str">
        <f>_xlfn.XLOOKUP(tblSales[[#This Row],[Store ID]],tblStores[Store ID],tblStores[Manager])</f>
        <v>James Taylor</v>
      </c>
      <c r="G1248" t="str">
        <f>_xlfn.XLOOKUP(tblSales[[#This Row],[Category ID]],tblCategories[Category ID],tblCategories[Category])</f>
        <v>Footwear</v>
      </c>
      <c r="H1248">
        <v>96279</v>
      </c>
      <c r="I1248">
        <v>92755</v>
      </c>
      <c r="J1248">
        <v>201</v>
      </c>
      <c r="K1248">
        <f>tblSales[[#This Row],[Sales]]-tblSales[[#This Row],[Budget]]</f>
        <v>3524</v>
      </c>
      <c r="L1248" s="3">
        <f>(tblSales[[#This Row],[Sales]]-tblSales[[#This Row],[Budget]])/tblSales[[#This Row],[Budget]]</f>
        <v>3.7992561047921945E-2</v>
      </c>
      <c r="M1248" s="2">
        <f>tblSales[[#This Row],[Sales]]/tblSales[[#This Row],[Transactions]]</f>
        <v>479</v>
      </c>
    </row>
    <row r="1249" spans="1:13" x14ac:dyDescent="0.25">
      <c r="A1249" s="1">
        <v>46085</v>
      </c>
      <c r="B1249" t="s">
        <v>16</v>
      </c>
      <c r="C1249" t="s">
        <v>19</v>
      </c>
      <c r="D1249" t="str">
        <f>_xlfn.XLOOKUP(tblSales[[#This Row],[Store ID]],tblStores[Store ID],tblStores[Store Name])</f>
        <v>Pretoria</v>
      </c>
      <c r="E1249" t="str">
        <f>_xlfn.XLOOKUP(tblSales[[#This Row],[Store ID]],tblStores[Store ID],tblStores[Province])</f>
        <v>Gauteng</v>
      </c>
      <c r="F1249" t="str">
        <f>_xlfn.XLOOKUP(tblSales[[#This Row],[Store ID]],tblStores[Store ID],tblStores[Manager])</f>
        <v>Susan Clark</v>
      </c>
      <c r="G1249" t="str">
        <f>_xlfn.XLOOKUP(tblSales[[#This Row],[Category ID]],tblCategories[Category ID],tblCategories[Category])</f>
        <v>Accessories</v>
      </c>
      <c r="H1249">
        <v>67067</v>
      </c>
      <c r="I1249">
        <v>66490</v>
      </c>
      <c r="J1249">
        <v>143</v>
      </c>
      <c r="K1249">
        <f>tblSales[[#This Row],[Sales]]-tblSales[[#This Row],[Budget]]</f>
        <v>577</v>
      </c>
      <c r="L1249" s="3">
        <f>(tblSales[[#This Row],[Sales]]-tblSales[[#This Row],[Budget]])/tblSales[[#This Row],[Budget]]</f>
        <v>8.6779966912317649E-3</v>
      </c>
      <c r="M1249" s="2">
        <f>tblSales[[#This Row],[Sales]]/tblSales[[#This Row],[Transactions]]</f>
        <v>469</v>
      </c>
    </row>
    <row r="1250" spans="1:13" x14ac:dyDescent="0.25">
      <c r="A1250" s="1">
        <v>46085</v>
      </c>
      <c r="B1250" t="s">
        <v>17</v>
      </c>
      <c r="C1250" t="s">
        <v>22</v>
      </c>
      <c r="D1250" t="str">
        <f>_xlfn.XLOOKUP(tblSales[[#This Row],[Store ID]],tblStores[Store ID],tblStores[Store Name])</f>
        <v>Centurion</v>
      </c>
      <c r="E1250" t="str">
        <f>_xlfn.XLOOKUP(tblSales[[#This Row],[Store ID]],tblStores[Store ID],tblStores[Province])</f>
        <v>Gauteng</v>
      </c>
      <c r="F1250" t="str">
        <f>_xlfn.XLOOKUP(tblSales[[#This Row],[Store ID]],tblStores[Store ID],tblStores[Manager])</f>
        <v>Mark Wilson</v>
      </c>
      <c r="G1250" t="str">
        <f>_xlfn.XLOOKUP(tblSales[[#This Row],[Category ID]],tblCategories[Category ID],tblCategories[Category])</f>
        <v>Kids</v>
      </c>
      <c r="H1250">
        <v>80047</v>
      </c>
      <c r="I1250">
        <v>87150</v>
      </c>
      <c r="J1250">
        <v>209</v>
      </c>
      <c r="K1250">
        <f>tblSales[[#This Row],[Sales]]-tblSales[[#This Row],[Budget]]</f>
        <v>-7103</v>
      </c>
      <c r="L1250" s="3">
        <f>(tblSales[[#This Row],[Sales]]-tblSales[[#This Row],[Budget]])/tblSales[[#This Row],[Budget]]</f>
        <v>-8.1503155479059092E-2</v>
      </c>
      <c r="M1250" s="2">
        <f>tblSales[[#This Row],[Sales]]/tblSales[[#This Row],[Transactions]]</f>
        <v>383</v>
      </c>
    </row>
    <row r="1251" spans="1:13" x14ac:dyDescent="0.25">
      <c r="A1251" s="1">
        <v>46085</v>
      </c>
      <c r="B1251" t="s">
        <v>18</v>
      </c>
      <c r="C1251" t="s">
        <v>11</v>
      </c>
      <c r="D1251" t="str">
        <f>_xlfn.XLOOKUP(tblSales[[#This Row],[Store ID]],tblStores[Store ID],tblStores[Store Name])</f>
        <v>East Rand</v>
      </c>
      <c r="E1251" t="str">
        <f>_xlfn.XLOOKUP(tblSales[[#This Row],[Store ID]],tblStores[Store ID],tblStores[Province])</f>
        <v>Gauteng</v>
      </c>
      <c r="F1251" t="str">
        <f>_xlfn.XLOOKUP(tblSales[[#This Row],[Store ID]],tblStores[Store ID],tblStores[Manager])</f>
        <v>Lisa Young</v>
      </c>
      <c r="G1251" t="str">
        <f>_xlfn.XLOOKUP(tblSales[[#This Row],[Category ID]],tblCategories[Category ID],tblCategories[Category])</f>
        <v>Footwear</v>
      </c>
      <c r="H1251">
        <v>81840</v>
      </c>
      <c r="I1251">
        <v>83527</v>
      </c>
      <c r="J1251">
        <v>176</v>
      </c>
      <c r="K1251">
        <f>tblSales[[#This Row],[Sales]]-tblSales[[#This Row],[Budget]]</f>
        <v>-1687</v>
      </c>
      <c r="L1251" s="3">
        <f>(tblSales[[#This Row],[Sales]]-tblSales[[#This Row],[Budget]])/tblSales[[#This Row],[Budget]]</f>
        <v>-2.0197062027847282E-2</v>
      </c>
      <c r="M1251" s="2">
        <f>tblSales[[#This Row],[Sales]]/tblSales[[#This Row],[Transactions]]</f>
        <v>465</v>
      </c>
    </row>
    <row r="1252" spans="1:13" x14ac:dyDescent="0.25">
      <c r="A1252" s="1">
        <v>46085</v>
      </c>
      <c r="B1252" t="s">
        <v>20</v>
      </c>
      <c r="C1252" t="s">
        <v>22</v>
      </c>
      <c r="D1252" t="str">
        <f>_xlfn.XLOOKUP(tblSales[[#This Row],[Store ID]],tblStores[Store ID],tblStores[Store Name])</f>
        <v>Cape Town CBD</v>
      </c>
      <c r="E1252" t="str">
        <f>_xlfn.XLOOKUP(tblSales[[#This Row],[Store ID]],tblStores[Store ID],tblStores[Province])</f>
        <v>Western Cape</v>
      </c>
      <c r="F1252" t="str">
        <f>_xlfn.XLOOKUP(tblSales[[#This Row],[Store ID]],tblStores[Store ID],tblStores[Manager])</f>
        <v>Brian Hall</v>
      </c>
      <c r="G1252" t="str">
        <f>_xlfn.XLOOKUP(tblSales[[#This Row],[Category ID]],tblCategories[Category ID],tblCategories[Category])</f>
        <v>Kids</v>
      </c>
      <c r="H1252">
        <v>82592</v>
      </c>
      <c r="I1252">
        <v>84321</v>
      </c>
      <c r="J1252">
        <v>178</v>
      </c>
      <c r="K1252">
        <f>tblSales[[#This Row],[Sales]]-tblSales[[#This Row],[Budget]]</f>
        <v>-1729</v>
      </c>
      <c r="L1252" s="3">
        <f>(tblSales[[#This Row],[Sales]]-tblSales[[#This Row],[Budget]])/tblSales[[#This Row],[Budget]]</f>
        <v>-2.0504975035874812E-2</v>
      </c>
      <c r="M1252" s="2">
        <f>tblSales[[#This Row],[Sales]]/tblSales[[#This Row],[Transactions]]</f>
        <v>464</v>
      </c>
    </row>
    <row r="1253" spans="1:13" x14ac:dyDescent="0.25">
      <c r="A1253" s="1">
        <v>46085</v>
      </c>
      <c r="B1253" t="s">
        <v>21</v>
      </c>
      <c r="C1253" t="s">
        <v>22</v>
      </c>
      <c r="D1253" t="str">
        <f>_xlfn.XLOOKUP(tblSales[[#This Row],[Store ID]],tblStores[Store ID],tblStores[Store Name])</f>
        <v>Canal Walk</v>
      </c>
      <c r="E1253" t="str">
        <f>_xlfn.XLOOKUP(tblSales[[#This Row],[Store ID]],tblStores[Store ID],tblStores[Province])</f>
        <v>Western Cape</v>
      </c>
      <c r="F1253" t="str">
        <f>_xlfn.XLOOKUP(tblSales[[#This Row],[Store ID]],tblStores[Store ID],tblStores[Manager])</f>
        <v>Megan Scott</v>
      </c>
      <c r="G1253" t="str">
        <f>_xlfn.XLOOKUP(tblSales[[#This Row],[Category ID]],tblCategories[Category ID],tblCategories[Category])</f>
        <v>Kids</v>
      </c>
      <c r="H1253">
        <v>64792</v>
      </c>
      <c r="I1253">
        <v>70853</v>
      </c>
      <c r="J1253">
        <v>182</v>
      </c>
      <c r="K1253">
        <f>tblSales[[#This Row],[Sales]]-tblSales[[#This Row],[Budget]]</f>
        <v>-6061</v>
      </c>
      <c r="L1253" s="3">
        <f>(tblSales[[#This Row],[Sales]]-tblSales[[#This Row],[Budget]])/tblSales[[#This Row],[Budget]]</f>
        <v>-8.5543307975667934E-2</v>
      </c>
      <c r="M1253" s="2">
        <f>tblSales[[#This Row],[Sales]]/tblSales[[#This Row],[Transactions]]</f>
        <v>356</v>
      </c>
    </row>
    <row r="1254" spans="1:13" x14ac:dyDescent="0.25">
      <c r="A1254" s="1">
        <v>46085</v>
      </c>
      <c r="B1254" t="s">
        <v>23</v>
      </c>
      <c r="C1254" t="s">
        <v>11</v>
      </c>
      <c r="D1254" t="str">
        <f>_xlfn.XLOOKUP(tblSales[[#This Row],[Store ID]],tblStores[Store ID],tblStores[Store Name])</f>
        <v>Stellenbosch</v>
      </c>
      <c r="E1254" t="str">
        <f>_xlfn.XLOOKUP(tblSales[[#This Row],[Store ID]],tblStores[Store ID],tblStores[Province])</f>
        <v>Western Cape</v>
      </c>
      <c r="F1254" t="str">
        <f>_xlfn.XLOOKUP(tblSales[[#This Row],[Store ID]],tblStores[Store ID],tblStores[Manager])</f>
        <v>Jason King</v>
      </c>
      <c r="G1254" t="str">
        <f>_xlfn.XLOOKUP(tblSales[[#This Row],[Category ID]],tblCategories[Category ID],tblCategories[Category])</f>
        <v>Footwear</v>
      </c>
      <c r="H1254">
        <v>36190</v>
      </c>
      <c r="I1254">
        <v>33648</v>
      </c>
      <c r="J1254">
        <v>70</v>
      </c>
      <c r="K1254">
        <f>tblSales[[#This Row],[Sales]]-tblSales[[#This Row],[Budget]]</f>
        <v>2542</v>
      </c>
      <c r="L1254" s="3">
        <f>(tblSales[[#This Row],[Sales]]-tblSales[[#This Row],[Budget]])/tblSales[[#This Row],[Budget]]</f>
        <v>7.5546837850689497E-2</v>
      </c>
      <c r="M1254" s="2">
        <f>tblSales[[#This Row],[Sales]]/tblSales[[#This Row],[Transactions]]</f>
        <v>517</v>
      </c>
    </row>
    <row r="1255" spans="1:13" x14ac:dyDescent="0.25">
      <c r="A1255" s="1">
        <v>46085</v>
      </c>
      <c r="B1255" t="s">
        <v>24</v>
      </c>
      <c r="C1255" t="s">
        <v>9</v>
      </c>
      <c r="D1255" t="str">
        <f>_xlfn.XLOOKUP(tblSales[[#This Row],[Store ID]],tblStores[Store ID],tblStores[Store Name])</f>
        <v>George</v>
      </c>
      <c r="E1255" t="str">
        <f>_xlfn.XLOOKUP(tblSales[[#This Row],[Store ID]],tblStores[Store ID],tblStores[Province])</f>
        <v>Western Cape</v>
      </c>
      <c r="F1255" t="str">
        <f>_xlfn.XLOOKUP(tblSales[[#This Row],[Store ID]],tblStores[Store ID],tblStores[Manager])</f>
        <v>Chloe Hill</v>
      </c>
      <c r="G1255" t="str">
        <f>_xlfn.XLOOKUP(tblSales[[#This Row],[Category ID]],tblCategories[Category ID],tblCategories[Category])</f>
        <v>Ladieswear</v>
      </c>
      <c r="H1255">
        <v>39038</v>
      </c>
      <c r="I1255">
        <v>36112</v>
      </c>
      <c r="J1255">
        <v>149</v>
      </c>
      <c r="K1255">
        <f>tblSales[[#This Row],[Sales]]-tblSales[[#This Row],[Budget]]</f>
        <v>2926</v>
      </c>
      <c r="L1255" s="3">
        <f>(tblSales[[#This Row],[Sales]]-tblSales[[#This Row],[Budget]])/tblSales[[#This Row],[Budget]]</f>
        <v>8.102569782897652E-2</v>
      </c>
      <c r="M1255" s="2">
        <f>tblSales[[#This Row],[Sales]]/tblSales[[#This Row],[Transactions]]</f>
        <v>262</v>
      </c>
    </row>
    <row r="1256" spans="1:13" x14ac:dyDescent="0.25">
      <c r="A1256" s="1">
        <v>46085</v>
      </c>
      <c r="B1256" t="s">
        <v>25</v>
      </c>
      <c r="C1256" t="s">
        <v>19</v>
      </c>
      <c r="D1256" t="str">
        <f>_xlfn.XLOOKUP(tblSales[[#This Row],[Store ID]],tblStores[Store ID],tblStores[Store Name])</f>
        <v>Paarl</v>
      </c>
      <c r="E1256" t="str">
        <f>_xlfn.XLOOKUP(tblSales[[#This Row],[Store ID]],tblStores[Store ID],tblStores[Province])</f>
        <v>Western Cape</v>
      </c>
      <c r="F1256" t="str">
        <f>_xlfn.XLOOKUP(tblSales[[#This Row],[Store ID]],tblStores[Store ID],tblStores[Manager])</f>
        <v>Andrew Lee</v>
      </c>
      <c r="G1256" t="str">
        <f>_xlfn.XLOOKUP(tblSales[[#This Row],[Category ID]],tblCategories[Category ID],tblCategories[Category])</f>
        <v>Accessories</v>
      </c>
      <c r="H1256">
        <v>48361</v>
      </c>
      <c r="I1256">
        <v>53207</v>
      </c>
      <c r="J1256">
        <v>137</v>
      </c>
      <c r="K1256">
        <f>tblSales[[#This Row],[Sales]]-tblSales[[#This Row],[Budget]]</f>
        <v>-4846</v>
      </c>
      <c r="L1256" s="3">
        <f>(tblSales[[#This Row],[Sales]]-tblSales[[#This Row],[Budget]])/tblSales[[#This Row],[Budget]]</f>
        <v>-9.1078241584753888E-2</v>
      </c>
      <c r="M1256" s="2">
        <f>tblSales[[#This Row],[Sales]]/tblSales[[#This Row],[Transactions]]</f>
        <v>353</v>
      </c>
    </row>
    <row r="1257" spans="1:13" x14ac:dyDescent="0.25">
      <c r="A1257" s="1">
        <v>46085</v>
      </c>
      <c r="B1257" t="s">
        <v>26</v>
      </c>
      <c r="C1257" t="s">
        <v>19</v>
      </c>
      <c r="D1257" t="str">
        <f>_xlfn.XLOOKUP(tblSales[[#This Row],[Store ID]],tblStores[Store ID],tblStores[Store Name])</f>
        <v>Gqeberha</v>
      </c>
      <c r="E1257" t="str">
        <f>_xlfn.XLOOKUP(tblSales[[#This Row],[Store ID]],tblStores[Store ID],tblStores[Province])</f>
        <v>Eastern Cape</v>
      </c>
      <c r="F1257" t="str">
        <f>_xlfn.XLOOKUP(tblSales[[#This Row],[Store ID]],tblStores[Store ID],tblStores[Manager])</f>
        <v>Emma Baker</v>
      </c>
      <c r="G1257" t="str">
        <f>_xlfn.XLOOKUP(tblSales[[#This Row],[Category ID]],tblCategories[Category ID],tblCategories[Category])</f>
        <v>Accessories</v>
      </c>
      <c r="H1257">
        <v>43878</v>
      </c>
      <c r="I1257">
        <v>41253</v>
      </c>
      <c r="J1257">
        <v>213</v>
      </c>
      <c r="K1257">
        <f>tblSales[[#This Row],[Sales]]-tblSales[[#This Row],[Budget]]</f>
        <v>2625</v>
      </c>
      <c r="L1257" s="3">
        <f>(tblSales[[#This Row],[Sales]]-tblSales[[#This Row],[Budget]])/tblSales[[#This Row],[Budget]]</f>
        <v>6.3631735873754633E-2</v>
      </c>
      <c r="M1257" s="2">
        <f>tblSales[[#This Row],[Sales]]/tblSales[[#This Row],[Transactions]]</f>
        <v>206</v>
      </c>
    </row>
    <row r="1258" spans="1:13" x14ac:dyDescent="0.25">
      <c r="A1258" s="1">
        <v>46085</v>
      </c>
      <c r="B1258" t="s">
        <v>27</v>
      </c>
      <c r="C1258" t="s">
        <v>7</v>
      </c>
      <c r="D1258" t="str">
        <f>_xlfn.XLOOKUP(tblSales[[#This Row],[Store ID]],tblStores[Store ID],tblStores[Store Name])</f>
        <v>East London</v>
      </c>
      <c r="E1258" t="str">
        <f>_xlfn.XLOOKUP(tblSales[[#This Row],[Store ID]],tblStores[Store ID],tblStores[Province])</f>
        <v>Eastern Cape</v>
      </c>
      <c r="F1258" t="str">
        <f>_xlfn.XLOOKUP(tblSales[[#This Row],[Store ID]],tblStores[Store ID],tblStores[Manager])</f>
        <v>Daniel Evans</v>
      </c>
      <c r="G1258" t="str">
        <f>_xlfn.XLOOKUP(tblSales[[#This Row],[Category ID]],tblCategories[Category ID],tblCategories[Category])</f>
        <v>Menswear</v>
      </c>
      <c r="H1258">
        <v>14732</v>
      </c>
      <c r="I1258">
        <v>14995</v>
      </c>
      <c r="J1258">
        <v>58</v>
      </c>
      <c r="K1258">
        <f>tblSales[[#This Row],[Sales]]-tblSales[[#This Row],[Budget]]</f>
        <v>-263</v>
      </c>
      <c r="L1258" s="3">
        <f>(tblSales[[#This Row],[Sales]]-tblSales[[#This Row],[Budget]])/tblSales[[#This Row],[Budget]]</f>
        <v>-1.7539179726575524E-2</v>
      </c>
      <c r="M1258" s="2">
        <f>tblSales[[#This Row],[Sales]]/tblSales[[#This Row],[Transactions]]</f>
        <v>254</v>
      </c>
    </row>
    <row r="1259" spans="1:13" x14ac:dyDescent="0.25">
      <c r="A1259" s="1">
        <v>46085</v>
      </c>
      <c r="B1259" t="s">
        <v>28</v>
      </c>
      <c r="C1259" t="s">
        <v>19</v>
      </c>
      <c r="D1259" t="str">
        <f>_xlfn.XLOOKUP(tblSales[[#This Row],[Store ID]],tblStores[Store ID],tblStores[Store Name])</f>
        <v>Bloemfontein</v>
      </c>
      <c r="E1259" t="str">
        <f>_xlfn.XLOOKUP(tblSales[[#This Row],[Store ID]],tblStores[Store ID],tblStores[Province])</f>
        <v>Free State</v>
      </c>
      <c r="F1259" t="str">
        <f>_xlfn.XLOOKUP(tblSales[[#This Row],[Store ID]],tblStores[Store ID],tblStores[Manager])</f>
        <v>Rachel Moore</v>
      </c>
      <c r="G1259" t="str">
        <f>_xlfn.XLOOKUP(tblSales[[#This Row],[Category ID]],tblCategories[Category ID],tblCategories[Category])</f>
        <v>Accessories</v>
      </c>
      <c r="H1259">
        <v>32850</v>
      </c>
      <c r="I1259">
        <v>30091</v>
      </c>
      <c r="J1259">
        <v>146</v>
      </c>
      <c r="K1259">
        <f>tblSales[[#This Row],[Sales]]-tblSales[[#This Row],[Budget]]</f>
        <v>2759</v>
      </c>
      <c r="L1259" s="3">
        <f>(tblSales[[#This Row],[Sales]]-tblSales[[#This Row],[Budget]])/tblSales[[#This Row],[Budget]]</f>
        <v>9.1688544747598952E-2</v>
      </c>
      <c r="M1259" s="2">
        <f>tblSales[[#This Row],[Sales]]/tblSales[[#This Row],[Transactions]]</f>
        <v>225</v>
      </c>
    </row>
    <row r="1260" spans="1:13" x14ac:dyDescent="0.25">
      <c r="A1260" s="1">
        <v>46085</v>
      </c>
      <c r="B1260" t="s">
        <v>29</v>
      </c>
      <c r="C1260" t="s">
        <v>9</v>
      </c>
      <c r="D1260" t="str">
        <f>_xlfn.XLOOKUP(tblSales[[#This Row],[Store ID]],tblStores[Store ID],tblStores[Store Name])</f>
        <v>Polokwane</v>
      </c>
      <c r="E1260" t="str">
        <f>_xlfn.XLOOKUP(tblSales[[#This Row],[Store ID]],tblStores[Store ID],tblStores[Province])</f>
        <v>Limpopo</v>
      </c>
      <c r="F1260" t="str">
        <f>_xlfn.XLOOKUP(tblSales[[#This Row],[Store ID]],tblStores[Store ID],tblStores[Manager])</f>
        <v>Kevin Harris</v>
      </c>
      <c r="G1260" t="str">
        <f>_xlfn.XLOOKUP(tblSales[[#This Row],[Category ID]],tblCategories[Category ID],tblCategories[Category])</f>
        <v>Ladieswear</v>
      </c>
      <c r="H1260">
        <v>28380</v>
      </c>
      <c r="I1260">
        <v>29863</v>
      </c>
      <c r="J1260">
        <v>129</v>
      </c>
      <c r="K1260">
        <f>tblSales[[#This Row],[Sales]]-tblSales[[#This Row],[Budget]]</f>
        <v>-1483</v>
      </c>
      <c r="L1260" s="3">
        <f>(tblSales[[#This Row],[Sales]]-tblSales[[#This Row],[Budget]])/tblSales[[#This Row],[Budget]]</f>
        <v>-4.9660114522988311E-2</v>
      </c>
      <c r="M1260" s="2">
        <f>tblSales[[#This Row],[Sales]]/tblSales[[#This Row],[Transactions]]</f>
        <v>220</v>
      </c>
    </row>
    <row r="1261" spans="1:13" x14ac:dyDescent="0.25">
      <c r="A1261" s="1">
        <v>46085</v>
      </c>
      <c r="B1261" t="s">
        <v>30</v>
      </c>
      <c r="C1261" t="s">
        <v>11</v>
      </c>
      <c r="D1261" t="str">
        <f>_xlfn.XLOOKUP(tblSales[[#This Row],[Store ID]],tblStores[Store ID],tblStores[Store Name])</f>
        <v>Nelspruit</v>
      </c>
      <c r="E1261" t="str">
        <f>_xlfn.XLOOKUP(tblSales[[#This Row],[Store ID]],tblStores[Store ID],tblStores[Province])</f>
        <v>Mpumalanga</v>
      </c>
      <c r="F1261" t="str">
        <f>_xlfn.XLOOKUP(tblSales[[#This Row],[Store ID]],tblStores[Store ID],tblStores[Manager])</f>
        <v>Olivia Turner</v>
      </c>
      <c r="G1261" t="str">
        <f>_xlfn.XLOOKUP(tblSales[[#This Row],[Category ID]],tblCategories[Category ID],tblCategories[Category])</f>
        <v>Footwear</v>
      </c>
      <c r="H1261">
        <v>67678</v>
      </c>
      <c r="I1261">
        <v>72012</v>
      </c>
      <c r="J1261">
        <v>137</v>
      </c>
      <c r="K1261">
        <f>tblSales[[#This Row],[Sales]]-tblSales[[#This Row],[Budget]]</f>
        <v>-4334</v>
      </c>
      <c r="L1261" s="3">
        <f>(tblSales[[#This Row],[Sales]]-tblSales[[#This Row],[Budget]])/tblSales[[#This Row],[Budget]]</f>
        <v>-6.0184413708826309E-2</v>
      </c>
      <c r="M1261" s="2">
        <f>tblSales[[#This Row],[Sales]]/tblSales[[#This Row],[Transactions]]</f>
        <v>494</v>
      </c>
    </row>
    <row r="1262" spans="1:13" x14ac:dyDescent="0.25">
      <c r="A1262" s="1">
        <v>46086</v>
      </c>
      <c r="B1262" t="s">
        <v>6</v>
      </c>
      <c r="C1262" t="s">
        <v>22</v>
      </c>
      <c r="D1262" t="str">
        <f>_xlfn.XLOOKUP(tblSales[[#This Row],[Store ID]],tblStores[Store ID],tblStores[Store Name])</f>
        <v>Durban CBD</v>
      </c>
      <c r="E1262" t="str">
        <f>_xlfn.XLOOKUP(tblSales[[#This Row],[Store ID]],tblStores[Store ID],tblStores[Province])</f>
        <v>KZN</v>
      </c>
      <c r="F1262" t="str">
        <f>_xlfn.XLOOKUP(tblSales[[#This Row],[Store ID]],tblStores[Store ID],tblStores[Manager])</f>
        <v>Sarah Adams</v>
      </c>
      <c r="G1262" t="str">
        <f>_xlfn.XLOOKUP(tblSales[[#This Row],[Category ID]],tblCategories[Category ID],tblCategories[Category])</f>
        <v>Kids</v>
      </c>
      <c r="H1262">
        <v>105245</v>
      </c>
      <c r="I1262">
        <v>96232</v>
      </c>
      <c r="J1262">
        <v>217</v>
      </c>
      <c r="K1262">
        <f>tblSales[[#This Row],[Sales]]-tblSales[[#This Row],[Budget]]</f>
        <v>9013</v>
      </c>
      <c r="L1262" s="3">
        <f>(tblSales[[#This Row],[Sales]]-tblSales[[#This Row],[Budget]])/tblSales[[#This Row],[Budget]]</f>
        <v>9.3659073904730231E-2</v>
      </c>
      <c r="M1262" s="2">
        <f>tblSales[[#This Row],[Sales]]/tblSales[[#This Row],[Transactions]]</f>
        <v>485</v>
      </c>
    </row>
    <row r="1263" spans="1:13" x14ac:dyDescent="0.25">
      <c r="A1263" s="1">
        <v>46086</v>
      </c>
      <c r="B1263" t="s">
        <v>8</v>
      </c>
      <c r="C1263" t="s">
        <v>9</v>
      </c>
      <c r="D1263" t="str">
        <f>_xlfn.XLOOKUP(tblSales[[#This Row],[Store ID]],tblStores[Store ID],tblStores[Store Name])</f>
        <v>Gateway</v>
      </c>
      <c r="E1263" t="str">
        <f>_xlfn.XLOOKUP(tblSales[[#This Row],[Store ID]],tblStores[Store ID],tblStores[Province])</f>
        <v>KZN</v>
      </c>
      <c r="F1263" t="str">
        <f>_xlfn.XLOOKUP(tblSales[[#This Row],[Store ID]],tblStores[Store ID],tblStores[Manager])</f>
        <v>Michael Jones</v>
      </c>
      <c r="G1263" t="str">
        <f>_xlfn.XLOOKUP(tblSales[[#This Row],[Category ID]],tblCategories[Category ID],tblCategories[Category])</f>
        <v>Ladieswear</v>
      </c>
      <c r="H1263">
        <v>85734</v>
      </c>
      <c r="I1263">
        <v>86569</v>
      </c>
      <c r="J1263">
        <v>198</v>
      </c>
      <c r="K1263">
        <f>tblSales[[#This Row],[Sales]]-tblSales[[#This Row],[Budget]]</f>
        <v>-835</v>
      </c>
      <c r="L1263" s="3">
        <f>(tblSales[[#This Row],[Sales]]-tblSales[[#This Row],[Budget]])/tblSales[[#This Row],[Budget]]</f>
        <v>-9.645485104367614E-3</v>
      </c>
      <c r="M1263" s="2">
        <f>tblSales[[#This Row],[Sales]]/tblSales[[#This Row],[Transactions]]</f>
        <v>433</v>
      </c>
    </row>
    <row r="1264" spans="1:13" x14ac:dyDescent="0.25">
      <c r="A1264" s="1">
        <v>46086</v>
      </c>
      <c r="B1264" t="s">
        <v>10</v>
      </c>
      <c r="C1264" t="s">
        <v>9</v>
      </c>
      <c r="D1264" t="str">
        <f>_xlfn.XLOOKUP(tblSales[[#This Row],[Store ID]],tblStores[Store ID],tblStores[Store Name])</f>
        <v>Ballito</v>
      </c>
      <c r="E1264" t="str">
        <f>_xlfn.XLOOKUP(tblSales[[#This Row],[Store ID]],tblStores[Store ID],tblStores[Province])</f>
        <v>KZN</v>
      </c>
      <c r="F1264" t="str">
        <f>_xlfn.XLOOKUP(tblSales[[#This Row],[Store ID]],tblStores[Store ID],tblStores[Manager])</f>
        <v>Linda Smith</v>
      </c>
      <c r="G1264" t="str">
        <f>_xlfn.XLOOKUP(tblSales[[#This Row],[Category ID]],tblCategories[Category ID],tblCategories[Category])</f>
        <v>Ladieswear</v>
      </c>
      <c r="H1264">
        <v>90335</v>
      </c>
      <c r="I1264">
        <v>87760</v>
      </c>
      <c r="J1264">
        <v>203</v>
      </c>
      <c r="K1264">
        <f>tblSales[[#This Row],[Sales]]-tblSales[[#This Row],[Budget]]</f>
        <v>2575</v>
      </c>
      <c r="L1264" s="3">
        <f>(tblSales[[#This Row],[Sales]]-tblSales[[#This Row],[Budget]])/tblSales[[#This Row],[Budget]]</f>
        <v>2.9341385597082954E-2</v>
      </c>
      <c r="M1264" s="2">
        <f>tblSales[[#This Row],[Sales]]/tblSales[[#This Row],[Transactions]]</f>
        <v>445</v>
      </c>
    </row>
    <row r="1265" spans="1:13" x14ac:dyDescent="0.25">
      <c r="A1265" s="1">
        <v>46086</v>
      </c>
      <c r="B1265" t="s">
        <v>12</v>
      </c>
      <c r="C1265" t="s">
        <v>7</v>
      </c>
      <c r="D1265" t="str">
        <f>_xlfn.XLOOKUP(tblSales[[#This Row],[Store ID]],tblStores[Store ID],tblStores[Store Name])</f>
        <v>Pietermaritzburg</v>
      </c>
      <c r="E1265" t="str">
        <f>_xlfn.XLOOKUP(tblSales[[#This Row],[Store ID]],tblStores[Store ID],tblStores[Province])</f>
        <v>KZN</v>
      </c>
      <c r="F1265" t="str">
        <f>_xlfn.XLOOKUP(tblSales[[#This Row],[Store ID]],tblStores[Store ID],tblStores[Manager])</f>
        <v>Peter Brown</v>
      </c>
      <c r="G1265" t="str">
        <f>_xlfn.XLOOKUP(tblSales[[#This Row],[Category ID]],tblCategories[Category ID],tblCategories[Category])</f>
        <v>Menswear</v>
      </c>
      <c r="H1265">
        <v>82908</v>
      </c>
      <c r="I1265">
        <v>85308</v>
      </c>
      <c r="J1265">
        <v>188</v>
      </c>
      <c r="K1265">
        <f>tblSales[[#This Row],[Sales]]-tblSales[[#This Row],[Budget]]</f>
        <v>-2400</v>
      </c>
      <c r="L1265" s="3">
        <f>(tblSales[[#This Row],[Sales]]-tblSales[[#This Row],[Budget]])/tblSales[[#This Row],[Budget]]</f>
        <v>-2.8133352088901394E-2</v>
      </c>
      <c r="M1265" s="2">
        <f>tblSales[[#This Row],[Sales]]/tblSales[[#This Row],[Transactions]]</f>
        <v>441</v>
      </c>
    </row>
    <row r="1266" spans="1:13" x14ac:dyDescent="0.25">
      <c r="A1266" s="1">
        <v>46086</v>
      </c>
      <c r="B1266" t="s">
        <v>13</v>
      </c>
      <c r="C1266" t="s">
        <v>9</v>
      </c>
      <c r="D1266" t="str">
        <f>_xlfn.XLOOKUP(tblSales[[#This Row],[Store ID]],tblStores[Store ID],tblStores[Store Name])</f>
        <v>Richards Bay</v>
      </c>
      <c r="E1266" t="str">
        <f>_xlfn.XLOOKUP(tblSales[[#This Row],[Store ID]],tblStores[Store ID],tblStores[Province])</f>
        <v>KZN</v>
      </c>
      <c r="F1266" t="str">
        <f>_xlfn.XLOOKUP(tblSales[[#This Row],[Store ID]],tblStores[Store ID],tblStores[Manager])</f>
        <v>David Green</v>
      </c>
      <c r="G1266" t="str">
        <f>_xlfn.XLOOKUP(tblSales[[#This Row],[Category ID]],tblCategories[Category ID],tblCategories[Category])</f>
        <v>Ladieswear</v>
      </c>
      <c r="H1266">
        <v>51072</v>
      </c>
      <c r="I1266">
        <v>54570</v>
      </c>
      <c r="J1266">
        <v>192</v>
      </c>
      <c r="K1266">
        <f>tblSales[[#This Row],[Sales]]-tblSales[[#This Row],[Budget]]</f>
        <v>-3498</v>
      </c>
      <c r="L1266" s="3">
        <f>(tblSales[[#This Row],[Sales]]-tblSales[[#This Row],[Budget]])/tblSales[[#This Row],[Budget]]</f>
        <v>-6.4101154480483785E-2</v>
      </c>
      <c r="M1266" s="2">
        <f>tblSales[[#This Row],[Sales]]/tblSales[[#This Row],[Transactions]]</f>
        <v>266</v>
      </c>
    </row>
    <row r="1267" spans="1:13" x14ac:dyDescent="0.25">
      <c r="A1267" s="1">
        <v>46086</v>
      </c>
      <c r="B1267" t="s">
        <v>14</v>
      </c>
      <c r="C1267" t="s">
        <v>22</v>
      </c>
      <c r="D1267" t="str">
        <f>_xlfn.XLOOKUP(tblSales[[#This Row],[Store ID]],tblStores[Store ID],tblStores[Store Name])</f>
        <v>Sandton</v>
      </c>
      <c r="E1267" t="str">
        <f>_xlfn.XLOOKUP(tblSales[[#This Row],[Store ID]],tblStores[Store ID],tblStores[Province])</f>
        <v>Gauteng</v>
      </c>
      <c r="F1267" t="str">
        <f>_xlfn.XLOOKUP(tblSales[[#This Row],[Store ID]],tblStores[Store ID],tblStores[Manager])</f>
        <v>Karen White</v>
      </c>
      <c r="G1267" t="str">
        <f>_xlfn.XLOOKUP(tblSales[[#This Row],[Category ID]],tblCategories[Category ID],tblCategories[Category])</f>
        <v>Kids</v>
      </c>
      <c r="H1267">
        <v>49440</v>
      </c>
      <c r="I1267">
        <v>44499</v>
      </c>
      <c r="J1267">
        <v>96</v>
      </c>
      <c r="K1267">
        <f>tblSales[[#This Row],[Sales]]-tblSales[[#This Row],[Budget]]</f>
        <v>4941</v>
      </c>
      <c r="L1267" s="3">
        <f>(tblSales[[#This Row],[Sales]]-tblSales[[#This Row],[Budget]])/tblSales[[#This Row],[Budget]]</f>
        <v>0.11103620306074294</v>
      </c>
      <c r="M1267" s="2">
        <f>tblSales[[#This Row],[Sales]]/tblSales[[#This Row],[Transactions]]</f>
        <v>515</v>
      </c>
    </row>
    <row r="1268" spans="1:13" x14ac:dyDescent="0.25">
      <c r="A1268" s="1">
        <v>46086</v>
      </c>
      <c r="B1268" t="s">
        <v>15</v>
      </c>
      <c r="C1268" t="s">
        <v>9</v>
      </c>
      <c r="D1268" t="str">
        <f>_xlfn.XLOOKUP(tblSales[[#This Row],[Store ID]],tblStores[Store ID],tblStores[Store Name])</f>
        <v>Rosebank</v>
      </c>
      <c r="E1268" t="str">
        <f>_xlfn.XLOOKUP(tblSales[[#This Row],[Store ID]],tblStores[Store ID],tblStores[Province])</f>
        <v>Gauteng</v>
      </c>
      <c r="F1268" t="str">
        <f>_xlfn.XLOOKUP(tblSales[[#This Row],[Store ID]],tblStores[Store ID],tblStores[Manager])</f>
        <v>James Taylor</v>
      </c>
      <c r="G1268" t="str">
        <f>_xlfn.XLOOKUP(tblSales[[#This Row],[Category ID]],tblCategories[Category ID],tblCategories[Category])</f>
        <v>Ladieswear</v>
      </c>
      <c r="H1268">
        <v>18297</v>
      </c>
      <c r="I1268">
        <v>20033</v>
      </c>
      <c r="J1268">
        <v>57</v>
      </c>
      <c r="K1268">
        <f>tblSales[[#This Row],[Sales]]-tblSales[[#This Row],[Budget]]</f>
        <v>-1736</v>
      </c>
      <c r="L1268" s="3">
        <f>(tblSales[[#This Row],[Sales]]-tblSales[[#This Row],[Budget]])/tblSales[[#This Row],[Budget]]</f>
        <v>-8.665701592372585E-2</v>
      </c>
      <c r="M1268" s="2">
        <f>tblSales[[#This Row],[Sales]]/tblSales[[#This Row],[Transactions]]</f>
        <v>321</v>
      </c>
    </row>
    <row r="1269" spans="1:13" x14ac:dyDescent="0.25">
      <c r="A1269" s="1">
        <v>46086</v>
      </c>
      <c r="B1269" t="s">
        <v>16</v>
      </c>
      <c r="C1269" t="s">
        <v>22</v>
      </c>
      <c r="D1269" t="str">
        <f>_xlfn.XLOOKUP(tblSales[[#This Row],[Store ID]],tblStores[Store ID],tblStores[Store Name])</f>
        <v>Pretoria</v>
      </c>
      <c r="E1269" t="str">
        <f>_xlfn.XLOOKUP(tblSales[[#This Row],[Store ID]],tblStores[Store ID],tblStores[Province])</f>
        <v>Gauteng</v>
      </c>
      <c r="F1269" t="str">
        <f>_xlfn.XLOOKUP(tblSales[[#This Row],[Store ID]],tblStores[Store ID],tblStores[Manager])</f>
        <v>Susan Clark</v>
      </c>
      <c r="G1269" t="str">
        <f>_xlfn.XLOOKUP(tblSales[[#This Row],[Category ID]],tblCategories[Category ID],tblCategories[Category])</f>
        <v>Kids</v>
      </c>
      <c r="H1269">
        <v>78692</v>
      </c>
      <c r="I1269">
        <v>78799</v>
      </c>
      <c r="J1269">
        <v>206</v>
      </c>
      <c r="K1269">
        <f>tblSales[[#This Row],[Sales]]-tblSales[[#This Row],[Budget]]</f>
        <v>-107</v>
      </c>
      <c r="L1269" s="3">
        <f>(tblSales[[#This Row],[Sales]]-tblSales[[#This Row],[Budget]])/tblSales[[#This Row],[Budget]]</f>
        <v>-1.3578852523509182E-3</v>
      </c>
      <c r="M1269" s="2">
        <f>tblSales[[#This Row],[Sales]]/tblSales[[#This Row],[Transactions]]</f>
        <v>382</v>
      </c>
    </row>
    <row r="1270" spans="1:13" x14ac:dyDescent="0.25">
      <c r="A1270" s="1">
        <v>46086</v>
      </c>
      <c r="B1270" t="s">
        <v>17</v>
      </c>
      <c r="C1270" t="s">
        <v>9</v>
      </c>
      <c r="D1270" t="str">
        <f>_xlfn.XLOOKUP(tblSales[[#This Row],[Store ID]],tblStores[Store ID],tblStores[Store Name])</f>
        <v>Centurion</v>
      </c>
      <c r="E1270" t="str">
        <f>_xlfn.XLOOKUP(tblSales[[#This Row],[Store ID]],tblStores[Store ID],tblStores[Province])</f>
        <v>Gauteng</v>
      </c>
      <c r="F1270" t="str">
        <f>_xlfn.XLOOKUP(tblSales[[#This Row],[Store ID]],tblStores[Store ID],tblStores[Manager])</f>
        <v>Mark Wilson</v>
      </c>
      <c r="G1270" t="str">
        <f>_xlfn.XLOOKUP(tblSales[[#This Row],[Category ID]],tblCategories[Category ID],tblCategories[Category])</f>
        <v>Ladieswear</v>
      </c>
      <c r="H1270">
        <v>31229</v>
      </c>
      <c r="I1270">
        <v>33859</v>
      </c>
      <c r="J1270">
        <v>167</v>
      </c>
      <c r="K1270">
        <f>tblSales[[#This Row],[Sales]]-tblSales[[#This Row],[Budget]]</f>
        <v>-2630</v>
      </c>
      <c r="L1270" s="3">
        <f>(tblSales[[#This Row],[Sales]]-tblSales[[#This Row],[Budget]])/tblSales[[#This Row],[Budget]]</f>
        <v>-7.7675064236982783E-2</v>
      </c>
      <c r="M1270" s="2">
        <f>tblSales[[#This Row],[Sales]]/tblSales[[#This Row],[Transactions]]</f>
        <v>187</v>
      </c>
    </row>
    <row r="1271" spans="1:13" x14ac:dyDescent="0.25">
      <c r="A1271" s="1">
        <v>46086</v>
      </c>
      <c r="B1271" t="s">
        <v>18</v>
      </c>
      <c r="C1271" t="s">
        <v>7</v>
      </c>
      <c r="D1271" t="str">
        <f>_xlfn.XLOOKUP(tblSales[[#This Row],[Store ID]],tblStores[Store ID],tblStores[Store Name])</f>
        <v>East Rand</v>
      </c>
      <c r="E1271" t="str">
        <f>_xlfn.XLOOKUP(tblSales[[#This Row],[Store ID]],tblStores[Store ID],tblStores[Province])</f>
        <v>Gauteng</v>
      </c>
      <c r="F1271" t="str">
        <f>_xlfn.XLOOKUP(tblSales[[#This Row],[Store ID]],tblStores[Store ID],tblStores[Manager])</f>
        <v>Lisa Young</v>
      </c>
      <c r="G1271" t="str">
        <f>_xlfn.XLOOKUP(tblSales[[#This Row],[Category ID]],tblCategories[Category ID],tblCategories[Category])</f>
        <v>Menswear</v>
      </c>
      <c r="H1271">
        <v>26738</v>
      </c>
      <c r="I1271">
        <v>25965</v>
      </c>
      <c r="J1271">
        <v>58</v>
      </c>
      <c r="K1271">
        <f>tblSales[[#This Row],[Sales]]-tblSales[[#This Row],[Budget]]</f>
        <v>773</v>
      </c>
      <c r="L1271" s="3">
        <f>(tblSales[[#This Row],[Sales]]-tblSales[[#This Row],[Budget]])/tblSales[[#This Row],[Budget]]</f>
        <v>2.9770845368765647E-2</v>
      </c>
      <c r="M1271" s="2">
        <f>tblSales[[#This Row],[Sales]]/tblSales[[#This Row],[Transactions]]</f>
        <v>461</v>
      </c>
    </row>
    <row r="1272" spans="1:13" x14ac:dyDescent="0.25">
      <c r="A1272" s="1">
        <v>46086</v>
      </c>
      <c r="B1272" t="s">
        <v>20</v>
      </c>
      <c r="C1272" t="s">
        <v>19</v>
      </c>
      <c r="D1272" t="str">
        <f>_xlfn.XLOOKUP(tblSales[[#This Row],[Store ID]],tblStores[Store ID],tblStores[Store Name])</f>
        <v>Cape Town CBD</v>
      </c>
      <c r="E1272" t="str">
        <f>_xlfn.XLOOKUP(tblSales[[#This Row],[Store ID]],tblStores[Store ID],tblStores[Province])</f>
        <v>Western Cape</v>
      </c>
      <c r="F1272" t="str">
        <f>_xlfn.XLOOKUP(tblSales[[#This Row],[Store ID]],tblStores[Store ID],tblStores[Manager])</f>
        <v>Brian Hall</v>
      </c>
      <c r="G1272" t="str">
        <f>_xlfn.XLOOKUP(tblSales[[#This Row],[Category ID]],tblCategories[Category ID],tblCategories[Category])</f>
        <v>Accessories</v>
      </c>
      <c r="H1272">
        <v>65872</v>
      </c>
      <c r="I1272">
        <v>65007</v>
      </c>
      <c r="J1272">
        <v>184</v>
      </c>
      <c r="K1272">
        <f>tblSales[[#This Row],[Sales]]-tblSales[[#This Row],[Budget]]</f>
        <v>865</v>
      </c>
      <c r="L1272" s="3">
        <f>(tblSales[[#This Row],[Sales]]-tblSales[[#This Row],[Budget]])/tblSales[[#This Row],[Budget]]</f>
        <v>1.3306259325918748E-2</v>
      </c>
      <c r="M1272" s="2">
        <f>tblSales[[#This Row],[Sales]]/tblSales[[#This Row],[Transactions]]</f>
        <v>358</v>
      </c>
    </row>
    <row r="1273" spans="1:13" x14ac:dyDescent="0.25">
      <c r="A1273" s="1">
        <v>46086</v>
      </c>
      <c r="B1273" t="s">
        <v>21</v>
      </c>
      <c r="C1273" t="s">
        <v>22</v>
      </c>
      <c r="D1273" t="str">
        <f>_xlfn.XLOOKUP(tblSales[[#This Row],[Store ID]],tblStores[Store ID],tblStores[Store Name])</f>
        <v>Canal Walk</v>
      </c>
      <c r="E1273" t="str">
        <f>_xlfn.XLOOKUP(tblSales[[#This Row],[Store ID]],tblStores[Store ID],tblStores[Province])</f>
        <v>Western Cape</v>
      </c>
      <c r="F1273" t="str">
        <f>_xlfn.XLOOKUP(tblSales[[#This Row],[Store ID]],tblStores[Store ID],tblStores[Manager])</f>
        <v>Megan Scott</v>
      </c>
      <c r="G1273" t="str">
        <f>_xlfn.XLOOKUP(tblSales[[#This Row],[Category ID]],tblCategories[Category ID],tblCategories[Category])</f>
        <v>Kids</v>
      </c>
      <c r="H1273">
        <v>45080</v>
      </c>
      <c r="I1273">
        <v>51425</v>
      </c>
      <c r="J1273">
        <v>92</v>
      </c>
      <c r="K1273">
        <f>tblSales[[#This Row],[Sales]]-tblSales[[#This Row],[Budget]]</f>
        <v>-6345</v>
      </c>
      <c r="L1273" s="3">
        <f>(tblSales[[#This Row],[Sales]]-tblSales[[#This Row],[Budget]])/tblSales[[#This Row],[Budget]]</f>
        <v>-0.1233835683033544</v>
      </c>
      <c r="M1273" s="2">
        <f>tblSales[[#This Row],[Sales]]/tblSales[[#This Row],[Transactions]]</f>
        <v>490</v>
      </c>
    </row>
    <row r="1274" spans="1:13" x14ac:dyDescent="0.25">
      <c r="A1274" s="1">
        <v>46086</v>
      </c>
      <c r="B1274" t="s">
        <v>23</v>
      </c>
      <c r="C1274" t="s">
        <v>11</v>
      </c>
      <c r="D1274" t="str">
        <f>_xlfn.XLOOKUP(tblSales[[#This Row],[Store ID]],tblStores[Store ID],tblStores[Store Name])</f>
        <v>Stellenbosch</v>
      </c>
      <c r="E1274" t="str">
        <f>_xlfn.XLOOKUP(tblSales[[#This Row],[Store ID]],tblStores[Store ID],tblStores[Province])</f>
        <v>Western Cape</v>
      </c>
      <c r="F1274" t="str">
        <f>_xlfn.XLOOKUP(tblSales[[#This Row],[Store ID]],tblStores[Store ID],tblStores[Manager])</f>
        <v>Jason King</v>
      </c>
      <c r="G1274" t="str">
        <f>_xlfn.XLOOKUP(tblSales[[#This Row],[Category ID]],tblCategories[Category ID],tblCategories[Category])</f>
        <v>Footwear</v>
      </c>
      <c r="H1274">
        <v>65412</v>
      </c>
      <c r="I1274">
        <v>58946</v>
      </c>
      <c r="J1274">
        <v>138</v>
      </c>
      <c r="K1274">
        <f>tblSales[[#This Row],[Sales]]-tblSales[[#This Row],[Budget]]</f>
        <v>6466</v>
      </c>
      <c r="L1274" s="3">
        <f>(tblSales[[#This Row],[Sales]]-tblSales[[#This Row],[Budget]])/tblSales[[#This Row],[Budget]]</f>
        <v>0.1096936178875581</v>
      </c>
      <c r="M1274" s="2">
        <f>tblSales[[#This Row],[Sales]]/tblSales[[#This Row],[Transactions]]</f>
        <v>474</v>
      </c>
    </row>
    <row r="1275" spans="1:13" x14ac:dyDescent="0.25">
      <c r="A1275" s="1">
        <v>46086</v>
      </c>
      <c r="B1275" t="s">
        <v>24</v>
      </c>
      <c r="C1275" t="s">
        <v>9</v>
      </c>
      <c r="D1275" t="str">
        <f>_xlfn.XLOOKUP(tblSales[[#This Row],[Store ID]],tblStores[Store ID],tblStores[Store Name])</f>
        <v>George</v>
      </c>
      <c r="E1275" t="str">
        <f>_xlfn.XLOOKUP(tblSales[[#This Row],[Store ID]],tblStores[Store ID],tblStores[Province])</f>
        <v>Western Cape</v>
      </c>
      <c r="F1275" t="str">
        <f>_xlfn.XLOOKUP(tblSales[[#This Row],[Store ID]],tblStores[Store ID],tblStores[Manager])</f>
        <v>Chloe Hill</v>
      </c>
      <c r="G1275" t="str">
        <f>_xlfn.XLOOKUP(tblSales[[#This Row],[Category ID]],tblCategories[Category ID],tblCategories[Category])</f>
        <v>Ladieswear</v>
      </c>
      <c r="H1275">
        <v>61021</v>
      </c>
      <c r="I1275">
        <v>56543</v>
      </c>
      <c r="J1275">
        <v>139</v>
      </c>
      <c r="K1275">
        <f>tblSales[[#This Row],[Sales]]-tblSales[[#This Row],[Budget]]</f>
        <v>4478</v>
      </c>
      <c r="L1275" s="3">
        <f>(tblSales[[#This Row],[Sales]]-tblSales[[#This Row],[Budget]])/tblSales[[#This Row],[Budget]]</f>
        <v>7.9196363829298053E-2</v>
      </c>
      <c r="M1275" s="2">
        <f>tblSales[[#This Row],[Sales]]/tblSales[[#This Row],[Transactions]]</f>
        <v>439</v>
      </c>
    </row>
    <row r="1276" spans="1:13" x14ac:dyDescent="0.25">
      <c r="A1276" s="1">
        <v>46086</v>
      </c>
      <c r="B1276" t="s">
        <v>25</v>
      </c>
      <c r="C1276" t="s">
        <v>7</v>
      </c>
      <c r="D1276" t="str">
        <f>_xlfn.XLOOKUP(tblSales[[#This Row],[Store ID]],tblStores[Store ID],tblStores[Store Name])</f>
        <v>Paarl</v>
      </c>
      <c r="E1276" t="str">
        <f>_xlfn.XLOOKUP(tblSales[[#This Row],[Store ID]],tblStores[Store ID],tblStores[Province])</f>
        <v>Western Cape</v>
      </c>
      <c r="F1276" t="str">
        <f>_xlfn.XLOOKUP(tblSales[[#This Row],[Store ID]],tblStores[Store ID],tblStores[Manager])</f>
        <v>Andrew Lee</v>
      </c>
      <c r="G1276" t="str">
        <f>_xlfn.XLOOKUP(tblSales[[#This Row],[Category ID]],tblCategories[Category ID],tblCategories[Category])</f>
        <v>Menswear</v>
      </c>
      <c r="H1276">
        <v>53790</v>
      </c>
      <c r="I1276">
        <v>52982</v>
      </c>
      <c r="J1276">
        <v>163</v>
      </c>
      <c r="K1276">
        <f>tblSales[[#This Row],[Sales]]-tblSales[[#This Row],[Budget]]</f>
        <v>808</v>
      </c>
      <c r="L1276" s="3">
        <f>(tblSales[[#This Row],[Sales]]-tblSales[[#This Row],[Budget]])/tblSales[[#This Row],[Budget]]</f>
        <v>1.5250462421199653E-2</v>
      </c>
      <c r="M1276" s="2">
        <f>tblSales[[#This Row],[Sales]]/tblSales[[#This Row],[Transactions]]</f>
        <v>330</v>
      </c>
    </row>
    <row r="1277" spans="1:13" x14ac:dyDescent="0.25">
      <c r="A1277" s="1">
        <v>46086</v>
      </c>
      <c r="B1277" t="s">
        <v>26</v>
      </c>
      <c r="C1277" t="s">
        <v>7</v>
      </c>
      <c r="D1277" t="str">
        <f>_xlfn.XLOOKUP(tblSales[[#This Row],[Store ID]],tblStores[Store ID],tblStores[Store Name])</f>
        <v>Gqeberha</v>
      </c>
      <c r="E1277" t="str">
        <f>_xlfn.XLOOKUP(tblSales[[#This Row],[Store ID]],tblStores[Store ID],tblStores[Province])</f>
        <v>Eastern Cape</v>
      </c>
      <c r="F1277" t="str">
        <f>_xlfn.XLOOKUP(tblSales[[#This Row],[Store ID]],tblStores[Store ID],tblStores[Manager])</f>
        <v>Emma Baker</v>
      </c>
      <c r="G1277" t="str">
        <f>_xlfn.XLOOKUP(tblSales[[#This Row],[Category ID]],tblCategories[Category ID],tblCategories[Category])</f>
        <v>Menswear</v>
      </c>
      <c r="H1277">
        <v>51626</v>
      </c>
      <c r="I1277">
        <v>57770</v>
      </c>
      <c r="J1277">
        <v>166</v>
      </c>
      <c r="K1277">
        <f>tblSales[[#This Row],[Sales]]-tblSales[[#This Row],[Budget]]</f>
        <v>-6144</v>
      </c>
      <c r="L1277" s="3">
        <f>(tblSales[[#This Row],[Sales]]-tblSales[[#This Row],[Budget]])/tblSales[[#This Row],[Budget]]</f>
        <v>-0.10635277825861174</v>
      </c>
      <c r="M1277" s="2">
        <f>tblSales[[#This Row],[Sales]]/tblSales[[#This Row],[Transactions]]</f>
        <v>311</v>
      </c>
    </row>
    <row r="1278" spans="1:13" x14ac:dyDescent="0.25">
      <c r="A1278" s="1">
        <v>46086</v>
      </c>
      <c r="B1278" t="s">
        <v>27</v>
      </c>
      <c r="C1278" t="s">
        <v>19</v>
      </c>
      <c r="D1278" t="str">
        <f>_xlfn.XLOOKUP(tblSales[[#This Row],[Store ID]],tblStores[Store ID],tblStores[Store Name])</f>
        <v>East London</v>
      </c>
      <c r="E1278" t="str">
        <f>_xlfn.XLOOKUP(tblSales[[#This Row],[Store ID]],tblStores[Store ID],tblStores[Province])</f>
        <v>Eastern Cape</v>
      </c>
      <c r="F1278" t="str">
        <f>_xlfn.XLOOKUP(tblSales[[#This Row],[Store ID]],tblStores[Store ID],tblStores[Manager])</f>
        <v>Daniel Evans</v>
      </c>
      <c r="G1278" t="str">
        <f>_xlfn.XLOOKUP(tblSales[[#This Row],[Category ID]],tblCategories[Category ID],tblCategories[Category])</f>
        <v>Accessories</v>
      </c>
      <c r="H1278">
        <v>40194</v>
      </c>
      <c r="I1278">
        <v>45882</v>
      </c>
      <c r="J1278">
        <v>99</v>
      </c>
      <c r="K1278">
        <f>tblSales[[#This Row],[Sales]]-tblSales[[#This Row],[Budget]]</f>
        <v>-5688</v>
      </c>
      <c r="L1278" s="3">
        <f>(tblSales[[#This Row],[Sales]]-tblSales[[#This Row],[Budget]])/tblSales[[#This Row],[Budget]]</f>
        <v>-0.12397018438603374</v>
      </c>
      <c r="M1278" s="2">
        <f>tblSales[[#This Row],[Sales]]/tblSales[[#This Row],[Transactions]]</f>
        <v>406</v>
      </c>
    </row>
    <row r="1279" spans="1:13" x14ac:dyDescent="0.25">
      <c r="A1279" s="1">
        <v>46086</v>
      </c>
      <c r="B1279" t="s">
        <v>28</v>
      </c>
      <c r="C1279" t="s">
        <v>19</v>
      </c>
      <c r="D1279" t="str">
        <f>_xlfn.XLOOKUP(tblSales[[#This Row],[Store ID]],tblStores[Store ID],tblStores[Store Name])</f>
        <v>Bloemfontein</v>
      </c>
      <c r="E1279" t="str">
        <f>_xlfn.XLOOKUP(tblSales[[#This Row],[Store ID]],tblStores[Store ID],tblStores[Province])</f>
        <v>Free State</v>
      </c>
      <c r="F1279" t="str">
        <f>_xlfn.XLOOKUP(tblSales[[#This Row],[Store ID]],tblStores[Store ID],tblStores[Manager])</f>
        <v>Rachel Moore</v>
      </c>
      <c r="G1279" t="str">
        <f>_xlfn.XLOOKUP(tblSales[[#This Row],[Category ID]],tblCategories[Category ID],tblCategories[Category])</f>
        <v>Accessories</v>
      </c>
      <c r="H1279">
        <v>48032</v>
      </c>
      <c r="I1279">
        <v>52324</v>
      </c>
      <c r="J1279">
        <v>158</v>
      </c>
      <c r="K1279">
        <f>tblSales[[#This Row],[Sales]]-tblSales[[#This Row],[Budget]]</f>
        <v>-4292</v>
      </c>
      <c r="L1279" s="3">
        <f>(tblSales[[#This Row],[Sales]]-tblSales[[#This Row],[Budget]])/tblSales[[#This Row],[Budget]]</f>
        <v>-8.2027367938231024E-2</v>
      </c>
      <c r="M1279" s="2">
        <f>tblSales[[#This Row],[Sales]]/tblSales[[#This Row],[Transactions]]</f>
        <v>304</v>
      </c>
    </row>
    <row r="1280" spans="1:13" x14ac:dyDescent="0.25">
      <c r="A1280" s="1">
        <v>46086</v>
      </c>
      <c r="B1280" t="s">
        <v>29</v>
      </c>
      <c r="C1280" t="s">
        <v>11</v>
      </c>
      <c r="D1280" t="str">
        <f>_xlfn.XLOOKUP(tblSales[[#This Row],[Store ID]],tblStores[Store ID],tblStores[Store Name])</f>
        <v>Polokwane</v>
      </c>
      <c r="E1280" t="str">
        <f>_xlfn.XLOOKUP(tblSales[[#This Row],[Store ID]],tblStores[Store ID],tblStores[Province])</f>
        <v>Limpopo</v>
      </c>
      <c r="F1280" t="str">
        <f>_xlfn.XLOOKUP(tblSales[[#This Row],[Store ID]],tblStores[Store ID],tblStores[Manager])</f>
        <v>Kevin Harris</v>
      </c>
      <c r="G1280" t="str">
        <f>_xlfn.XLOOKUP(tblSales[[#This Row],[Category ID]],tblCategories[Category ID],tblCategories[Category])</f>
        <v>Footwear</v>
      </c>
      <c r="H1280">
        <v>86735</v>
      </c>
      <c r="I1280">
        <v>97501</v>
      </c>
      <c r="J1280">
        <v>209</v>
      </c>
      <c r="K1280">
        <f>tblSales[[#This Row],[Sales]]-tblSales[[#This Row],[Budget]]</f>
        <v>-10766</v>
      </c>
      <c r="L1280" s="3">
        <f>(tblSales[[#This Row],[Sales]]-tblSales[[#This Row],[Budget]])/tblSales[[#This Row],[Budget]]</f>
        <v>-0.11041938031404806</v>
      </c>
      <c r="M1280" s="2">
        <f>tblSales[[#This Row],[Sales]]/tblSales[[#This Row],[Transactions]]</f>
        <v>415</v>
      </c>
    </row>
    <row r="1281" spans="1:13" x14ac:dyDescent="0.25">
      <c r="A1281" s="1">
        <v>46086</v>
      </c>
      <c r="B1281" t="s">
        <v>30</v>
      </c>
      <c r="C1281" t="s">
        <v>7</v>
      </c>
      <c r="D1281" t="str">
        <f>_xlfn.XLOOKUP(tblSales[[#This Row],[Store ID]],tblStores[Store ID],tblStores[Store Name])</f>
        <v>Nelspruit</v>
      </c>
      <c r="E1281" t="str">
        <f>_xlfn.XLOOKUP(tblSales[[#This Row],[Store ID]],tblStores[Store ID],tblStores[Province])</f>
        <v>Mpumalanga</v>
      </c>
      <c r="F1281" t="str">
        <f>_xlfn.XLOOKUP(tblSales[[#This Row],[Store ID]],tblStores[Store ID],tblStores[Manager])</f>
        <v>Olivia Turner</v>
      </c>
      <c r="G1281" t="str">
        <f>_xlfn.XLOOKUP(tblSales[[#This Row],[Category ID]],tblCategories[Category ID],tblCategories[Category])</f>
        <v>Menswear</v>
      </c>
      <c r="H1281">
        <v>37762</v>
      </c>
      <c r="I1281">
        <v>36419</v>
      </c>
      <c r="J1281">
        <v>158</v>
      </c>
      <c r="K1281">
        <f>tblSales[[#This Row],[Sales]]-tblSales[[#This Row],[Budget]]</f>
        <v>1343</v>
      </c>
      <c r="L1281" s="3">
        <f>(tblSales[[#This Row],[Sales]]-tblSales[[#This Row],[Budget]])/tblSales[[#This Row],[Budget]]</f>
        <v>3.6876355748373099E-2</v>
      </c>
      <c r="M1281" s="2">
        <f>tblSales[[#This Row],[Sales]]/tblSales[[#This Row],[Transactions]]</f>
        <v>239</v>
      </c>
    </row>
    <row r="1282" spans="1:13" x14ac:dyDescent="0.25">
      <c r="A1282" s="1">
        <v>46087</v>
      </c>
      <c r="B1282" t="s">
        <v>6</v>
      </c>
      <c r="C1282" t="s">
        <v>11</v>
      </c>
      <c r="D1282" t="str">
        <f>_xlfn.XLOOKUP(tblSales[[#This Row],[Store ID]],tblStores[Store ID],tblStores[Store Name])</f>
        <v>Durban CBD</v>
      </c>
      <c r="E1282" t="str">
        <f>_xlfn.XLOOKUP(tblSales[[#This Row],[Store ID]],tblStores[Store ID],tblStores[Province])</f>
        <v>KZN</v>
      </c>
      <c r="F1282" t="str">
        <f>_xlfn.XLOOKUP(tblSales[[#This Row],[Store ID]],tblStores[Store ID],tblStores[Manager])</f>
        <v>Sarah Adams</v>
      </c>
      <c r="G1282" t="str">
        <f>_xlfn.XLOOKUP(tblSales[[#This Row],[Category ID]],tblCategories[Category ID],tblCategories[Category])</f>
        <v>Footwear</v>
      </c>
      <c r="H1282">
        <v>57524</v>
      </c>
      <c r="I1282">
        <v>61506</v>
      </c>
      <c r="J1282">
        <v>197</v>
      </c>
      <c r="K1282">
        <f>tblSales[[#This Row],[Sales]]-tblSales[[#This Row],[Budget]]</f>
        <v>-3982</v>
      </c>
      <c r="L1282" s="3">
        <f>(tblSales[[#This Row],[Sales]]-tblSales[[#This Row],[Budget]])/tblSales[[#This Row],[Budget]]</f>
        <v>-6.4741651221019089E-2</v>
      </c>
      <c r="M1282" s="2">
        <f>tblSales[[#This Row],[Sales]]/tblSales[[#This Row],[Transactions]]</f>
        <v>292</v>
      </c>
    </row>
    <row r="1283" spans="1:13" x14ac:dyDescent="0.25">
      <c r="A1283" s="1">
        <v>46087</v>
      </c>
      <c r="B1283" t="s">
        <v>8</v>
      </c>
      <c r="C1283" t="s">
        <v>9</v>
      </c>
      <c r="D1283" t="str">
        <f>_xlfn.XLOOKUP(tblSales[[#This Row],[Store ID]],tblStores[Store ID],tblStores[Store Name])</f>
        <v>Gateway</v>
      </c>
      <c r="E1283" t="str">
        <f>_xlfn.XLOOKUP(tblSales[[#This Row],[Store ID]],tblStores[Store ID],tblStores[Province])</f>
        <v>KZN</v>
      </c>
      <c r="F1283" t="str">
        <f>_xlfn.XLOOKUP(tblSales[[#This Row],[Store ID]],tblStores[Store ID],tblStores[Manager])</f>
        <v>Michael Jones</v>
      </c>
      <c r="G1283" t="str">
        <f>_xlfn.XLOOKUP(tblSales[[#This Row],[Category ID]],tblCategories[Category ID],tblCategories[Category])</f>
        <v>Ladieswear</v>
      </c>
      <c r="H1283">
        <v>44965</v>
      </c>
      <c r="I1283">
        <v>51208</v>
      </c>
      <c r="J1283">
        <v>115</v>
      </c>
      <c r="K1283">
        <f>tblSales[[#This Row],[Sales]]-tblSales[[#This Row],[Budget]]</f>
        <v>-6243</v>
      </c>
      <c r="L1283" s="3">
        <f>(tblSales[[#This Row],[Sales]]-tblSales[[#This Row],[Budget]])/tblSales[[#This Row],[Budget]]</f>
        <v>-0.12191454460240587</v>
      </c>
      <c r="M1283" s="2">
        <f>tblSales[[#This Row],[Sales]]/tblSales[[#This Row],[Transactions]]</f>
        <v>391</v>
      </c>
    </row>
    <row r="1284" spans="1:13" x14ac:dyDescent="0.25">
      <c r="A1284" s="1">
        <v>46087</v>
      </c>
      <c r="B1284" t="s">
        <v>10</v>
      </c>
      <c r="C1284" t="s">
        <v>19</v>
      </c>
      <c r="D1284" t="str">
        <f>_xlfn.XLOOKUP(tblSales[[#This Row],[Store ID]],tblStores[Store ID],tblStores[Store Name])</f>
        <v>Ballito</v>
      </c>
      <c r="E1284" t="str">
        <f>_xlfn.XLOOKUP(tblSales[[#This Row],[Store ID]],tblStores[Store ID],tblStores[Province])</f>
        <v>KZN</v>
      </c>
      <c r="F1284" t="str">
        <f>_xlfn.XLOOKUP(tblSales[[#This Row],[Store ID]],tblStores[Store ID],tblStores[Manager])</f>
        <v>Linda Smith</v>
      </c>
      <c r="G1284" t="str">
        <f>_xlfn.XLOOKUP(tblSales[[#This Row],[Category ID]],tblCategories[Category ID],tblCategories[Category])</f>
        <v>Accessories</v>
      </c>
      <c r="H1284">
        <v>31648</v>
      </c>
      <c r="I1284">
        <v>34028</v>
      </c>
      <c r="J1284">
        <v>172</v>
      </c>
      <c r="K1284">
        <f>tblSales[[#This Row],[Sales]]-tblSales[[#This Row],[Budget]]</f>
        <v>-2380</v>
      </c>
      <c r="L1284" s="3">
        <f>(tblSales[[#This Row],[Sales]]-tblSales[[#This Row],[Budget]])/tblSales[[#This Row],[Budget]]</f>
        <v>-6.9942400376160813E-2</v>
      </c>
      <c r="M1284" s="2">
        <f>tblSales[[#This Row],[Sales]]/tblSales[[#This Row],[Transactions]]</f>
        <v>184</v>
      </c>
    </row>
    <row r="1285" spans="1:13" x14ac:dyDescent="0.25">
      <c r="A1285" s="1">
        <v>46087</v>
      </c>
      <c r="B1285" t="s">
        <v>12</v>
      </c>
      <c r="C1285" t="s">
        <v>22</v>
      </c>
      <c r="D1285" t="str">
        <f>_xlfn.XLOOKUP(tblSales[[#This Row],[Store ID]],tblStores[Store ID],tblStores[Store Name])</f>
        <v>Pietermaritzburg</v>
      </c>
      <c r="E1285" t="str">
        <f>_xlfn.XLOOKUP(tblSales[[#This Row],[Store ID]],tblStores[Store ID],tblStores[Province])</f>
        <v>KZN</v>
      </c>
      <c r="F1285" t="str">
        <f>_xlfn.XLOOKUP(tblSales[[#This Row],[Store ID]],tblStores[Store ID],tblStores[Manager])</f>
        <v>Peter Brown</v>
      </c>
      <c r="G1285" t="str">
        <f>_xlfn.XLOOKUP(tblSales[[#This Row],[Category ID]],tblCategories[Category ID],tblCategories[Category])</f>
        <v>Kids</v>
      </c>
      <c r="H1285">
        <v>32046</v>
      </c>
      <c r="I1285">
        <v>29586</v>
      </c>
      <c r="J1285">
        <v>98</v>
      </c>
      <c r="K1285">
        <f>tblSales[[#This Row],[Sales]]-tblSales[[#This Row],[Budget]]</f>
        <v>2460</v>
      </c>
      <c r="L1285" s="3">
        <f>(tblSales[[#This Row],[Sales]]-tblSales[[#This Row],[Budget]])/tblSales[[#This Row],[Budget]]</f>
        <v>8.3147434597444739E-2</v>
      </c>
      <c r="M1285" s="2">
        <f>tblSales[[#This Row],[Sales]]/tblSales[[#This Row],[Transactions]]</f>
        <v>327</v>
      </c>
    </row>
    <row r="1286" spans="1:13" x14ac:dyDescent="0.25">
      <c r="A1286" s="1">
        <v>46087</v>
      </c>
      <c r="B1286" t="s">
        <v>13</v>
      </c>
      <c r="C1286" t="s">
        <v>22</v>
      </c>
      <c r="D1286" t="str">
        <f>_xlfn.XLOOKUP(tblSales[[#This Row],[Store ID]],tblStores[Store ID],tblStores[Store Name])</f>
        <v>Richards Bay</v>
      </c>
      <c r="E1286" t="str">
        <f>_xlfn.XLOOKUP(tblSales[[#This Row],[Store ID]],tblStores[Store ID],tblStores[Province])</f>
        <v>KZN</v>
      </c>
      <c r="F1286" t="str">
        <f>_xlfn.XLOOKUP(tblSales[[#This Row],[Store ID]],tblStores[Store ID],tblStores[Manager])</f>
        <v>David Green</v>
      </c>
      <c r="G1286" t="str">
        <f>_xlfn.XLOOKUP(tblSales[[#This Row],[Category ID]],tblCategories[Category ID],tblCategories[Category])</f>
        <v>Kids</v>
      </c>
      <c r="H1286">
        <v>25002</v>
      </c>
      <c r="I1286">
        <v>28323</v>
      </c>
      <c r="J1286">
        <v>54</v>
      </c>
      <c r="K1286">
        <f>tblSales[[#This Row],[Sales]]-tblSales[[#This Row],[Budget]]</f>
        <v>-3321</v>
      </c>
      <c r="L1286" s="3">
        <f>(tblSales[[#This Row],[Sales]]-tblSales[[#This Row],[Budget]])/tblSales[[#This Row],[Budget]]</f>
        <v>-0.11725452812202097</v>
      </c>
      <c r="M1286" s="2">
        <f>tblSales[[#This Row],[Sales]]/tblSales[[#This Row],[Transactions]]</f>
        <v>463</v>
      </c>
    </row>
    <row r="1287" spans="1:13" x14ac:dyDescent="0.25">
      <c r="A1287" s="1">
        <v>46087</v>
      </c>
      <c r="B1287" t="s">
        <v>14</v>
      </c>
      <c r="C1287" t="s">
        <v>11</v>
      </c>
      <c r="D1287" t="str">
        <f>_xlfn.XLOOKUP(tblSales[[#This Row],[Store ID]],tblStores[Store ID],tblStores[Store Name])</f>
        <v>Sandton</v>
      </c>
      <c r="E1287" t="str">
        <f>_xlfn.XLOOKUP(tblSales[[#This Row],[Store ID]],tblStores[Store ID],tblStores[Province])</f>
        <v>Gauteng</v>
      </c>
      <c r="F1287" t="str">
        <f>_xlfn.XLOOKUP(tblSales[[#This Row],[Store ID]],tblStores[Store ID],tblStores[Manager])</f>
        <v>Karen White</v>
      </c>
      <c r="G1287" t="str">
        <f>_xlfn.XLOOKUP(tblSales[[#This Row],[Category ID]],tblCategories[Category ID],tblCategories[Category])</f>
        <v>Footwear</v>
      </c>
      <c r="H1287">
        <v>41515</v>
      </c>
      <c r="I1287">
        <v>39631</v>
      </c>
      <c r="J1287">
        <v>115</v>
      </c>
      <c r="K1287">
        <f>tblSales[[#This Row],[Sales]]-tblSales[[#This Row],[Budget]]</f>
        <v>1884</v>
      </c>
      <c r="L1287" s="3">
        <f>(tblSales[[#This Row],[Sales]]-tblSales[[#This Row],[Budget]])/tblSales[[#This Row],[Budget]]</f>
        <v>4.753854305972597E-2</v>
      </c>
      <c r="M1287" s="2">
        <f>tblSales[[#This Row],[Sales]]/tblSales[[#This Row],[Transactions]]</f>
        <v>361</v>
      </c>
    </row>
    <row r="1288" spans="1:13" x14ac:dyDescent="0.25">
      <c r="A1288" s="1">
        <v>46087</v>
      </c>
      <c r="B1288" t="s">
        <v>15</v>
      </c>
      <c r="C1288" t="s">
        <v>19</v>
      </c>
      <c r="D1288" t="str">
        <f>_xlfn.XLOOKUP(tblSales[[#This Row],[Store ID]],tblStores[Store ID],tblStores[Store Name])</f>
        <v>Rosebank</v>
      </c>
      <c r="E1288" t="str">
        <f>_xlfn.XLOOKUP(tblSales[[#This Row],[Store ID]],tblStores[Store ID],tblStores[Province])</f>
        <v>Gauteng</v>
      </c>
      <c r="F1288" t="str">
        <f>_xlfn.XLOOKUP(tblSales[[#This Row],[Store ID]],tblStores[Store ID],tblStores[Manager])</f>
        <v>James Taylor</v>
      </c>
      <c r="G1288" t="str">
        <f>_xlfn.XLOOKUP(tblSales[[#This Row],[Category ID]],tblCategories[Category ID],tblCategories[Category])</f>
        <v>Accessories</v>
      </c>
      <c r="H1288">
        <v>28119</v>
      </c>
      <c r="I1288">
        <v>31965</v>
      </c>
      <c r="J1288">
        <v>103</v>
      </c>
      <c r="K1288">
        <f>tblSales[[#This Row],[Sales]]-tblSales[[#This Row],[Budget]]</f>
        <v>-3846</v>
      </c>
      <c r="L1288" s="3">
        <f>(tblSales[[#This Row],[Sales]]-tblSales[[#This Row],[Budget]])/tblSales[[#This Row],[Budget]]</f>
        <v>-0.12031909901454717</v>
      </c>
      <c r="M1288" s="2">
        <f>tblSales[[#This Row],[Sales]]/tblSales[[#This Row],[Transactions]]</f>
        <v>273</v>
      </c>
    </row>
    <row r="1289" spans="1:13" x14ac:dyDescent="0.25">
      <c r="A1289" s="1">
        <v>46087</v>
      </c>
      <c r="B1289" t="s">
        <v>16</v>
      </c>
      <c r="C1289" t="s">
        <v>9</v>
      </c>
      <c r="D1289" t="str">
        <f>_xlfn.XLOOKUP(tblSales[[#This Row],[Store ID]],tblStores[Store ID],tblStores[Store Name])</f>
        <v>Pretoria</v>
      </c>
      <c r="E1289" t="str">
        <f>_xlfn.XLOOKUP(tblSales[[#This Row],[Store ID]],tblStores[Store ID],tblStores[Province])</f>
        <v>Gauteng</v>
      </c>
      <c r="F1289" t="str">
        <f>_xlfn.XLOOKUP(tblSales[[#This Row],[Store ID]],tblStores[Store ID],tblStores[Manager])</f>
        <v>Susan Clark</v>
      </c>
      <c r="G1289" t="str">
        <f>_xlfn.XLOOKUP(tblSales[[#This Row],[Category ID]],tblCategories[Category ID],tblCategories[Category])</f>
        <v>Ladieswear</v>
      </c>
      <c r="H1289">
        <v>45684</v>
      </c>
      <c r="I1289">
        <v>43797</v>
      </c>
      <c r="J1289">
        <v>162</v>
      </c>
      <c r="K1289">
        <f>tblSales[[#This Row],[Sales]]-tblSales[[#This Row],[Budget]]</f>
        <v>1887</v>
      </c>
      <c r="L1289" s="3">
        <f>(tblSales[[#This Row],[Sales]]-tblSales[[#This Row],[Budget]])/tblSales[[#This Row],[Budget]]</f>
        <v>4.3085142818001236E-2</v>
      </c>
      <c r="M1289" s="2">
        <f>tblSales[[#This Row],[Sales]]/tblSales[[#This Row],[Transactions]]</f>
        <v>282</v>
      </c>
    </row>
    <row r="1290" spans="1:13" x14ac:dyDescent="0.25">
      <c r="A1290" s="1">
        <v>46087</v>
      </c>
      <c r="B1290" t="s">
        <v>17</v>
      </c>
      <c r="C1290" t="s">
        <v>9</v>
      </c>
      <c r="D1290" t="str">
        <f>_xlfn.XLOOKUP(tblSales[[#This Row],[Store ID]],tblStores[Store ID],tblStores[Store Name])</f>
        <v>Centurion</v>
      </c>
      <c r="E1290" t="str">
        <f>_xlfn.XLOOKUP(tblSales[[#This Row],[Store ID]],tblStores[Store ID],tblStores[Province])</f>
        <v>Gauteng</v>
      </c>
      <c r="F1290" t="str">
        <f>_xlfn.XLOOKUP(tblSales[[#This Row],[Store ID]],tblStores[Store ID],tblStores[Manager])</f>
        <v>Mark Wilson</v>
      </c>
      <c r="G1290" t="str">
        <f>_xlfn.XLOOKUP(tblSales[[#This Row],[Category ID]],tblCategories[Category ID],tblCategories[Category])</f>
        <v>Ladieswear</v>
      </c>
      <c r="H1290">
        <v>29070</v>
      </c>
      <c r="I1290">
        <v>27828</v>
      </c>
      <c r="J1290">
        <v>102</v>
      </c>
      <c r="K1290">
        <f>tblSales[[#This Row],[Sales]]-tblSales[[#This Row],[Budget]]</f>
        <v>1242</v>
      </c>
      <c r="L1290" s="3">
        <f>(tblSales[[#This Row],[Sales]]-tblSales[[#This Row],[Budget]])/tblSales[[#This Row],[Budget]]</f>
        <v>4.4631306597671408E-2</v>
      </c>
      <c r="M1290" s="2">
        <f>tblSales[[#This Row],[Sales]]/tblSales[[#This Row],[Transactions]]</f>
        <v>285</v>
      </c>
    </row>
    <row r="1291" spans="1:13" x14ac:dyDescent="0.25">
      <c r="A1291" s="1">
        <v>46087</v>
      </c>
      <c r="B1291" t="s">
        <v>18</v>
      </c>
      <c r="C1291" t="s">
        <v>9</v>
      </c>
      <c r="D1291" t="str">
        <f>_xlfn.XLOOKUP(tblSales[[#This Row],[Store ID]],tblStores[Store ID],tblStores[Store Name])</f>
        <v>East Rand</v>
      </c>
      <c r="E1291" t="str">
        <f>_xlfn.XLOOKUP(tblSales[[#This Row],[Store ID]],tblStores[Store ID],tblStores[Province])</f>
        <v>Gauteng</v>
      </c>
      <c r="F1291" t="str">
        <f>_xlfn.XLOOKUP(tblSales[[#This Row],[Store ID]],tblStores[Store ID],tblStores[Manager])</f>
        <v>Lisa Young</v>
      </c>
      <c r="G1291" t="str">
        <f>_xlfn.XLOOKUP(tblSales[[#This Row],[Category ID]],tblCategories[Category ID],tblCategories[Category])</f>
        <v>Ladieswear</v>
      </c>
      <c r="H1291">
        <v>69866</v>
      </c>
      <c r="I1291">
        <v>65604</v>
      </c>
      <c r="J1291">
        <v>193</v>
      </c>
      <c r="K1291">
        <f>tblSales[[#This Row],[Sales]]-tblSales[[#This Row],[Budget]]</f>
        <v>4262</v>
      </c>
      <c r="L1291" s="3">
        <f>(tblSales[[#This Row],[Sales]]-tblSales[[#This Row],[Budget]])/tblSales[[#This Row],[Budget]]</f>
        <v>6.4965550881043832E-2</v>
      </c>
      <c r="M1291" s="2">
        <f>tblSales[[#This Row],[Sales]]/tblSales[[#This Row],[Transactions]]</f>
        <v>362</v>
      </c>
    </row>
    <row r="1292" spans="1:13" x14ac:dyDescent="0.25">
      <c r="A1292" s="1">
        <v>46087</v>
      </c>
      <c r="B1292" t="s">
        <v>20</v>
      </c>
      <c r="C1292" t="s">
        <v>7</v>
      </c>
      <c r="D1292" t="str">
        <f>_xlfn.XLOOKUP(tblSales[[#This Row],[Store ID]],tblStores[Store ID],tblStores[Store Name])</f>
        <v>Cape Town CBD</v>
      </c>
      <c r="E1292" t="str">
        <f>_xlfn.XLOOKUP(tblSales[[#This Row],[Store ID]],tblStores[Store ID],tblStores[Province])</f>
        <v>Western Cape</v>
      </c>
      <c r="F1292" t="str">
        <f>_xlfn.XLOOKUP(tblSales[[#This Row],[Store ID]],tblStores[Store ID],tblStores[Manager])</f>
        <v>Brian Hall</v>
      </c>
      <c r="G1292" t="str">
        <f>_xlfn.XLOOKUP(tblSales[[#This Row],[Category ID]],tblCategories[Category ID],tblCategories[Category])</f>
        <v>Menswear</v>
      </c>
      <c r="H1292">
        <v>14300</v>
      </c>
      <c r="I1292">
        <v>15286</v>
      </c>
      <c r="J1292">
        <v>65</v>
      </c>
      <c r="K1292">
        <f>tblSales[[#This Row],[Sales]]-tblSales[[#This Row],[Budget]]</f>
        <v>-986</v>
      </c>
      <c r="L1292" s="3">
        <f>(tblSales[[#This Row],[Sales]]-tblSales[[#This Row],[Budget]])/tblSales[[#This Row],[Budget]]</f>
        <v>-6.4503467224911681E-2</v>
      </c>
      <c r="M1292" s="2">
        <f>tblSales[[#This Row],[Sales]]/tblSales[[#This Row],[Transactions]]</f>
        <v>220</v>
      </c>
    </row>
    <row r="1293" spans="1:13" x14ac:dyDescent="0.25">
      <c r="A1293" s="1">
        <v>46087</v>
      </c>
      <c r="B1293" t="s">
        <v>21</v>
      </c>
      <c r="C1293" t="s">
        <v>11</v>
      </c>
      <c r="D1293" t="str">
        <f>_xlfn.XLOOKUP(tblSales[[#This Row],[Store ID]],tblStores[Store ID],tblStores[Store Name])</f>
        <v>Canal Walk</v>
      </c>
      <c r="E1293" t="str">
        <f>_xlfn.XLOOKUP(tblSales[[#This Row],[Store ID]],tblStores[Store ID],tblStores[Province])</f>
        <v>Western Cape</v>
      </c>
      <c r="F1293" t="str">
        <f>_xlfn.XLOOKUP(tblSales[[#This Row],[Store ID]],tblStores[Store ID],tblStores[Manager])</f>
        <v>Megan Scott</v>
      </c>
      <c r="G1293" t="str">
        <f>_xlfn.XLOOKUP(tblSales[[#This Row],[Category ID]],tblCategories[Category ID],tblCategories[Category])</f>
        <v>Footwear</v>
      </c>
      <c r="H1293">
        <v>35136</v>
      </c>
      <c r="I1293">
        <v>38335</v>
      </c>
      <c r="J1293">
        <v>192</v>
      </c>
      <c r="K1293">
        <f>tblSales[[#This Row],[Sales]]-tblSales[[#This Row],[Budget]]</f>
        <v>-3199</v>
      </c>
      <c r="L1293" s="3">
        <f>(tblSales[[#This Row],[Sales]]-tblSales[[#This Row],[Budget]])/tblSales[[#This Row],[Budget]]</f>
        <v>-8.344854571540368E-2</v>
      </c>
      <c r="M1293" s="2">
        <f>tblSales[[#This Row],[Sales]]/tblSales[[#This Row],[Transactions]]</f>
        <v>183</v>
      </c>
    </row>
    <row r="1294" spans="1:13" x14ac:dyDescent="0.25">
      <c r="A1294" s="1">
        <v>46087</v>
      </c>
      <c r="B1294" t="s">
        <v>23</v>
      </c>
      <c r="C1294" t="s">
        <v>19</v>
      </c>
      <c r="D1294" t="str">
        <f>_xlfn.XLOOKUP(tblSales[[#This Row],[Store ID]],tblStores[Store ID],tblStores[Store Name])</f>
        <v>Stellenbosch</v>
      </c>
      <c r="E1294" t="str">
        <f>_xlfn.XLOOKUP(tblSales[[#This Row],[Store ID]],tblStores[Store ID],tblStores[Province])</f>
        <v>Western Cape</v>
      </c>
      <c r="F1294" t="str">
        <f>_xlfn.XLOOKUP(tblSales[[#This Row],[Store ID]],tblStores[Store ID],tblStores[Manager])</f>
        <v>Jason King</v>
      </c>
      <c r="G1294" t="str">
        <f>_xlfn.XLOOKUP(tblSales[[#This Row],[Category ID]],tblCategories[Category ID],tblCategories[Category])</f>
        <v>Accessories</v>
      </c>
      <c r="H1294">
        <v>19170</v>
      </c>
      <c r="I1294">
        <v>19031</v>
      </c>
      <c r="J1294">
        <v>45</v>
      </c>
      <c r="K1294">
        <f>tblSales[[#This Row],[Sales]]-tblSales[[#This Row],[Budget]]</f>
        <v>139</v>
      </c>
      <c r="L1294" s="3">
        <f>(tblSales[[#This Row],[Sales]]-tblSales[[#This Row],[Budget]])/tblSales[[#This Row],[Budget]]</f>
        <v>7.3038726288686883E-3</v>
      </c>
      <c r="M1294" s="2">
        <f>tblSales[[#This Row],[Sales]]/tblSales[[#This Row],[Transactions]]</f>
        <v>426</v>
      </c>
    </row>
    <row r="1295" spans="1:13" x14ac:dyDescent="0.25">
      <c r="A1295" s="1">
        <v>46087</v>
      </c>
      <c r="B1295" t="s">
        <v>24</v>
      </c>
      <c r="C1295" t="s">
        <v>22</v>
      </c>
      <c r="D1295" t="str">
        <f>_xlfn.XLOOKUP(tblSales[[#This Row],[Store ID]],tblStores[Store ID],tblStores[Store Name])</f>
        <v>George</v>
      </c>
      <c r="E1295" t="str">
        <f>_xlfn.XLOOKUP(tblSales[[#This Row],[Store ID]],tblStores[Store ID],tblStores[Province])</f>
        <v>Western Cape</v>
      </c>
      <c r="F1295" t="str">
        <f>_xlfn.XLOOKUP(tblSales[[#This Row],[Store ID]],tblStores[Store ID],tblStores[Manager])</f>
        <v>Chloe Hill</v>
      </c>
      <c r="G1295" t="str">
        <f>_xlfn.XLOOKUP(tblSales[[#This Row],[Category ID]],tblCategories[Category ID],tblCategories[Category])</f>
        <v>Kids</v>
      </c>
      <c r="H1295">
        <v>76314</v>
      </c>
      <c r="I1295">
        <v>85257</v>
      </c>
      <c r="J1295">
        <v>161</v>
      </c>
      <c r="K1295">
        <f>tblSales[[#This Row],[Sales]]-tblSales[[#This Row],[Budget]]</f>
        <v>-8943</v>
      </c>
      <c r="L1295" s="3">
        <f>(tblSales[[#This Row],[Sales]]-tblSales[[#This Row],[Budget]])/tblSales[[#This Row],[Budget]]</f>
        <v>-0.10489461275906964</v>
      </c>
      <c r="M1295" s="2">
        <f>tblSales[[#This Row],[Sales]]/tblSales[[#This Row],[Transactions]]</f>
        <v>474</v>
      </c>
    </row>
    <row r="1296" spans="1:13" x14ac:dyDescent="0.25">
      <c r="A1296" s="1">
        <v>46087</v>
      </c>
      <c r="B1296" t="s">
        <v>25</v>
      </c>
      <c r="C1296" t="s">
        <v>11</v>
      </c>
      <c r="D1296" t="str">
        <f>_xlfn.XLOOKUP(tblSales[[#This Row],[Store ID]],tblStores[Store ID],tblStores[Store Name])</f>
        <v>Paarl</v>
      </c>
      <c r="E1296" t="str">
        <f>_xlfn.XLOOKUP(tblSales[[#This Row],[Store ID]],tblStores[Store ID],tblStores[Province])</f>
        <v>Western Cape</v>
      </c>
      <c r="F1296" t="str">
        <f>_xlfn.XLOOKUP(tblSales[[#This Row],[Store ID]],tblStores[Store ID],tblStores[Manager])</f>
        <v>Andrew Lee</v>
      </c>
      <c r="G1296" t="str">
        <f>_xlfn.XLOOKUP(tblSales[[#This Row],[Category ID]],tblCategories[Category ID],tblCategories[Category])</f>
        <v>Footwear</v>
      </c>
      <c r="H1296">
        <v>35721</v>
      </c>
      <c r="I1296">
        <v>34651</v>
      </c>
      <c r="J1296">
        <v>81</v>
      </c>
      <c r="K1296">
        <f>tblSales[[#This Row],[Sales]]-tblSales[[#This Row],[Budget]]</f>
        <v>1070</v>
      </c>
      <c r="L1296" s="3">
        <f>(tblSales[[#This Row],[Sales]]-tblSales[[#This Row],[Budget]])/tblSales[[#This Row],[Budget]]</f>
        <v>3.0879339701595912E-2</v>
      </c>
      <c r="M1296" s="2">
        <f>tblSales[[#This Row],[Sales]]/tblSales[[#This Row],[Transactions]]</f>
        <v>441</v>
      </c>
    </row>
    <row r="1297" spans="1:13" x14ac:dyDescent="0.25">
      <c r="A1297" s="1">
        <v>46087</v>
      </c>
      <c r="B1297" t="s">
        <v>26</v>
      </c>
      <c r="C1297" t="s">
        <v>9</v>
      </c>
      <c r="D1297" t="str">
        <f>_xlfn.XLOOKUP(tblSales[[#This Row],[Store ID]],tblStores[Store ID],tblStores[Store Name])</f>
        <v>Gqeberha</v>
      </c>
      <c r="E1297" t="str">
        <f>_xlfn.XLOOKUP(tblSales[[#This Row],[Store ID]],tblStores[Store ID],tblStores[Province])</f>
        <v>Eastern Cape</v>
      </c>
      <c r="F1297" t="str">
        <f>_xlfn.XLOOKUP(tblSales[[#This Row],[Store ID]],tblStores[Store ID],tblStores[Manager])</f>
        <v>Emma Baker</v>
      </c>
      <c r="G1297" t="str">
        <f>_xlfn.XLOOKUP(tblSales[[#This Row],[Category ID]],tblCategories[Category ID],tblCategories[Category])</f>
        <v>Ladieswear</v>
      </c>
      <c r="H1297">
        <v>44590</v>
      </c>
      <c r="I1297">
        <v>40734</v>
      </c>
      <c r="J1297">
        <v>182</v>
      </c>
      <c r="K1297">
        <f>tblSales[[#This Row],[Sales]]-tblSales[[#This Row],[Budget]]</f>
        <v>3856</v>
      </c>
      <c r="L1297" s="3">
        <f>(tblSales[[#This Row],[Sales]]-tblSales[[#This Row],[Budget]])/tblSales[[#This Row],[Budget]]</f>
        <v>9.4662935140177734E-2</v>
      </c>
      <c r="M1297" s="2">
        <f>tblSales[[#This Row],[Sales]]/tblSales[[#This Row],[Transactions]]</f>
        <v>245</v>
      </c>
    </row>
    <row r="1298" spans="1:13" x14ac:dyDescent="0.25">
      <c r="A1298" s="1">
        <v>46087</v>
      </c>
      <c r="B1298" t="s">
        <v>27</v>
      </c>
      <c r="C1298" t="s">
        <v>11</v>
      </c>
      <c r="D1298" t="str">
        <f>_xlfn.XLOOKUP(tblSales[[#This Row],[Store ID]],tblStores[Store ID],tblStores[Store Name])</f>
        <v>East London</v>
      </c>
      <c r="E1298" t="str">
        <f>_xlfn.XLOOKUP(tblSales[[#This Row],[Store ID]],tblStores[Store ID],tblStores[Province])</f>
        <v>Eastern Cape</v>
      </c>
      <c r="F1298" t="str">
        <f>_xlfn.XLOOKUP(tblSales[[#This Row],[Store ID]],tblStores[Store ID],tblStores[Manager])</f>
        <v>Daniel Evans</v>
      </c>
      <c r="G1298" t="str">
        <f>_xlfn.XLOOKUP(tblSales[[#This Row],[Category ID]],tblCategories[Category ID],tblCategories[Category])</f>
        <v>Footwear</v>
      </c>
      <c r="H1298">
        <v>71592</v>
      </c>
      <c r="I1298">
        <v>65015</v>
      </c>
      <c r="J1298">
        <v>157</v>
      </c>
      <c r="K1298">
        <f>tblSales[[#This Row],[Sales]]-tblSales[[#This Row],[Budget]]</f>
        <v>6577</v>
      </c>
      <c r="L1298" s="3">
        <f>(tblSales[[#This Row],[Sales]]-tblSales[[#This Row],[Budget]])/tblSales[[#This Row],[Budget]]</f>
        <v>0.10116127047604399</v>
      </c>
      <c r="M1298" s="2">
        <f>tblSales[[#This Row],[Sales]]/tblSales[[#This Row],[Transactions]]</f>
        <v>456</v>
      </c>
    </row>
    <row r="1299" spans="1:13" x14ac:dyDescent="0.25">
      <c r="A1299" s="1">
        <v>46087</v>
      </c>
      <c r="B1299" t="s">
        <v>28</v>
      </c>
      <c r="C1299" t="s">
        <v>22</v>
      </c>
      <c r="D1299" t="str">
        <f>_xlfn.XLOOKUP(tblSales[[#This Row],[Store ID]],tblStores[Store ID],tblStores[Store Name])</f>
        <v>Bloemfontein</v>
      </c>
      <c r="E1299" t="str">
        <f>_xlfn.XLOOKUP(tblSales[[#This Row],[Store ID]],tblStores[Store ID],tblStores[Province])</f>
        <v>Free State</v>
      </c>
      <c r="F1299" t="str">
        <f>_xlfn.XLOOKUP(tblSales[[#This Row],[Store ID]],tblStores[Store ID],tblStores[Manager])</f>
        <v>Rachel Moore</v>
      </c>
      <c r="G1299" t="str">
        <f>_xlfn.XLOOKUP(tblSales[[#This Row],[Category ID]],tblCategories[Category ID],tblCategories[Category])</f>
        <v>Kids</v>
      </c>
      <c r="H1299">
        <v>36315</v>
      </c>
      <c r="I1299">
        <v>36834</v>
      </c>
      <c r="J1299">
        <v>135</v>
      </c>
      <c r="K1299">
        <f>tblSales[[#This Row],[Sales]]-tblSales[[#This Row],[Budget]]</f>
        <v>-519</v>
      </c>
      <c r="L1299" s="3">
        <f>(tblSales[[#This Row],[Sales]]-tblSales[[#This Row],[Budget]])/tblSales[[#This Row],[Budget]]</f>
        <v>-1.4090242710539175E-2</v>
      </c>
      <c r="M1299" s="2">
        <f>tblSales[[#This Row],[Sales]]/tblSales[[#This Row],[Transactions]]</f>
        <v>269</v>
      </c>
    </row>
    <row r="1300" spans="1:13" x14ac:dyDescent="0.25">
      <c r="A1300" s="1">
        <v>46087</v>
      </c>
      <c r="B1300" t="s">
        <v>29</v>
      </c>
      <c r="C1300" t="s">
        <v>7</v>
      </c>
      <c r="D1300" t="str">
        <f>_xlfn.XLOOKUP(tblSales[[#This Row],[Store ID]],tblStores[Store ID],tblStores[Store Name])</f>
        <v>Polokwane</v>
      </c>
      <c r="E1300" t="str">
        <f>_xlfn.XLOOKUP(tblSales[[#This Row],[Store ID]],tblStores[Store ID],tblStores[Province])</f>
        <v>Limpopo</v>
      </c>
      <c r="F1300" t="str">
        <f>_xlfn.XLOOKUP(tblSales[[#This Row],[Store ID]],tblStores[Store ID],tblStores[Manager])</f>
        <v>Kevin Harris</v>
      </c>
      <c r="G1300" t="str">
        <f>_xlfn.XLOOKUP(tblSales[[#This Row],[Category ID]],tblCategories[Category ID],tblCategories[Category])</f>
        <v>Menswear</v>
      </c>
      <c r="H1300">
        <v>94785</v>
      </c>
      <c r="I1300">
        <v>96208</v>
      </c>
      <c r="J1300">
        <v>213</v>
      </c>
      <c r="K1300">
        <f>tblSales[[#This Row],[Sales]]-tblSales[[#This Row],[Budget]]</f>
        <v>-1423</v>
      </c>
      <c r="L1300" s="3">
        <f>(tblSales[[#This Row],[Sales]]-tblSales[[#This Row],[Budget]])/tblSales[[#This Row],[Budget]]</f>
        <v>-1.4790869782138699E-2</v>
      </c>
      <c r="M1300" s="2">
        <f>tblSales[[#This Row],[Sales]]/tblSales[[#This Row],[Transactions]]</f>
        <v>445</v>
      </c>
    </row>
    <row r="1301" spans="1:13" x14ac:dyDescent="0.25">
      <c r="A1301" s="1">
        <v>46087</v>
      </c>
      <c r="B1301" t="s">
        <v>30</v>
      </c>
      <c r="C1301" t="s">
        <v>7</v>
      </c>
      <c r="D1301" t="str">
        <f>_xlfn.XLOOKUP(tblSales[[#This Row],[Store ID]],tblStores[Store ID],tblStores[Store Name])</f>
        <v>Nelspruit</v>
      </c>
      <c r="E1301" t="str">
        <f>_xlfn.XLOOKUP(tblSales[[#This Row],[Store ID]],tblStores[Store ID],tblStores[Province])</f>
        <v>Mpumalanga</v>
      </c>
      <c r="F1301" t="str">
        <f>_xlfn.XLOOKUP(tblSales[[#This Row],[Store ID]],tblStores[Store ID],tblStores[Manager])</f>
        <v>Olivia Turner</v>
      </c>
      <c r="G1301" t="str">
        <f>_xlfn.XLOOKUP(tblSales[[#This Row],[Category ID]],tblCategories[Category ID],tblCategories[Category])</f>
        <v>Menswear</v>
      </c>
      <c r="H1301">
        <v>10906</v>
      </c>
      <c r="I1301">
        <v>10849</v>
      </c>
      <c r="J1301">
        <v>38</v>
      </c>
      <c r="K1301">
        <f>tblSales[[#This Row],[Sales]]-tblSales[[#This Row],[Budget]]</f>
        <v>57</v>
      </c>
      <c r="L1301" s="3">
        <f>(tblSales[[#This Row],[Sales]]-tblSales[[#This Row],[Budget]])/tblSales[[#This Row],[Budget]]</f>
        <v>5.2539404553415062E-3</v>
      </c>
      <c r="M1301" s="2">
        <f>tblSales[[#This Row],[Sales]]/tblSales[[#This Row],[Transactions]]</f>
        <v>287</v>
      </c>
    </row>
    <row r="1302" spans="1:13" x14ac:dyDescent="0.25">
      <c r="A1302" s="1">
        <v>46088</v>
      </c>
      <c r="B1302" t="s">
        <v>6</v>
      </c>
      <c r="C1302" t="s">
        <v>7</v>
      </c>
      <c r="D1302" t="str">
        <f>_xlfn.XLOOKUP(tblSales[[#This Row],[Store ID]],tblStores[Store ID],tblStores[Store Name])</f>
        <v>Durban CBD</v>
      </c>
      <c r="E1302" t="str">
        <f>_xlfn.XLOOKUP(tblSales[[#This Row],[Store ID]],tblStores[Store ID],tblStores[Province])</f>
        <v>KZN</v>
      </c>
      <c r="F1302" t="str">
        <f>_xlfn.XLOOKUP(tblSales[[#This Row],[Store ID]],tblStores[Store ID],tblStores[Manager])</f>
        <v>Sarah Adams</v>
      </c>
      <c r="G1302" t="str">
        <f>_xlfn.XLOOKUP(tblSales[[#This Row],[Category ID]],tblCategories[Category ID],tblCategories[Category])</f>
        <v>Menswear</v>
      </c>
      <c r="H1302">
        <v>43070</v>
      </c>
      <c r="I1302">
        <v>45361</v>
      </c>
      <c r="J1302">
        <v>118</v>
      </c>
      <c r="K1302">
        <f>tblSales[[#This Row],[Sales]]-tblSales[[#This Row],[Budget]]</f>
        <v>-2291</v>
      </c>
      <c r="L1302" s="3">
        <f>(tblSales[[#This Row],[Sales]]-tblSales[[#This Row],[Budget]])/tblSales[[#This Row],[Budget]]</f>
        <v>-5.0505941227045256E-2</v>
      </c>
      <c r="M1302" s="2">
        <f>tblSales[[#This Row],[Sales]]/tblSales[[#This Row],[Transactions]]</f>
        <v>365</v>
      </c>
    </row>
    <row r="1303" spans="1:13" x14ac:dyDescent="0.25">
      <c r="A1303" s="1">
        <v>46088</v>
      </c>
      <c r="B1303" t="s">
        <v>8</v>
      </c>
      <c r="C1303" t="s">
        <v>22</v>
      </c>
      <c r="D1303" t="str">
        <f>_xlfn.XLOOKUP(tblSales[[#This Row],[Store ID]],tblStores[Store ID],tblStores[Store Name])</f>
        <v>Gateway</v>
      </c>
      <c r="E1303" t="str">
        <f>_xlfn.XLOOKUP(tblSales[[#This Row],[Store ID]],tblStores[Store ID],tblStores[Province])</f>
        <v>KZN</v>
      </c>
      <c r="F1303" t="str">
        <f>_xlfn.XLOOKUP(tblSales[[#This Row],[Store ID]],tblStores[Store ID],tblStores[Manager])</f>
        <v>Michael Jones</v>
      </c>
      <c r="G1303" t="str">
        <f>_xlfn.XLOOKUP(tblSales[[#This Row],[Category ID]],tblCategories[Category ID],tblCategories[Category])</f>
        <v>Kids</v>
      </c>
      <c r="H1303">
        <v>37720</v>
      </c>
      <c r="I1303">
        <v>36426</v>
      </c>
      <c r="J1303">
        <v>82</v>
      </c>
      <c r="K1303">
        <f>tblSales[[#This Row],[Sales]]-tblSales[[#This Row],[Budget]]</f>
        <v>1294</v>
      </c>
      <c r="L1303" s="3">
        <f>(tblSales[[#This Row],[Sales]]-tblSales[[#This Row],[Budget]])/tblSales[[#This Row],[Budget]]</f>
        <v>3.552407620930105E-2</v>
      </c>
      <c r="M1303" s="2">
        <f>tblSales[[#This Row],[Sales]]/tblSales[[#This Row],[Transactions]]</f>
        <v>460</v>
      </c>
    </row>
    <row r="1304" spans="1:13" x14ac:dyDescent="0.25">
      <c r="A1304" s="1">
        <v>46088</v>
      </c>
      <c r="B1304" t="s">
        <v>10</v>
      </c>
      <c r="C1304" t="s">
        <v>22</v>
      </c>
      <c r="D1304" t="str">
        <f>_xlfn.XLOOKUP(tblSales[[#This Row],[Store ID]],tblStores[Store ID],tblStores[Store Name])</f>
        <v>Ballito</v>
      </c>
      <c r="E1304" t="str">
        <f>_xlfn.XLOOKUP(tblSales[[#This Row],[Store ID]],tblStores[Store ID],tblStores[Province])</f>
        <v>KZN</v>
      </c>
      <c r="F1304" t="str">
        <f>_xlfn.XLOOKUP(tblSales[[#This Row],[Store ID]],tblStores[Store ID],tblStores[Manager])</f>
        <v>Linda Smith</v>
      </c>
      <c r="G1304" t="str">
        <f>_xlfn.XLOOKUP(tblSales[[#This Row],[Category ID]],tblCategories[Category ID],tblCategories[Category])</f>
        <v>Kids</v>
      </c>
      <c r="H1304">
        <v>76415</v>
      </c>
      <c r="I1304">
        <v>75327</v>
      </c>
      <c r="J1304">
        <v>155</v>
      </c>
      <c r="K1304">
        <f>tblSales[[#This Row],[Sales]]-tblSales[[#This Row],[Budget]]</f>
        <v>1088</v>
      </c>
      <c r="L1304" s="3">
        <f>(tblSales[[#This Row],[Sales]]-tblSales[[#This Row],[Budget]])/tblSales[[#This Row],[Budget]]</f>
        <v>1.4443692168810652E-2</v>
      </c>
      <c r="M1304" s="2">
        <f>tblSales[[#This Row],[Sales]]/tblSales[[#This Row],[Transactions]]</f>
        <v>493</v>
      </c>
    </row>
    <row r="1305" spans="1:13" x14ac:dyDescent="0.25">
      <c r="A1305" s="1">
        <v>46088</v>
      </c>
      <c r="B1305" t="s">
        <v>12</v>
      </c>
      <c r="C1305" t="s">
        <v>9</v>
      </c>
      <c r="D1305" t="str">
        <f>_xlfn.XLOOKUP(tblSales[[#This Row],[Store ID]],tblStores[Store ID],tblStores[Store Name])</f>
        <v>Pietermaritzburg</v>
      </c>
      <c r="E1305" t="str">
        <f>_xlfn.XLOOKUP(tblSales[[#This Row],[Store ID]],tblStores[Store ID],tblStores[Province])</f>
        <v>KZN</v>
      </c>
      <c r="F1305" t="str">
        <f>_xlfn.XLOOKUP(tblSales[[#This Row],[Store ID]],tblStores[Store ID],tblStores[Manager])</f>
        <v>Peter Brown</v>
      </c>
      <c r="G1305" t="str">
        <f>_xlfn.XLOOKUP(tblSales[[#This Row],[Category ID]],tblCategories[Category ID],tblCategories[Category])</f>
        <v>Ladieswear</v>
      </c>
      <c r="H1305">
        <v>64314</v>
      </c>
      <c r="I1305">
        <v>61267</v>
      </c>
      <c r="J1305">
        <v>162</v>
      </c>
      <c r="K1305">
        <f>tblSales[[#This Row],[Sales]]-tblSales[[#This Row],[Budget]]</f>
        <v>3047</v>
      </c>
      <c r="L1305" s="3">
        <f>(tblSales[[#This Row],[Sales]]-tblSales[[#This Row],[Budget]])/tblSales[[#This Row],[Budget]]</f>
        <v>4.9733135293061517E-2</v>
      </c>
      <c r="M1305" s="2">
        <f>tblSales[[#This Row],[Sales]]/tblSales[[#This Row],[Transactions]]</f>
        <v>397</v>
      </c>
    </row>
    <row r="1306" spans="1:13" x14ac:dyDescent="0.25">
      <c r="A1306" s="1">
        <v>46088</v>
      </c>
      <c r="B1306" t="s">
        <v>13</v>
      </c>
      <c r="C1306" t="s">
        <v>22</v>
      </c>
      <c r="D1306" t="str">
        <f>_xlfn.XLOOKUP(tblSales[[#This Row],[Store ID]],tblStores[Store ID],tblStores[Store Name])</f>
        <v>Richards Bay</v>
      </c>
      <c r="E1306" t="str">
        <f>_xlfn.XLOOKUP(tblSales[[#This Row],[Store ID]],tblStores[Store ID],tblStores[Province])</f>
        <v>KZN</v>
      </c>
      <c r="F1306" t="str">
        <f>_xlfn.XLOOKUP(tblSales[[#This Row],[Store ID]],tblStores[Store ID],tblStores[Manager])</f>
        <v>David Green</v>
      </c>
      <c r="G1306" t="str">
        <f>_xlfn.XLOOKUP(tblSales[[#This Row],[Category ID]],tblCategories[Category ID],tblCategories[Category])</f>
        <v>Kids</v>
      </c>
      <c r="H1306">
        <v>49280</v>
      </c>
      <c r="I1306">
        <v>47797</v>
      </c>
      <c r="J1306">
        <v>128</v>
      </c>
      <c r="K1306">
        <f>tblSales[[#This Row],[Sales]]-tblSales[[#This Row],[Budget]]</f>
        <v>1483</v>
      </c>
      <c r="L1306" s="3">
        <f>(tblSales[[#This Row],[Sales]]-tblSales[[#This Row],[Budget]])/tblSales[[#This Row],[Budget]]</f>
        <v>3.1027051907023453E-2</v>
      </c>
      <c r="M1306" s="2">
        <f>tblSales[[#This Row],[Sales]]/tblSales[[#This Row],[Transactions]]</f>
        <v>385</v>
      </c>
    </row>
    <row r="1307" spans="1:13" x14ac:dyDescent="0.25">
      <c r="A1307" s="1">
        <v>46088</v>
      </c>
      <c r="B1307" t="s">
        <v>14</v>
      </c>
      <c r="C1307" t="s">
        <v>9</v>
      </c>
      <c r="D1307" t="str">
        <f>_xlfn.XLOOKUP(tblSales[[#This Row],[Store ID]],tblStores[Store ID],tblStores[Store Name])</f>
        <v>Sandton</v>
      </c>
      <c r="E1307" t="str">
        <f>_xlfn.XLOOKUP(tblSales[[#This Row],[Store ID]],tblStores[Store ID],tblStores[Province])</f>
        <v>Gauteng</v>
      </c>
      <c r="F1307" t="str">
        <f>_xlfn.XLOOKUP(tblSales[[#This Row],[Store ID]],tblStores[Store ID],tblStores[Manager])</f>
        <v>Karen White</v>
      </c>
      <c r="G1307" t="str">
        <f>_xlfn.XLOOKUP(tblSales[[#This Row],[Category ID]],tblCategories[Category ID],tblCategories[Category])</f>
        <v>Ladieswear</v>
      </c>
      <c r="H1307">
        <v>44707</v>
      </c>
      <c r="I1307">
        <v>51181</v>
      </c>
      <c r="J1307">
        <v>181</v>
      </c>
      <c r="K1307">
        <f>tblSales[[#This Row],[Sales]]-tblSales[[#This Row],[Budget]]</f>
        <v>-6474</v>
      </c>
      <c r="L1307" s="3">
        <f>(tblSales[[#This Row],[Sales]]-tblSales[[#This Row],[Budget]])/tblSales[[#This Row],[Budget]]</f>
        <v>-0.12649225298450598</v>
      </c>
      <c r="M1307" s="2">
        <f>tblSales[[#This Row],[Sales]]/tblSales[[#This Row],[Transactions]]</f>
        <v>247</v>
      </c>
    </row>
    <row r="1308" spans="1:13" x14ac:dyDescent="0.25">
      <c r="A1308" s="1">
        <v>46088</v>
      </c>
      <c r="B1308" t="s">
        <v>15</v>
      </c>
      <c r="C1308" t="s">
        <v>9</v>
      </c>
      <c r="D1308" t="str">
        <f>_xlfn.XLOOKUP(tblSales[[#This Row],[Store ID]],tblStores[Store ID],tblStores[Store Name])</f>
        <v>Rosebank</v>
      </c>
      <c r="E1308" t="str">
        <f>_xlfn.XLOOKUP(tblSales[[#This Row],[Store ID]],tblStores[Store ID],tblStores[Province])</f>
        <v>Gauteng</v>
      </c>
      <c r="F1308" t="str">
        <f>_xlfn.XLOOKUP(tblSales[[#This Row],[Store ID]],tblStores[Store ID],tblStores[Manager])</f>
        <v>James Taylor</v>
      </c>
      <c r="G1308" t="str">
        <f>_xlfn.XLOOKUP(tblSales[[#This Row],[Category ID]],tblCategories[Category ID],tblCategories[Category])</f>
        <v>Ladieswear</v>
      </c>
      <c r="H1308">
        <v>19080</v>
      </c>
      <c r="I1308">
        <v>21007</v>
      </c>
      <c r="J1308">
        <v>60</v>
      </c>
      <c r="K1308">
        <f>tblSales[[#This Row],[Sales]]-tblSales[[#This Row],[Budget]]</f>
        <v>-1927</v>
      </c>
      <c r="L1308" s="3">
        <f>(tblSales[[#This Row],[Sales]]-tblSales[[#This Row],[Budget]])/tblSales[[#This Row],[Budget]]</f>
        <v>-9.1731327652687197E-2</v>
      </c>
      <c r="M1308" s="2">
        <f>tblSales[[#This Row],[Sales]]/tblSales[[#This Row],[Transactions]]</f>
        <v>318</v>
      </c>
    </row>
    <row r="1309" spans="1:13" x14ac:dyDescent="0.25">
      <c r="A1309" s="1">
        <v>46088</v>
      </c>
      <c r="B1309" t="s">
        <v>16</v>
      </c>
      <c r="C1309" t="s">
        <v>19</v>
      </c>
      <c r="D1309" t="str">
        <f>_xlfn.XLOOKUP(tblSales[[#This Row],[Store ID]],tblStores[Store ID],tblStores[Store Name])</f>
        <v>Pretoria</v>
      </c>
      <c r="E1309" t="str">
        <f>_xlfn.XLOOKUP(tblSales[[#This Row],[Store ID]],tblStores[Store ID],tblStores[Province])</f>
        <v>Gauteng</v>
      </c>
      <c r="F1309" t="str">
        <f>_xlfn.XLOOKUP(tblSales[[#This Row],[Store ID]],tblStores[Store ID],tblStores[Manager])</f>
        <v>Susan Clark</v>
      </c>
      <c r="G1309" t="str">
        <f>_xlfn.XLOOKUP(tblSales[[#This Row],[Category ID]],tblCategories[Category ID],tblCategories[Category])</f>
        <v>Accessories</v>
      </c>
      <c r="H1309">
        <v>54375</v>
      </c>
      <c r="I1309">
        <v>51602</v>
      </c>
      <c r="J1309">
        <v>145</v>
      </c>
      <c r="K1309">
        <f>tblSales[[#This Row],[Sales]]-tblSales[[#This Row],[Budget]]</f>
        <v>2773</v>
      </c>
      <c r="L1309" s="3">
        <f>(tblSales[[#This Row],[Sales]]-tblSales[[#This Row],[Budget]])/tblSales[[#This Row],[Budget]]</f>
        <v>5.3738227200496105E-2</v>
      </c>
      <c r="M1309" s="2">
        <f>tblSales[[#This Row],[Sales]]/tblSales[[#This Row],[Transactions]]</f>
        <v>375</v>
      </c>
    </row>
    <row r="1310" spans="1:13" x14ac:dyDescent="0.25">
      <c r="A1310" s="1">
        <v>46088</v>
      </c>
      <c r="B1310" t="s">
        <v>17</v>
      </c>
      <c r="C1310" t="s">
        <v>9</v>
      </c>
      <c r="D1310" t="str">
        <f>_xlfn.XLOOKUP(tblSales[[#This Row],[Store ID]],tblStores[Store ID],tblStores[Store Name])</f>
        <v>Centurion</v>
      </c>
      <c r="E1310" t="str">
        <f>_xlfn.XLOOKUP(tblSales[[#This Row],[Store ID]],tblStores[Store ID],tblStores[Province])</f>
        <v>Gauteng</v>
      </c>
      <c r="F1310" t="str">
        <f>_xlfn.XLOOKUP(tblSales[[#This Row],[Store ID]],tblStores[Store ID],tblStores[Manager])</f>
        <v>Mark Wilson</v>
      </c>
      <c r="G1310" t="str">
        <f>_xlfn.XLOOKUP(tblSales[[#This Row],[Category ID]],tblCategories[Category ID],tblCategories[Category])</f>
        <v>Ladieswear</v>
      </c>
      <c r="H1310">
        <v>28704</v>
      </c>
      <c r="I1310">
        <v>27100</v>
      </c>
      <c r="J1310">
        <v>156</v>
      </c>
      <c r="K1310">
        <f>tblSales[[#This Row],[Sales]]-tblSales[[#This Row],[Budget]]</f>
        <v>1604</v>
      </c>
      <c r="L1310" s="3">
        <f>(tblSales[[#This Row],[Sales]]-tblSales[[#This Row],[Budget]])/tblSales[[#This Row],[Budget]]</f>
        <v>5.9188191881918817E-2</v>
      </c>
      <c r="M1310" s="2">
        <f>tblSales[[#This Row],[Sales]]/tblSales[[#This Row],[Transactions]]</f>
        <v>184</v>
      </c>
    </row>
    <row r="1311" spans="1:13" x14ac:dyDescent="0.25">
      <c r="A1311" s="1">
        <v>46088</v>
      </c>
      <c r="B1311" t="s">
        <v>18</v>
      </c>
      <c r="C1311" t="s">
        <v>11</v>
      </c>
      <c r="D1311" t="str">
        <f>_xlfn.XLOOKUP(tblSales[[#This Row],[Store ID]],tblStores[Store ID],tblStores[Store Name])</f>
        <v>East Rand</v>
      </c>
      <c r="E1311" t="str">
        <f>_xlfn.XLOOKUP(tblSales[[#This Row],[Store ID]],tblStores[Store ID],tblStores[Province])</f>
        <v>Gauteng</v>
      </c>
      <c r="F1311" t="str">
        <f>_xlfn.XLOOKUP(tblSales[[#This Row],[Store ID]],tblStores[Store ID],tblStores[Manager])</f>
        <v>Lisa Young</v>
      </c>
      <c r="G1311" t="str">
        <f>_xlfn.XLOOKUP(tblSales[[#This Row],[Category ID]],tblCategories[Category ID],tblCategories[Category])</f>
        <v>Footwear</v>
      </c>
      <c r="H1311">
        <v>34638</v>
      </c>
      <c r="I1311">
        <v>35651</v>
      </c>
      <c r="J1311">
        <v>69</v>
      </c>
      <c r="K1311">
        <f>tblSales[[#This Row],[Sales]]-tblSales[[#This Row],[Budget]]</f>
        <v>-1013</v>
      </c>
      <c r="L1311" s="3">
        <f>(tblSales[[#This Row],[Sales]]-tblSales[[#This Row],[Budget]])/tblSales[[#This Row],[Budget]]</f>
        <v>-2.8414350228605088E-2</v>
      </c>
      <c r="M1311" s="2">
        <f>tblSales[[#This Row],[Sales]]/tblSales[[#This Row],[Transactions]]</f>
        <v>502</v>
      </c>
    </row>
    <row r="1312" spans="1:13" x14ac:dyDescent="0.25">
      <c r="A1312" s="1">
        <v>46088</v>
      </c>
      <c r="B1312" t="s">
        <v>20</v>
      </c>
      <c r="C1312" t="s">
        <v>22</v>
      </c>
      <c r="D1312" t="str">
        <f>_xlfn.XLOOKUP(tblSales[[#This Row],[Store ID]],tblStores[Store ID],tblStores[Store Name])</f>
        <v>Cape Town CBD</v>
      </c>
      <c r="E1312" t="str">
        <f>_xlfn.XLOOKUP(tblSales[[#This Row],[Store ID]],tblStores[Store ID],tblStores[Province])</f>
        <v>Western Cape</v>
      </c>
      <c r="F1312" t="str">
        <f>_xlfn.XLOOKUP(tblSales[[#This Row],[Store ID]],tblStores[Store ID],tblStores[Manager])</f>
        <v>Brian Hall</v>
      </c>
      <c r="G1312" t="str">
        <f>_xlfn.XLOOKUP(tblSales[[#This Row],[Category ID]],tblCategories[Category ID],tblCategories[Category])</f>
        <v>Kids</v>
      </c>
      <c r="H1312">
        <v>52947</v>
      </c>
      <c r="I1312">
        <v>50974</v>
      </c>
      <c r="J1312">
        <v>159</v>
      </c>
      <c r="K1312">
        <f>tblSales[[#This Row],[Sales]]-tblSales[[#This Row],[Budget]]</f>
        <v>1973</v>
      </c>
      <c r="L1312" s="3">
        <f>(tblSales[[#This Row],[Sales]]-tblSales[[#This Row],[Budget]])/tblSales[[#This Row],[Budget]]</f>
        <v>3.8706006983952601E-2</v>
      </c>
      <c r="M1312" s="2">
        <f>tblSales[[#This Row],[Sales]]/tblSales[[#This Row],[Transactions]]</f>
        <v>333</v>
      </c>
    </row>
    <row r="1313" spans="1:13" x14ac:dyDescent="0.25">
      <c r="A1313" s="1">
        <v>46088</v>
      </c>
      <c r="B1313" t="s">
        <v>21</v>
      </c>
      <c r="C1313" t="s">
        <v>19</v>
      </c>
      <c r="D1313" t="str">
        <f>_xlfn.XLOOKUP(tblSales[[#This Row],[Store ID]],tblStores[Store ID],tblStores[Store Name])</f>
        <v>Canal Walk</v>
      </c>
      <c r="E1313" t="str">
        <f>_xlfn.XLOOKUP(tblSales[[#This Row],[Store ID]],tblStores[Store ID],tblStores[Province])</f>
        <v>Western Cape</v>
      </c>
      <c r="F1313" t="str">
        <f>_xlfn.XLOOKUP(tblSales[[#This Row],[Store ID]],tblStores[Store ID],tblStores[Manager])</f>
        <v>Megan Scott</v>
      </c>
      <c r="G1313" t="str">
        <f>_xlfn.XLOOKUP(tblSales[[#This Row],[Category ID]],tblCategories[Category ID],tblCategories[Category])</f>
        <v>Accessories</v>
      </c>
      <c r="H1313">
        <v>18001</v>
      </c>
      <c r="I1313">
        <v>16646</v>
      </c>
      <c r="J1313">
        <v>47</v>
      </c>
      <c r="K1313">
        <f>tblSales[[#This Row],[Sales]]-tblSales[[#This Row],[Budget]]</f>
        <v>1355</v>
      </c>
      <c r="L1313" s="3">
        <f>(tblSales[[#This Row],[Sales]]-tblSales[[#This Row],[Budget]])/tblSales[[#This Row],[Budget]]</f>
        <v>8.140093716208098E-2</v>
      </c>
      <c r="M1313" s="2">
        <f>tblSales[[#This Row],[Sales]]/tblSales[[#This Row],[Transactions]]</f>
        <v>383</v>
      </c>
    </row>
    <row r="1314" spans="1:13" x14ac:dyDescent="0.25">
      <c r="A1314" s="1">
        <v>46088</v>
      </c>
      <c r="B1314" t="s">
        <v>23</v>
      </c>
      <c r="C1314" t="s">
        <v>9</v>
      </c>
      <c r="D1314" t="str">
        <f>_xlfn.XLOOKUP(tblSales[[#This Row],[Store ID]],tblStores[Store ID],tblStores[Store Name])</f>
        <v>Stellenbosch</v>
      </c>
      <c r="E1314" t="str">
        <f>_xlfn.XLOOKUP(tblSales[[#This Row],[Store ID]],tblStores[Store ID],tblStores[Province])</f>
        <v>Western Cape</v>
      </c>
      <c r="F1314" t="str">
        <f>_xlfn.XLOOKUP(tblSales[[#This Row],[Store ID]],tblStores[Store ID],tblStores[Manager])</f>
        <v>Jason King</v>
      </c>
      <c r="G1314" t="str">
        <f>_xlfn.XLOOKUP(tblSales[[#This Row],[Category ID]],tblCategories[Category ID],tblCategories[Category])</f>
        <v>Ladieswear</v>
      </c>
      <c r="H1314">
        <v>14500</v>
      </c>
      <c r="I1314">
        <v>16000</v>
      </c>
      <c r="J1314">
        <v>50</v>
      </c>
      <c r="K1314">
        <f>tblSales[[#This Row],[Sales]]-tblSales[[#This Row],[Budget]]</f>
        <v>-1500</v>
      </c>
      <c r="L1314" s="3">
        <f>(tblSales[[#This Row],[Sales]]-tblSales[[#This Row],[Budget]])/tblSales[[#This Row],[Budget]]</f>
        <v>-9.375E-2</v>
      </c>
      <c r="M1314" s="2">
        <f>tblSales[[#This Row],[Sales]]/tblSales[[#This Row],[Transactions]]</f>
        <v>290</v>
      </c>
    </row>
    <row r="1315" spans="1:13" x14ac:dyDescent="0.25">
      <c r="A1315" s="1">
        <v>46088</v>
      </c>
      <c r="B1315" t="s">
        <v>24</v>
      </c>
      <c r="C1315" t="s">
        <v>11</v>
      </c>
      <c r="D1315" t="str">
        <f>_xlfn.XLOOKUP(tblSales[[#This Row],[Store ID]],tblStores[Store ID],tblStores[Store Name])</f>
        <v>George</v>
      </c>
      <c r="E1315" t="str">
        <f>_xlfn.XLOOKUP(tblSales[[#This Row],[Store ID]],tblStores[Store ID],tblStores[Province])</f>
        <v>Western Cape</v>
      </c>
      <c r="F1315" t="str">
        <f>_xlfn.XLOOKUP(tblSales[[#This Row],[Store ID]],tblStores[Store ID],tblStores[Manager])</f>
        <v>Chloe Hill</v>
      </c>
      <c r="G1315" t="str">
        <f>_xlfn.XLOOKUP(tblSales[[#This Row],[Category ID]],tblCategories[Category ID],tblCategories[Category])</f>
        <v>Footwear</v>
      </c>
      <c r="H1315">
        <v>44884</v>
      </c>
      <c r="I1315">
        <v>45443</v>
      </c>
      <c r="J1315">
        <v>196</v>
      </c>
      <c r="K1315">
        <f>tblSales[[#This Row],[Sales]]-tblSales[[#This Row],[Budget]]</f>
        <v>-559</v>
      </c>
      <c r="L1315" s="3">
        <f>(tblSales[[#This Row],[Sales]]-tblSales[[#This Row],[Budget]])/tblSales[[#This Row],[Budget]]</f>
        <v>-1.2301124485619347E-2</v>
      </c>
      <c r="M1315" s="2">
        <f>tblSales[[#This Row],[Sales]]/tblSales[[#This Row],[Transactions]]</f>
        <v>229</v>
      </c>
    </row>
    <row r="1316" spans="1:13" x14ac:dyDescent="0.25">
      <c r="A1316" s="1">
        <v>46088</v>
      </c>
      <c r="B1316" t="s">
        <v>25</v>
      </c>
      <c r="C1316" t="s">
        <v>22</v>
      </c>
      <c r="D1316" t="str">
        <f>_xlfn.XLOOKUP(tblSales[[#This Row],[Store ID]],tblStores[Store ID],tblStores[Store Name])</f>
        <v>Paarl</v>
      </c>
      <c r="E1316" t="str">
        <f>_xlfn.XLOOKUP(tblSales[[#This Row],[Store ID]],tblStores[Store ID],tblStores[Province])</f>
        <v>Western Cape</v>
      </c>
      <c r="F1316" t="str">
        <f>_xlfn.XLOOKUP(tblSales[[#This Row],[Store ID]],tblStores[Store ID],tblStores[Manager])</f>
        <v>Andrew Lee</v>
      </c>
      <c r="G1316" t="str">
        <f>_xlfn.XLOOKUP(tblSales[[#This Row],[Category ID]],tblCategories[Category ID],tblCategories[Category])</f>
        <v>Kids</v>
      </c>
      <c r="H1316">
        <v>36764</v>
      </c>
      <c r="I1316">
        <v>36399</v>
      </c>
      <c r="J1316">
        <v>101</v>
      </c>
      <c r="K1316">
        <f>tblSales[[#This Row],[Sales]]-tblSales[[#This Row],[Budget]]</f>
        <v>365</v>
      </c>
      <c r="L1316" s="3">
        <f>(tblSales[[#This Row],[Sales]]-tblSales[[#This Row],[Budget]])/tblSales[[#This Row],[Budget]]</f>
        <v>1.0027748015055359E-2</v>
      </c>
      <c r="M1316" s="2">
        <f>tblSales[[#This Row],[Sales]]/tblSales[[#This Row],[Transactions]]</f>
        <v>364</v>
      </c>
    </row>
    <row r="1317" spans="1:13" x14ac:dyDescent="0.25">
      <c r="A1317" s="1">
        <v>46088</v>
      </c>
      <c r="B1317" t="s">
        <v>26</v>
      </c>
      <c r="C1317" t="s">
        <v>19</v>
      </c>
      <c r="D1317" t="str">
        <f>_xlfn.XLOOKUP(tblSales[[#This Row],[Store ID]],tblStores[Store ID],tblStores[Store Name])</f>
        <v>Gqeberha</v>
      </c>
      <c r="E1317" t="str">
        <f>_xlfn.XLOOKUP(tblSales[[#This Row],[Store ID]],tblStores[Store ID],tblStores[Province])</f>
        <v>Eastern Cape</v>
      </c>
      <c r="F1317" t="str">
        <f>_xlfn.XLOOKUP(tblSales[[#This Row],[Store ID]],tblStores[Store ID],tblStores[Manager])</f>
        <v>Emma Baker</v>
      </c>
      <c r="G1317" t="str">
        <f>_xlfn.XLOOKUP(tblSales[[#This Row],[Category ID]],tblCategories[Category ID],tblCategories[Category])</f>
        <v>Accessories</v>
      </c>
      <c r="H1317">
        <v>35600</v>
      </c>
      <c r="I1317">
        <v>32216</v>
      </c>
      <c r="J1317">
        <v>100</v>
      </c>
      <c r="K1317">
        <f>tblSales[[#This Row],[Sales]]-tblSales[[#This Row],[Budget]]</f>
        <v>3384</v>
      </c>
      <c r="L1317" s="3">
        <f>(tblSales[[#This Row],[Sales]]-tblSales[[#This Row],[Budget]])/tblSales[[#This Row],[Budget]]</f>
        <v>0.10504097342935187</v>
      </c>
      <c r="M1317" s="2">
        <f>tblSales[[#This Row],[Sales]]/tblSales[[#This Row],[Transactions]]</f>
        <v>356</v>
      </c>
    </row>
    <row r="1318" spans="1:13" x14ac:dyDescent="0.25">
      <c r="A1318" s="1">
        <v>46088</v>
      </c>
      <c r="B1318" t="s">
        <v>27</v>
      </c>
      <c r="C1318" t="s">
        <v>7</v>
      </c>
      <c r="D1318" t="str">
        <f>_xlfn.XLOOKUP(tblSales[[#This Row],[Store ID]],tblStores[Store ID],tblStores[Store Name])</f>
        <v>East London</v>
      </c>
      <c r="E1318" t="str">
        <f>_xlfn.XLOOKUP(tblSales[[#This Row],[Store ID]],tblStores[Store ID],tblStores[Province])</f>
        <v>Eastern Cape</v>
      </c>
      <c r="F1318" t="str">
        <f>_xlfn.XLOOKUP(tblSales[[#This Row],[Store ID]],tblStores[Store ID],tblStores[Manager])</f>
        <v>Daniel Evans</v>
      </c>
      <c r="G1318" t="str">
        <f>_xlfn.XLOOKUP(tblSales[[#This Row],[Category ID]],tblCategories[Category ID],tblCategories[Category])</f>
        <v>Menswear</v>
      </c>
      <c r="H1318">
        <v>60760</v>
      </c>
      <c r="I1318">
        <v>57706</v>
      </c>
      <c r="J1318">
        <v>124</v>
      </c>
      <c r="K1318">
        <f>tblSales[[#This Row],[Sales]]-tblSales[[#This Row],[Budget]]</f>
        <v>3054</v>
      </c>
      <c r="L1318" s="3">
        <f>(tblSales[[#This Row],[Sales]]-tblSales[[#This Row],[Budget]])/tblSales[[#This Row],[Budget]]</f>
        <v>5.2923439503691126E-2</v>
      </c>
      <c r="M1318" s="2">
        <f>tblSales[[#This Row],[Sales]]/tblSales[[#This Row],[Transactions]]</f>
        <v>490</v>
      </c>
    </row>
    <row r="1319" spans="1:13" x14ac:dyDescent="0.25">
      <c r="A1319" s="1">
        <v>46088</v>
      </c>
      <c r="B1319" t="s">
        <v>28</v>
      </c>
      <c r="C1319" t="s">
        <v>19</v>
      </c>
      <c r="D1319" t="str">
        <f>_xlfn.XLOOKUP(tblSales[[#This Row],[Store ID]],tblStores[Store ID],tblStores[Store Name])</f>
        <v>Bloemfontein</v>
      </c>
      <c r="E1319" t="str">
        <f>_xlfn.XLOOKUP(tblSales[[#This Row],[Store ID]],tblStores[Store ID],tblStores[Province])</f>
        <v>Free State</v>
      </c>
      <c r="F1319" t="str">
        <f>_xlfn.XLOOKUP(tblSales[[#This Row],[Store ID]],tblStores[Store ID],tblStores[Manager])</f>
        <v>Rachel Moore</v>
      </c>
      <c r="G1319" t="str">
        <f>_xlfn.XLOOKUP(tblSales[[#This Row],[Category ID]],tblCategories[Category ID],tblCategories[Category])</f>
        <v>Accessories</v>
      </c>
      <c r="H1319">
        <v>102912</v>
      </c>
      <c r="I1319">
        <v>106473</v>
      </c>
      <c r="J1319">
        <v>201</v>
      </c>
      <c r="K1319">
        <f>tblSales[[#This Row],[Sales]]-tblSales[[#This Row],[Budget]]</f>
        <v>-3561</v>
      </c>
      <c r="L1319" s="3">
        <f>(tblSales[[#This Row],[Sales]]-tblSales[[#This Row],[Budget]])/tblSales[[#This Row],[Budget]]</f>
        <v>-3.3445098757431464E-2</v>
      </c>
      <c r="M1319" s="2">
        <f>tblSales[[#This Row],[Sales]]/tblSales[[#This Row],[Transactions]]</f>
        <v>512</v>
      </c>
    </row>
    <row r="1320" spans="1:13" x14ac:dyDescent="0.25">
      <c r="A1320" s="1">
        <v>46088</v>
      </c>
      <c r="B1320" t="s">
        <v>29</v>
      </c>
      <c r="C1320" t="s">
        <v>22</v>
      </c>
      <c r="D1320" t="str">
        <f>_xlfn.XLOOKUP(tblSales[[#This Row],[Store ID]],tblStores[Store ID],tblStores[Store Name])</f>
        <v>Polokwane</v>
      </c>
      <c r="E1320" t="str">
        <f>_xlfn.XLOOKUP(tblSales[[#This Row],[Store ID]],tblStores[Store ID],tblStores[Province])</f>
        <v>Limpopo</v>
      </c>
      <c r="F1320" t="str">
        <f>_xlfn.XLOOKUP(tblSales[[#This Row],[Store ID]],tblStores[Store ID],tblStores[Manager])</f>
        <v>Kevin Harris</v>
      </c>
      <c r="G1320" t="str">
        <f>_xlfn.XLOOKUP(tblSales[[#This Row],[Category ID]],tblCategories[Category ID],tblCategories[Category])</f>
        <v>Kids</v>
      </c>
      <c r="H1320">
        <v>43250</v>
      </c>
      <c r="I1320">
        <v>46203</v>
      </c>
      <c r="J1320">
        <v>125</v>
      </c>
      <c r="K1320">
        <f>tblSales[[#This Row],[Sales]]-tblSales[[#This Row],[Budget]]</f>
        <v>-2953</v>
      </c>
      <c r="L1320" s="3">
        <f>(tblSales[[#This Row],[Sales]]-tblSales[[#This Row],[Budget]])/tblSales[[#This Row],[Budget]]</f>
        <v>-6.3913598684068137E-2</v>
      </c>
      <c r="M1320" s="2">
        <f>tblSales[[#This Row],[Sales]]/tblSales[[#This Row],[Transactions]]</f>
        <v>346</v>
      </c>
    </row>
    <row r="1321" spans="1:13" x14ac:dyDescent="0.25">
      <c r="A1321" s="1">
        <v>46088</v>
      </c>
      <c r="B1321" t="s">
        <v>30</v>
      </c>
      <c r="C1321" t="s">
        <v>11</v>
      </c>
      <c r="D1321" t="str">
        <f>_xlfn.XLOOKUP(tblSales[[#This Row],[Store ID]],tblStores[Store ID],tblStores[Store Name])</f>
        <v>Nelspruit</v>
      </c>
      <c r="E1321" t="str">
        <f>_xlfn.XLOOKUP(tblSales[[#This Row],[Store ID]],tblStores[Store ID],tblStores[Province])</f>
        <v>Mpumalanga</v>
      </c>
      <c r="F1321" t="str">
        <f>_xlfn.XLOOKUP(tblSales[[#This Row],[Store ID]],tblStores[Store ID],tblStores[Manager])</f>
        <v>Olivia Turner</v>
      </c>
      <c r="G1321" t="str">
        <f>_xlfn.XLOOKUP(tblSales[[#This Row],[Category ID]],tblCategories[Category ID],tblCategories[Category])</f>
        <v>Footwear</v>
      </c>
      <c r="H1321">
        <v>32780</v>
      </c>
      <c r="I1321">
        <v>32624</v>
      </c>
      <c r="J1321">
        <v>149</v>
      </c>
      <c r="K1321">
        <f>tblSales[[#This Row],[Sales]]-tblSales[[#This Row],[Budget]]</f>
        <v>156</v>
      </c>
      <c r="L1321" s="3">
        <f>(tblSales[[#This Row],[Sales]]-tblSales[[#This Row],[Budget]])/tblSales[[#This Row],[Budget]]</f>
        <v>4.7817557626287392E-3</v>
      </c>
      <c r="M1321" s="2">
        <f>tblSales[[#This Row],[Sales]]/tblSales[[#This Row],[Transactions]]</f>
        <v>220</v>
      </c>
    </row>
    <row r="1322" spans="1:13" x14ac:dyDescent="0.25">
      <c r="A1322" s="1">
        <v>46089</v>
      </c>
      <c r="B1322" t="s">
        <v>6</v>
      </c>
      <c r="C1322" t="s">
        <v>22</v>
      </c>
      <c r="D1322" t="str">
        <f>_xlfn.XLOOKUP(tblSales[[#This Row],[Store ID]],tblStores[Store ID],tblStores[Store Name])</f>
        <v>Durban CBD</v>
      </c>
      <c r="E1322" t="str">
        <f>_xlfn.XLOOKUP(tblSales[[#This Row],[Store ID]],tblStores[Store ID],tblStores[Province])</f>
        <v>KZN</v>
      </c>
      <c r="F1322" t="str">
        <f>_xlfn.XLOOKUP(tblSales[[#This Row],[Store ID]],tblStores[Store ID],tblStores[Manager])</f>
        <v>Sarah Adams</v>
      </c>
      <c r="G1322" t="str">
        <f>_xlfn.XLOOKUP(tblSales[[#This Row],[Category ID]],tblCategories[Category ID],tblCategories[Category])</f>
        <v>Kids</v>
      </c>
      <c r="H1322">
        <v>76959</v>
      </c>
      <c r="I1322">
        <v>87667</v>
      </c>
      <c r="J1322">
        <v>153</v>
      </c>
      <c r="K1322">
        <f>tblSales[[#This Row],[Sales]]-tblSales[[#This Row],[Budget]]</f>
        <v>-10708</v>
      </c>
      <c r="L1322" s="3">
        <f>(tblSales[[#This Row],[Sales]]-tblSales[[#This Row],[Budget]])/tblSales[[#This Row],[Budget]]</f>
        <v>-0.12214402226607503</v>
      </c>
      <c r="M1322" s="2">
        <f>tblSales[[#This Row],[Sales]]/tblSales[[#This Row],[Transactions]]</f>
        <v>503</v>
      </c>
    </row>
    <row r="1323" spans="1:13" x14ac:dyDescent="0.25">
      <c r="A1323" s="1">
        <v>46089</v>
      </c>
      <c r="B1323" t="s">
        <v>8</v>
      </c>
      <c r="C1323" t="s">
        <v>9</v>
      </c>
      <c r="D1323" t="str">
        <f>_xlfn.XLOOKUP(tblSales[[#This Row],[Store ID]],tblStores[Store ID],tblStores[Store Name])</f>
        <v>Gateway</v>
      </c>
      <c r="E1323" t="str">
        <f>_xlfn.XLOOKUP(tblSales[[#This Row],[Store ID]],tblStores[Store ID],tblStores[Province])</f>
        <v>KZN</v>
      </c>
      <c r="F1323" t="str">
        <f>_xlfn.XLOOKUP(tblSales[[#This Row],[Store ID]],tblStores[Store ID],tblStores[Manager])</f>
        <v>Michael Jones</v>
      </c>
      <c r="G1323" t="str">
        <f>_xlfn.XLOOKUP(tblSales[[#This Row],[Category ID]],tblCategories[Category ID],tblCategories[Category])</f>
        <v>Ladieswear</v>
      </c>
      <c r="H1323">
        <v>69696</v>
      </c>
      <c r="I1323">
        <v>70076</v>
      </c>
      <c r="J1323">
        <v>198</v>
      </c>
      <c r="K1323">
        <f>tblSales[[#This Row],[Sales]]-tblSales[[#This Row],[Budget]]</f>
        <v>-380</v>
      </c>
      <c r="L1323" s="3">
        <f>(tblSales[[#This Row],[Sales]]-tblSales[[#This Row],[Budget]])/tblSales[[#This Row],[Budget]]</f>
        <v>-5.4226839431474397E-3</v>
      </c>
      <c r="M1323" s="2">
        <f>tblSales[[#This Row],[Sales]]/tblSales[[#This Row],[Transactions]]</f>
        <v>352</v>
      </c>
    </row>
    <row r="1324" spans="1:13" x14ac:dyDescent="0.25">
      <c r="A1324" s="1">
        <v>46089</v>
      </c>
      <c r="B1324" t="s">
        <v>10</v>
      </c>
      <c r="C1324" t="s">
        <v>19</v>
      </c>
      <c r="D1324" t="str">
        <f>_xlfn.XLOOKUP(tblSales[[#This Row],[Store ID]],tblStores[Store ID],tblStores[Store Name])</f>
        <v>Ballito</v>
      </c>
      <c r="E1324" t="str">
        <f>_xlfn.XLOOKUP(tblSales[[#This Row],[Store ID]],tblStores[Store ID],tblStores[Province])</f>
        <v>KZN</v>
      </c>
      <c r="F1324" t="str">
        <f>_xlfn.XLOOKUP(tblSales[[#This Row],[Store ID]],tblStores[Store ID],tblStores[Manager])</f>
        <v>Linda Smith</v>
      </c>
      <c r="G1324" t="str">
        <f>_xlfn.XLOOKUP(tblSales[[#This Row],[Category ID]],tblCategories[Category ID],tblCategories[Category])</f>
        <v>Accessories</v>
      </c>
      <c r="H1324">
        <v>70047</v>
      </c>
      <c r="I1324">
        <v>77908</v>
      </c>
      <c r="J1324">
        <v>181</v>
      </c>
      <c r="K1324">
        <f>tblSales[[#This Row],[Sales]]-tblSales[[#This Row],[Budget]]</f>
        <v>-7861</v>
      </c>
      <c r="L1324" s="3">
        <f>(tblSales[[#This Row],[Sales]]-tblSales[[#This Row],[Budget]])/tblSales[[#This Row],[Budget]]</f>
        <v>-0.1009010627920111</v>
      </c>
      <c r="M1324" s="2">
        <f>tblSales[[#This Row],[Sales]]/tblSales[[#This Row],[Transactions]]</f>
        <v>387</v>
      </c>
    </row>
    <row r="1325" spans="1:13" x14ac:dyDescent="0.25">
      <c r="A1325" s="1">
        <v>46089</v>
      </c>
      <c r="B1325" t="s">
        <v>12</v>
      </c>
      <c r="C1325" t="s">
        <v>7</v>
      </c>
      <c r="D1325" t="str">
        <f>_xlfn.XLOOKUP(tblSales[[#This Row],[Store ID]],tblStores[Store ID],tblStores[Store Name])</f>
        <v>Pietermaritzburg</v>
      </c>
      <c r="E1325" t="str">
        <f>_xlfn.XLOOKUP(tblSales[[#This Row],[Store ID]],tblStores[Store ID],tblStores[Province])</f>
        <v>KZN</v>
      </c>
      <c r="F1325" t="str">
        <f>_xlfn.XLOOKUP(tblSales[[#This Row],[Store ID]],tblStores[Store ID],tblStores[Manager])</f>
        <v>Peter Brown</v>
      </c>
      <c r="G1325" t="str">
        <f>_xlfn.XLOOKUP(tblSales[[#This Row],[Category ID]],tblCategories[Category ID],tblCategories[Category])</f>
        <v>Menswear</v>
      </c>
      <c r="H1325">
        <v>14410</v>
      </c>
      <c r="I1325">
        <v>14206</v>
      </c>
      <c r="J1325">
        <v>55</v>
      </c>
      <c r="K1325">
        <f>tblSales[[#This Row],[Sales]]-tblSales[[#This Row],[Budget]]</f>
        <v>204</v>
      </c>
      <c r="L1325" s="3">
        <f>(tblSales[[#This Row],[Sales]]-tblSales[[#This Row],[Budget]])/tblSales[[#This Row],[Budget]]</f>
        <v>1.4360129522736872E-2</v>
      </c>
      <c r="M1325" s="2">
        <f>tblSales[[#This Row],[Sales]]/tblSales[[#This Row],[Transactions]]</f>
        <v>262</v>
      </c>
    </row>
    <row r="1326" spans="1:13" x14ac:dyDescent="0.25">
      <c r="A1326" s="1">
        <v>46089</v>
      </c>
      <c r="B1326" t="s">
        <v>13</v>
      </c>
      <c r="C1326" t="s">
        <v>22</v>
      </c>
      <c r="D1326" t="str">
        <f>_xlfn.XLOOKUP(tblSales[[#This Row],[Store ID]],tblStores[Store ID],tblStores[Store Name])</f>
        <v>Richards Bay</v>
      </c>
      <c r="E1326" t="str">
        <f>_xlfn.XLOOKUP(tblSales[[#This Row],[Store ID]],tblStores[Store ID],tblStores[Province])</f>
        <v>KZN</v>
      </c>
      <c r="F1326" t="str">
        <f>_xlfn.XLOOKUP(tblSales[[#This Row],[Store ID]],tblStores[Store ID],tblStores[Manager])</f>
        <v>David Green</v>
      </c>
      <c r="G1326" t="str">
        <f>_xlfn.XLOOKUP(tblSales[[#This Row],[Category ID]],tblCategories[Category ID],tblCategories[Category])</f>
        <v>Kids</v>
      </c>
      <c r="H1326">
        <v>59624</v>
      </c>
      <c r="I1326">
        <v>58004</v>
      </c>
      <c r="J1326">
        <v>116</v>
      </c>
      <c r="K1326">
        <f>tblSales[[#This Row],[Sales]]-tblSales[[#This Row],[Budget]]</f>
        <v>1620</v>
      </c>
      <c r="L1326" s="3">
        <f>(tblSales[[#This Row],[Sales]]-tblSales[[#This Row],[Budget]])/tblSales[[#This Row],[Budget]]</f>
        <v>2.7929108337356044E-2</v>
      </c>
      <c r="M1326" s="2">
        <f>tblSales[[#This Row],[Sales]]/tblSales[[#This Row],[Transactions]]</f>
        <v>514</v>
      </c>
    </row>
    <row r="1327" spans="1:13" x14ac:dyDescent="0.25">
      <c r="A1327" s="1">
        <v>46089</v>
      </c>
      <c r="B1327" t="s">
        <v>14</v>
      </c>
      <c r="C1327" t="s">
        <v>22</v>
      </c>
      <c r="D1327" t="str">
        <f>_xlfn.XLOOKUP(tblSales[[#This Row],[Store ID]],tblStores[Store ID],tblStores[Store Name])</f>
        <v>Sandton</v>
      </c>
      <c r="E1327" t="str">
        <f>_xlfn.XLOOKUP(tblSales[[#This Row],[Store ID]],tblStores[Store ID],tblStores[Province])</f>
        <v>Gauteng</v>
      </c>
      <c r="F1327" t="str">
        <f>_xlfn.XLOOKUP(tblSales[[#This Row],[Store ID]],tblStores[Store ID],tblStores[Manager])</f>
        <v>Karen White</v>
      </c>
      <c r="G1327" t="str">
        <f>_xlfn.XLOOKUP(tblSales[[#This Row],[Category ID]],tblCategories[Category ID],tblCategories[Category])</f>
        <v>Kids</v>
      </c>
      <c r="H1327">
        <v>96390</v>
      </c>
      <c r="I1327">
        <v>96280</v>
      </c>
      <c r="J1327">
        <v>189</v>
      </c>
      <c r="K1327">
        <f>tblSales[[#This Row],[Sales]]-tblSales[[#This Row],[Budget]]</f>
        <v>110</v>
      </c>
      <c r="L1327" s="3">
        <f>(tblSales[[#This Row],[Sales]]-tblSales[[#This Row],[Budget]])/tblSales[[#This Row],[Budget]]</f>
        <v>1.142501038637308E-3</v>
      </c>
      <c r="M1327" s="2">
        <f>tblSales[[#This Row],[Sales]]/tblSales[[#This Row],[Transactions]]</f>
        <v>510</v>
      </c>
    </row>
    <row r="1328" spans="1:13" x14ac:dyDescent="0.25">
      <c r="A1328" s="1">
        <v>46089</v>
      </c>
      <c r="B1328" t="s">
        <v>15</v>
      </c>
      <c r="C1328" t="s">
        <v>11</v>
      </c>
      <c r="D1328" t="str">
        <f>_xlfn.XLOOKUP(tblSales[[#This Row],[Store ID]],tblStores[Store ID],tblStores[Store Name])</f>
        <v>Rosebank</v>
      </c>
      <c r="E1328" t="str">
        <f>_xlfn.XLOOKUP(tblSales[[#This Row],[Store ID]],tblStores[Store ID],tblStores[Province])</f>
        <v>Gauteng</v>
      </c>
      <c r="F1328" t="str">
        <f>_xlfn.XLOOKUP(tblSales[[#This Row],[Store ID]],tblStores[Store ID],tblStores[Manager])</f>
        <v>James Taylor</v>
      </c>
      <c r="G1328" t="str">
        <f>_xlfn.XLOOKUP(tblSales[[#This Row],[Category ID]],tblCategories[Category ID],tblCategories[Category])</f>
        <v>Footwear</v>
      </c>
      <c r="H1328">
        <v>60960</v>
      </c>
      <c r="I1328">
        <v>62803</v>
      </c>
      <c r="J1328">
        <v>127</v>
      </c>
      <c r="K1328">
        <f>tblSales[[#This Row],[Sales]]-tblSales[[#This Row],[Budget]]</f>
        <v>-1843</v>
      </c>
      <c r="L1328" s="3">
        <f>(tblSales[[#This Row],[Sales]]-tblSales[[#This Row],[Budget]])/tblSales[[#This Row],[Budget]]</f>
        <v>-2.9345731891788608E-2</v>
      </c>
      <c r="M1328" s="2">
        <f>tblSales[[#This Row],[Sales]]/tblSales[[#This Row],[Transactions]]</f>
        <v>480</v>
      </c>
    </row>
    <row r="1329" spans="1:13" x14ac:dyDescent="0.25">
      <c r="A1329" s="1">
        <v>46089</v>
      </c>
      <c r="B1329" t="s">
        <v>16</v>
      </c>
      <c r="C1329" t="s">
        <v>11</v>
      </c>
      <c r="D1329" t="str">
        <f>_xlfn.XLOOKUP(tblSales[[#This Row],[Store ID]],tblStores[Store ID],tblStores[Store Name])</f>
        <v>Pretoria</v>
      </c>
      <c r="E1329" t="str">
        <f>_xlfn.XLOOKUP(tblSales[[#This Row],[Store ID]],tblStores[Store ID],tblStores[Province])</f>
        <v>Gauteng</v>
      </c>
      <c r="F1329" t="str">
        <f>_xlfn.XLOOKUP(tblSales[[#This Row],[Store ID]],tblStores[Store ID],tblStores[Manager])</f>
        <v>Susan Clark</v>
      </c>
      <c r="G1329" t="str">
        <f>_xlfn.XLOOKUP(tblSales[[#This Row],[Category ID]],tblCategories[Category ID],tblCategories[Category])</f>
        <v>Footwear</v>
      </c>
      <c r="H1329">
        <v>37100</v>
      </c>
      <c r="I1329">
        <v>35095</v>
      </c>
      <c r="J1329">
        <v>140</v>
      </c>
      <c r="K1329">
        <f>tblSales[[#This Row],[Sales]]-tblSales[[#This Row],[Budget]]</f>
        <v>2005</v>
      </c>
      <c r="L1329" s="3">
        <f>(tblSales[[#This Row],[Sales]]-tblSales[[#This Row],[Budget]])/tblSales[[#This Row],[Budget]]</f>
        <v>5.7130645391081349E-2</v>
      </c>
      <c r="M1329" s="2">
        <f>tblSales[[#This Row],[Sales]]/tblSales[[#This Row],[Transactions]]</f>
        <v>265</v>
      </c>
    </row>
    <row r="1330" spans="1:13" x14ac:dyDescent="0.25">
      <c r="A1330" s="1">
        <v>46089</v>
      </c>
      <c r="B1330" t="s">
        <v>17</v>
      </c>
      <c r="C1330" t="s">
        <v>7</v>
      </c>
      <c r="D1330" t="str">
        <f>_xlfn.XLOOKUP(tblSales[[#This Row],[Store ID]],tblStores[Store ID],tblStores[Store Name])</f>
        <v>Centurion</v>
      </c>
      <c r="E1330" t="str">
        <f>_xlfn.XLOOKUP(tblSales[[#This Row],[Store ID]],tblStores[Store ID],tblStores[Province])</f>
        <v>Gauteng</v>
      </c>
      <c r="F1330" t="str">
        <f>_xlfn.XLOOKUP(tblSales[[#This Row],[Store ID]],tblStores[Store ID],tblStores[Manager])</f>
        <v>Mark Wilson</v>
      </c>
      <c r="G1330" t="str">
        <f>_xlfn.XLOOKUP(tblSales[[#This Row],[Category ID]],tblCategories[Category ID],tblCategories[Category])</f>
        <v>Menswear</v>
      </c>
      <c r="H1330">
        <v>20100</v>
      </c>
      <c r="I1330">
        <v>21416</v>
      </c>
      <c r="J1330">
        <v>67</v>
      </c>
      <c r="K1330">
        <f>tblSales[[#This Row],[Sales]]-tblSales[[#This Row],[Budget]]</f>
        <v>-1316</v>
      </c>
      <c r="L1330" s="3">
        <f>(tblSales[[#This Row],[Sales]]-tblSales[[#This Row],[Budget]])/tblSales[[#This Row],[Budget]]</f>
        <v>-6.1449383638401196E-2</v>
      </c>
      <c r="M1330" s="2">
        <f>tblSales[[#This Row],[Sales]]/tblSales[[#This Row],[Transactions]]</f>
        <v>300</v>
      </c>
    </row>
    <row r="1331" spans="1:13" x14ac:dyDescent="0.25">
      <c r="A1331" s="1">
        <v>46089</v>
      </c>
      <c r="B1331" t="s">
        <v>18</v>
      </c>
      <c r="C1331" t="s">
        <v>7</v>
      </c>
      <c r="D1331" t="str">
        <f>_xlfn.XLOOKUP(tblSales[[#This Row],[Store ID]],tblStores[Store ID],tblStores[Store Name])</f>
        <v>East Rand</v>
      </c>
      <c r="E1331" t="str">
        <f>_xlfn.XLOOKUP(tblSales[[#This Row],[Store ID]],tblStores[Store ID],tblStores[Province])</f>
        <v>Gauteng</v>
      </c>
      <c r="F1331" t="str">
        <f>_xlfn.XLOOKUP(tblSales[[#This Row],[Store ID]],tblStores[Store ID],tblStores[Manager])</f>
        <v>Lisa Young</v>
      </c>
      <c r="G1331" t="str">
        <f>_xlfn.XLOOKUP(tblSales[[#This Row],[Category ID]],tblCategories[Category ID],tblCategories[Category])</f>
        <v>Menswear</v>
      </c>
      <c r="H1331">
        <v>23320</v>
      </c>
      <c r="I1331">
        <v>23302</v>
      </c>
      <c r="J1331">
        <v>88</v>
      </c>
      <c r="K1331">
        <f>tblSales[[#This Row],[Sales]]-tblSales[[#This Row],[Budget]]</f>
        <v>18</v>
      </c>
      <c r="L1331" s="3">
        <f>(tblSales[[#This Row],[Sales]]-tblSales[[#This Row],[Budget]])/tblSales[[#This Row],[Budget]]</f>
        <v>7.724658827568449E-4</v>
      </c>
      <c r="M1331" s="2">
        <f>tblSales[[#This Row],[Sales]]/tblSales[[#This Row],[Transactions]]</f>
        <v>265</v>
      </c>
    </row>
    <row r="1332" spans="1:13" x14ac:dyDescent="0.25">
      <c r="A1332" s="1">
        <v>46089</v>
      </c>
      <c r="B1332" t="s">
        <v>20</v>
      </c>
      <c r="C1332" t="s">
        <v>7</v>
      </c>
      <c r="D1332" t="str">
        <f>_xlfn.XLOOKUP(tblSales[[#This Row],[Store ID]],tblStores[Store ID],tblStores[Store Name])</f>
        <v>Cape Town CBD</v>
      </c>
      <c r="E1332" t="str">
        <f>_xlfn.XLOOKUP(tblSales[[#This Row],[Store ID]],tblStores[Store ID],tblStores[Province])</f>
        <v>Western Cape</v>
      </c>
      <c r="F1332" t="str">
        <f>_xlfn.XLOOKUP(tblSales[[#This Row],[Store ID]],tblStores[Store ID],tblStores[Manager])</f>
        <v>Brian Hall</v>
      </c>
      <c r="G1332" t="str">
        <f>_xlfn.XLOOKUP(tblSales[[#This Row],[Category ID]],tblCategories[Category ID],tblCategories[Category])</f>
        <v>Menswear</v>
      </c>
      <c r="H1332">
        <v>21522</v>
      </c>
      <c r="I1332">
        <v>22320</v>
      </c>
      <c r="J1332">
        <v>51</v>
      </c>
      <c r="K1332">
        <f>tblSales[[#This Row],[Sales]]-tblSales[[#This Row],[Budget]]</f>
        <v>-798</v>
      </c>
      <c r="L1332" s="3">
        <f>(tblSales[[#This Row],[Sales]]-tblSales[[#This Row],[Budget]])/tblSales[[#This Row],[Budget]]</f>
        <v>-3.575268817204301E-2</v>
      </c>
      <c r="M1332" s="2">
        <f>tblSales[[#This Row],[Sales]]/tblSales[[#This Row],[Transactions]]</f>
        <v>422</v>
      </c>
    </row>
    <row r="1333" spans="1:13" x14ac:dyDescent="0.25">
      <c r="A1333" s="1">
        <v>46089</v>
      </c>
      <c r="B1333" t="s">
        <v>21</v>
      </c>
      <c r="C1333" t="s">
        <v>7</v>
      </c>
      <c r="D1333" t="str">
        <f>_xlfn.XLOOKUP(tblSales[[#This Row],[Store ID]],tblStores[Store ID],tblStores[Store Name])</f>
        <v>Canal Walk</v>
      </c>
      <c r="E1333" t="str">
        <f>_xlfn.XLOOKUP(tblSales[[#This Row],[Store ID]],tblStores[Store ID],tblStores[Province])</f>
        <v>Western Cape</v>
      </c>
      <c r="F1333" t="str">
        <f>_xlfn.XLOOKUP(tblSales[[#This Row],[Store ID]],tblStores[Store ID],tblStores[Manager])</f>
        <v>Megan Scott</v>
      </c>
      <c r="G1333" t="str">
        <f>_xlfn.XLOOKUP(tblSales[[#This Row],[Category ID]],tblCategories[Category ID],tblCategories[Category])</f>
        <v>Menswear</v>
      </c>
      <c r="H1333">
        <v>60928</v>
      </c>
      <c r="I1333">
        <v>66487</v>
      </c>
      <c r="J1333">
        <v>136</v>
      </c>
      <c r="K1333">
        <f>tblSales[[#This Row],[Sales]]-tblSales[[#This Row],[Budget]]</f>
        <v>-5559</v>
      </c>
      <c r="L1333" s="3">
        <f>(tblSales[[#This Row],[Sales]]-tblSales[[#This Row],[Budget]])/tblSales[[#This Row],[Budget]]</f>
        <v>-8.3610329838915878E-2</v>
      </c>
      <c r="M1333" s="2">
        <f>tblSales[[#This Row],[Sales]]/tblSales[[#This Row],[Transactions]]</f>
        <v>448</v>
      </c>
    </row>
    <row r="1334" spans="1:13" x14ac:dyDescent="0.25">
      <c r="A1334" s="1">
        <v>46089</v>
      </c>
      <c r="B1334" t="s">
        <v>23</v>
      </c>
      <c r="C1334" t="s">
        <v>7</v>
      </c>
      <c r="D1334" t="str">
        <f>_xlfn.XLOOKUP(tblSales[[#This Row],[Store ID]],tblStores[Store ID],tblStores[Store Name])</f>
        <v>Stellenbosch</v>
      </c>
      <c r="E1334" t="str">
        <f>_xlfn.XLOOKUP(tblSales[[#This Row],[Store ID]],tblStores[Store ID],tblStores[Province])</f>
        <v>Western Cape</v>
      </c>
      <c r="F1334" t="str">
        <f>_xlfn.XLOOKUP(tblSales[[#This Row],[Store ID]],tblStores[Store ID],tblStores[Manager])</f>
        <v>Jason King</v>
      </c>
      <c r="G1334" t="str">
        <f>_xlfn.XLOOKUP(tblSales[[#This Row],[Category ID]],tblCategories[Category ID],tblCategories[Category])</f>
        <v>Menswear</v>
      </c>
      <c r="H1334">
        <v>19154</v>
      </c>
      <c r="I1334">
        <v>20198</v>
      </c>
      <c r="J1334">
        <v>61</v>
      </c>
      <c r="K1334">
        <f>tblSales[[#This Row],[Sales]]-tblSales[[#This Row],[Budget]]</f>
        <v>-1044</v>
      </c>
      <c r="L1334" s="3">
        <f>(tblSales[[#This Row],[Sales]]-tblSales[[#This Row],[Budget]])/tblSales[[#This Row],[Budget]]</f>
        <v>-5.1688285968907816E-2</v>
      </c>
      <c r="M1334" s="2">
        <f>tblSales[[#This Row],[Sales]]/tblSales[[#This Row],[Transactions]]</f>
        <v>314</v>
      </c>
    </row>
    <row r="1335" spans="1:13" x14ac:dyDescent="0.25">
      <c r="A1335" s="1">
        <v>46089</v>
      </c>
      <c r="B1335" t="s">
        <v>24</v>
      </c>
      <c r="C1335" t="s">
        <v>7</v>
      </c>
      <c r="D1335" t="str">
        <f>_xlfn.XLOOKUP(tblSales[[#This Row],[Store ID]],tblStores[Store ID],tblStores[Store Name])</f>
        <v>George</v>
      </c>
      <c r="E1335" t="str">
        <f>_xlfn.XLOOKUP(tblSales[[#This Row],[Store ID]],tblStores[Store ID],tblStores[Province])</f>
        <v>Western Cape</v>
      </c>
      <c r="F1335" t="str">
        <f>_xlfn.XLOOKUP(tblSales[[#This Row],[Store ID]],tblStores[Store ID],tblStores[Manager])</f>
        <v>Chloe Hill</v>
      </c>
      <c r="G1335" t="str">
        <f>_xlfn.XLOOKUP(tblSales[[#This Row],[Category ID]],tblCategories[Category ID],tblCategories[Category])</f>
        <v>Menswear</v>
      </c>
      <c r="H1335">
        <v>76558</v>
      </c>
      <c r="I1335">
        <v>74823</v>
      </c>
      <c r="J1335">
        <v>202</v>
      </c>
      <c r="K1335">
        <f>tblSales[[#This Row],[Sales]]-tblSales[[#This Row],[Budget]]</f>
        <v>1735</v>
      </c>
      <c r="L1335" s="3">
        <f>(tblSales[[#This Row],[Sales]]-tblSales[[#This Row],[Budget]])/tblSales[[#This Row],[Budget]]</f>
        <v>2.3188057148203094E-2</v>
      </c>
      <c r="M1335" s="2">
        <f>tblSales[[#This Row],[Sales]]/tblSales[[#This Row],[Transactions]]</f>
        <v>379</v>
      </c>
    </row>
    <row r="1336" spans="1:13" x14ac:dyDescent="0.25">
      <c r="A1336" s="1">
        <v>46089</v>
      </c>
      <c r="B1336" t="s">
        <v>25</v>
      </c>
      <c r="C1336" t="s">
        <v>9</v>
      </c>
      <c r="D1336" t="str">
        <f>_xlfn.XLOOKUP(tblSales[[#This Row],[Store ID]],tblStores[Store ID],tblStores[Store Name])</f>
        <v>Paarl</v>
      </c>
      <c r="E1336" t="str">
        <f>_xlfn.XLOOKUP(tblSales[[#This Row],[Store ID]],tblStores[Store ID],tblStores[Province])</f>
        <v>Western Cape</v>
      </c>
      <c r="F1336" t="str">
        <f>_xlfn.XLOOKUP(tblSales[[#This Row],[Store ID]],tblStores[Store ID],tblStores[Manager])</f>
        <v>Andrew Lee</v>
      </c>
      <c r="G1336" t="str">
        <f>_xlfn.XLOOKUP(tblSales[[#This Row],[Category ID]],tblCategories[Category ID],tblCategories[Category])</f>
        <v>Ladieswear</v>
      </c>
      <c r="H1336">
        <v>43442</v>
      </c>
      <c r="I1336">
        <v>45901</v>
      </c>
      <c r="J1336">
        <v>107</v>
      </c>
      <c r="K1336">
        <f>tblSales[[#This Row],[Sales]]-tblSales[[#This Row],[Budget]]</f>
        <v>-2459</v>
      </c>
      <c r="L1336" s="3">
        <f>(tblSales[[#This Row],[Sales]]-tblSales[[#This Row],[Budget]])/tblSales[[#This Row],[Budget]]</f>
        <v>-5.3571817607459535E-2</v>
      </c>
      <c r="M1336" s="2">
        <f>tblSales[[#This Row],[Sales]]/tblSales[[#This Row],[Transactions]]</f>
        <v>406</v>
      </c>
    </row>
    <row r="1337" spans="1:13" x14ac:dyDescent="0.25">
      <c r="A1337" s="1">
        <v>46089</v>
      </c>
      <c r="B1337" t="s">
        <v>26</v>
      </c>
      <c r="C1337" t="s">
        <v>9</v>
      </c>
      <c r="D1337" t="str">
        <f>_xlfn.XLOOKUP(tblSales[[#This Row],[Store ID]],tblStores[Store ID],tblStores[Store Name])</f>
        <v>Gqeberha</v>
      </c>
      <c r="E1337" t="str">
        <f>_xlfn.XLOOKUP(tblSales[[#This Row],[Store ID]],tblStores[Store ID],tblStores[Province])</f>
        <v>Eastern Cape</v>
      </c>
      <c r="F1337" t="str">
        <f>_xlfn.XLOOKUP(tblSales[[#This Row],[Store ID]],tblStores[Store ID],tblStores[Manager])</f>
        <v>Emma Baker</v>
      </c>
      <c r="G1337" t="str">
        <f>_xlfn.XLOOKUP(tblSales[[#This Row],[Category ID]],tblCategories[Category ID],tblCategories[Category])</f>
        <v>Ladieswear</v>
      </c>
      <c r="H1337">
        <v>45123</v>
      </c>
      <c r="I1337">
        <v>40933</v>
      </c>
      <c r="J1337">
        <v>169</v>
      </c>
      <c r="K1337">
        <f>tblSales[[#This Row],[Sales]]-tblSales[[#This Row],[Budget]]</f>
        <v>4190</v>
      </c>
      <c r="L1337" s="3">
        <f>(tblSales[[#This Row],[Sales]]-tblSales[[#This Row],[Budget]])/tblSales[[#This Row],[Budget]]</f>
        <v>0.10236239708792418</v>
      </c>
      <c r="M1337" s="2">
        <f>tblSales[[#This Row],[Sales]]/tblSales[[#This Row],[Transactions]]</f>
        <v>267</v>
      </c>
    </row>
    <row r="1338" spans="1:13" x14ac:dyDescent="0.25">
      <c r="A1338" s="1">
        <v>46089</v>
      </c>
      <c r="B1338" t="s">
        <v>27</v>
      </c>
      <c r="C1338" t="s">
        <v>22</v>
      </c>
      <c r="D1338" t="str">
        <f>_xlfn.XLOOKUP(tblSales[[#This Row],[Store ID]],tblStores[Store ID],tblStores[Store Name])</f>
        <v>East London</v>
      </c>
      <c r="E1338" t="str">
        <f>_xlfn.XLOOKUP(tblSales[[#This Row],[Store ID]],tblStores[Store ID],tblStores[Province])</f>
        <v>Eastern Cape</v>
      </c>
      <c r="F1338" t="str">
        <f>_xlfn.XLOOKUP(tblSales[[#This Row],[Store ID]],tblStores[Store ID],tblStores[Manager])</f>
        <v>Daniel Evans</v>
      </c>
      <c r="G1338" t="str">
        <f>_xlfn.XLOOKUP(tblSales[[#This Row],[Category ID]],tblCategories[Category ID],tblCategories[Category])</f>
        <v>Kids</v>
      </c>
      <c r="H1338">
        <v>49914</v>
      </c>
      <c r="I1338">
        <v>50752</v>
      </c>
      <c r="J1338">
        <v>118</v>
      </c>
      <c r="K1338">
        <f>tblSales[[#This Row],[Sales]]-tblSales[[#This Row],[Budget]]</f>
        <v>-838</v>
      </c>
      <c r="L1338" s="3">
        <f>(tblSales[[#This Row],[Sales]]-tblSales[[#This Row],[Budget]])/tblSales[[#This Row],[Budget]]</f>
        <v>-1.6511664564943254E-2</v>
      </c>
      <c r="M1338" s="2">
        <f>tblSales[[#This Row],[Sales]]/tblSales[[#This Row],[Transactions]]</f>
        <v>423</v>
      </c>
    </row>
    <row r="1339" spans="1:13" x14ac:dyDescent="0.25">
      <c r="A1339" s="1">
        <v>46089</v>
      </c>
      <c r="B1339" t="s">
        <v>28</v>
      </c>
      <c r="C1339" t="s">
        <v>19</v>
      </c>
      <c r="D1339" t="str">
        <f>_xlfn.XLOOKUP(tblSales[[#This Row],[Store ID]],tblStores[Store ID],tblStores[Store Name])</f>
        <v>Bloemfontein</v>
      </c>
      <c r="E1339" t="str">
        <f>_xlfn.XLOOKUP(tblSales[[#This Row],[Store ID]],tblStores[Store ID],tblStores[Province])</f>
        <v>Free State</v>
      </c>
      <c r="F1339" t="str">
        <f>_xlfn.XLOOKUP(tblSales[[#This Row],[Store ID]],tblStores[Store ID],tblStores[Manager])</f>
        <v>Rachel Moore</v>
      </c>
      <c r="G1339" t="str">
        <f>_xlfn.XLOOKUP(tblSales[[#This Row],[Category ID]],tblCategories[Category ID],tblCategories[Category])</f>
        <v>Accessories</v>
      </c>
      <c r="H1339">
        <v>47840</v>
      </c>
      <c r="I1339">
        <v>48376</v>
      </c>
      <c r="J1339">
        <v>104</v>
      </c>
      <c r="K1339">
        <f>tblSales[[#This Row],[Sales]]-tblSales[[#This Row],[Budget]]</f>
        <v>-536</v>
      </c>
      <c r="L1339" s="3">
        <f>(tblSales[[#This Row],[Sales]]-tblSales[[#This Row],[Budget]])/tblSales[[#This Row],[Budget]]</f>
        <v>-1.1079874317843559E-2</v>
      </c>
      <c r="M1339" s="2">
        <f>tblSales[[#This Row],[Sales]]/tblSales[[#This Row],[Transactions]]</f>
        <v>460</v>
      </c>
    </row>
    <row r="1340" spans="1:13" x14ac:dyDescent="0.25">
      <c r="A1340" s="1">
        <v>46089</v>
      </c>
      <c r="B1340" t="s">
        <v>29</v>
      </c>
      <c r="C1340" t="s">
        <v>19</v>
      </c>
      <c r="D1340" t="str">
        <f>_xlfn.XLOOKUP(tblSales[[#This Row],[Store ID]],tblStores[Store ID],tblStores[Store Name])</f>
        <v>Polokwane</v>
      </c>
      <c r="E1340" t="str">
        <f>_xlfn.XLOOKUP(tblSales[[#This Row],[Store ID]],tblStores[Store ID],tblStores[Province])</f>
        <v>Limpopo</v>
      </c>
      <c r="F1340" t="str">
        <f>_xlfn.XLOOKUP(tblSales[[#This Row],[Store ID]],tblStores[Store ID],tblStores[Manager])</f>
        <v>Kevin Harris</v>
      </c>
      <c r="G1340" t="str">
        <f>_xlfn.XLOOKUP(tblSales[[#This Row],[Category ID]],tblCategories[Category ID],tblCategories[Category])</f>
        <v>Accessories</v>
      </c>
      <c r="H1340">
        <v>38560</v>
      </c>
      <c r="I1340">
        <v>40464</v>
      </c>
      <c r="J1340">
        <v>80</v>
      </c>
      <c r="K1340">
        <f>tblSales[[#This Row],[Sales]]-tblSales[[#This Row],[Budget]]</f>
        <v>-1904</v>
      </c>
      <c r="L1340" s="3">
        <f>(tblSales[[#This Row],[Sales]]-tblSales[[#This Row],[Budget]])/tblSales[[#This Row],[Budget]]</f>
        <v>-4.7054171609331751E-2</v>
      </c>
      <c r="M1340" s="2">
        <f>tblSales[[#This Row],[Sales]]/tblSales[[#This Row],[Transactions]]</f>
        <v>482</v>
      </c>
    </row>
    <row r="1341" spans="1:13" x14ac:dyDescent="0.25">
      <c r="A1341" s="1">
        <v>46089</v>
      </c>
      <c r="B1341" t="s">
        <v>30</v>
      </c>
      <c r="C1341" t="s">
        <v>19</v>
      </c>
      <c r="D1341" t="str">
        <f>_xlfn.XLOOKUP(tblSales[[#This Row],[Store ID]],tblStores[Store ID],tblStores[Store Name])</f>
        <v>Nelspruit</v>
      </c>
      <c r="E1341" t="str">
        <f>_xlfn.XLOOKUP(tblSales[[#This Row],[Store ID]],tblStores[Store ID],tblStores[Province])</f>
        <v>Mpumalanga</v>
      </c>
      <c r="F1341" t="str">
        <f>_xlfn.XLOOKUP(tblSales[[#This Row],[Store ID]],tblStores[Store ID],tblStores[Manager])</f>
        <v>Olivia Turner</v>
      </c>
      <c r="G1341" t="str">
        <f>_xlfn.XLOOKUP(tblSales[[#This Row],[Category ID]],tblCategories[Category ID],tblCategories[Category])</f>
        <v>Accessories</v>
      </c>
      <c r="H1341">
        <v>65408</v>
      </c>
      <c r="I1341">
        <v>69328</v>
      </c>
      <c r="J1341">
        <v>146</v>
      </c>
      <c r="K1341">
        <f>tblSales[[#This Row],[Sales]]-tblSales[[#This Row],[Budget]]</f>
        <v>-3920</v>
      </c>
      <c r="L1341" s="3">
        <f>(tblSales[[#This Row],[Sales]]-tblSales[[#This Row],[Budget]])/tblSales[[#This Row],[Budget]]</f>
        <v>-5.6542810985460421E-2</v>
      </c>
      <c r="M1341" s="2">
        <f>tblSales[[#This Row],[Sales]]/tblSales[[#This Row],[Transactions]]</f>
        <v>448</v>
      </c>
    </row>
    <row r="1342" spans="1:13" x14ac:dyDescent="0.25">
      <c r="A1342" s="1">
        <v>46090</v>
      </c>
      <c r="B1342" t="s">
        <v>6</v>
      </c>
      <c r="C1342" t="s">
        <v>19</v>
      </c>
      <c r="D1342" t="str">
        <f>_xlfn.XLOOKUP(tblSales[[#This Row],[Store ID]],tblStores[Store ID],tblStores[Store Name])</f>
        <v>Durban CBD</v>
      </c>
      <c r="E1342" t="str">
        <f>_xlfn.XLOOKUP(tblSales[[#This Row],[Store ID]],tblStores[Store ID],tblStores[Province])</f>
        <v>KZN</v>
      </c>
      <c r="F1342" t="str">
        <f>_xlfn.XLOOKUP(tblSales[[#This Row],[Store ID]],tblStores[Store ID],tblStores[Manager])</f>
        <v>Sarah Adams</v>
      </c>
      <c r="G1342" t="str">
        <f>_xlfn.XLOOKUP(tblSales[[#This Row],[Category ID]],tblCategories[Category ID],tblCategories[Category])</f>
        <v>Accessories</v>
      </c>
      <c r="H1342">
        <v>40698</v>
      </c>
      <c r="I1342">
        <v>41528</v>
      </c>
      <c r="J1342">
        <v>114</v>
      </c>
      <c r="K1342">
        <f>tblSales[[#This Row],[Sales]]-tblSales[[#This Row],[Budget]]</f>
        <v>-830</v>
      </c>
      <c r="L1342" s="3">
        <f>(tblSales[[#This Row],[Sales]]-tblSales[[#This Row],[Budget]])/tblSales[[#This Row],[Budget]]</f>
        <v>-1.9986515122327103E-2</v>
      </c>
      <c r="M1342" s="2">
        <f>tblSales[[#This Row],[Sales]]/tblSales[[#This Row],[Transactions]]</f>
        <v>357</v>
      </c>
    </row>
    <row r="1343" spans="1:13" x14ac:dyDescent="0.25">
      <c r="A1343" s="1">
        <v>46090</v>
      </c>
      <c r="B1343" t="s">
        <v>8</v>
      </c>
      <c r="C1343" t="s">
        <v>9</v>
      </c>
      <c r="D1343" t="str">
        <f>_xlfn.XLOOKUP(tblSales[[#This Row],[Store ID]],tblStores[Store ID],tblStores[Store Name])</f>
        <v>Gateway</v>
      </c>
      <c r="E1343" t="str">
        <f>_xlfn.XLOOKUP(tblSales[[#This Row],[Store ID]],tblStores[Store ID],tblStores[Province])</f>
        <v>KZN</v>
      </c>
      <c r="F1343" t="str">
        <f>_xlfn.XLOOKUP(tblSales[[#This Row],[Store ID]],tblStores[Store ID],tblStores[Manager])</f>
        <v>Michael Jones</v>
      </c>
      <c r="G1343" t="str">
        <f>_xlfn.XLOOKUP(tblSales[[#This Row],[Category ID]],tblCategories[Category ID],tblCategories[Category])</f>
        <v>Ladieswear</v>
      </c>
      <c r="H1343">
        <v>23142</v>
      </c>
      <c r="I1343">
        <v>22608</v>
      </c>
      <c r="J1343">
        <v>57</v>
      </c>
      <c r="K1343">
        <f>tblSales[[#This Row],[Sales]]-tblSales[[#This Row],[Budget]]</f>
        <v>534</v>
      </c>
      <c r="L1343" s="3">
        <f>(tblSales[[#This Row],[Sales]]-tblSales[[#This Row],[Budget]])/tblSales[[#This Row],[Budget]]</f>
        <v>2.3619957537154991E-2</v>
      </c>
      <c r="M1343" s="2">
        <f>tblSales[[#This Row],[Sales]]/tblSales[[#This Row],[Transactions]]</f>
        <v>406</v>
      </c>
    </row>
    <row r="1344" spans="1:13" x14ac:dyDescent="0.25">
      <c r="A1344" s="1">
        <v>46090</v>
      </c>
      <c r="B1344" t="s">
        <v>10</v>
      </c>
      <c r="C1344" t="s">
        <v>11</v>
      </c>
      <c r="D1344" t="str">
        <f>_xlfn.XLOOKUP(tblSales[[#This Row],[Store ID]],tblStores[Store ID],tblStores[Store Name])</f>
        <v>Ballito</v>
      </c>
      <c r="E1344" t="str">
        <f>_xlfn.XLOOKUP(tblSales[[#This Row],[Store ID]],tblStores[Store ID],tblStores[Province])</f>
        <v>KZN</v>
      </c>
      <c r="F1344" t="str">
        <f>_xlfn.XLOOKUP(tblSales[[#This Row],[Store ID]],tblStores[Store ID],tblStores[Manager])</f>
        <v>Linda Smith</v>
      </c>
      <c r="G1344" t="str">
        <f>_xlfn.XLOOKUP(tblSales[[#This Row],[Category ID]],tblCategories[Category ID],tblCategories[Category])</f>
        <v>Footwear</v>
      </c>
      <c r="H1344">
        <v>26159</v>
      </c>
      <c r="I1344">
        <v>25528</v>
      </c>
      <c r="J1344">
        <v>101</v>
      </c>
      <c r="K1344">
        <f>tblSales[[#This Row],[Sales]]-tblSales[[#This Row],[Budget]]</f>
        <v>631</v>
      </c>
      <c r="L1344" s="3">
        <f>(tblSales[[#This Row],[Sales]]-tblSales[[#This Row],[Budget]])/tblSales[[#This Row],[Budget]]</f>
        <v>2.4717956753368849E-2</v>
      </c>
      <c r="M1344" s="2">
        <f>tblSales[[#This Row],[Sales]]/tblSales[[#This Row],[Transactions]]</f>
        <v>259</v>
      </c>
    </row>
    <row r="1345" spans="1:13" x14ac:dyDescent="0.25">
      <c r="A1345" s="1">
        <v>46090</v>
      </c>
      <c r="B1345" t="s">
        <v>12</v>
      </c>
      <c r="C1345" t="s">
        <v>7</v>
      </c>
      <c r="D1345" t="str">
        <f>_xlfn.XLOOKUP(tblSales[[#This Row],[Store ID]],tblStores[Store ID],tblStores[Store Name])</f>
        <v>Pietermaritzburg</v>
      </c>
      <c r="E1345" t="str">
        <f>_xlfn.XLOOKUP(tblSales[[#This Row],[Store ID]],tblStores[Store ID],tblStores[Province])</f>
        <v>KZN</v>
      </c>
      <c r="F1345" t="str">
        <f>_xlfn.XLOOKUP(tblSales[[#This Row],[Store ID]],tblStores[Store ID],tblStores[Manager])</f>
        <v>Peter Brown</v>
      </c>
      <c r="G1345" t="str">
        <f>_xlfn.XLOOKUP(tblSales[[#This Row],[Category ID]],tblCategories[Category ID],tblCategories[Category])</f>
        <v>Menswear</v>
      </c>
      <c r="H1345">
        <v>41832</v>
      </c>
      <c r="I1345">
        <v>41245</v>
      </c>
      <c r="J1345">
        <v>168</v>
      </c>
      <c r="K1345">
        <f>tblSales[[#This Row],[Sales]]-tblSales[[#This Row],[Budget]]</f>
        <v>587</v>
      </c>
      <c r="L1345" s="3">
        <f>(tblSales[[#This Row],[Sales]]-tblSales[[#This Row],[Budget]])/tblSales[[#This Row],[Budget]]</f>
        <v>1.4232028124621167E-2</v>
      </c>
      <c r="M1345" s="2">
        <f>tblSales[[#This Row],[Sales]]/tblSales[[#This Row],[Transactions]]</f>
        <v>249</v>
      </c>
    </row>
    <row r="1346" spans="1:13" x14ac:dyDescent="0.25">
      <c r="A1346" s="1">
        <v>46090</v>
      </c>
      <c r="B1346" t="s">
        <v>13</v>
      </c>
      <c r="C1346" t="s">
        <v>11</v>
      </c>
      <c r="D1346" t="str">
        <f>_xlfn.XLOOKUP(tblSales[[#This Row],[Store ID]],tblStores[Store ID],tblStores[Store Name])</f>
        <v>Richards Bay</v>
      </c>
      <c r="E1346" t="str">
        <f>_xlfn.XLOOKUP(tblSales[[#This Row],[Store ID]],tblStores[Store ID],tblStores[Province])</f>
        <v>KZN</v>
      </c>
      <c r="F1346" t="str">
        <f>_xlfn.XLOOKUP(tblSales[[#This Row],[Store ID]],tblStores[Store ID],tblStores[Manager])</f>
        <v>David Green</v>
      </c>
      <c r="G1346" t="str">
        <f>_xlfn.XLOOKUP(tblSales[[#This Row],[Category ID]],tblCategories[Category ID],tblCategories[Category])</f>
        <v>Footwear</v>
      </c>
      <c r="H1346">
        <v>31464</v>
      </c>
      <c r="I1346">
        <v>33727</v>
      </c>
      <c r="J1346">
        <v>171</v>
      </c>
      <c r="K1346">
        <f>tblSales[[#This Row],[Sales]]-tblSales[[#This Row],[Budget]]</f>
        <v>-2263</v>
      </c>
      <c r="L1346" s="3">
        <f>(tblSales[[#This Row],[Sales]]-tblSales[[#This Row],[Budget]])/tblSales[[#This Row],[Budget]]</f>
        <v>-6.7097577608444273E-2</v>
      </c>
      <c r="M1346" s="2">
        <f>tblSales[[#This Row],[Sales]]/tblSales[[#This Row],[Transactions]]</f>
        <v>184</v>
      </c>
    </row>
    <row r="1347" spans="1:13" x14ac:dyDescent="0.25">
      <c r="A1347" s="1">
        <v>46090</v>
      </c>
      <c r="B1347" t="s">
        <v>14</v>
      </c>
      <c r="C1347" t="s">
        <v>11</v>
      </c>
      <c r="D1347" t="str">
        <f>_xlfn.XLOOKUP(tblSales[[#This Row],[Store ID]],tblStores[Store ID],tblStores[Store Name])</f>
        <v>Sandton</v>
      </c>
      <c r="E1347" t="str">
        <f>_xlfn.XLOOKUP(tblSales[[#This Row],[Store ID]],tblStores[Store ID],tblStores[Province])</f>
        <v>Gauteng</v>
      </c>
      <c r="F1347" t="str">
        <f>_xlfn.XLOOKUP(tblSales[[#This Row],[Store ID]],tblStores[Store ID],tblStores[Manager])</f>
        <v>Karen White</v>
      </c>
      <c r="G1347" t="str">
        <f>_xlfn.XLOOKUP(tblSales[[#This Row],[Category ID]],tblCategories[Category ID],tblCategories[Category])</f>
        <v>Footwear</v>
      </c>
      <c r="H1347">
        <v>52281</v>
      </c>
      <c r="I1347">
        <v>47172</v>
      </c>
      <c r="J1347">
        <v>157</v>
      </c>
      <c r="K1347">
        <f>tblSales[[#This Row],[Sales]]-tblSales[[#This Row],[Budget]]</f>
        <v>5109</v>
      </c>
      <c r="L1347" s="3">
        <f>(tblSales[[#This Row],[Sales]]-tblSales[[#This Row],[Budget]])/tblSales[[#This Row],[Budget]]</f>
        <v>0.108305774612058</v>
      </c>
      <c r="M1347" s="2">
        <f>tblSales[[#This Row],[Sales]]/tblSales[[#This Row],[Transactions]]</f>
        <v>333</v>
      </c>
    </row>
    <row r="1348" spans="1:13" x14ac:dyDescent="0.25">
      <c r="A1348" s="1">
        <v>46090</v>
      </c>
      <c r="B1348" t="s">
        <v>15</v>
      </c>
      <c r="C1348" t="s">
        <v>11</v>
      </c>
      <c r="D1348" t="str">
        <f>_xlfn.XLOOKUP(tblSales[[#This Row],[Store ID]],tblStores[Store ID],tblStores[Store Name])</f>
        <v>Rosebank</v>
      </c>
      <c r="E1348" t="str">
        <f>_xlfn.XLOOKUP(tblSales[[#This Row],[Store ID]],tblStores[Store ID],tblStores[Province])</f>
        <v>Gauteng</v>
      </c>
      <c r="F1348" t="str">
        <f>_xlfn.XLOOKUP(tblSales[[#This Row],[Store ID]],tblStores[Store ID],tblStores[Manager])</f>
        <v>James Taylor</v>
      </c>
      <c r="G1348" t="str">
        <f>_xlfn.XLOOKUP(tblSales[[#This Row],[Category ID]],tblCategories[Category ID],tblCategories[Category])</f>
        <v>Footwear</v>
      </c>
      <c r="H1348">
        <v>52865</v>
      </c>
      <c r="I1348">
        <v>50634</v>
      </c>
      <c r="J1348">
        <v>109</v>
      </c>
      <c r="K1348">
        <f>tblSales[[#This Row],[Sales]]-tblSales[[#This Row],[Budget]]</f>
        <v>2231</v>
      </c>
      <c r="L1348" s="3">
        <f>(tblSales[[#This Row],[Sales]]-tblSales[[#This Row],[Budget]])/tblSales[[#This Row],[Budget]]</f>
        <v>4.4061302681992334E-2</v>
      </c>
      <c r="M1348" s="2">
        <f>tblSales[[#This Row],[Sales]]/tblSales[[#This Row],[Transactions]]</f>
        <v>485</v>
      </c>
    </row>
    <row r="1349" spans="1:13" x14ac:dyDescent="0.25">
      <c r="A1349" s="1">
        <v>46090</v>
      </c>
      <c r="B1349" t="s">
        <v>16</v>
      </c>
      <c r="C1349" t="s">
        <v>7</v>
      </c>
      <c r="D1349" t="str">
        <f>_xlfn.XLOOKUP(tblSales[[#This Row],[Store ID]],tblStores[Store ID],tblStores[Store Name])</f>
        <v>Pretoria</v>
      </c>
      <c r="E1349" t="str">
        <f>_xlfn.XLOOKUP(tblSales[[#This Row],[Store ID]],tblStores[Store ID],tblStores[Province])</f>
        <v>Gauteng</v>
      </c>
      <c r="F1349" t="str">
        <f>_xlfn.XLOOKUP(tblSales[[#This Row],[Store ID]],tblStores[Store ID],tblStores[Manager])</f>
        <v>Susan Clark</v>
      </c>
      <c r="G1349" t="str">
        <f>_xlfn.XLOOKUP(tblSales[[#This Row],[Category ID]],tblCategories[Category ID],tblCategories[Category])</f>
        <v>Menswear</v>
      </c>
      <c r="H1349">
        <v>64925</v>
      </c>
      <c r="I1349">
        <v>61493</v>
      </c>
      <c r="J1349">
        <v>175</v>
      </c>
      <c r="K1349">
        <f>tblSales[[#This Row],[Sales]]-tblSales[[#This Row],[Budget]]</f>
        <v>3432</v>
      </c>
      <c r="L1349" s="3">
        <f>(tblSales[[#This Row],[Sales]]-tblSales[[#This Row],[Budget]])/tblSales[[#This Row],[Budget]]</f>
        <v>5.5811230546566275E-2</v>
      </c>
      <c r="M1349" s="2">
        <f>tblSales[[#This Row],[Sales]]/tblSales[[#This Row],[Transactions]]</f>
        <v>371</v>
      </c>
    </row>
    <row r="1350" spans="1:13" x14ac:dyDescent="0.25">
      <c r="A1350" s="1">
        <v>46090</v>
      </c>
      <c r="B1350" t="s">
        <v>17</v>
      </c>
      <c r="C1350" t="s">
        <v>19</v>
      </c>
      <c r="D1350" t="str">
        <f>_xlfn.XLOOKUP(tblSales[[#This Row],[Store ID]],tblStores[Store ID],tblStores[Store Name])</f>
        <v>Centurion</v>
      </c>
      <c r="E1350" t="str">
        <f>_xlfn.XLOOKUP(tblSales[[#This Row],[Store ID]],tblStores[Store ID],tblStores[Province])</f>
        <v>Gauteng</v>
      </c>
      <c r="F1350" t="str">
        <f>_xlfn.XLOOKUP(tblSales[[#This Row],[Store ID]],tblStores[Store ID],tblStores[Manager])</f>
        <v>Mark Wilson</v>
      </c>
      <c r="G1350" t="str">
        <f>_xlfn.XLOOKUP(tblSales[[#This Row],[Category ID]],tblCategories[Category ID],tblCategories[Category])</f>
        <v>Accessories</v>
      </c>
      <c r="H1350">
        <v>55772</v>
      </c>
      <c r="I1350">
        <v>53679</v>
      </c>
      <c r="J1350">
        <v>146</v>
      </c>
      <c r="K1350">
        <f>tblSales[[#This Row],[Sales]]-tblSales[[#This Row],[Budget]]</f>
        <v>2093</v>
      </c>
      <c r="L1350" s="3">
        <f>(tblSales[[#This Row],[Sales]]-tblSales[[#This Row],[Budget]])/tblSales[[#This Row],[Budget]]</f>
        <v>3.8991039326365988E-2</v>
      </c>
      <c r="M1350" s="2">
        <f>tblSales[[#This Row],[Sales]]/tblSales[[#This Row],[Transactions]]</f>
        <v>382</v>
      </c>
    </row>
    <row r="1351" spans="1:13" x14ac:dyDescent="0.25">
      <c r="A1351" s="1">
        <v>46090</v>
      </c>
      <c r="B1351" t="s">
        <v>18</v>
      </c>
      <c r="C1351" t="s">
        <v>11</v>
      </c>
      <c r="D1351" t="str">
        <f>_xlfn.XLOOKUP(tblSales[[#This Row],[Store ID]],tblStores[Store ID],tblStores[Store Name])</f>
        <v>East Rand</v>
      </c>
      <c r="E1351" t="str">
        <f>_xlfn.XLOOKUP(tblSales[[#This Row],[Store ID]],tblStores[Store ID],tblStores[Province])</f>
        <v>Gauteng</v>
      </c>
      <c r="F1351" t="str">
        <f>_xlfn.XLOOKUP(tblSales[[#This Row],[Store ID]],tblStores[Store ID],tblStores[Manager])</f>
        <v>Lisa Young</v>
      </c>
      <c r="G1351" t="str">
        <f>_xlfn.XLOOKUP(tblSales[[#This Row],[Category ID]],tblCategories[Category ID],tblCategories[Category])</f>
        <v>Footwear</v>
      </c>
      <c r="H1351">
        <v>38252</v>
      </c>
      <c r="I1351">
        <v>36941</v>
      </c>
      <c r="J1351">
        <v>131</v>
      </c>
      <c r="K1351">
        <f>tblSales[[#This Row],[Sales]]-tblSales[[#This Row],[Budget]]</f>
        <v>1311</v>
      </c>
      <c r="L1351" s="3">
        <f>(tblSales[[#This Row],[Sales]]-tblSales[[#This Row],[Budget]])/tblSales[[#This Row],[Budget]]</f>
        <v>3.5489023036734249E-2</v>
      </c>
      <c r="M1351" s="2">
        <f>tblSales[[#This Row],[Sales]]/tblSales[[#This Row],[Transactions]]</f>
        <v>292</v>
      </c>
    </row>
    <row r="1352" spans="1:13" x14ac:dyDescent="0.25">
      <c r="A1352" s="1">
        <v>46090</v>
      </c>
      <c r="B1352" t="s">
        <v>20</v>
      </c>
      <c r="C1352" t="s">
        <v>11</v>
      </c>
      <c r="D1352" t="str">
        <f>_xlfn.XLOOKUP(tblSales[[#This Row],[Store ID]],tblStores[Store ID],tblStores[Store Name])</f>
        <v>Cape Town CBD</v>
      </c>
      <c r="E1352" t="str">
        <f>_xlfn.XLOOKUP(tblSales[[#This Row],[Store ID]],tblStores[Store ID],tblStores[Province])</f>
        <v>Western Cape</v>
      </c>
      <c r="F1352" t="str">
        <f>_xlfn.XLOOKUP(tblSales[[#This Row],[Store ID]],tblStores[Store ID],tblStores[Manager])</f>
        <v>Brian Hall</v>
      </c>
      <c r="G1352" t="str">
        <f>_xlfn.XLOOKUP(tblSales[[#This Row],[Category ID]],tblCategories[Category ID],tblCategories[Category])</f>
        <v>Footwear</v>
      </c>
      <c r="H1352">
        <v>58890</v>
      </c>
      <c r="I1352">
        <v>60606</v>
      </c>
      <c r="J1352">
        <v>195</v>
      </c>
      <c r="K1352">
        <f>tblSales[[#This Row],[Sales]]-tblSales[[#This Row],[Budget]]</f>
        <v>-1716</v>
      </c>
      <c r="L1352" s="3">
        <f>(tblSales[[#This Row],[Sales]]-tblSales[[#This Row],[Budget]])/tblSales[[#This Row],[Budget]]</f>
        <v>-2.8314028314028315E-2</v>
      </c>
      <c r="M1352" s="2">
        <f>tblSales[[#This Row],[Sales]]/tblSales[[#This Row],[Transactions]]</f>
        <v>302</v>
      </c>
    </row>
    <row r="1353" spans="1:13" x14ac:dyDescent="0.25">
      <c r="A1353" s="1">
        <v>46090</v>
      </c>
      <c r="B1353" t="s">
        <v>21</v>
      </c>
      <c r="C1353" t="s">
        <v>19</v>
      </c>
      <c r="D1353" t="str">
        <f>_xlfn.XLOOKUP(tblSales[[#This Row],[Store ID]],tblStores[Store ID],tblStores[Store Name])</f>
        <v>Canal Walk</v>
      </c>
      <c r="E1353" t="str">
        <f>_xlfn.XLOOKUP(tblSales[[#This Row],[Store ID]],tblStores[Store ID],tblStores[Province])</f>
        <v>Western Cape</v>
      </c>
      <c r="F1353" t="str">
        <f>_xlfn.XLOOKUP(tblSales[[#This Row],[Store ID]],tblStores[Store ID],tblStores[Manager])</f>
        <v>Megan Scott</v>
      </c>
      <c r="G1353" t="str">
        <f>_xlfn.XLOOKUP(tblSales[[#This Row],[Category ID]],tblCategories[Category ID],tblCategories[Category])</f>
        <v>Accessories</v>
      </c>
      <c r="H1353">
        <v>67628</v>
      </c>
      <c r="I1353">
        <v>65678</v>
      </c>
      <c r="J1353">
        <v>212</v>
      </c>
      <c r="K1353">
        <f>tblSales[[#This Row],[Sales]]-tblSales[[#This Row],[Budget]]</f>
        <v>1950</v>
      </c>
      <c r="L1353" s="3">
        <f>(tblSales[[#This Row],[Sales]]-tblSales[[#This Row],[Budget]])/tblSales[[#This Row],[Budget]]</f>
        <v>2.969030725661561E-2</v>
      </c>
      <c r="M1353" s="2">
        <f>tblSales[[#This Row],[Sales]]/tblSales[[#This Row],[Transactions]]</f>
        <v>319</v>
      </c>
    </row>
    <row r="1354" spans="1:13" x14ac:dyDescent="0.25">
      <c r="A1354" s="1">
        <v>46090</v>
      </c>
      <c r="B1354" t="s">
        <v>23</v>
      </c>
      <c r="C1354" t="s">
        <v>19</v>
      </c>
      <c r="D1354" t="str">
        <f>_xlfn.XLOOKUP(tblSales[[#This Row],[Store ID]],tblStores[Store ID],tblStores[Store Name])</f>
        <v>Stellenbosch</v>
      </c>
      <c r="E1354" t="str">
        <f>_xlfn.XLOOKUP(tblSales[[#This Row],[Store ID]],tblStores[Store ID],tblStores[Province])</f>
        <v>Western Cape</v>
      </c>
      <c r="F1354" t="str">
        <f>_xlfn.XLOOKUP(tblSales[[#This Row],[Store ID]],tblStores[Store ID],tblStores[Manager])</f>
        <v>Jason King</v>
      </c>
      <c r="G1354" t="str">
        <f>_xlfn.XLOOKUP(tblSales[[#This Row],[Category ID]],tblCategories[Category ID],tblCategories[Category])</f>
        <v>Accessories</v>
      </c>
      <c r="H1354">
        <v>40273</v>
      </c>
      <c r="I1354">
        <v>38138</v>
      </c>
      <c r="J1354">
        <v>103</v>
      </c>
      <c r="K1354">
        <f>tblSales[[#This Row],[Sales]]-tblSales[[#This Row],[Budget]]</f>
        <v>2135</v>
      </c>
      <c r="L1354" s="3">
        <f>(tblSales[[#This Row],[Sales]]-tblSales[[#This Row],[Budget]])/tblSales[[#This Row],[Budget]]</f>
        <v>5.5980911426923276E-2</v>
      </c>
      <c r="M1354" s="2">
        <f>tblSales[[#This Row],[Sales]]/tblSales[[#This Row],[Transactions]]</f>
        <v>391</v>
      </c>
    </row>
    <row r="1355" spans="1:13" x14ac:dyDescent="0.25">
      <c r="A1355" s="1">
        <v>46090</v>
      </c>
      <c r="B1355" t="s">
        <v>24</v>
      </c>
      <c r="C1355" t="s">
        <v>7</v>
      </c>
      <c r="D1355" t="str">
        <f>_xlfn.XLOOKUP(tblSales[[#This Row],[Store ID]],tblStores[Store ID],tblStores[Store Name])</f>
        <v>George</v>
      </c>
      <c r="E1355" t="str">
        <f>_xlfn.XLOOKUP(tblSales[[#This Row],[Store ID]],tblStores[Store ID],tblStores[Province])</f>
        <v>Western Cape</v>
      </c>
      <c r="F1355" t="str">
        <f>_xlfn.XLOOKUP(tblSales[[#This Row],[Store ID]],tblStores[Store ID],tblStores[Manager])</f>
        <v>Chloe Hill</v>
      </c>
      <c r="G1355" t="str">
        <f>_xlfn.XLOOKUP(tblSales[[#This Row],[Category ID]],tblCategories[Category ID],tblCategories[Category])</f>
        <v>Menswear</v>
      </c>
      <c r="H1355">
        <v>20169</v>
      </c>
      <c r="I1355">
        <v>19612</v>
      </c>
      <c r="J1355">
        <v>81</v>
      </c>
      <c r="K1355">
        <f>tblSales[[#This Row],[Sales]]-tblSales[[#This Row],[Budget]]</f>
        <v>557</v>
      </c>
      <c r="L1355" s="3">
        <f>(tblSales[[#This Row],[Sales]]-tblSales[[#This Row],[Budget]])/tblSales[[#This Row],[Budget]]</f>
        <v>2.8400978992453599E-2</v>
      </c>
      <c r="M1355" s="2">
        <f>tblSales[[#This Row],[Sales]]/tblSales[[#This Row],[Transactions]]</f>
        <v>249</v>
      </c>
    </row>
    <row r="1356" spans="1:13" x14ac:dyDescent="0.25">
      <c r="A1356" s="1">
        <v>46090</v>
      </c>
      <c r="B1356" t="s">
        <v>25</v>
      </c>
      <c r="C1356" t="s">
        <v>11</v>
      </c>
      <c r="D1356" t="str">
        <f>_xlfn.XLOOKUP(tblSales[[#This Row],[Store ID]],tblStores[Store ID],tblStores[Store Name])</f>
        <v>Paarl</v>
      </c>
      <c r="E1356" t="str">
        <f>_xlfn.XLOOKUP(tblSales[[#This Row],[Store ID]],tblStores[Store ID],tblStores[Province])</f>
        <v>Western Cape</v>
      </c>
      <c r="F1356" t="str">
        <f>_xlfn.XLOOKUP(tblSales[[#This Row],[Store ID]],tblStores[Store ID],tblStores[Manager])</f>
        <v>Andrew Lee</v>
      </c>
      <c r="G1356" t="str">
        <f>_xlfn.XLOOKUP(tblSales[[#This Row],[Category ID]],tblCategories[Category ID],tblCategories[Category])</f>
        <v>Footwear</v>
      </c>
      <c r="H1356">
        <v>79323</v>
      </c>
      <c r="I1356">
        <v>76787</v>
      </c>
      <c r="J1356">
        <v>193</v>
      </c>
      <c r="K1356">
        <f>tblSales[[#This Row],[Sales]]-tblSales[[#This Row],[Budget]]</f>
        <v>2536</v>
      </c>
      <c r="L1356" s="3">
        <f>(tblSales[[#This Row],[Sales]]-tblSales[[#This Row],[Budget]])/tblSales[[#This Row],[Budget]]</f>
        <v>3.3026423743602436E-2</v>
      </c>
      <c r="M1356" s="2">
        <f>tblSales[[#This Row],[Sales]]/tblSales[[#This Row],[Transactions]]</f>
        <v>411</v>
      </c>
    </row>
    <row r="1357" spans="1:13" x14ac:dyDescent="0.25">
      <c r="A1357" s="1">
        <v>46090</v>
      </c>
      <c r="B1357" t="s">
        <v>26</v>
      </c>
      <c r="C1357" t="s">
        <v>19</v>
      </c>
      <c r="D1357" t="str">
        <f>_xlfn.XLOOKUP(tblSales[[#This Row],[Store ID]],tblStores[Store ID],tblStores[Store Name])</f>
        <v>Gqeberha</v>
      </c>
      <c r="E1357" t="str">
        <f>_xlfn.XLOOKUP(tblSales[[#This Row],[Store ID]],tblStores[Store ID],tblStores[Province])</f>
        <v>Eastern Cape</v>
      </c>
      <c r="F1357" t="str">
        <f>_xlfn.XLOOKUP(tblSales[[#This Row],[Store ID]],tblStores[Store ID],tblStores[Manager])</f>
        <v>Emma Baker</v>
      </c>
      <c r="G1357" t="str">
        <f>_xlfn.XLOOKUP(tblSales[[#This Row],[Category ID]],tblCategories[Category ID],tblCategories[Category])</f>
        <v>Accessories</v>
      </c>
      <c r="H1357">
        <v>44160</v>
      </c>
      <c r="I1357">
        <v>43283</v>
      </c>
      <c r="J1357">
        <v>160</v>
      </c>
      <c r="K1357">
        <f>tblSales[[#This Row],[Sales]]-tblSales[[#This Row],[Budget]]</f>
        <v>877</v>
      </c>
      <c r="L1357" s="3">
        <f>(tblSales[[#This Row],[Sales]]-tblSales[[#This Row],[Budget]])/tblSales[[#This Row],[Budget]]</f>
        <v>2.026199662685119E-2</v>
      </c>
      <c r="M1357" s="2">
        <f>tblSales[[#This Row],[Sales]]/tblSales[[#This Row],[Transactions]]</f>
        <v>276</v>
      </c>
    </row>
    <row r="1358" spans="1:13" x14ac:dyDescent="0.25">
      <c r="A1358" s="1">
        <v>46090</v>
      </c>
      <c r="B1358" t="s">
        <v>27</v>
      </c>
      <c r="C1358" t="s">
        <v>9</v>
      </c>
      <c r="D1358" t="str">
        <f>_xlfn.XLOOKUP(tblSales[[#This Row],[Store ID]],tblStores[Store ID],tblStores[Store Name])</f>
        <v>East London</v>
      </c>
      <c r="E1358" t="str">
        <f>_xlfn.XLOOKUP(tblSales[[#This Row],[Store ID]],tblStores[Store ID],tblStores[Province])</f>
        <v>Eastern Cape</v>
      </c>
      <c r="F1358" t="str">
        <f>_xlfn.XLOOKUP(tblSales[[#This Row],[Store ID]],tblStores[Store ID],tblStores[Manager])</f>
        <v>Daniel Evans</v>
      </c>
      <c r="G1358" t="str">
        <f>_xlfn.XLOOKUP(tblSales[[#This Row],[Category ID]],tblCategories[Category ID],tblCategories[Category])</f>
        <v>Ladieswear</v>
      </c>
      <c r="H1358">
        <v>21291</v>
      </c>
      <c r="I1358">
        <v>19279</v>
      </c>
      <c r="J1358">
        <v>47</v>
      </c>
      <c r="K1358">
        <f>tblSales[[#This Row],[Sales]]-tblSales[[#This Row],[Budget]]</f>
        <v>2012</v>
      </c>
      <c r="L1358" s="3">
        <f>(tblSales[[#This Row],[Sales]]-tblSales[[#This Row],[Budget]])/tblSales[[#This Row],[Budget]]</f>
        <v>0.10436225945329114</v>
      </c>
      <c r="M1358" s="2">
        <f>tblSales[[#This Row],[Sales]]/tblSales[[#This Row],[Transactions]]</f>
        <v>453</v>
      </c>
    </row>
    <row r="1359" spans="1:13" x14ac:dyDescent="0.25">
      <c r="A1359" s="1">
        <v>46090</v>
      </c>
      <c r="B1359" t="s">
        <v>28</v>
      </c>
      <c r="C1359" t="s">
        <v>7</v>
      </c>
      <c r="D1359" t="str">
        <f>_xlfn.XLOOKUP(tblSales[[#This Row],[Store ID]],tblStores[Store ID],tblStores[Store Name])</f>
        <v>Bloemfontein</v>
      </c>
      <c r="E1359" t="str">
        <f>_xlfn.XLOOKUP(tblSales[[#This Row],[Store ID]],tblStores[Store ID],tblStores[Province])</f>
        <v>Free State</v>
      </c>
      <c r="F1359" t="str">
        <f>_xlfn.XLOOKUP(tblSales[[#This Row],[Store ID]],tblStores[Store ID],tblStores[Manager])</f>
        <v>Rachel Moore</v>
      </c>
      <c r="G1359" t="str">
        <f>_xlfn.XLOOKUP(tblSales[[#This Row],[Category ID]],tblCategories[Category ID],tblCategories[Category])</f>
        <v>Menswear</v>
      </c>
      <c r="H1359">
        <v>33919</v>
      </c>
      <c r="I1359">
        <v>31587</v>
      </c>
      <c r="J1359">
        <v>107</v>
      </c>
      <c r="K1359">
        <f>tblSales[[#This Row],[Sales]]-tblSales[[#This Row],[Budget]]</f>
        <v>2332</v>
      </c>
      <c r="L1359" s="3">
        <f>(tblSales[[#This Row],[Sales]]-tblSales[[#This Row],[Budget]])/tblSales[[#This Row],[Budget]]</f>
        <v>7.3827840567322001E-2</v>
      </c>
      <c r="M1359" s="2">
        <f>tblSales[[#This Row],[Sales]]/tblSales[[#This Row],[Transactions]]</f>
        <v>317</v>
      </c>
    </row>
    <row r="1360" spans="1:13" x14ac:dyDescent="0.25">
      <c r="A1360" s="1">
        <v>46090</v>
      </c>
      <c r="B1360" t="s">
        <v>29</v>
      </c>
      <c r="C1360" t="s">
        <v>11</v>
      </c>
      <c r="D1360" t="str">
        <f>_xlfn.XLOOKUP(tblSales[[#This Row],[Store ID]],tblStores[Store ID],tblStores[Store Name])</f>
        <v>Polokwane</v>
      </c>
      <c r="E1360" t="str">
        <f>_xlfn.XLOOKUP(tblSales[[#This Row],[Store ID]],tblStores[Store ID],tblStores[Province])</f>
        <v>Limpopo</v>
      </c>
      <c r="F1360" t="str">
        <f>_xlfn.XLOOKUP(tblSales[[#This Row],[Store ID]],tblStores[Store ID],tblStores[Manager])</f>
        <v>Kevin Harris</v>
      </c>
      <c r="G1360" t="str">
        <f>_xlfn.XLOOKUP(tblSales[[#This Row],[Category ID]],tblCategories[Category ID],tblCategories[Category])</f>
        <v>Footwear</v>
      </c>
      <c r="H1360">
        <v>11063</v>
      </c>
      <c r="I1360">
        <v>10206</v>
      </c>
      <c r="J1360">
        <v>37</v>
      </c>
      <c r="K1360">
        <f>tblSales[[#This Row],[Sales]]-tblSales[[#This Row],[Budget]]</f>
        <v>857</v>
      </c>
      <c r="L1360" s="3">
        <f>(tblSales[[#This Row],[Sales]]-tblSales[[#This Row],[Budget]])/tblSales[[#This Row],[Budget]]</f>
        <v>8.3970213599843233E-2</v>
      </c>
      <c r="M1360" s="2">
        <f>tblSales[[#This Row],[Sales]]/tblSales[[#This Row],[Transactions]]</f>
        <v>299</v>
      </c>
    </row>
    <row r="1361" spans="1:13" x14ac:dyDescent="0.25">
      <c r="A1361" s="1">
        <v>46090</v>
      </c>
      <c r="B1361" t="s">
        <v>30</v>
      </c>
      <c r="C1361" t="s">
        <v>7</v>
      </c>
      <c r="D1361" t="str">
        <f>_xlfn.XLOOKUP(tblSales[[#This Row],[Store ID]],tblStores[Store ID],tblStores[Store Name])</f>
        <v>Nelspruit</v>
      </c>
      <c r="E1361" t="str">
        <f>_xlfn.XLOOKUP(tblSales[[#This Row],[Store ID]],tblStores[Store ID],tblStores[Province])</f>
        <v>Mpumalanga</v>
      </c>
      <c r="F1361" t="str">
        <f>_xlfn.XLOOKUP(tblSales[[#This Row],[Store ID]],tblStores[Store ID],tblStores[Manager])</f>
        <v>Olivia Turner</v>
      </c>
      <c r="G1361" t="str">
        <f>_xlfn.XLOOKUP(tblSales[[#This Row],[Category ID]],tblCategories[Category ID],tblCategories[Category])</f>
        <v>Menswear</v>
      </c>
      <c r="H1361">
        <v>46851</v>
      </c>
      <c r="I1361">
        <v>46170</v>
      </c>
      <c r="J1361">
        <v>161</v>
      </c>
      <c r="K1361">
        <f>tblSales[[#This Row],[Sales]]-tblSales[[#This Row],[Budget]]</f>
        <v>681</v>
      </c>
      <c r="L1361" s="3">
        <f>(tblSales[[#This Row],[Sales]]-tblSales[[#This Row],[Budget]])/tblSales[[#This Row],[Budget]]</f>
        <v>1.47498375568551E-2</v>
      </c>
      <c r="M1361" s="2">
        <f>tblSales[[#This Row],[Sales]]/tblSales[[#This Row],[Transactions]]</f>
        <v>291</v>
      </c>
    </row>
    <row r="1362" spans="1:13" x14ac:dyDescent="0.25">
      <c r="A1362" s="1">
        <v>46091</v>
      </c>
      <c r="B1362" t="s">
        <v>6</v>
      </c>
      <c r="C1362" t="s">
        <v>22</v>
      </c>
      <c r="D1362" t="str">
        <f>_xlfn.XLOOKUP(tblSales[[#This Row],[Store ID]],tblStores[Store ID],tblStores[Store Name])</f>
        <v>Durban CBD</v>
      </c>
      <c r="E1362" t="str">
        <f>_xlfn.XLOOKUP(tblSales[[#This Row],[Store ID]],tblStores[Store ID],tblStores[Province])</f>
        <v>KZN</v>
      </c>
      <c r="F1362" t="str">
        <f>_xlfn.XLOOKUP(tblSales[[#This Row],[Store ID]],tblStores[Store ID],tblStores[Manager])</f>
        <v>Sarah Adams</v>
      </c>
      <c r="G1362" t="str">
        <f>_xlfn.XLOOKUP(tblSales[[#This Row],[Category ID]],tblCategories[Category ID],tblCategories[Category])</f>
        <v>Kids</v>
      </c>
      <c r="H1362">
        <v>59940</v>
      </c>
      <c r="I1362">
        <v>60894</v>
      </c>
      <c r="J1362">
        <v>162</v>
      </c>
      <c r="K1362">
        <f>tblSales[[#This Row],[Sales]]-tblSales[[#This Row],[Budget]]</f>
        <v>-954</v>
      </c>
      <c r="L1362" s="3">
        <f>(tblSales[[#This Row],[Sales]]-tblSales[[#This Row],[Budget]])/tblSales[[#This Row],[Budget]]</f>
        <v>-1.5666568134791604E-2</v>
      </c>
      <c r="M1362" s="2">
        <f>tblSales[[#This Row],[Sales]]/tblSales[[#This Row],[Transactions]]</f>
        <v>370</v>
      </c>
    </row>
    <row r="1363" spans="1:13" x14ac:dyDescent="0.25">
      <c r="A1363" s="1">
        <v>46091</v>
      </c>
      <c r="B1363" t="s">
        <v>8</v>
      </c>
      <c r="C1363" t="s">
        <v>7</v>
      </c>
      <c r="D1363" t="str">
        <f>_xlfn.XLOOKUP(tblSales[[#This Row],[Store ID]],tblStores[Store ID],tblStores[Store Name])</f>
        <v>Gateway</v>
      </c>
      <c r="E1363" t="str">
        <f>_xlfn.XLOOKUP(tblSales[[#This Row],[Store ID]],tblStores[Store ID],tblStores[Province])</f>
        <v>KZN</v>
      </c>
      <c r="F1363" t="str">
        <f>_xlfn.XLOOKUP(tblSales[[#This Row],[Store ID]],tblStores[Store ID],tblStores[Manager])</f>
        <v>Michael Jones</v>
      </c>
      <c r="G1363" t="str">
        <f>_xlfn.XLOOKUP(tblSales[[#This Row],[Category ID]],tblCategories[Category ID],tblCategories[Category])</f>
        <v>Menswear</v>
      </c>
      <c r="H1363">
        <v>26299</v>
      </c>
      <c r="I1363">
        <v>29215</v>
      </c>
      <c r="J1363">
        <v>119</v>
      </c>
      <c r="K1363">
        <f>tblSales[[#This Row],[Sales]]-tblSales[[#This Row],[Budget]]</f>
        <v>-2916</v>
      </c>
      <c r="L1363" s="3">
        <f>(tblSales[[#This Row],[Sales]]-tblSales[[#This Row],[Budget]])/tblSales[[#This Row],[Budget]]</f>
        <v>-9.9811740544240968E-2</v>
      </c>
      <c r="M1363" s="2">
        <f>tblSales[[#This Row],[Sales]]/tblSales[[#This Row],[Transactions]]</f>
        <v>221</v>
      </c>
    </row>
    <row r="1364" spans="1:13" x14ac:dyDescent="0.25">
      <c r="A1364" s="1">
        <v>46091</v>
      </c>
      <c r="B1364" t="s">
        <v>10</v>
      </c>
      <c r="C1364" t="s">
        <v>9</v>
      </c>
      <c r="D1364" t="str">
        <f>_xlfn.XLOOKUP(tblSales[[#This Row],[Store ID]],tblStores[Store ID],tblStores[Store Name])</f>
        <v>Ballito</v>
      </c>
      <c r="E1364" t="str">
        <f>_xlfn.XLOOKUP(tblSales[[#This Row],[Store ID]],tblStores[Store ID],tblStores[Province])</f>
        <v>KZN</v>
      </c>
      <c r="F1364" t="str">
        <f>_xlfn.XLOOKUP(tblSales[[#This Row],[Store ID]],tblStores[Store ID],tblStores[Manager])</f>
        <v>Linda Smith</v>
      </c>
      <c r="G1364" t="str">
        <f>_xlfn.XLOOKUP(tblSales[[#This Row],[Category ID]],tblCategories[Category ID],tblCategories[Category])</f>
        <v>Ladieswear</v>
      </c>
      <c r="H1364">
        <v>15484</v>
      </c>
      <c r="I1364">
        <v>16938</v>
      </c>
      <c r="J1364">
        <v>49</v>
      </c>
      <c r="K1364">
        <f>tblSales[[#This Row],[Sales]]-tblSales[[#This Row],[Budget]]</f>
        <v>-1454</v>
      </c>
      <c r="L1364" s="3">
        <f>(tblSales[[#This Row],[Sales]]-tblSales[[#This Row],[Budget]])/tblSales[[#This Row],[Budget]]</f>
        <v>-8.5842484354705401E-2</v>
      </c>
      <c r="M1364" s="2">
        <f>tblSales[[#This Row],[Sales]]/tblSales[[#This Row],[Transactions]]</f>
        <v>316</v>
      </c>
    </row>
    <row r="1365" spans="1:13" x14ac:dyDescent="0.25">
      <c r="A1365" s="1">
        <v>46091</v>
      </c>
      <c r="B1365" t="s">
        <v>12</v>
      </c>
      <c r="C1365" t="s">
        <v>7</v>
      </c>
      <c r="D1365" t="str">
        <f>_xlfn.XLOOKUP(tblSales[[#This Row],[Store ID]],tblStores[Store ID],tblStores[Store Name])</f>
        <v>Pietermaritzburg</v>
      </c>
      <c r="E1365" t="str">
        <f>_xlfn.XLOOKUP(tblSales[[#This Row],[Store ID]],tblStores[Store ID],tblStores[Province])</f>
        <v>KZN</v>
      </c>
      <c r="F1365" t="str">
        <f>_xlfn.XLOOKUP(tblSales[[#This Row],[Store ID]],tblStores[Store ID],tblStores[Manager])</f>
        <v>Peter Brown</v>
      </c>
      <c r="G1365" t="str">
        <f>_xlfn.XLOOKUP(tblSales[[#This Row],[Category ID]],tblCategories[Category ID],tblCategories[Category])</f>
        <v>Menswear</v>
      </c>
      <c r="H1365">
        <v>73080</v>
      </c>
      <c r="I1365">
        <v>69089</v>
      </c>
      <c r="J1365">
        <v>174</v>
      </c>
      <c r="K1365">
        <f>tblSales[[#This Row],[Sales]]-tblSales[[#This Row],[Budget]]</f>
        <v>3991</v>
      </c>
      <c r="L1365" s="3">
        <f>(tblSales[[#This Row],[Sales]]-tblSales[[#This Row],[Budget]])/tblSales[[#This Row],[Budget]]</f>
        <v>5.776606985193012E-2</v>
      </c>
      <c r="M1365" s="2">
        <f>tblSales[[#This Row],[Sales]]/tblSales[[#This Row],[Transactions]]</f>
        <v>420</v>
      </c>
    </row>
    <row r="1366" spans="1:13" x14ac:dyDescent="0.25">
      <c r="A1366" s="1">
        <v>46091</v>
      </c>
      <c r="B1366" t="s">
        <v>13</v>
      </c>
      <c r="C1366" t="s">
        <v>22</v>
      </c>
      <c r="D1366" t="str">
        <f>_xlfn.XLOOKUP(tblSales[[#This Row],[Store ID]],tblStores[Store ID],tblStores[Store Name])</f>
        <v>Richards Bay</v>
      </c>
      <c r="E1366" t="str">
        <f>_xlfn.XLOOKUP(tblSales[[#This Row],[Store ID]],tblStores[Store ID],tblStores[Province])</f>
        <v>KZN</v>
      </c>
      <c r="F1366" t="str">
        <f>_xlfn.XLOOKUP(tblSales[[#This Row],[Store ID]],tblStores[Store ID],tblStores[Manager])</f>
        <v>David Green</v>
      </c>
      <c r="G1366" t="str">
        <f>_xlfn.XLOOKUP(tblSales[[#This Row],[Category ID]],tblCategories[Category ID],tblCategories[Category])</f>
        <v>Kids</v>
      </c>
      <c r="H1366">
        <v>24552</v>
      </c>
      <c r="I1366">
        <v>22845</v>
      </c>
      <c r="J1366">
        <v>132</v>
      </c>
      <c r="K1366">
        <f>tblSales[[#This Row],[Sales]]-tblSales[[#This Row],[Budget]]</f>
        <v>1707</v>
      </c>
      <c r="L1366" s="3">
        <f>(tblSales[[#This Row],[Sales]]-tblSales[[#This Row],[Budget]])/tblSales[[#This Row],[Budget]]</f>
        <v>7.4720945502298089E-2</v>
      </c>
      <c r="M1366" s="2">
        <f>tblSales[[#This Row],[Sales]]/tblSales[[#This Row],[Transactions]]</f>
        <v>186</v>
      </c>
    </row>
    <row r="1367" spans="1:13" x14ac:dyDescent="0.25">
      <c r="A1367" s="1">
        <v>46091</v>
      </c>
      <c r="B1367" t="s">
        <v>14</v>
      </c>
      <c r="C1367" t="s">
        <v>9</v>
      </c>
      <c r="D1367" t="str">
        <f>_xlfn.XLOOKUP(tblSales[[#This Row],[Store ID]],tblStores[Store ID],tblStores[Store Name])</f>
        <v>Sandton</v>
      </c>
      <c r="E1367" t="str">
        <f>_xlfn.XLOOKUP(tblSales[[#This Row],[Store ID]],tblStores[Store ID],tblStores[Province])</f>
        <v>Gauteng</v>
      </c>
      <c r="F1367" t="str">
        <f>_xlfn.XLOOKUP(tblSales[[#This Row],[Store ID]],tblStores[Store ID],tblStores[Manager])</f>
        <v>Karen White</v>
      </c>
      <c r="G1367" t="str">
        <f>_xlfn.XLOOKUP(tblSales[[#This Row],[Category ID]],tblCategories[Category ID],tblCategories[Category])</f>
        <v>Ladieswear</v>
      </c>
      <c r="H1367">
        <v>53998</v>
      </c>
      <c r="I1367">
        <v>51934</v>
      </c>
      <c r="J1367">
        <v>133</v>
      </c>
      <c r="K1367">
        <f>tblSales[[#This Row],[Sales]]-tblSales[[#This Row],[Budget]]</f>
        <v>2064</v>
      </c>
      <c r="L1367" s="3">
        <f>(tblSales[[#This Row],[Sales]]-tblSales[[#This Row],[Budget]])/tblSales[[#This Row],[Budget]]</f>
        <v>3.9742750413986984E-2</v>
      </c>
      <c r="M1367" s="2">
        <f>tblSales[[#This Row],[Sales]]/tblSales[[#This Row],[Transactions]]</f>
        <v>406</v>
      </c>
    </row>
    <row r="1368" spans="1:13" x14ac:dyDescent="0.25">
      <c r="A1368" s="1">
        <v>46091</v>
      </c>
      <c r="B1368" t="s">
        <v>15</v>
      </c>
      <c r="C1368" t="s">
        <v>7</v>
      </c>
      <c r="D1368" t="str">
        <f>_xlfn.XLOOKUP(tblSales[[#This Row],[Store ID]],tblStores[Store ID],tblStores[Store Name])</f>
        <v>Rosebank</v>
      </c>
      <c r="E1368" t="str">
        <f>_xlfn.XLOOKUP(tblSales[[#This Row],[Store ID]],tblStores[Store ID],tblStores[Province])</f>
        <v>Gauteng</v>
      </c>
      <c r="F1368" t="str">
        <f>_xlfn.XLOOKUP(tblSales[[#This Row],[Store ID]],tblStores[Store ID],tblStores[Manager])</f>
        <v>James Taylor</v>
      </c>
      <c r="G1368" t="str">
        <f>_xlfn.XLOOKUP(tblSales[[#This Row],[Category ID]],tblCategories[Category ID],tblCategories[Category])</f>
        <v>Menswear</v>
      </c>
      <c r="H1368">
        <v>35275</v>
      </c>
      <c r="I1368">
        <v>38232</v>
      </c>
      <c r="J1368">
        <v>85</v>
      </c>
      <c r="K1368">
        <f>tblSales[[#This Row],[Sales]]-tblSales[[#This Row],[Budget]]</f>
        <v>-2957</v>
      </c>
      <c r="L1368" s="3">
        <f>(tblSales[[#This Row],[Sales]]-tblSales[[#This Row],[Budget]])/tblSales[[#This Row],[Budget]]</f>
        <v>-7.7343586524377492E-2</v>
      </c>
      <c r="M1368" s="2">
        <f>tblSales[[#This Row],[Sales]]/tblSales[[#This Row],[Transactions]]</f>
        <v>415</v>
      </c>
    </row>
    <row r="1369" spans="1:13" x14ac:dyDescent="0.25">
      <c r="A1369" s="1">
        <v>46091</v>
      </c>
      <c r="B1369" t="s">
        <v>16</v>
      </c>
      <c r="C1369" t="s">
        <v>7</v>
      </c>
      <c r="D1369" t="str">
        <f>_xlfn.XLOOKUP(tblSales[[#This Row],[Store ID]],tblStores[Store ID],tblStores[Store Name])</f>
        <v>Pretoria</v>
      </c>
      <c r="E1369" t="str">
        <f>_xlfn.XLOOKUP(tblSales[[#This Row],[Store ID]],tblStores[Store ID],tblStores[Province])</f>
        <v>Gauteng</v>
      </c>
      <c r="F1369" t="str">
        <f>_xlfn.XLOOKUP(tblSales[[#This Row],[Store ID]],tblStores[Store ID],tblStores[Manager])</f>
        <v>Susan Clark</v>
      </c>
      <c r="G1369" t="str">
        <f>_xlfn.XLOOKUP(tblSales[[#This Row],[Category ID]],tblCategories[Category ID],tblCategories[Category])</f>
        <v>Menswear</v>
      </c>
      <c r="H1369">
        <v>87360</v>
      </c>
      <c r="I1369">
        <v>100073</v>
      </c>
      <c r="J1369">
        <v>168</v>
      </c>
      <c r="K1369">
        <f>tblSales[[#This Row],[Sales]]-tblSales[[#This Row],[Budget]]</f>
        <v>-12713</v>
      </c>
      <c r="L1369" s="3">
        <f>(tblSales[[#This Row],[Sales]]-tblSales[[#This Row],[Budget]])/tblSales[[#This Row],[Budget]]</f>
        <v>-0.12703726279815736</v>
      </c>
      <c r="M1369" s="2">
        <f>tblSales[[#This Row],[Sales]]/tblSales[[#This Row],[Transactions]]</f>
        <v>520</v>
      </c>
    </row>
    <row r="1370" spans="1:13" x14ac:dyDescent="0.25">
      <c r="A1370" s="1">
        <v>46091</v>
      </c>
      <c r="B1370" t="s">
        <v>17</v>
      </c>
      <c r="C1370" t="s">
        <v>11</v>
      </c>
      <c r="D1370" t="str">
        <f>_xlfn.XLOOKUP(tblSales[[#This Row],[Store ID]],tblStores[Store ID],tblStores[Store Name])</f>
        <v>Centurion</v>
      </c>
      <c r="E1370" t="str">
        <f>_xlfn.XLOOKUP(tblSales[[#This Row],[Store ID]],tblStores[Store ID],tblStores[Province])</f>
        <v>Gauteng</v>
      </c>
      <c r="F1370" t="str">
        <f>_xlfn.XLOOKUP(tblSales[[#This Row],[Store ID]],tblStores[Store ID],tblStores[Manager])</f>
        <v>Mark Wilson</v>
      </c>
      <c r="G1370" t="str">
        <f>_xlfn.XLOOKUP(tblSales[[#This Row],[Category ID]],tblCategories[Category ID],tblCategories[Category])</f>
        <v>Footwear</v>
      </c>
      <c r="H1370">
        <v>45426</v>
      </c>
      <c r="I1370">
        <v>51515</v>
      </c>
      <c r="J1370">
        <v>134</v>
      </c>
      <c r="K1370">
        <f>tblSales[[#This Row],[Sales]]-tblSales[[#This Row],[Budget]]</f>
        <v>-6089</v>
      </c>
      <c r="L1370" s="3">
        <f>(tblSales[[#This Row],[Sales]]-tblSales[[#This Row],[Budget]])/tblSales[[#This Row],[Budget]]</f>
        <v>-0.11819858293700863</v>
      </c>
      <c r="M1370" s="2">
        <f>tblSales[[#This Row],[Sales]]/tblSales[[#This Row],[Transactions]]</f>
        <v>339</v>
      </c>
    </row>
    <row r="1371" spans="1:13" x14ac:dyDescent="0.25">
      <c r="A1371" s="1">
        <v>46091</v>
      </c>
      <c r="B1371" t="s">
        <v>18</v>
      </c>
      <c r="C1371" t="s">
        <v>9</v>
      </c>
      <c r="D1371" t="str">
        <f>_xlfn.XLOOKUP(tblSales[[#This Row],[Store ID]],tblStores[Store ID],tblStores[Store Name])</f>
        <v>East Rand</v>
      </c>
      <c r="E1371" t="str">
        <f>_xlfn.XLOOKUP(tblSales[[#This Row],[Store ID]],tblStores[Store ID],tblStores[Province])</f>
        <v>Gauteng</v>
      </c>
      <c r="F1371" t="str">
        <f>_xlfn.XLOOKUP(tblSales[[#This Row],[Store ID]],tblStores[Store ID],tblStores[Manager])</f>
        <v>Lisa Young</v>
      </c>
      <c r="G1371" t="str">
        <f>_xlfn.XLOOKUP(tblSales[[#This Row],[Category ID]],tblCategories[Category ID],tblCategories[Category])</f>
        <v>Ladieswear</v>
      </c>
      <c r="H1371">
        <v>39396</v>
      </c>
      <c r="I1371">
        <v>42791</v>
      </c>
      <c r="J1371">
        <v>196</v>
      </c>
      <c r="K1371">
        <f>tblSales[[#This Row],[Sales]]-tblSales[[#This Row],[Budget]]</f>
        <v>-3395</v>
      </c>
      <c r="L1371" s="3">
        <f>(tblSales[[#This Row],[Sales]]-tblSales[[#This Row],[Budget]])/tblSales[[#This Row],[Budget]]</f>
        <v>-7.9339113364959926E-2</v>
      </c>
      <c r="M1371" s="2">
        <f>tblSales[[#This Row],[Sales]]/tblSales[[#This Row],[Transactions]]</f>
        <v>201</v>
      </c>
    </row>
    <row r="1372" spans="1:13" x14ac:dyDescent="0.25">
      <c r="A1372" s="1">
        <v>46091</v>
      </c>
      <c r="B1372" t="s">
        <v>20</v>
      </c>
      <c r="C1372" t="s">
        <v>19</v>
      </c>
      <c r="D1372" t="str">
        <f>_xlfn.XLOOKUP(tblSales[[#This Row],[Store ID]],tblStores[Store ID],tblStores[Store Name])</f>
        <v>Cape Town CBD</v>
      </c>
      <c r="E1372" t="str">
        <f>_xlfn.XLOOKUP(tblSales[[#This Row],[Store ID]],tblStores[Store ID],tblStores[Province])</f>
        <v>Western Cape</v>
      </c>
      <c r="F1372" t="str">
        <f>_xlfn.XLOOKUP(tblSales[[#This Row],[Store ID]],tblStores[Store ID],tblStores[Manager])</f>
        <v>Brian Hall</v>
      </c>
      <c r="G1372" t="str">
        <f>_xlfn.XLOOKUP(tblSales[[#This Row],[Category ID]],tblCategories[Category ID],tblCategories[Category])</f>
        <v>Accessories</v>
      </c>
      <c r="H1372">
        <v>40656</v>
      </c>
      <c r="I1372">
        <v>39165</v>
      </c>
      <c r="J1372">
        <v>168</v>
      </c>
      <c r="K1372">
        <f>tblSales[[#This Row],[Sales]]-tblSales[[#This Row],[Budget]]</f>
        <v>1491</v>
      </c>
      <c r="L1372" s="3">
        <f>(tblSales[[#This Row],[Sales]]-tblSales[[#This Row],[Budget]])/tblSales[[#This Row],[Budget]]</f>
        <v>3.8069705093833783E-2</v>
      </c>
      <c r="M1372" s="2">
        <f>tblSales[[#This Row],[Sales]]/tblSales[[#This Row],[Transactions]]</f>
        <v>242</v>
      </c>
    </row>
    <row r="1373" spans="1:13" x14ac:dyDescent="0.25">
      <c r="A1373" s="1">
        <v>46091</v>
      </c>
      <c r="B1373" t="s">
        <v>21</v>
      </c>
      <c r="C1373" t="s">
        <v>22</v>
      </c>
      <c r="D1373" t="str">
        <f>_xlfn.XLOOKUP(tblSales[[#This Row],[Store ID]],tblStores[Store ID],tblStores[Store Name])</f>
        <v>Canal Walk</v>
      </c>
      <c r="E1373" t="str">
        <f>_xlfn.XLOOKUP(tblSales[[#This Row],[Store ID]],tblStores[Store ID],tblStores[Province])</f>
        <v>Western Cape</v>
      </c>
      <c r="F1373" t="str">
        <f>_xlfn.XLOOKUP(tblSales[[#This Row],[Store ID]],tblStores[Store ID],tblStores[Manager])</f>
        <v>Megan Scott</v>
      </c>
      <c r="G1373" t="str">
        <f>_xlfn.XLOOKUP(tblSales[[#This Row],[Category ID]],tblCategories[Category ID],tblCategories[Category])</f>
        <v>Kids</v>
      </c>
      <c r="H1373">
        <v>30940</v>
      </c>
      <c r="I1373">
        <v>34710</v>
      </c>
      <c r="J1373">
        <v>85</v>
      </c>
      <c r="K1373">
        <f>tblSales[[#This Row],[Sales]]-tblSales[[#This Row],[Budget]]</f>
        <v>-3770</v>
      </c>
      <c r="L1373" s="3">
        <f>(tblSales[[#This Row],[Sales]]-tblSales[[#This Row],[Budget]])/tblSales[[#This Row],[Budget]]</f>
        <v>-0.10861423220973783</v>
      </c>
      <c r="M1373" s="2">
        <f>tblSales[[#This Row],[Sales]]/tblSales[[#This Row],[Transactions]]</f>
        <v>364</v>
      </c>
    </row>
    <row r="1374" spans="1:13" x14ac:dyDescent="0.25">
      <c r="A1374" s="1">
        <v>46091</v>
      </c>
      <c r="B1374" t="s">
        <v>23</v>
      </c>
      <c r="C1374" t="s">
        <v>9</v>
      </c>
      <c r="D1374" t="str">
        <f>_xlfn.XLOOKUP(tblSales[[#This Row],[Store ID]],tblStores[Store ID],tblStores[Store Name])</f>
        <v>Stellenbosch</v>
      </c>
      <c r="E1374" t="str">
        <f>_xlfn.XLOOKUP(tblSales[[#This Row],[Store ID]],tblStores[Store ID],tblStores[Province])</f>
        <v>Western Cape</v>
      </c>
      <c r="F1374" t="str">
        <f>_xlfn.XLOOKUP(tblSales[[#This Row],[Store ID]],tblStores[Store ID],tblStores[Manager])</f>
        <v>Jason King</v>
      </c>
      <c r="G1374" t="str">
        <f>_xlfn.XLOOKUP(tblSales[[#This Row],[Category ID]],tblCategories[Category ID],tblCategories[Category])</f>
        <v>Ladieswear</v>
      </c>
      <c r="H1374">
        <v>18900</v>
      </c>
      <c r="I1374">
        <v>20000</v>
      </c>
      <c r="J1374">
        <v>63</v>
      </c>
      <c r="K1374">
        <f>tblSales[[#This Row],[Sales]]-tblSales[[#This Row],[Budget]]</f>
        <v>-1100</v>
      </c>
      <c r="L1374" s="3">
        <f>(tblSales[[#This Row],[Sales]]-tblSales[[#This Row],[Budget]])/tblSales[[#This Row],[Budget]]</f>
        <v>-5.5E-2</v>
      </c>
      <c r="M1374" s="2">
        <f>tblSales[[#This Row],[Sales]]/tblSales[[#This Row],[Transactions]]</f>
        <v>300</v>
      </c>
    </row>
    <row r="1375" spans="1:13" x14ac:dyDescent="0.25">
      <c r="A1375" s="1">
        <v>46091</v>
      </c>
      <c r="B1375" t="s">
        <v>24</v>
      </c>
      <c r="C1375" t="s">
        <v>22</v>
      </c>
      <c r="D1375" t="str">
        <f>_xlfn.XLOOKUP(tblSales[[#This Row],[Store ID]],tblStores[Store ID],tblStores[Store Name])</f>
        <v>George</v>
      </c>
      <c r="E1375" t="str">
        <f>_xlfn.XLOOKUP(tblSales[[#This Row],[Store ID]],tblStores[Store ID],tblStores[Province])</f>
        <v>Western Cape</v>
      </c>
      <c r="F1375" t="str">
        <f>_xlfn.XLOOKUP(tblSales[[#This Row],[Store ID]],tblStores[Store ID],tblStores[Manager])</f>
        <v>Chloe Hill</v>
      </c>
      <c r="G1375" t="str">
        <f>_xlfn.XLOOKUP(tblSales[[#This Row],[Category ID]],tblCategories[Category ID],tblCategories[Category])</f>
        <v>Kids</v>
      </c>
      <c r="H1375">
        <v>10070</v>
      </c>
      <c r="I1375">
        <v>11062</v>
      </c>
      <c r="J1375">
        <v>38</v>
      </c>
      <c r="K1375">
        <f>tblSales[[#This Row],[Sales]]-tblSales[[#This Row],[Budget]]</f>
        <v>-992</v>
      </c>
      <c r="L1375" s="3">
        <f>(tblSales[[#This Row],[Sales]]-tblSales[[#This Row],[Budget]])/tblSales[[#This Row],[Budget]]</f>
        <v>-8.9676369553426144E-2</v>
      </c>
      <c r="M1375" s="2">
        <f>tblSales[[#This Row],[Sales]]/tblSales[[#This Row],[Transactions]]</f>
        <v>265</v>
      </c>
    </row>
    <row r="1376" spans="1:13" x14ac:dyDescent="0.25">
      <c r="A1376" s="1">
        <v>46091</v>
      </c>
      <c r="B1376" t="s">
        <v>25</v>
      </c>
      <c r="C1376" t="s">
        <v>19</v>
      </c>
      <c r="D1376" t="str">
        <f>_xlfn.XLOOKUP(tblSales[[#This Row],[Store ID]],tblStores[Store ID],tblStores[Store Name])</f>
        <v>Paarl</v>
      </c>
      <c r="E1376" t="str">
        <f>_xlfn.XLOOKUP(tblSales[[#This Row],[Store ID]],tblStores[Store ID],tblStores[Province])</f>
        <v>Western Cape</v>
      </c>
      <c r="F1376" t="str">
        <f>_xlfn.XLOOKUP(tblSales[[#This Row],[Store ID]],tblStores[Store ID],tblStores[Manager])</f>
        <v>Andrew Lee</v>
      </c>
      <c r="G1376" t="str">
        <f>_xlfn.XLOOKUP(tblSales[[#This Row],[Category ID]],tblCategories[Category ID],tblCategories[Category])</f>
        <v>Accessories</v>
      </c>
      <c r="H1376">
        <v>24830</v>
      </c>
      <c r="I1376">
        <v>27245</v>
      </c>
      <c r="J1376">
        <v>65</v>
      </c>
      <c r="K1376">
        <f>tblSales[[#This Row],[Sales]]-tblSales[[#This Row],[Budget]]</f>
        <v>-2415</v>
      </c>
      <c r="L1376" s="3">
        <f>(tblSales[[#This Row],[Sales]]-tblSales[[#This Row],[Budget]])/tblSales[[#This Row],[Budget]]</f>
        <v>-8.8640117452743625E-2</v>
      </c>
      <c r="M1376" s="2">
        <f>tblSales[[#This Row],[Sales]]/tblSales[[#This Row],[Transactions]]</f>
        <v>382</v>
      </c>
    </row>
    <row r="1377" spans="1:13" x14ac:dyDescent="0.25">
      <c r="A1377" s="1">
        <v>46091</v>
      </c>
      <c r="B1377" t="s">
        <v>26</v>
      </c>
      <c r="C1377" t="s">
        <v>7</v>
      </c>
      <c r="D1377" t="str">
        <f>_xlfn.XLOOKUP(tblSales[[#This Row],[Store ID]],tblStores[Store ID],tblStores[Store Name])</f>
        <v>Gqeberha</v>
      </c>
      <c r="E1377" t="str">
        <f>_xlfn.XLOOKUP(tblSales[[#This Row],[Store ID]],tblStores[Store ID],tblStores[Province])</f>
        <v>Eastern Cape</v>
      </c>
      <c r="F1377" t="str">
        <f>_xlfn.XLOOKUP(tblSales[[#This Row],[Store ID]],tblStores[Store ID],tblStores[Manager])</f>
        <v>Emma Baker</v>
      </c>
      <c r="G1377" t="str">
        <f>_xlfn.XLOOKUP(tblSales[[#This Row],[Category ID]],tblCategories[Category ID],tblCategories[Category])</f>
        <v>Menswear</v>
      </c>
      <c r="H1377">
        <v>21465</v>
      </c>
      <c r="I1377">
        <v>23522</v>
      </c>
      <c r="J1377">
        <v>45</v>
      </c>
      <c r="K1377">
        <f>tblSales[[#This Row],[Sales]]-tblSales[[#This Row],[Budget]]</f>
        <v>-2057</v>
      </c>
      <c r="L1377" s="3">
        <f>(tblSales[[#This Row],[Sales]]-tblSales[[#This Row],[Budget]])/tblSales[[#This Row],[Budget]]</f>
        <v>-8.7450046764730893E-2</v>
      </c>
      <c r="M1377" s="2">
        <f>tblSales[[#This Row],[Sales]]/tblSales[[#This Row],[Transactions]]</f>
        <v>477</v>
      </c>
    </row>
    <row r="1378" spans="1:13" x14ac:dyDescent="0.25">
      <c r="A1378" s="1">
        <v>46091</v>
      </c>
      <c r="B1378" t="s">
        <v>27</v>
      </c>
      <c r="C1378" t="s">
        <v>11</v>
      </c>
      <c r="D1378" t="str">
        <f>_xlfn.XLOOKUP(tblSales[[#This Row],[Store ID]],tblStores[Store ID],tblStores[Store Name])</f>
        <v>East London</v>
      </c>
      <c r="E1378" t="str">
        <f>_xlfn.XLOOKUP(tblSales[[#This Row],[Store ID]],tblStores[Store ID],tblStores[Province])</f>
        <v>Eastern Cape</v>
      </c>
      <c r="F1378" t="str">
        <f>_xlfn.XLOOKUP(tblSales[[#This Row],[Store ID]],tblStores[Store ID],tblStores[Manager])</f>
        <v>Daniel Evans</v>
      </c>
      <c r="G1378" t="str">
        <f>_xlfn.XLOOKUP(tblSales[[#This Row],[Category ID]],tblCategories[Category ID],tblCategories[Category])</f>
        <v>Footwear</v>
      </c>
      <c r="H1378">
        <v>102335</v>
      </c>
      <c r="I1378">
        <v>96066</v>
      </c>
      <c r="J1378">
        <v>211</v>
      </c>
      <c r="K1378">
        <f>tblSales[[#This Row],[Sales]]-tblSales[[#This Row],[Budget]]</f>
        <v>6269</v>
      </c>
      <c r="L1378" s="3">
        <f>(tblSales[[#This Row],[Sales]]-tblSales[[#This Row],[Budget]])/tblSales[[#This Row],[Budget]]</f>
        <v>6.5257218995274077E-2</v>
      </c>
      <c r="M1378" s="2">
        <f>tblSales[[#This Row],[Sales]]/tblSales[[#This Row],[Transactions]]</f>
        <v>485</v>
      </c>
    </row>
    <row r="1379" spans="1:13" x14ac:dyDescent="0.25">
      <c r="A1379" s="1">
        <v>46091</v>
      </c>
      <c r="B1379" t="s">
        <v>28</v>
      </c>
      <c r="C1379" t="s">
        <v>7</v>
      </c>
      <c r="D1379" t="str">
        <f>_xlfn.XLOOKUP(tblSales[[#This Row],[Store ID]],tblStores[Store ID],tblStores[Store Name])</f>
        <v>Bloemfontein</v>
      </c>
      <c r="E1379" t="str">
        <f>_xlfn.XLOOKUP(tblSales[[#This Row],[Store ID]],tblStores[Store ID],tblStores[Province])</f>
        <v>Free State</v>
      </c>
      <c r="F1379" t="str">
        <f>_xlfn.XLOOKUP(tblSales[[#This Row],[Store ID]],tblStores[Store ID],tblStores[Manager])</f>
        <v>Rachel Moore</v>
      </c>
      <c r="G1379" t="str">
        <f>_xlfn.XLOOKUP(tblSales[[#This Row],[Category ID]],tblCategories[Category ID],tblCategories[Category])</f>
        <v>Menswear</v>
      </c>
      <c r="H1379">
        <v>25480</v>
      </c>
      <c r="I1379">
        <v>26116</v>
      </c>
      <c r="J1379">
        <v>98</v>
      </c>
      <c r="K1379">
        <f>tblSales[[#This Row],[Sales]]-tblSales[[#This Row],[Budget]]</f>
        <v>-636</v>
      </c>
      <c r="L1379" s="3">
        <f>(tblSales[[#This Row],[Sales]]-tblSales[[#This Row],[Budget]])/tblSales[[#This Row],[Budget]]</f>
        <v>-2.4352887119007505E-2</v>
      </c>
      <c r="M1379" s="2">
        <f>tblSales[[#This Row],[Sales]]/tblSales[[#This Row],[Transactions]]</f>
        <v>260</v>
      </c>
    </row>
    <row r="1380" spans="1:13" x14ac:dyDescent="0.25">
      <c r="A1380" s="1">
        <v>46091</v>
      </c>
      <c r="B1380" t="s">
        <v>29</v>
      </c>
      <c r="C1380" t="s">
        <v>19</v>
      </c>
      <c r="D1380" t="str">
        <f>_xlfn.XLOOKUP(tblSales[[#This Row],[Store ID]],tblStores[Store ID],tblStores[Store Name])</f>
        <v>Polokwane</v>
      </c>
      <c r="E1380" t="str">
        <f>_xlfn.XLOOKUP(tblSales[[#This Row],[Store ID]],tblStores[Store ID],tblStores[Province])</f>
        <v>Limpopo</v>
      </c>
      <c r="F1380" t="str">
        <f>_xlfn.XLOOKUP(tblSales[[#This Row],[Store ID]],tblStores[Store ID],tblStores[Manager])</f>
        <v>Kevin Harris</v>
      </c>
      <c r="G1380" t="str">
        <f>_xlfn.XLOOKUP(tblSales[[#This Row],[Category ID]],tblCategories[Category ID],tblCategories[Category])</f>
        <v>Accessories</v>
      </c>
      <c r="H1380">
        <v>60500</v>
      </c>
      <c r="I1380">
        <v>55358</v>
      </c>
      <c r="J1380">
        <v>121</v>
      </c>
      <c r="K1380">
        <f>tblSales[[#This Row],[Sales]]-tblSales[[#This Row],[Budget]]</f>
        <v>5142</v>
      </c>
      <c r="L1380" s="3">
        <f>(tblSales[[#This Row],[Sales]]-tblSales[[#This Row],[Budget]])/tblSales[[#This Row],[Budget]]</f>
        <v>9.2886303695942779E-2</v>
      </c>
      <c r="M1380" s="2">
        <f>tblSales[[#This Row],[Sales]]/tblSales[[#This Row],[Transactions]]</f>
        <v>500</v>
      </c>
    </row>
    <row r="1381" spans="1:13" x14ac:dyDescent="0.25">
      <c r="A1381" s="1">
        <v>46091</v>
      </c>
      <c r="B1381" t="s">
        <v>30</v>
      </c>
      <c r="C1381" t="s">
        <v>22</v>
      </c>
      <c r="D1381" t="str">
        <f>_xlfn.XLOOKUP(tblSales[[#This Row],[Store ID]],tblStores[Store ID],tblStores[Store Name])</f>
        <v>Nelspruit</v>
      </c>
      <c r="E1381" t="str">
        <f>_xlfn.XLOOKUP(tblSales[[#This Row],[Store ID]],tblStores[Store ID],tblStores[Province])</f>
        <v>Mpumalanga</v>
      </c>
      <c r="F1381" t="str">
        <f>_xlfn.XLOOKUP(tblSales[[#This Row],[Store ID]],tblStores[Store ID],tblStores[Manager])</f>
        <v>Olivia Turner</v>
      </c>
      <c r="G1381" t="str">
        <f>_xlfn.XLOOKUP(tblSales[[#This Row],[Category ID]],tblCategories[Category ID],tblCategories[Category])</f>
        <v>Kids</v>
      </c>
      <c r="H1381">
        <v>51600</v>
      </c>
      <c r="I1381">
        <v>55487</v>
      </c>
      <c r="J1381">
        <v>200</v>
      </c>
      <c r="K1381">
        <f>tblSales[[#This Row],[Sales]]-tblSales[[#This Row],[Budget]]</f>
        <v>-3887</v>
      </c>
      <c r="L1381" s="3">
        <f>(tblSales[[#This Row],[Sales]]-tblSales[[#This Row],[Budget]])/tblSales[[#This Row],[Budget]]</f>
        <v>-7.0052444716780501E-2</v>
      </c>
      <c r="M1381" s="2">
        <f>tblSales[[#This Row],[Sales]]/tblSales[[#This Row],[Transactions]]</f>
        <v>258</v>
      </c>
    </row>
    <row r="1382" spans="1:13" x14ac:dyDescent="0.25">
      <c r="A1382" s="1">
        <v>46092</v>
      </c>
      <c r="B1382" t="s">
        <v>6</v>
      </c>
      <c r="C1382" t="s">
        <v>7</v>
      </c>
      <c r="D1382" t="str">
        <f>_xlfn.XLOOKUP(tblSales[[#This Row],[Store ID]],tblStores[Store ID],tblStores[Store Name])</f>
        <v>Durban CBD</v>
      </c>
      <c r="E1382" t="str">
        <f>_xlfn.XLOOKUP(tblSales[[#This Row],[Store ID]],tblStores[Store ID],tblStores[Province])</f>
        <v>KZN</v>
      </c>
      <c r="F1382" t="str">
        <f>_xlfn.XLOOKUP(tblSales[[#This Row],[Store ID]],tblStores[Store ID],tblStores[Manager])</f>
        <v>Sarah Adams</v>
      </c>
      <c r="G1382" t="str">
        <f>_xlfn.XLOOKUP(tblSales[[#This Row],[Category ID]],tblCategories[Category ID],tblCategories[Category])</f>
        <v>Menswear</v>
      </c>
      <c r="H1382">
        <v>28743</v>
      </c>
      <c r="I1382">
        <v>27540</v>
      </c>
      <c r="J1382">
        <v>67</v>
      </c>
      <c r="K1382">
        <f>tblSales[[#This Row],[Sales]]-tblSales[[#This Row],[Budget]]</f>
        <v>1203</v>
      </c>
      <c r="L1382" s="3">
        <f>(tblSales[[#This Row],[Sales]]-tblSales[[#This Row],[Budget]])/tblSales[[#This Row],[Budget]]</f>
        <v>4.3681917211328976E-2</v>
      </c>
      <c r="M1382" s="2">
        <f>tblSales[[#This Row],[Sales]]/tblSales[[#This Row],[Transactions]]</f>
        <v>429</v>
      </c>
    </row>
    <row r="1383" spans="1:13" x14ac:dyDescent="0.25">
      <c r="A1383" s="1">
        <v>46092</v>
      </c>
      <c r="B1383" t="s">
        <v>8</v>
      </c>
      <c r="C1383" t="s">
        <v>19</v>
      </c>
      <c r="D1383" t="str">
        <f>_xlfn.XLOOKUP(tblSales[[#This Row],[Store ID]],tblStores[Store ID],tblStores[Store Name])</f>
        <v>Gateway</v>
      </c>
      <c r="E1383" t="str">
        <f>_xlfn.XLOOKUP(tblSales[[#This Row],[Store ID]],tblStores[Store ID],tblStores[Province])</f>
        <v>KZN</v>
      </c>
      <c r="F1383" t="str">
        <f>_xlfn.XLOOKUP(tblSales[[#This Row],[Store ID]],tblStores[Store ID],tblStores[Manager])</f>
        <v>Michael Jones</v>
      </c>
      <c r="G1383" t="str">
        <f>_xlfn.XLOOKUP(tblSales[[#This Row],[Category ID]],tblCategories[Category ID],tblCategories[Category])</f>
        <v>Accessories</v>
      </c>
      <c r="H1383">
        <v>71400</v>
      </c>
      <c r="I1383">
        <v>78638</v>
      </c>
      <c r="J1383">
        <v>200</v>
      </c>
      <c r="K1383">
        <f>tblSales[[#This Row],[Sales]]-tblSales[[#This Row],[Budget]]</f>
        <v>-7238</v>
      </c>
      <c r="L1383" s="3">
        <f>(tblSales[[#This Row],[Sales]]-tblSales[[#This Row],[Budget]])/tblSales[[#This Row],[Budget]]</f>
        <v>-9.2042015310664055E-2</v>
      </c>
      <c r="M1383" s="2">
        <f>tblSales[[#This Row],[Sales]]/tblSales[[#This Row],[Transactions]]</f>
        <v>357</v>
      </c>
    </row>
    <row r="1384" spans="1:13" x14ac:dyDescent="0.25">
      <c r="A1384" s="1">
        <v>46092</v>
      </c>
      <c r="B1384" t="s">
        <v>10</v>
      </c>
      <c r="C1384" t="s">
        <v>11</v>
      </c>
      <c r="D1384" t="str">
        <f>_xlfn.XLOOKUP(tblSales[[#This Row],[Store ID]],tblStores[Store ID],tblStores[Store Name])</f>
        <v>Ballito</v>
      </c>
      <c r="E1384" t="str">
        <f>_xlfn.XLOOKUP(tblSales[[#This Row],[Store ID]],tblStores[Store ID],tblStores[Province])</f>
        <v>KZN</v>
      </c>
      <c r="F1384" t="str">
        <f>_xlfn.XLOOKUP(tblSales[[#This Row],[Store ID]],tblStores[Store ID],tblStores[Manager])</f>
        <v>Linda Smith</v>
      </c>
      <c r="G1384" t="str">
        <f>_xlfn.XLOOKUP(tblSales[[#This Row],[Category ID]],tblCategories[Category ID],tblCategories[Category])</f>
        <v>Footwear</v>
      </c>
      <c r="H1384">
        <v>15960</v>
      </c>
      <c r="I1384">
        <v>17114</v>
      </c>
      <c r="J1384">
        <v>84</v>
      </c>
      <c r="K1384">
        <f>tblSales[[#This Row],[Sales]]-tblSales[[#This Row],[Budget]]</f>
        <v>-1154</v>
      </c>
      <c r="L1384" s="3">
        <f>(tblSales[[#This Row],[Sales]]-tblSales[[#This Row],[Budget]])/tblSales[[#This Row],[Budget]]</f>
        <v>-6.7430174126446182E-2</v>
      </c>
      <c r="M1384" s="2">
        <f>tblSales[[#This Row],[Sales]]/tblSales[[#This Row],[Transactions]]</f>
        <v>190</v>
      </c>
    </row>
    <row r="1385" spans="1:13" x14ac:dyDescent="0.25">
      <c r="A1385" s="1">
        <v>46092</v>
      </c>
      <c r="B1385" t="s">
        <v>12</v>
      </c>
      <c r="C1385" t="s">
        <v>22</v>
      </c>
      <c r="D1385" t="str">
        <f>_xlfn.XLOOKUP(tblSales[[#This Row],[Store ID]],tblStores[Store ID],tblStores[Store Name])</f>
        <v>Pietermaritzburg</v>
      </c>
      <c r="E1385" t="str">
        <f>_xlfn.XLOOKUP(tblSales[[#This Row],[Store ID]],tblStores[Store ID],tblStores[Province])</f>
        <v>KZN</v>
      </c>
      <c r="F1385" t="str">
        <f>_xlfn.XLOOKUP(tblSales[[#This Row],[Store ID]],tblStores[Store ID],tblStores[Manager])</f>
        <v>Peter Brown</v>
      </c>
      <c r="G1385" t="str">
        <f>_xlfn.XLOOKUP(tblSales[[#This Row],[Category ID]],tblCategories[Category ID],tblCategories[Category])</f>
        <v>Kids</v>
      </c>
      <c r="H1385">
        <v>54560</v>
      </c>
      <c r="I1385">
        <v>52523</v>
      </c>
      <c r="J1385">
        <v>220</v>
      </c>
      <c r="K1385">
        <f>tblSales[[#This Row],[Sales]]-tblSales[[#This Row],[Budget]]</f>
        <v>2037</v>
      </c>
      <c r="L1385" s="3">
        <f>(tblSales[[#This Row],[Sales]]-tblSales[[#This Row],[Budget]])/tblSales[[#This Row],[Budget]]</f>
        <v>3.8783009348285512E-2</v>
      </c>
      <c r="M1385" s="2">
        <f>tblSales[[#This Row],[Sales]]/tblSales[[#This Row],[Transactions]]</f>
        <v>248</v>
      </c>
    </row>
    <row r="1386" spans="1:13" x14ac:dyDescent="0.25">
      <c r="A1386" s="1">
        <v>46092</v>
      </c>
      <c r="B1386" t="s">
        <v>13</v>
      </c>
      <c r="C1386" t="s">
        <v>7</v>
      </c>
      <c r="D1386" t="str">
        <f>_xlfn.XLOOKUP(tblSales[[#This Row],[Store ID]],tblStores[Store ID],tblStores[Store Name])</f>
        <v>Richards Bay</v>
      </c>
      <c r="E1386" t="str">
        <f>_xlfn.XLOOKUP(tblSales[[#This Row],[Store ID]],tblStores[Store ID],tblStores[Province])</f>
        <v>KZN</v>
      </c>
      <c r="F1386" t="str">
        <f>_xlfn.XLOOKUP(tblSales[[#This Row],[Store ID]],tblStores[Store ID],tblStores[Manager])</f>
        <v>David Green</v>
      </c>
      <c r="G1386" t="str">
        <f>_xlfn.XLOOKUP(tblSales[[#This Row],[Category ID]],tblCategories[Category ID],tblCategories[Category])</f>
        <v>Menswear</v>
      </c>
      <c r="H1386">
        <v>64236</v>
      </c>
      <c r="I1386">
        <v>66789</v>
      </c>
      <c r="J1386">
        <v>159</v>
      </c>
      <c r="K1386">
        <f>tblSales[[#This Row],[Sales]]-tblSales[[#This Row],[Budget]]</f>
        <v>-2553</v>
      </c>
      <c r="L1386" s="3">
        <f>(tblSales[[#This Row],[Sales]]-tblSales[[#This Row],[Budget]])/tblSales[[#This Row],[Budget]]</f>
        <v>-3.8224857386695413E-2</v>
      </c>
      <c r="M1386" s="2">
        <f>tblSales[[#This Row],[Sales]]/tblSales[[#This Row],[Transactions]]</f>
        <v>404</v>
      </c>
    </row>
    <row r="1387" spans="1:13" x14ac:dyDescent="0.25">
      <c r="A1387" s="1">
        <v>46092</v>
      </c>
      <c r="B1387" t="s">
        <v>14</v>
      </c>
      <c r="C1387" t="s">
        <v>19</v>
      </c>
      <c r="D1387" t="str">
        <f>_xlfn.XLOOKUP(tblSales[[#This Row],[Store ID]],tblStores[Store ID],tblStores[Store Name])</f>
        <v>Sandton</v>
      </c>
      <c r="E1387" t="str">
        <f>_xlfn.XLOOKUP(tblSales[[#This Row],[Store ID]],tblStores[Store ID],tblStores[Province])</f>
        <v>Gauteng</v>
      </c>
      <c r="F1387" t="str">
        <f>_xlfn.XLOOKUP(tblSales[[#This Row],[Store ID]],tblStores[Store ID],tblStores[Manager])</f>
        <v>Karen White</v>
      </c>
      <c r="G1387" t="str">
        <f>_xlfn.XLOOKUP(tblSales[[#This Row],[Category ID]],tblCategories[Category ID],tblCategories[Category])</f>
        <v>Accessories</v>
      </c>
      <c r="H1387">
        <v>91590</v>
      </c>
      <c r="I1387">
        <v>86776</v>
      </c>
      <c r="J1387">
        <v>213</v>
      </c>
      <c r="K1387">
        <f>tblSales[[#This Row],[Sales]]-tblSales[[#This Row],[Budget]]</f>
        <v>4814</v>
      </c>
      <c r="L1387" s="3">
        <f>(tblSales[[#This Row],[Sales]]-tblSales[[#This Row],[Budget]])/tblSales[[#This Row],[Budget]]</f>
        <v>5.5476168525859682E-2</v>
      </c>
      <c r="M1387" s="2">
        <f>tblSales[[#This Row],[Sales]]/tblSales[[#This Row],[Transactions]]</f>
        <v>430</v>
      </c>
    </row>
    <row r="1388" spans="1:13" x14ac:dyDescent="0.25">
      <c r="A1388" s="1">
        <v>46092</v>
      </c>
      <c r="B1388" t="s">
        <v>15</v>
      </c>
      <c r="C1388" t="s">
        <v>9</v>
      </c>
      <c r="D1388" t="str">
        <f>_xlfn.XLOOKUP(tblSales[[#This Row],[Store ID]],tblStores[Store ID],tblStores[Store Name])</f>
        <v>Rosebank</v>
      </c>
      <c r="E1388" t="str">
        <f>_xlfn.XLOOKUP(tblSales[[#This Row],[Store ID]],tblStores[Store ID],tblStores[Province])</f>
        <v>Gauteng</v>
      </c>
      <c r="F1388" t="str">
        <f>_xlfn.XLOOKUP(tblSales[[#This Row],[Store ID]],tblStores[Store ID],tblStores[Manager])</f>
        <v>James Taylor</v>
      </c>
      <c r="G1388" t="str">
        <f>_xlfn.XLOOKUP(tblSales[[#This Row],[Category ID]],tblCategories[Category ID],tblCategories[Category])</f>
        <v>Ladieswear</v>
      </c>
      <c r="H1388">
        <v>62292</v>
      </c>
      <c r="I1388">
        <v>61103</v>
      </c>
      <c r="J1388">
        <v>174</v>
      </c>
      <c r="K1388">
        <f>tblSales[[#This Row],[Sales]]-tblSales[[#This Row],[Budget]]</f>
        <v>1189</v>
      </c>
      <c r="L1388" s="3">
        <f>(tblSales[[#This Row],[Sales]]-tblSales[[#This Row],[Budget]])/tblSales[[#This Row],[Budget]]</f>
        <v>1.9458946369245372E-2</v>
      </c>
      <c r="M1388" s="2">
        <f>tblSales[[#This Row],[Sales]]/tblSales[[#This Row],[Transactions]]</f>
        <v>358</v>
      </c>
    </row>
    <row r="1389" spans="1:13" x14ac:dyDescent="0.25">
      <c r="A1389" s="1">
        <v>46092</v>
      </c>
      <c r="B1389" t="s">
        <v>16</v>
      </c>
      <c r="C1389" t="s">
        <v>11</v>
      </c>
      <c r="D1389" t="str">
        <f>_xlfn.XLOOKUP(tblSales[[#This Row],[Store ID]],tblStores[Store ID],tblStores[Store Name])</f>
        <v>Pretoria</v>
      </c>
      <c r="E1389" t="str">
        <f>_xlfn.XLOOKUP(tblSales[[#This Row],[Store ID]],tblStores[Store ID],tblStores[Province])</f>
        <v>Gauteng</v>
      </c>
      <c r="F1389" t="str">
        <f>_xlfn.XLOOKUP(tblSales[[#This Row],[Store ID]],tblStores[Store ID],tblStores[Manager])</f>
        <v>Susan Clark</v>
      </c>
      <c r="G1389" t="str">
        <f>_xlfn.XLOOKUP(tblSales[[#This Row],[Category ID]],tblCategories[Category ID],tblCategories[Category])</f>
        <v>Footwear</v>
      </c>
      <c r="H1389">
        <v>51030</v>
      </c>
      <c r="I1389">
        <v>57593</v>
      </c>
      <c r="J1389">
        <v>105</v>
      </c>
      <c r="K1389">
        <f>tblSales[[#This Row],[Sales]]-tblSales[[#This Row],[Budget]]</f>
        <v>-6563</v>
      </c>
      <c r="L1389" s="3">
        <f>(tblSales[[#This Row],[Sales]]-tblSales[[#This Row],[Budget]])/tblSales[[#This Row],[Budget]]</f>
        <v>-0.11395482089837307</v>
      </c>
      <c r="M1389" s="2">
        <f>tblSales[[#This Row],[Sales]]/tblSales[[#This Row],[Transactions]]</f>
        <v>486</v>
      </c>
    </row>
    <row r="1390" spans="1:13" x14ac:dyDescent="0.25">
      <c r="A1390" s="1">
        <v>46092</v>
      </c>
      <c r="B1390" t="s">
        <v>17</v>
      </c>
      <c r="C1390" t="s">
        <v>19</v>
      </c>
      <c r="D1390" t="str">
        <f>_xlfn.XLOOKUP(tblSales[[#This Row],[Store ID]],tblStores[Store ID],tblStores[Store Name])</f>
        <v>Centurion</v>
      </c>
      <c r="E1390" t="str">
        <f>_xlfn.XLOOKUP(tblSales[[#This Row],[Store ID]],tblStores[Store ID],tblStores[Province])</f>
        <v>Gauteng</v>
      </c>
      <c r="F1390" t="str">
        <f>_xlfn.XLOOKUP(tblSales[[#This Row],[Store ID]],tblStores[Store ID],tblStores[Manager])</f>
        <v>Mark Wilson</v>
      </c>
      <c r="G1390" t="str">
        <f>_xlfn.XLOOKUP(tblSales[[#This Row],[Category ID]],tblCategories[Category ID],tblCategories[Category])</f>
        <v>Accessories</v>
      </c>
      <c r="H1390">
        <v>16340</v>
      </c>
      <c r="I1390">
        <v>16875</v>
      </c>
      <c r="J1390">
        <v>76</v>
      </c>
      <c r="K1390">
        <f>tblSales[[#This Row],[Sales]]-tblSales[[#This Row],[Budget]]</f>
        <v>-535</v>
      </c>
      <c r="L1390" s="3">
        <f>(tblSales[[#This Row],[Sales]]-tblSales[[#This Row],[Budget]])/tblSales[[#This Row],[Budget]]</f>
        <v>-3.1703703703703706E-2</v>
      </c>
      <c r="M1390" s="2">
        <f>tblSales[[#This Row],[Sales]]/tblSales[[#This Row],[Transactions]]</f>
        <v>215</v>
      </c>
    </row>
    <row r="1391" spans="1:13" x14ac:dyDescent="0.25">
      <c r="A1391" s="1">
        <v>46092</v>
      </c>
      <c r="B1391" t="s">
        <v>18</v>
      </c>
      <c r="C1391" t="s">
        <v>11</v>
      </c>
      <c r="D1391" t="str">
        <f>_xlfn.XLOOKUP(tblSales[[#This Row],[Store ID]],tblStores[Store ID],tblStores[Store Name])</f>
        <v>East Rand</v>
      </c>
      <c r="E1391" t="str">
        <f>_xlfn.XLOOKUP(tblSales[[#This Row],[Store ID]],tblStores[Store ID],tblStores[Province])</f>
        <v>Gauteng</v>
      </c>
      <c r="F1391" t="str">
        <f>_xlfn.XLOOKUP(tblSales[[#This Row],[Store ID]],tblStores[Store ID],tblStores[Manager])</f>
        <v>Lisa Young</v>
      </c>
      <c r="G1391" t="str">
        <f>_xlfn.XLOOKUP(tblSales[[#This Row],[Category ID]],tblCategories[Category ID],tblCategories[Category])</f>
        <v>Footwear</v>
      </c>
      <c r="H1391">
        <v>34540</v>
      </c>
      <c r="I1391">
        <v>35762</v>
      </c>
      <c r="J1391">
        <v>110</v>
      </c>
      <c r="K1391">
        <f>tblSales[[#This Row],[Sales]]-tblSales[[#This Row],[Budget]]</f>
        <v>-1222</v>
      </c>
      <c r="L1391" s="3">
        <f>(tblSales[[#This Row],[Sales]]-tblSales[[#This Row],[Budget]])/tblSales[[#This Row],[Budget]]</f>
        <v>-3.4170348414518201E-2</v>
      </c>
      <c r="M1391" s="2">
        <f>tblSales[[#This Row],[Sales]]/tblSales[[#This Row],[Transactions]]</f>
        <v>314</v>
      </c>
    </row>
    <row r="1392" spans="1:13" x14ac:dyDescent="0.25">
      <c r="A1392" s="1">
        <v>46092</v>
      </c>
      <c r="B1392" t="s">
        <v>20</v>
      </c>
      <c r="C1392" t="s">
        <v>11</v>
      </c>
      <c r="D1392" t="str">
        <f>_xlfn.XLOOKUP(tblSales[[#This Row],[Store ID]],tblStores[Store ID],tblStores[Store Name])</f>
        <v>Cape Town CBD</v>
      </c>
      <c r="E1392" t="str">
        <f>_xlfn.XLOOKUP(tblSales[[#This Row],[Store ID]],tblStores[Store ID],tblStores[Province])</f>
        <v>Western Cape</v>
      </c>
      <c r="F1392" t="str">
        <f>_xlfn.XLOOKUP(tblSales[[#This Row],[Store ID]],tblStores[Store ID],tblStores[Manager])</f>
        <v>Brian Hall</v>
      </c>
      <c r="G1392" t="str">
        <f>_xlfn.XLOOKUP(tblSales[[#This Row],[Category ID]],tblCategories[Category ID],tblCategories[Category])</f>
        <v>Footwear</v>
      </c>
      <c r="H1392">
        <v>17710</v>
      </c>
      <c r="I1392">
        <v>18179</v>
      </c>
      <c r="J1392">
        <v>35</v>
      </c>
      <c r="K1392">
        <f>tblSales[[#This Row],[Sales]]-tblSales[[#This Row],[Budget]]</f>
        <v>-469</v>
      </c>
      <c r="L1392" s="3">
        <f>(tblSales[[#This Row],[Sales]]-tblSales[[#This Row],[Budget]])/tblSales[[#This Row],[Budget]]</f>
        <v>-2.5798998844820946E-2</v>
      </c>
      <c r="M1392" s="2">
        <f>tblSales[[#This Row],[Sales]]/tblSales[[#This Row],[Transactions]]</f>
        <v>506</v>
      </c>
    </row>
    <row r="1393" spans="1:13" x14ac:dyDescent="0.25">
      <c r="A1393" s="1">
        <v>46092</v>
      </c>
      <c r="B1393" t="s">
        <v>21</v>
      </c>
      <c r="C1393" t="s">
        <v>9</v>
      </c>
      <c r="D1393" t="str">
        <f>_xlfn.XLOOKUP(tblSales[[#This Row],[Store ID]],tblStores[Store ID],tblStores[Store Name])</f>
        <v>Canal Walk</v>
      </c>
      <c r="E1393" t="str">
        <f>_xlfn.XLOOKUP(tblSales[[#This Row],[Store ID]],tblStores[Store ID],tblStores[Province])</f>
        <v>Western Cape</v>
      </c>
      <c r="F1393" t="str">
        <f>_xlfn.XLOOKUP(tblSales[[#This Row],[Store ID]],tblStores[Store ID],tblStores[Manager])</f>
        <v>Megan Scott</v>
      </c>
      <c r="G1393" t="str">
        <f>_xlfn.XLOOKUP(tblSales[[#This Row],[Category ID]],tblCategories[Category ID],tblCategories[Category])</f>
        <v>Ladieswear</v>
      </c>
      <c r="H1393">
        <v>19383</v>
      </c>
      <c r="I1393">
        <v>21596</v>
      </c>
      <c r="J1393">
        <v>39</v>
      </c>
      <c r="K1393">
        <f>tblSales[[#This Row],[Sales]]-tblSales[[#This Row],[Budget]]</f>
        <v>-2213</v>
      </c>
      <c r="L1393" s="3">
        <f>(tblSales[[#This Row],[Sales]]-tblSales[[#This Row],[Budget]])/tblSales[[#This Row],[Budget]]</f>
        <v>-0.10247268012594925</v>
      </c>
      <c r="M1393" s="2">
        <f>tblSales[[#This Row],[Sales]]/tblSales[[#This Row],[Transactions]]</f>
        <v>497</v>
      </c>
    </row>
    <row r="1394" spans="1:13" x14ac:dyDescent="0.25">
      <c r="A1394" s="1">
        <v>46092</v>
      </c>
      <c r="B1394" t="s">
        <v>23</v>
      </c>
      <c r="C1394" t="s">
        <v>19</v>
      </c>
      <c r="D1394" t="str">
        <f>_xlfn.XLOOKUP(tblSales[[#This Row],[Store ID]],tblStores[Store ID],tblStores[Store Name])</f>
        <v>Stellenbosch</v>
      </c>
      <c r="E1394" t="str">
        <f>_xlfn.XLOOKUP(tblSales[[#This Row],[Store ID]],tblStores[Store ID],tblStores[Province])</f>
        <v>Western Cape</v>
      </c>
      <c r="F1394" t="str">
        <f>_xlfn.XLOOKUP(tblSales[[#This Row],[Store ID]],tblStores[Store ID],tblStores[Manager])</f>
        <v>Jason King</v>
      </c>
      <c r="G1394" t="str">
        <f>_xlfn.XLOOKUP(tblSales[[#This Row],[Category ID]],tblCategories[Category ID],tblCategories[Category])</f>
        <v>Accessories</v>
      </c>
      <c r="H1394">
        <v>33024</v>
      </c>
      <c r="I1394">
        <v>35674</v>
      </c>
      <c r="J1394">
        <v>96</v>
      </c>
      <c r="K1394">
        <f>tblSales[[#This Row],[Sales]]-tblSales[[#This Row],[Budget]]</f>
        <v>-2650</v>
      </c>
      <c r="L1394" s="3">
        <f>(tblSales[[#This Row],[Sales]]-tblSales[[#This Row],[Budget]])/tblSales[[#This Row],[Budget]]</f>
        <v>-7.4283792117508546E-2</v>
      </c>
      <c r="M1394" s="2">
        <f>tblSales[[#This Row],[Sales]]/tblSales[[#This Row],[Transactions]]</f>
        <v>344</v>
      </c>
    </row>
    <row r="1395" spans="1:13" x14ac:dyDescent="0.25">
      <c r="A1395" s="1">
        <v>46092</v>
      </c>
      <c r="B1395" t="s">
        <v>24</v>
      </c>
      <c r="C1395" t="s">
        <v>19</v>
      </c>
      <c r="D1395" t="str">
        <f>_xlfn.XLOOKUP(tblSales[[#This Row],[Store ID]],tblStores[Store ID],tblStores[Store Name])</f>
        <v>George</v>
      </c>
      <c r="E1395" t="str">
        <f>_xlfn.XLOOKUP(tblSales[[#This Row],[Store ID]],tblStores[Store ID],tblStores[Province])</f>
        <v>Western Cape</v>
      </c>
      <c r="F1395" t="str">
        <f>_xlfn.XLOOKUP(tblSales[[#This Row],[Store ID]],tblStores[Store ID],tblStores[Manager])</f>
        <v>Chloe Hill</v>
      </c>
      <c r="G1395" t="str">
        <f>_xlfn.XLOOKUP(tblSales[[#This Row],[Category ID]],tblCategories[Category ID],tblCategories[Category])</f>
        <v>Accessories</v>
      </c>
      <c r="H1395">
        <v>37118</v>
      </c>
      <c r="I1395">
        <v>38269</v>
      </c>
      <c r="J1395">
        <v>134</v>
      </c>
      <c r="K1395">
        <f>tblSales[[#This Row],[Sales]]-tblSales[[#This Row],[Budget]]</f>
        <v>-1151</v>
      </c>
      <c r="L1395" s="3">
        <f>(tblSales[[#This Row],[Sales]]-tblSales[[#This Row],[Budget]])/tblSales[[#This Row],[Budget]]</f>
        <v>-3.0076563275758448E-2</v>
      </c>
      <c r="M1395" s="2">
        <f>tblSales[[#This Row],[Sales]]/tblSales[[#This Row],[Transactions]]</f>
        <v>277</v>
      </c>
    </row>
    <row r="1396" spans="1:13" x14ac:dyDescent="0.25">
      <c r="A1396" s="1">
        <v>46092</v>
      </c>
      <c r="B1396" t="s">
        <v>25</v>
      </c>
      <c r="C1396" t="s">
        <v>11</v>
      </c>
      <c r="D1396" t="str">
        <f>_xlfn.XLOOKUP(tblSales[[#This Row],[Store ID]],tblStores[Store ID],tblStores[Store Name])</f>
        <v>Paarl</v>
      </c>
      <c r="E1396" t="str">
        <f>_xlfn.XLOOKUP(tblSales[[#This Row],[Store ID]],tblStores[Store ID],tblStores[Province])</f>
        <v>Western Cape</v>
      </c>
      <c r="F1396" t="str">
        <f>_xlfn.XLOOKUP(tblSales[[#This Row],[Store ID]],tblStores[Store ID],tblStores[Manager])</f>
        <v>Andrew Lee</v>
      </c>
      <c r="G1396" t="str">
        <f>_xlfn.XLOOKUP(tblSales[[#This Row],[Category ID]],tblCategories[Category ID],tblCategories[Category])</f>
        <v>Footwear</v>
      </c>
      <c r="H1396">
        <v>45408</v>
      </c>
      <c r="I1396">
        <v>47826</v>
      </c>
      <c r="J1396">
        <v>176</v>
      </c>
      <c r="K1396">
        <f>tblSales[[#This Row],[Sales]]-tblSales[[#This Row],[Budget]]</f>
        <v>-2418</v>
      </c>
      <c r="L1396" s="3">
        <f>(tblSales[[#This Row],[Sales]]-tblSales[[#This Row],[Budget]])/tblSales[[#This Row],[Budget]]</f>
        <v>-5.0558273742315897E-2</v>
      </c>
      <c r="M1396" s="2">
        <f>tblSales[[#This Row],[Sales]]/tblSales[[#This Row],[Transactions]]</f>
        <v>258</v>
      </c>
    </row>
    <row r="1397" spans="1:13" x14ac:dyDescent="0.25">
      <c r="A1397" s="1">
        <v>46092</v>
      </c>
      <c r="B1397" t="s">
        <v>26</v>
      </c>
      <c r="C1397" t="s">
        <v>22</v>
      </c>
      <c r="D1397" t="str">
        <f>_xlfn.XLOOKUP(tblSales[[#This Row],[Store ID]],tblStores[Store ID],tblStores[Store Name])</f>
        <v>Gqeberha</v>
      </c>
      <c r="E1397" t="str">
        <f>_xlfn.XLOOKUP(tblSales[[#This Row],[Store ID]],tblStores[Store ID],tblStores[Province])</f>
        <v>Eastern Cape</v>
      </c>
      <c r="F1397" t="str">
        <f>_xlfn.XLOOKUP(tblSales[[#This Row],[Store ID]],tblStores[Store ID],tblStores[Manager])</f>
        <v>Emma Baker</v>
      </c>
      <c r="G1397" t="str">
        <f>_xlfn.XLOOKUP(tblSales[[#This Row],[Category ID]],tblCategories[Category ID],tblCategories[Category])</f>
        <v>Kids</v>
      </c>
      <c r="H1397">
        <v>70612</v>
      </c>
      <c r="I1397">
        <v>69235</v>
      </c>
      <c r="J1397">
        <v>139</v>
      </c>
      <c r="K1397">
        <f>tblSales[[#This Row],[Sales]]-tblSales[[#This Row],[Budget]]</f>
        <v>1377</v>
      </c>
      <c r="L1397" s="3">
        <f>(tblSales[[#This Row],[Sales]]-tblSales[[#This Row],[Budget]])/tblSales[[#This Row],[Budget]]</f>
        <v>1.9888784574276015E-2</v>
      </c>
      <c r="M1397" s="2">
        <f>tblSales[[#This Row],[Sales]]/tblSales[[#This Row],[Transactions]]</f>
        <v>508</v>
      </c>
    </row>
    <row r="1398" spans="1:13" x14ac:dyDescent="0.25">
      <c r="A1398" s="1">
        <v>46092</v>
      </c>
      <c r="B1398" t="s">
        <v>27</v>
      </c>
      <c r="C1398" t="s">
        <v>7</v>
      </c>
      <c r="D1398" t="str">
        <f>_xlfn.XLOOKUP(tblSales[[#This Row],[Store ID]],tblStores[Store ID],tblStores[Store Name])</f>
        <v>East London</v>
      </c>
      <c r="E1398" t="str">
        <f>_xlfn.XLOOKUP(tblSales[[#This Row],[Store ID]],tblStores[Store ID],tblStores[Province])</f>
        <v>Eastern Cape</v>
      </c>
      <c r="F1398" t="str">
        <f>_xlfn.XLOOKUP(tblSales[[#This Row],[Store ID]],tblStores[Store ID],tblStores[Manager])</f>
        <v>Daniel Evans</v>
      </c>
      <c r="G1398" t="str">
        <f>_xlfn.XLOOKUP(tblSales[[#This Row],[Category ID]],tblCategories[Category ID],tblCategories[Category])</f>
        <v>Menswear</v>
      </c>
      <c r="H1398">
        <v>86856</v>
      </c>
      <c r="I1398">
        <v>79618</v>
      </c>
      <c r="J1398">
        <v>168</v>
      </c>
      <c r="K1398">
        <f>tblSales[[#This Row],[Sales]]-tblSales[[#This Row],[Budget]]</f>
        <v>7238</v>
      </c>
      <c r="L1398" s="3">
        <f>(tblSales[[#This Row],[Sales]]-tblSales[[#This Row],[Budget]])/tblSales[[#This Row],[Budget]]</f>
        <v>9.0909090909090912E-2</v>
      </c>
      <c r="M1398" s="2">
        <f>tblSales[[#This Row],[Sales]]/tblSales[[#This Row],[Transactions]]</f>
        <v>517</v>
      </c>
    </row>
    <row r="1399" spans="1:13" x14ac:dyDescent="0.25">
      <c r="A1399" s="1">
        <v>46092</v>
      </c>
      <c r="B1399" t="s">
        <v>28</v>
      </c>
      <c r="C1399" t="s">
        <v>9</v>
      </c>
      <c r="D1399" t="str">
        <f>_xlfn.XLOOKUP(tblSales[[#This Row],[Store ID]],tblStores[Store ID],tblStores[Store Name])</f>
        <v>Bloemfontein</v>
      </c>
      <c r="E1399" t="str">
        <f>_xlfn.XLOOKUP(tblSales[[#This Row],[Store ID]],tblStores[Store ID],tblStores[Province])</f>
        <v>Free State</v>
      </c>
      <c r="F1399" t="str">
        <f>_xlfn.XLOOKUP(tblSales[[#This Row],[Store ID]],tblStores[Store ID],tblStores[Manager])</f>
        <v>Rachel Moore</v>
      </c>
      <c r="G1399" t="str">
        <f>_xlfn.XLOOKUP(tblSales[[#This Row],[Category ID]],tblCategories[Category ID],tblCategories[Category])</f>
        <v>Ladieswear</v>
      </c>
      <c r="H1399">
        <v>15680</v>
      </c>
      <c r="I1399">
        <v>14904</v>
      </c>
      <c r="J1399">
        <v>80</v>
      </c>
      <c r="K1399">
        <f>tblSales[[#This Row],[Sales]]-tblSales[[#This Row],[Budget]]</f>
        <v>776</v>
      </c>
      <c r="L1399" s="3">
        <f>(tblSales[[#This Row],[Sales]]-tblSales[[#This Row],[Budget]])/tblSales[[#This Row],[Budget]]</f>
        <v>5.2066559312936127E-2</v>
      </c>
      <c r="M1399" s="2">
        <f>tblSales[[#This Row],[Sales]]/tblSales[[#This Row],[Transactions]]</f>
        <v>196</v>
      </c>
    </row>
    <row r="1400" spans="1:13" x14ac:dyDescent="0.25">
      <c r="A1400" s="1">
        <v>46092</v>
      </c>
      <c r="B1400" t="s">
        <v>29</v>
      </c>
      <c r="C1400" t="s">
        <v>11</v>
      </c>
      <c r="D1400" t="str">
        <f>_xlfn.XLOOKUP(tblSales[[#This Row],[Store ID]],tblStores[Store ID],tblStores[Store Name])</f>
        <v>Polokwane</v>
      </c>
      <c r="E1400" t="str">
        <f>_xlfn.XLOOKUP(tblSales[[#This Row],[Store ID]],tblStores[Store ID],tblStores[Province])</f>
        <v>Limpopo</v>
      </c>
      <c r="F1400" t="str">
        <f>_xlfn.XLOOKUP(tblSales[[#This Row],[Store ID]],tblStores[Store ID],tblStores[Manager])</f>
        <v>Kevin Harris</v>
      </c>
      <c r="G1400" t="str">
        <f>_xlfn.XLOOKUP(tblSales[[#This Row],[Category ID]],tblCategories[Category ID],tblCategories[Category])</f>
        <v>Footwear</v>
      </c>
      <c r="H1400">
        <v>19320</v>
      </c>
      <c r="I1400">
        <v>17541</v>
      </c>
      <c r="J1400">
        <v>84</v>
      </c>
      <c r="K1400">
        <f>tblSales[[#This Row],[Sales]]-tblSales[[#This Row],[Budget]]</f>
        <v>1779</v>
      </c>
      <c r="L1400" s="3">
        <f>(tblSales[[#This Row],[Sales]]-tblSales[[#This Row],[Budget]])/tblSales[[#This Row],[Budget]]</f>
        <v>0.10141953138361554</v>
      </c>
      <c r="M1400" s="2">
        <f>tblSales[[#This Row],[Sales]]/tblSales[[#This Row],[Transactions]]</f>
        <v>230</v>
      </c>
    </row>
    <row r="1401" spans="1:13" x14ac:dyDescent="0.25">
      <c r="A1401" s="1">
        <v>46092</v>
      </c>
      <c r="B1401" t="s">
        <v>30</v>
      </c>
      <c r="C1401" t="s">
        <v>11</v>
      </c>
      <c r="D1401" t="str">
        <f>_xlfn.XLOOKUP(tblSales[[#This Row],[Store ID]],tblStores[Store ID],tblStores[Store Name])</f>
        <v>Nelspruit</v>
      </c>
      <c r="E1401" t="str">
        <f>_xlfn.XLOOKUP(tblSales[[#This Row],[Store ID]],tblStores[Store ID],tblStores[Province])</f>
        <v>Mpumalanga</v>
      </c>
      <c r="F1401" t="str">
        <f>_xlfn.XLOOKUP(tblSales[[#This Row],[Store ID]],tblStores[Store ID],tblStores[Manager])</f>
        <v>Olivia Turner</v>
      </c>
      <c r="G1401" t="str">
        <f>_xlfn.XLOOKUP(tblSales[[#This Row],[Category ID]],tblCategories[Category ID],tblCategories[Category])</f>
        <v>Footwear</v>
      </c>
      <c r="H1401">
        <v>87290</v>
      </c>
      <c r="I1401">
        <v>90035</v>
      </c>
      <c r="J1401">
        <v>203</v>
      </c>
      <c r="K1401">
        <f>tblSales[[#This Row],[Sales]]-tblSales[[#This Row],[Budget]]</f>
        <v>-2745</v>
      </c>
      <c r="L1401" s="3">
        <f>(tblSales[[#This Row],[Sales]]-tblSales[[#This Row],[Budget]])/tblSales[[#This Row],[Budget]]</f>
        <v>-3.0488143499750098E-2</v>
      </c>
      <c r="M1401" s="2">
        <f>tblSales[[#This Row],[Sales]]/tblSales[[#This Row],[Transactions]]</f>
        <v>430</v>
      </c>
    </row>
    <row r="1402" spans="1:13" x14ac:dyDescent="0.25">
      <c r="A1402" s="1">
        <v>46093</v>
      </c>
      <c r="B1402" t="s">
        <v>6</v>
      </c>
      <c r="C1402" t="s">
        <v>19</v>
      </c>
      <c r="D1402" t="str">
        <f>_xlfn.XLOOKUP(tblSales[[#This Row],[Store ID]],tblStores[Store ID],tblStores[Store Name])</f>
        <v>Durban CBD</v>
      </c>
      <c r="E1402" t="str">
        <f>_xlfn.XLOOKUP(tblSales[[#This Row],[Store ID]],tblStores[Store ID],tblStores[Province])</f>
        <v>KZN</v>
      </c>
      <c r="F1402" t="str">
        <f>_xlfn.XLOOKUP(tblSales[[#This Row],[Store ID]],tblStores[Store ID],tblStores[Manager])</f>
        <v>Sarah Adams</v>
      </c>
      <c r="G1402" t="str">
        <f>_xlfn.XLOOKUP(tblSales[[#This Row],[Category ID]],tblCategories[Category ID],tblCategories[Category])</f>
        <v>Accessories</v>
      </c>
      <c r="H1402">
        <v>20500</v>
      </c>
      <c r="I1402">
        <v>20327</v>
      </c>
      <c r="J1402">
        <v>100</v>
      </c>
      <c r="K1402">
        <f>tblSales[[#This Row],[Sales]]-tblSales[[#This Row],[Budget]]</f>
        <v>173</v>
      </c>
      <c r="L1402" s="3">
        <f>(tblSales[[#This Row],[Sales]]-tblSales[[#This Row],[Budget]])/tblSales[[#This Row],[Budget]]</f>
        <v>8.5108476410685301E-3</v>
      </c>
      <c r="M1402" s="2">
        <f>tblSales[[#This Row],[Sales]]/tblSales[[#This Row],[Transactions]]</f>
        <v>205</v>
      </c>
    </row>
    <row r="1403" spans="1:13" x14ac:dyDescent="0.25">
      <c r="A1403" s="1">
        <v>46093</v>
      </c>
      <c r="B1403" t="s">
        <v>8</v>
      </c>
      <c r="C1403" t="s">
        <v>19</v>
      </c>
      <c r="D1403" t="str">
        <f>_xlfn.XLOOKUP(tblSales[[#This Row],[Store ID]],tblStores[Store ID],tblStores[Store Name])</f>
        <v>Gateway</v>
      </c>
      <c r="E1403" t="str">
        <f>_xlfn.XLOOKUP(tblSales[[#This Row],[Store ID]],tblStores[Store ID],tblStores[Province])</f>
        <v>KZN</v>
      </c>
      <c r="F1403" t="str">
        <f>_xlfn.XLOOKUP(tblSales[[#This Row],[Store ID]],tblStores[Store ID],tblStores[Manager])</f>
        <v>Michael Jones</v>
      </c>
      <c r="G1403" t="str">
        <f>_xlfn.XLOOKUP(tblSales[[#This Row],[Category ID]],tblCategories[Category ID],tblCategories[Category])</f>
        <v>Accessories</v>
      </c>
      <c r="H1403">
        <v>47088</v>
      </c>
      <c r="I1403">
        <v>42533</v>
      </c>
      <c r="J1403">
        <v>218</v>
      </c>
      <c r="K1403">
        <f>tblSales[[#This Row],[Sales]]-tblSales[[#This Row],[Budget]]</f>
        <v>4555</v>
      </c>
      <c r="L1403" s="3">
        <f>(tblSales[[#This Row],[Sales]]-tblSales[[#This Row],[Budget]])/tblSales[[#This Row],[Budget]]</f>
        <v>0.10709331577833682</v>
      </c>
      <c r="M1403" s="2">
        <f>tblSales[[#This Row],[Sales]]/tblSales[[#This Row],[Transactions]]</f>
        <v>216</v>
      </c>
    </row>
    <row r="1404" spans="1:13" x14ac:dyDescent="0.25">
      <c r="A1404" s="1">
        <v>46093</v>
      </c>
      <c r="B1404" t="s">
        <v>10</v>
      </c>
      <c r="C1404" t="s">
        <v>9</v>
      </c>
      <c r="D1404" t="str">
        <f>_xlfn.XLOOKUP(tblSales[[#This Row],[Store ID]],tblStores[Store ID],tblStores[Store Name])</f>
        <v>Ballito</v>
      </c>
      <c r="E1404" t="str">
        <f>_xlfn.XLOOKUP(tblSales[[#This Row],[Store ID]],tblStores[Store ID],tblStores[Province])</f>
        <v>KZN</v>
      </c>
      <c r="F1404" t="str">
        <f>_xlfn.XLOOKUP(tblSales[[#This Row],[Store ID]],tblStores[Store ID],tblStores[Manager])</f>
        <v>Linda Smith</v>
      </c>
      <c r="G1404" t="str">
        <f>_xlfn.XLOOKUP(tblSales[[#This Row],[Category ID]],tblCategories[Category ID],tblCategories[Category])</f>
        <v>Ladieswear</v>
      </c>
      <c r="H1404">
        <v>87062</v>
      </c>
      <c r="I1404">
        <v>98562</v>
      </c>
      <c r="J1404">
        <v>202</v>
      </c>
      <c r="K1404">
        <f>tblSales[[#This Row],[Sales]]-tblSales[[#This Row],[Budget]]</f>
        <v>-11500</v>
      </c>
      <c r="L1404" s="3">
        <f>(tblSales[[#This Row],[Sales]]-tblSales[[#This Row],[Budget]])/tblSales[[#This Row],[Budget]]</f>
        <v>-0.11667782715448144</v>
      </c>
      <c r="M1404" s="2">
        <f>tblSales[[#This Row],[Sales]]/tblSales[[#This Row],[Transactions]]</f>
        <v>431</v>
      </c>
    </row>
    <row r="1405" spans="1:13" x14ac:dyDescent="0.25">
      <c r="A1405" s="1">
        <v>46093</v>
      </c>
      <c r="B1405" t="s">
        <v>12</v>
      </c>
      <c r="C1405" t="s">
        <v>7</v>
      </c>
      <c r="D1405" t="str">
        <f>_xlfn.XLOOKUP(tblSales[[#This Row],[Store ID]],tblStores[Store ID],tblStores[Store Name])</f>
        <v>Pietermaritzburg</v>
      </c>
      <c r="E1405" t="str">
        <f>_xlfn.XLOOKUP(tblSales[[#This Row],[Store ID]],tblStores[Store ID],tblStores[Province])</f>
        <v>KZN</v>
      </c>
      <c r="F1405" t="str">
        <f>_xlfn.XLOOKUP(tblSales[[#This Row],[Store ID]],tblStores[Store ID],tblStores[Manager])</f>
        <v>Peter Brown</v>
      </c>
      <c r="G1405" t="str">
        <f>_xlfn.XLOOKUP(tblSales[[#This Row],[Category ID]],tblCategories[Category ID],tblCategories[Category])</f>
        <v>Menswear</v>
      </c>
      <c r="H1405">
        <v>78078</v>
      </c>
      <c r="I1405">
        <v>71455</v>
      </c>
      <c r="J1405">
        <v>154</v>
      </c>
      <c r="K1405">
        <f>tblSales[[#This Row],[Sales]]-tblSales[[#This Row],[Budget]]</f>
        <v>6623</v>
      </c>
      <c r="L1405" s="3">
        <f>(tblSales[[#This Row],[Sales]]-tblSales[[#This Row],[Budget]])/tblSales[[#This Row],[Budget]]</f>
        <v>9.2687705548946883E-2</v>
      </c>
      <c r="M1405" s="2">
        <f>tblSales[[#This Row],[Sales]]/tblSales[[#This Row],[Transactions]]</f>
        <v>507</v>
      </c>
    </row>
    <row r="1406" spans="1:13" x14ac:dyDescent="0.25">
      <c r="A1406" s="1">
        <v>46093</v>
      </c>
      <c r="B1406" t="s">
        <v>13</v>
      </c>
      <c r="C1406" t="s">
        <v>19</v>
      </c>
      <c r="D1406" t="str">
        <f>_xlfn.XLOOKUP(tblSales[[#This Row],[Store ID]],tblStores[Store ID],tblStores[Store Name])</f>
        <v>Richards Bay</v>
      </c>
      <c r="E1406" t="str">
        <f>_xlfn.XLOOKUP(tblSales[[#This Row],[Store ID]],tblStores[Store ID],tblStores[Province])</f>
        <v>KZN</v>
      </c>
      <c r="F1406" t="str">
        <f>_xlfn.XLOOKUP(tblSales[[#This Row],[Store ID]],tblStores[Store ID],tblStores[Manager])</f>
        <v>David Green</v>
      </c>
      <c r="G1406" t="str">
        <f>_xlfn.XLOOKUP(tblSales[[#This Row],[Category ID]],tblCategories[Category ID],tblCategories[Category])</f>
        <v>Accessories</v>
      </c>
      <c r="H1406">
        <v>51888</v>
      </c>
      <c r="I1406">
        <v>57002</v>
      </c>
      <c r="J1406">
        <v>141</v>
      </c>
      <c r="K1406">
        <f>tblSales[[#This Row],[Sales]]-tblSales[[#This Row],[Budget]]</f>
        <v>-5114</v>
      </c>
      <c r="L1406" s="3">
        <f>(tblSales[[#This Row],[Sales]]-tblSales[[#This Row],[Budget]])/tblSales[[#This Row],[Budget]]</f>
        <v>-8.9716150310515427E-2</v>
      </c>
      <c r="M1406" s="2">
        <f>tblSales[[#This Row],[Sales]]/tblSales[[#This Row],[Transactions]]</f>
        <v>368</v>
      </c>
    </row>
    <row r="1407" spans="1:13" x14ac:dyDescent="0.25">
      <c r="A1407" s="1">
        <v>46093</v>
      </c>
      <c r="B1407" t="s">
        <v>14</v>
      </c>
      <c r="C1407" t="s">
        <v>7</v>
      </c>
      <c r="D1407" t="str">
        <f>_xlfn.XLOOKUP(tblSales[[#This Row],[Store ID]],tblStores[Store ID],tblStores[Store Name])</f>
        <v>Sandton</v>
      </c>
      <c r="E1407" t="str">
        <f>_xlfn.XLOOKUP(tblSales[[#This Row],[Store ID]],tblStores[Store ID],tblStores[Province])</f>
        <v>Gauteng</v>
      </c>
      <c r="F1407" t="str">
        <f>_xlfn.XLOOKUP(tblSales[[#This Row],[Store ID]],tblStores[Store ID],tblStores[Manager])</f>
        <v>Karen White</v>
      </c>
      <c r="G1407" t="str">
        <f>_xlfn.XLOOKUP(tblSales[[#This Row],[Category ID]],tblCategories[Category ID],tblCategories[Category])</f>
        <v>Menswear</v>
      </c>
      <c r="H1407">
        <v>60672</v>
      </c>
      <c r="I1407">
        <v>62628</v>
      </c>
      <c r="J1407">
        <v>192</v>
      </c>
      <c r="K1407">
        <f>tblSales[[#This Row],[Sales]]-tblSales[[#This Row],[Budget]]</f>
        <v>-1956</v>
      </c>
      <c r="L1407" s="3">
        <f>(tblSales[[#This Row],[Sales]]-tblSales[[#This Row],[Budget]])/tblSales[[#This Row],[Budget]]</f>
        <v>-3.1232036788656832E-2</v>
      </c>
      <c r="M1407" s="2">
        <f>tblSales[[#This Row],[Sales]]/tblSales[[#This Row],[Transactions]]</f>
        <v>316</v>
      </c>
    </row>
    <row r="1408" spans="1:13" x14ac:dyDescent="0.25">
      <c r="A1408" s="1">
        <v>46093</v>
      </c>
      <c r="B1408" t="s">
        <v>15</v>
      </c>
      <c r="C1408" t="s">
        <v>7</v>
      </c>
      <c r="D1408" t="str">
        <f>_xlfn.XLOOKUP(tblSales[[#This Row],[Store ID]],tblStores[Store ID],tblStores[Store Name])</f>
        <v>Rosebank</v>
      </c>
      <c r="E1408" t="str">
        <f>_xlfn.XLOOKUP(tblSales[[#This Row],[Store ID]],tblStores[Store ID],tblStores[Province])</f>
        <v>Gauteng</v>
      </c>
      <c r="F1408" t="str">
        <f>_xlfn.XLOOKUP(tblSales[[#This Row],[Store ID]],tblStores[Store ID],tblStores[Manager])</f>
        <v>James Taylor</v>
      </c>
      <c r="G1408" t="str">
        <f>_xlfn.XLOOKUP(tblSales[[#This Row],[Category ID]],tblCategories[Category ID],tblCategories[Category])</f>
        <v>Menswear</v>
      </c>
      <c r="H1408">
        <v>24528</v>
      </c>
      <c r="I1408">
        <v>27867</v>
      </c>
      <c r="J1408">
        <v>112</v>
      </c>
      <c r="K1408">
        <f>tblSales[[#This Row],[Sales]]-tblSales[[#This Row],[Budget]]</f>
        <v>-3339</v>
      </c>
      <c r="L1408" s="3">
        <f>(tblSales[[#This Row],[Sales]]-tblSales[[#This Row],[Budget]])/tblSales[[#This Row],[Budget]]</f>
        <v>-0.11981914091936699</v>
      </c>
      <c r="M1408" s="2">
        <f>tblSales[[#This Row],[Sales]]/tblSales[[#This Row],[Transactions]]</f>
        <v>219</v>
      </c>
    </row>
    <row r="1409" spans="1:13" x14ac:dyDescent="0.25">
      <c r="A1409" s="1">
        <v>46093</v>
      </c>
      <c r="B1409" t="s">
        <v>16</v>
      </c>
      <c r="C1409" t="s">
        <v>19</v>
      </c>
      <c r="D1409" t="str">
        <f>_xlfn.XLOOKUP(tblSales[[#This Row],[Store ID]],tblStores[Store ID],tblStores[Store Name])</f>
        <v>Pretoria</v>
      </c>
      <c r="E1409" t="str">
        <f>_xlfn.XLOOKUP(tblSales[[#This Row],[Store ID]],tblStores[Store ID],tblStores[Province])</f>
        <v>Gauteng</v>
      </c>
      <c r="F1409" t="str">
        <f>_xlfn.XLOOKUP(tblSales[[#This Row],[Store ID]],tblStores[Store ID],tblStores[Manager])</f>
        <v>Susan Clark</v>
      </c>
      <c r="G1409" t="str">
        <f>_xlfn.XLOOKUP(tblSales[[#This Row],[Category ID]],tblCategories[Category ID],tblCategories[Category])</f>
        <v>Accessories</v>
      </c>
      <c r="H1409">
        <v>13629</v>
      </c>
      <c r="I1409">
        <v>14736</v>
      </c>
      <c r="J1409">
        <v>59</v>
      </c>
      <c r="K1409">
        <f>tblSales[[#This Row],[Sales]]-tblSales[[#This Row],[Budget]]</f>
        <v>-1107</v>
      </c>
      <c r="L1409" s="3">
        <f>(tblSales[[#This Row],[Sales]]-tblSales[[#This Row],[Budget]])/tblSales[[#This Row],[Budget]]</f>
        <v>-7.5122149837133556E-2</v>
      </c>
      <c r="M1409" s="2">
        <f>tblSales[[#This Row],[Sales]]/tblSales[[#This Row],[Transactions]]</f>
        <v>231</v>
      </c>
    </row>
    <row r="1410" spans="1:13" x14ac:dyDescent="0.25">
      <c r="A1410" s="1">
        <v>46093</v>
      </c>
      <c r="B1410" t="s">
        <v>17</v>
      </c>
      <c r="C1410" t="s">
        <v>19</v>
      </c>
      <c r="D1410" t="str">
        <f>_xlfn.XLOOKUP(tblSales[[#This Row],[Store ID]],tblStores[Store ID],tblStores[Store Name])</f>
        <v>Centurion</v>
      </c>
      <c r="E1410" t="str">
        <f>_xlfn.XLOOKUP(tblSales[[#This Row],[Store ID]],tblStores[Store ID],tblStores[Province])</f>
        <v>Gauteng</v>
      </c>
      <c r="F1410" t="str">
        <f>_xlfn.XLOOKUP(tblSales[[#This Row],[Store ID]],tblStores[Store ID],tblStores[Manager])</f>
        <v>Mark Wilson</v>
      </c>
      <c r="G1410" t="str">
        <f>_xlfn.XLOOKUP(tblSales[[#This Row],[Category ID]],tblCategories[Category ID],tblCategories[Category])</f>
        <v>Accessories</v>
      </c>
      <c r="H1410">
        <v>36841</v>
      </c>
      <c r="I1410">
        <v>34935</v>
      </c>
      <c r="J1410">
        <v>133</v>
      </c>
      <c r="K1410">
        <f>tblSales[[#This Row],[Sales]]-tblSales[[#This Row],[Budget]]</f>
        <v>1906</v>
      </c>
      <c r="L1410" s="3">
        <f>(tblSales[[#This Row],[Sales]]-tblSales[[#This Row],[Budget]])/tblSales[[#This Row],[Budget]]</f>
        <v>5.4558465722055242E-2</v>
      </c>
      <c r="M1410" s="2">
        <f>tblSales[[#This Row],[Sales]]/tblSales[[#This Row],[Transactions]]</f>
        <v>277</v>
      </c>
    </row>
    <row r="1411" spans="1:13" x14ac:dyDescent="0.25">
      <c r="A1411" s="1">
        <v>46093</v>
      </c>
      <c r="B1411" t="s">
        <v>18</v>
      </c>
      <c r="C1411" t="s">
        <v>9</v>
      </c>
      <c r="D1411" t="str">
        <f>_xlfn.XLOOKUP(tblSales[[#This Row],[Store ID]],tblStores[Store ID],tblStores[Store Name])</f>
        <v>East Rand</v>
      </c>
      <c r="E1411" t="str">
        <f>_xlfn.XLOOKUP(tblSales[[#This Row],[Store ID]],tblStores[Store ID],tblStores[Province])</f>
        <v>Gauteng</v>
      </c>
      <c r="F1411" t="str">
        <f>_xlfn.XLOOKUP(tblSales[[#This Row],[Store ID]],tblStores[Store ID],tblStores[Manager])</f>
        <v>Lisa Young</v>
      </c>
      <c r="G1411" t="str">
        <f>_xlfn.XLOOKUP(tblSales[[#This Row],[Category ID]],tblCategories[Category ID],tblCategories[Category])</f>
        <v>Ladieswear</v>
      </c>
      <c r="H1411">
        <v>90000</v>
      </c>
      <c r="I1411">
        <v>102318</v>
      </c>
      <c r="J1411">
        <v>180</v>
      </c>
      <c r="K1411">
        <f>tblSales[[#This Row],[Sales]]-tblSales[[#This Row],[Budget]]</f>
        <v>-12318</v>
      </c>
      <c r="L1411" s="3">
        <f>(tblSales[[#This Row],[Sales]]-tblSales[[#This Row],[Budget]])/tblSales[[#This Row],[Budget]]</f>
        <v>-0.12038937430364159</v>
      </c>
      <c r="M1411" s="2">
        <f>tblSales[[#This Row],[Sales]]/tblSales[[#This Row],[Transactions]]</f>
        <v>500</v>
      </c>
    </row>
    <row r="1412" spans="1:13" x14ac:dyDescent="0.25">
      <c r="A1412" s="1">
        <v>46093</v>
      </c>
      <c r="B1412" t="s">
        <v>20</v>
      </c>
      <c r="C1412" t="s">
        <v>19</v>
      </c>
      <c r="D1412" t="str">
        <f>_xlfn.XLOOKUP(tblSales[[#This Row],[Store ID]],tblStores[Store ID],tblStores[Store Name])</f>
        <v>Cape Town CBD</v>
      </c>
      <c r="E1412" t="str">
        <f>_xlfn.XLOOKUP(tblSales[[#This Row],[Store ID]],tblStores[Store ID],tblStores[Province])</f>
        <v>Western Cape</v>
      </c>
      <c r="F1412" t="str">
        <f>_xlfn.XLOOKUP(tblSales[[#This Row],[Store ID]],tblStores[Store ID],tblStores[Manager])</f>
        <v>Brian Hall</v>
      </c>
      <c r="G1412" t="str">
        <f>_xlfn.XLOOKUP(tblSales[[#This Row],[Category ID]],tblCategories[Category ID],tblCategories[Category])</f>
        <v>Accessories</v>
      </c>
      <c r="H1412">
        <v>69384</v>
      </c>
      <c r="I1412">
        <v>75387</v>
      </c>
      <c r="J1412">
        <v>177</v>
      </c>
      <c r="K1412">
        <f>tblSales[[#This Row],[Sales]]-tblSales[[#This Row],[Budget]]</f>
        <v>-6003</v>
      </c>
      <c r="L1412" s="3">
        <f>(tblSales[[#This Row],[Sales]]-tblSales[[#This Row],[Budget]])/tblSales[[#This Row],[Budget]]</f>
        <v>-7.9629113772931678E-2</v>
      </c>
      <c r="M1412" s="2">
        <f>tblSales[[#This Row],[Sales]]/tblSales[[#This Row],[Transactions]]</f>
        <v>392</v>
      </c>
    </row>
    <row r="1413" spans="1:13" x14ac:dyDescent="0.25">
      <c r="A1413" s="1">
        <v>46093</v>
      </c>
      <c r="B1413" t="s">
        <v>21</v>
      </c>
      <c r="C1413" t="s">
        <v>19</v>
      </c>
      <c r="D1413" t="str">
        <f>_xlfn.XLOOKUP(tblSales[[#This Row],[Store ID]],tblStores[Store ID],tblStores[Store Name])</f>
        <v>Canal Walk</v>
      </c>
      <c r="E1413" t="str">
        <f>_xlfn.XLOOKUP(tblSales[[#This Row],[Store ID]],tblStores[Store ID],tblStores[Province])</f>
        <v>Western Cape</v>
      </c>
      <c r="F1413" t="str">
        <f>_xlfn.XLOOKUP(tblSales[[#This Row],[Store ID]],tblStores[Store ID],tblStores[Manager])</f>
        <v>Megan Scott</v>
      </c>
      <c r="G1413" t="str">
        <f>_xlfn.XLOOKUP(tblSales[[#This Row],[Category ID]],tblCategories[Category ID],tblCategories[Category])</f>
        <v>Accessories</v>
      </c>
      <c r="H1413">
        <v>52164</v>
      </c>
      <c r="I1413">
        <v>56109</v>
      </c>
      <c r="J1413">
        <v>126</v>
      </c>
      <c r="K1413">
        <f>tblSales[[#This Row],[Sales]]-tblSales[[#This Row],[Budget]]</f>
        <v>-3945</v>
      </c>
      <c r="L1413" s="3">
        <f>(tblSales[[#This Row],[Sales]]-tblSales[[#This Row],[Budget]])/tblSales[[#This Row],[Budget]]</f>
        <v>-7.0309576003849655E-2</v>
      </c>
      <c r="M1413" s="2">
        <f>tblSales[[#This Row],[Sales]]/tblSales[[#This Row],[Transactions]]</f>
        <v>414</v>
      </c>
    </row>
    <row r="1414" spans="1:13" x14ac:dyDescent="0.25">
      <c r="A1414" s="1">
        <v>46093</v>
      </c>
      <c r="B1414" t="s">
        <v>23</v>
      </c>
      <c r="C1414" t="s">
        <v>11</v>
      </c>
      <c r="D1414" t="str">
        <f>_xlfn.XLOOKUP(tblSales[[#This Row],[Store ID]],tblStores[Store ID],tblStores[Store Name])</f>
        <v>Stellenbosch</v>
      </c>
      <c r="E1414" t="str">
        <f>_xlfn.XLOOKUP(tblSales[[#This Row],[Store ID]],tblStores[Store ID],tblStores[Province])</f>
        <v>Western Cape</v>
      </c>
      <c r="F1414" t="str">
        <f>_xlfn.XLOOKUP(tblSales[[#This Row],[Store ID]],tblStores[Store ID],tblStores[Manager])</f>
        <v>Jason King</v>
      </c>
      <c r="G1414" t="str">
        <f>_xlfn.XLOOKUP(tblSales[[#This Row],[Category ID]],tblCategories[Category ID],tblCategories[Category])</f>
        <v>Footwear</v>
      </c>
      <c r="H1414">
        <v>16165</v>
      </c>
      <c r="I1414">
        <v>17751</v>
      </c>
      <c r="J1414">
        <v>61</v>
      </c>
      <c r="K1414">
        <f>tblSales[[#This Row],[Sales]]-tblSales[[#This Row],[Budget]]</f>
        <v>-1586</v>
      </c>
      <c r="L1414" s="3">
        <f>(tblSales[[#This Row],[Sales]]-tblSales[[#This Row],[Budget]])/tblSales[[#This Row],[Budget]]</f>
        <v>-8.9347079037800689E-2</v>
      </c>
      <c r="M1414" s="2">
        <f>tblSales[[#This Row],[Sales]]/tblSales[[#This Row],[Transactions]]</f>
        <v>265</v>
      </c>
    </row>
    <row r="1415" spans="1:13" x14ac:dyDescent="0.25">
      <c r="A1415" s="1">
        <v>46093</v>
      </c>
      <c r="B1415" t="s">
        <v>24</v>
      </c>
      <c r="C1415" t="s">
        <v>19</v>
      </c>
      <c r="D1415" t="str">
        <f>_xlfn.XLOOKUP(tblSales[[#This Row],[Store ID]],tblStores[Store ID],tblStores[Store Name])</f>
        <v>George</v>
      </c>
      <c r="E1415" t="str">
        <f>_xlfn.XLOOKUP(tblSales[[#This Row],[Store ID]],tblStores[Store ID],tblStores[Province])</f>
        <v>Western Cape</v>
      </c>
      <c r="F1415" t="str">
        <f>_xlfn.XLOOKUP(tblSales[[#This Row],[Store ID]],tblStores[Store ID],tblStores[Manager])</f>
        <v>Chloe Hill</v>
      </c>
      <c r="G1415" t="str">
        <f>_xlfn.XLOOKUP(tblSales[[#This Row],[Category ID]],tblCategories[Category ID],tblCategories[Category])</f>
        <v>Accessories</v>
      </c>
      <c r="H1415">
        <v>60006</v>
      </c>
      <c r="I1415">
        <v>59068</v>
      </c>
      <c r="J1415">
        <v>137</v>
      </c>
      <c r="K1415">
        <f>tblSales[[#This Row],[Sales]]-tblSales[[#This Row],[Budget]]</f>
        <v>938</v>
      </c>
      <c r="L1415" s="3">
        <f>(tblSales[[#This Row],[Sales]]-tblSales[[#This Row],[Budget]])/tblSales[[#This Row],[Budget]]</f>
        <v>1.5880002708742465E-2</v>
      </c>
      <c r="M1415" s="2">
        <f>tblSales[[#This Row],[Sales]]/tblSales[[#This Row],[Transactions]]</f>
        <v>438</v>
      </c>
    </row>
    <row r="1416" spans="1:13" x14ac:dyDescent="0.25">
      <c r="A1416" s="1">
        <v>46093</v>
      </c>
      <c r="B1416" t="s">
        <v>25</v>
      </c>
      <c r="C1416" t="s">
        <v>9</v>
      </c>
      <c r="D1416" t="str">
        <f>_xlfn.XLOOKUP(tblSales[[#This Row],[Store ID]],tblStores[Store ID],tblStores[Store Name])</f>
        <v>Paarl</v>
      </c>
      <c r="E1416" t="str">
        <f>_xlfn.XLOOKUP(tblSales[[#This Row],[Store ID]],tblStores[Store ID],tblStores[Province])</f>
        <v>Western Cape</v>
      </c>
      <c r="F1416" t="str">
        <f>_xlfn.XLOOKUP(tblSales[[#This Row],[Store ID]],tblStores[Store ID],tblStores[Manager])</f>
        <v>Andrew Lee</v>
      </c>
      <c r="G1416" t="str">
        <f>_xlfn.XLOOKUP(tblSales[[#This Row],[Category ID]],tblCategories[Category ID],tblCategories[Category])</f>
        <v>Ladieswear</v>
      </c>
      <c r="H1416">
        <v>83277</v>
      </c>
      <c r="I1416">
        <v>84172</v>
      </c>
      <c r="J1416">
        <v>171</v>
      </c>
      <c r="K1416">
        <f>tblSales[[#This Row],[Sales]]-tblSales[[#This Row],[Budget]]</f>
        <v>-895</v>
      </c>
      <c r="L1416" s="3">
        <f>(tblSales[[#This Row],[Sales]]-tblSales[[#This Row],[Budget]])/tblSales[[#This Row],[Budget]]</f>
        <v>-1.0632989592738678E-2</v>
      </c>
      <c r="M1416" s="2">
        <f>tblSales[[#This Row],[Sales]]/tblSales[[#This Row],[Transactions]]</f>
        <v>487</v>
      </c>
    </row>
    <row r="1417" spans="1:13" x14ac:dyDescent="0.25">
      <c r="A1417" s="1">
        <v>46093</v>
      </c>
      <c r="B1417" t="s">
        <v>26</v>
      </c>
      <c r="C1417" t="s">
        <v>22</v>
      </c>
      <c r="D1417" t="str">
        <f>_xlfn.XLOOKUP(tblSales[[#This Row],[Store ID]],tblStores[Store ID],tblStores[Store Name])</f>
        <v>Gqeberha</v>
      </c>
      <c r="E1417" t="str">
        <f>_xlfn.XLOOKUP(tblSales[[#This Row],[Store ID]],tblStores[Store ID],tblStores[Province])</f>
        <v>Eastern Cape</v>
      </c>
      <c r="F1417" t="str">
        <f>_xlfn.XLOOKUP(tblSales[[#This Row],[Store ID]],tblStores[Store ID],tblStores[Manager])</f>
        <v>Emma Baker</v>
      </c>
      <c r="G1417" t="str">
        <f>_xlfn.XLOOKUP(tblSales[[#This Row],[Category ID]],tblCategories[Category ID],tblCategories[Category])</f>
        <v>Kids</v>
      </c>
      <c r="H1417">
        <v>53015</v>
      </c>
      <c r="I1417">
        <v>60854</v>
      </c>
      <c r="J1417">
        <v>115</v>
      </c>
      <c r="K1417">
        <f>tblSales[[#This Row],[Sales]]-tblSales[[#This Row],[Budget]]</f>
        <v>-7839</v>
      </c>
      <c r="L1417" s="3">
        <f>(tblSales[[#This Row],[Sales]]-tblSales[[#This Row],[Budget]])/tblSales[[#This Row],[Budget]]</f>
        <v>-0.12881651165083643</v>
      </c>
      <c r="M1417" s="2">
        <f>tblSales[[#This Row],[Sales]]/tblSales[[#This Row],[Transactions]]</f>
        <v>461</v>
      </c>
    </row>
    <row r="1418" spans="1:13" x14ac:dyDescent="0.25">
      <c r="A1418" s="1">
        <v>46093</v>
      </c>
      <c r="B1418" t="s">
        <v>27</v>
      </c>
      <c r="C1418" t="s">
        <v>22</v>
      </c>
      <c r="D1418" t="str">
        <f>_xlfn.XLOOKUP(tblSales[[#This Row],[Store ID]],tblStores[Store ID],tblStores[Store Name])</f>
        <v>East London</v>
      </c>
      <c r="E1418" t="str">
        <f>_xlfn.XLOOKUP(tblSales[[#This Row],[Store ID]],tblStores[Store ID],tblStores[Province])</f>
        <v>Eastern Cape</v>
      </c>
      <c r="F1418" t="str">
        <f>_xlfn.XLOOKUP(tblSales[[#This Row],[Store ID]],tblStores[Store ID],tblStores[Manager])</f>
        <v>Daniel Evans</v>
      </c>
      <c r="G1418" t="str">
        <f>_xlfn.XLOOKUP(tblSales[[#This Row],[Category ID]],tblCategories[Category ID],tblCategories[Category])</f>
        <v>Kids</v>
      </c>
      <c r="H1418">
        <v>50830</v>
      </c>
      <c r="I1418">
        <v>55457</v>
      </c>
      <c r="J1418">
        <v>130</v>
      </c>
      <c r="K1418">
        <f>tblSales[[#This Row],[Sales]]-tblSales[[#This Row],[Budget]]</f>
        <v>-4627</v>
      </c>
      <c r="L1418" s="3">
        <f>(tblSales[[#This Row],[Sales]]-tblSales[[#This Row],[Budget]])/tblSales[[#This Row],[Budget]]</f>
        <v>-8.3434011937176547E-2</v>
      </c>
      <c r="M1418" s="2">
        <f>tblSales[[#This Row],[Sales]]/tblSales[[#This Row],[Transactions]]</f>
        <v>391</v>
      </c>
    </row>
    <row r="1419" spans="1:13" x14ac:dyDescent="0.25">
      <c r="A1419" s="1">
        <v>46093</v>
      </c>
      <c r="B1419" t="s">
        <v>28</v>
      </c>
      <c r="C1419" t="s">
        <v>11</v>
      </c>
      <c r="D1419" t="str">
        <f>_xlfn.XLOOKUP(tblSales[[#This Row],[Store ID]],tblStores[Store ID],tblStores[Store Name])</f>
        <v>Bloemfontein</v>
      </c>
      <c r="E1419" t="str">
        <f>_xlfn.XLOOKUP(tblSales[[#This Row],[Store ID]],tblStores[Store ID],tblStores[Province])</f>
        <v>Free State</v>
      </c>
      <c r="F1419" t="str">
        <f>_xlfn.XLOOKUP(tblSales[[#This Row],[Store ID]],tblStores[Store ID],tblStores[Manager])</f>
        <v>Rachel Moore</v>
      </c>
      <c r="G1419" t="str">
        <f>_xlfn.XLOOKUP(tblSales[[#This Row],[Category ID]],tblCategories[Category ID],tblCategories[Category])</f>
        <v>Footwear</v>
      </c>
      <c r="H1419">
        <v>75900</v>
      </c>
      <c r="I1419">
        <v>79854</v>
      </c>
      <c r="J1419">
        <v>220</v>
      </c>
      <c r="K1419">
        <f>tblSales[[#This Row],[Sales]]-tblSales[[#This Row],[Budget]]</f>
        <v>-3954</v>
      </c>
      <c r="L1419" s="3">
        <f>(tblSales[[#This Row],[Sales]]-tblSales[[#This Row],[Budget]])/tblSales[[#This Row],[Budget]]</f>
        <v>-4.9515365542114359E-2</v>
      </c>
      <c r="M1419" s="2">
        <f>tblSales[[#This Row],[Sales]]/tblSales[[#This Row],[Transactions]]</f>
        <v>345</v>
      </c>
    </row>
    <row r="1420" spans="1:13" x14ac:dyDescent="0.25">
      <c r="A1420" s="1">
        <v>46093</v>
      </c>
      <c r="B1420" t="s">
        <v>29</v>
      </c>
      <c r="C1420" t="s">
        <v>19</v>
      </c>
      <c r="D1420" t="str">
        <f>_xlfn.XLOOKUP(tblSales[[#This Row],[Store ID]],tblStores[Store ID],tblStores[Store Name])</f>
        <v>Polokwane</v>
      </c>
      <c r="E1420" t="str">
        <f>_xlfn.XLOOKUP(tblSales[[#This Row],[Store ID]],tblStores[Store ID],tblStores[Province])</f>
        <v>Limpopo</v>
      </c>
      <c r="F1420" t="str">
        <f>_xlfn.XLOOKUP(tblSales[[#This Row],[Store ID]],tblStores[Store ID],tblStores[Manager])</f>
        <v>Kevin Harris</v>
      </c>
      <c r="G1420" t="str">
        <f>_xlfn.XLOOKUP(tblSales[[#This Row],[Category ID]],tblCategories[Category ID],tblCategories[Category])</f>
        <v>Accessories</v>
      </c>
      <c r="H1420">
        <v>50286</v>
      </c>
      <c r="I1420">
        <v>49972</v>
      </c>
      <c r="J1420">
        <v>174</v>
      </c>
      <c r="K1420">
        <f>tblSales[[#This Row],[Sales]]-tblSales[[#This Row],[Budget]]</f>
        <v>314</v>
      </c>
      <c r="L1420" s="3">
        <f>(tblSales[[#This Row],[Sales]]-tblSales[[#This Row],[Budget]])/tblSales[[#This Row],[Budget]]</f>
        <v>6.2835187705114863E-3</v>
      </c>
      <c r="M1420" s="2">
        <f>tblSales[[#This Row],[Sales]]/tblSales[[#This Row],[Transactions]]</f>
        <v>289</v>
      </c>
    </row>
    <row r="1421" spans="1:13" x14ac:dyDescent="0.25">
      <c r="A1421" s="1">
        <v>46093</v>
      </c>
      <c r="B1421" t="s">
        <v>30</v>
      </c>
      <c r="C1421" t="s">
        <v>19</v>
      </c>
      <c r="D1421" t="str">
        <f>_xlfn.XLOOKUP(tblSales[[#This Row],[Store ID]],tblStores[Store ID],tblStores[Store Name])</f>
        <v>Nelspruit</v>
      </c>
      <c r="E1421" t="str">
        <f>_xlfn.XLOOKUP(tblSales[[#This Row],[Store ID]],tblStores[Store ID],tblStores[Province])</f>
        <v>Mpumalanga</v>
      </c>
      <c r="F1421" t="str">
        <f>_xlfn.XLOOKUP(tblSales[[#This Row],[Store ID]],tblStores[Store ID],tblStores[Manager])</f>
        <v>Olivia Turner</v>
      </c>
      <c r="G1421" t="str">
        <f>_xlfn.XLOOKUP(tblSales[[#This Row],[Category ID]],tblCategories[Category ID],tblCategories[Category])</f>
        <v>Accessories</v>
      </c>
      <c r="H1421">
        <v>36400</v>
      </c>
      <c r="I1421">
        <v>41511</v>
      </c>
      <c r="J1421">
        <v>100</v>
      </c>
      <c r="K1421">
        <f>tblSales[[#This Row],[Sales]]-tblSales[[#This Row],[Budget]]</f>
        <v>-5111</v>
      </c>
      <c r="L1421" s="3">
        <f>(tblSales[[#This Row],[Sales]]-tblSales[[#This Row],[Budget]])/tblSales[[#This Row],[Budget]]</f>
        <v>-0.12312399123123992</v>
      </c>
      <c r="M1421" s="2">
        <f>tblSales[[#This Row],[Sales]]/tblSales[[#This Row],[Transactions]]</f>
        <v>364</v>
      </c>
    </row>
    <row r="1422" spans="1:13" x14ac:dyDescent="0.25">
      <c r="A1422" s="1">
        <v>46094</v>
      </c>
      <c r="B1422" t="s">
        <v>6</v>
      </c>
      <c r="C1422" t="s">
        <v>11</v>
      </c>
      <c r="D1422" t="str">
        <f>_xlfn.XLOOKUP(tblSales[[#This Row],[Store ID]],tblStores[Store ID],tblStores[Store Name])</f>
        <v>Durban CBD</v>
      </c>
      <c r="E1422" t="str">
        <f>_xlfn.XLOOKUP(tblSales[[#This Row],[Store ID]],tblStores[Store ID],tblStores[Province])</f>
        <v>KZN</v>
      </c>
      <c r="F1422" t="str">
        <f>_xlfn.XLOOKUP(tblSales[[#This Row],[Store ID]],tblStores[Store ID],tblStores[Manager])</f>
        <v>Sarah Adams</v>
      </c>
      <c r="G1422" t="str">
        <f>_xlfn.XLOOKUP(tblSales[[#This Row],[Category ID]],tblCategories[Category ID],tblCategories[Category])</f>
        <v>Footwear</v>
      </c>
      <c r="H1422">
        <v>24480</v>
      </c>
      <c r="I1422">
        <v>26477</v>
      </c>
      <c r="J1422">
        <v>136</v>
      </c>
      <c r="K1422">
        <f>tblSales[[#This Row],[Sales]]-tblSales[[#This Row],[Budget]]</f>
        <v>-1997</v>
      </c>
      <c r="L1422" s="3">
        <f>(tblSales[[#This Row],[Sales]]-tblSales[[#This Row],[Budget]])/tblSales[[#This Row],[Budget]]</f>
        <v>-7.5423952864750538E-2</v>
      </c>
      <c r="M1422" s="2">
        <f>tblSales[[#This Row],[Sales]]/tblSales[[#This Row],[Transactions]]</f>
        <v>180</v>
      </c>
    </row>
    <row r="1423" spans="1:13" x14ac:dyDescent="0.25">
      <c r="A1423" s="1">
        <v>46094</v>
      </c>
      <c r="B1423" t="s">
        <v>8</v>
      </c>
      <c r="C1423" t="s">
        <v>22</v>
      </c>
      <c r="D1423" t="str">
        <f>_xlfn.XLOOKUP(tblSales[[#This Row],[Store ID]],tblStores[Store ID],tblStores[Store Name])</f>
        <v>Gateway</v>
      </c>
      <c r="E1423" t="str">
        <f>_xlfn.XLOOKUP(tblSales[[#This Row],[Store ID]],tblStores[Store ID],tblStores[Province])</f>
        <v>KZN</v>
      </c>
      <c r="F1423" t="str">
        <f>_xlfn.XLOOKUP(tblSales[[#This Row],[Store ID]],tblStores[Store ID],tblStores[Manager])</f>
        <v>Michael Jones</v>
      </c>
      <c r="G1423" t="str">
        <f>_xlfn.XLOOKUP(tblSales[[#This Row],[Category ID]],tblCategories[Category ID],tblCategories[Category])</f>
        <v>Kids</v>
      </c>
      <c r="H1423">
        <v>35156</v>
      </c>
      <c r="I1423">
        <v>36189</v>
      </c>
      <c r="J1423">
        <v>187</v>
      </c>
      <c r="K1423">
        <f>tblSales[[#This Row],[Sales]]-tblSales[[#This Row],[Budget]]</f>
        <v>-1033</v>
      </c>
      <c r="L1423" s="3">
        <f>(tblSales[[#This Row],[Sales]]-tblSales[[#This Row],[Budget]])/tblSales[[#This Row],[Budget]]</f>
        <v>-2.8544585371245407E-2</v>
      </c>
      <c r="M1423" s="2">
        <f>tblSales[[#This Row],[Sales]]/tblSales[[#This Row],[Transactions]]</f>
        <v>188</v>
      </c>
    </row>
    <row r="1424" spans="1:13" x14ac:dyDescent="0.25">
      <c r="A1424" s="1">
        <v>46094</v>
      </c>
      <c r="B1424" t="s">
        <v>10</v>
      </c>
      <c r="C1424" t="s">
        <v>22</v>
      </c>
      <c r="D1424" t="str">
        <f>_xlfn.XLOOKUP(tblSales[[#This Row],[Store ID]],tblStores[Store ID],tblStores[Store Name])</f>
        <v>Ballito</v>
      </c>
      <c r="E1424" t="str">
        <f>_xlfn.XLOOKUP(tblSales[[#This Row],[Store ID]],tblStores[Store ID],tblStores[Province])</f>
        <v>KZN</v>
      </c>
      <c r="F1424" t="str">
        <f>_xlfn.XLOOKUP(tblSales[[#This Row],[Store ID]],tblStores[Store ID],tblStores[Manager])</f>
        <v>Linda Smith</v>
      </c>
      <c r="G1424" t="str">
        <f>_xlfn.XLOOKUP(tblSales[[#This Row],[Category ID]],tblCategories[Category ID],tblCategories[Category])</f>
        <v>Kids</v>
      </c>
      <c r="H1424">
        <v>11988</v>
      </c>
      <c r="I1424">
        <v>13739</v>
      </c>
      <c r="J1424">
        <v>36</v>
      </c>
      <c r="K1424">
        <f>tblSales[[#This Row],[Sales]]-tblSales[[#This Row],[Budget]]</f>
        <v>-1751</v>
      </c>
      <c r="L1424" s="3">
        <f>(tblSales[[#This Row],[Sales]]-tblSales[[#This Row],[Budget]])/tblSales[[#This Row],[Budget]]</f>
        <v>-0.1274474124754349</v>
      </c>
      <c r="M1424" s="2">
        <f>tblSales[[#This Row],[Sales]]/tblSales[[#This Row],[Transactions]]</f>
        <v>333</v>
      </c>
    </row>
    <row r="1425" spans="1:13" x14ac:dyDescent="0.25">
      <c r="A1425" s="1">
        <v>46094</v>
      </c>
      <c r="B1425" t="s">
        <v>12</v>
      </c>
      <c r="C1425" t="s">
        <v>9</v>
      </c>
      <c r="D1425" t="str">
        <f>_xlfn.XLOOKUP(tblSales[[#This Row],[Store ID]],tblStores[Store ID],tblStores[Store Name])</f>
        <v>Pietermaritzburg</v>
      </c>
      <c r="E1425" t="str">
        <f>_xlfn.XLOOKUP(tblSales[[#This Row],[Store ID]],tblStores[Store ID],tblStores[Province])</f>
        <v>KZN</v>
      </c>
      <c r="F1425" t="str">
        <f>_xlfn.XLOOKUP(tblSales[[#This Row],[Store ID]],tblStores[Store ID],tblStores[Manager])</f>
        <v>Peter Brown</v>
      </c>
      <c r="G1425" t="str">
        <f>_xlfn.XLOOKUP(tblSales[[#This Row],[Category ID]],tblCategories[Category ID],tblCategories[Category])</f>
        <v>Ladieswear</v>
      </c>
      <c r="H1425">
        <v>21965</v>
      </c>
      <c r="I1425">
        <v>24005</v>
      </c>
      <c r="J1425">
        <v>115</v>
      </c>
      <c r="K1425">
        <f>tblSales[[#This Row],[Sales]]-tblSales[[#This Row],[Budget]]</f>
        <v>-2040</v>
      </c>
      <c r="L1425" s="3">
        <f>(tblSales[[#This Row],[Sales]]-tblSales[[#This Row],[Budget]])/tblSales[[#This Row],[Budget]]</f>
        <v>-8.4982295355134352E-2</v>
      </c>
      <c r="M1425" s="2">
        <f>tblSales[[#This Row],[Sales]]/tblSales[[#This Row],[Transactions]]</f>
        <v>191</v>
      </c>
    </row>
    <row r="1426" spans="1:13" x14ac:dyDescent="0.25">
      <c r="A1426" s="1">
        <v>46094</v>
      </c>
      <c r="B1426" t="s">
        <v>13</v>
      </c>
      <c r="C1426" t="s">
        <v>22</v>
      </c>
      <c r="D1426" t="str">
        <f>_xlfn.XLOOKUP(tblSales[[#This Row],[Store ID]],tblStores[Store ID],tblStores[Store Name])</f>
        <v>Richards Bay</v>
      </c>
      <c r="E1426" t="str">
        <f>_xlfn.XLOOKUP(tblSales[[#This Row],[Store ID]],tblStores[Store ID],tblStores[Province])</f>
        <v>KZN</v>
      </c>
      <c r="F1426" t="str">
        <f>_xlfn.XLOOKUP(tblSales[[#This Row],[Store ID]],tblStores[Store ID],tblStores[Manager])</f>
        <v>David Green</v>
      </c>
      <c r="G1426" t="str">
        <f>_xlfn.XLOOKUP(tblSales[[#This Row],[Category ID]],tblCategories[Category ID],tblCategories[Category])</f>
        <v>Kids</v>
      </c>
      <c r="H1426">
        <v>77616</v>
      </c>
      <c r="I1426">
        <v>80649</v>
      </c>
      <c r="J1426">
        <v>176</v>
      </c>
      <c r="K1426">
        <f>tblSales[[#This Row],[Sales]]-tblSales[[#This Row],[Budget]]</f>
        <v>-3033</v>
      </c>
      <c r="L1426" s="3">
        <f>(tblSales[[#This Row],[Sales]]-tblSales[[#This Row],[Budget]])/tblSales[[#This Row],[Budget]]</f>
        <v>-3.7607409887289368E-2</v>
      </c>
      <c r="M1426" s="2">
        <f>tblSales[[#This Row],[Sales]]/tblSales[[#This Row],[Transactions]]</f>
        <v>441</v>
      </c>
    </row>
    <row r="1427" spans="1:13" x14ac:dyDescent="0.25">
      <c r="A1427" s="1">
        <v>46094</v>
      </c>
      <c r="B1427" t="s">
        <v>14</v>
      </c>
      <c r="C1427" t="s">
        <v>19</v>
      </c>
      <c r="D1427" t="str">
        <f>_xlfn.XLOOKUP(tblSales[[#This Row],[Store ID]],tblStores[Store ID],tblStores[Store Name])</f>
        <v>Sandton</v>
      </c>
      <c r="E1427" t="str">
        <f>_xlfn.XLOOKUP(tblSales[[#This Row],[Store ID]],tblStores[Store ID],tblStores[Province])</f>
        <v>Gauteng</v>
      </c>
      <c r="F1427" t="str">
        <f>_xlfn.XLOOKUP(tblSales[[#This Row],[Store ID]],tblStores[Store ID],tblStores[Manager])</f>
        <v>Karen White</v>
      </c>
      <c r="G1427" t="str">
        <f>_xlfn.XLOOKUP(tblSales[[#This Row],[Category ID]],tblCategories[Category ID],tblCategories[Category])</f>
        <v>Accessories</v>
      </c>
      <c r="H1427">
        <v>16872</v>
      </c>
      <c r="I1427">
        <v>15343</v>
      </c>
      <c r="J1427">
        <v>74</v>
      </c>
      <c r="K1427">
        <f>tblSales[[#This Row],[Sales]]-tblSales[[#This Row],[Budget]]</f>
        <v>1529</v>
      </c>
      <c r="L1427" s="3">
        <f>(tblSales[[#This Row],[Sales]]-tblSales[[#This Row],[Budget]])/tblSales[[#This Row],[Budget]]</f>
        <v>9.9654565599947856E-2</v>
      </c>
      <c r="M1427" s="2">
        <f>tblSales[[#This Row],[Sales]]/tblSales[[#This Row],[Transactions]]</f>
        <v>228</v>
      </c>
    </row>
    <row r="1428" spans="1:13" x14ac:dyDescent="0.25">
      <c r="A1428" s="1">
        <v>46094</v>
      </c>
      <c r="B1428" t="s">
        <v>15</v>
      </c>
      <c r="C1428" t="s">
        <v>22</v>
      </c>
      <c r="D1428" t="str">
        <f>_xlfn.XLOOKUP(tblSales[[#This Row],[Store ID]],tblStores[Store ID],tblStores[Store Name])</f>
        <v>Rosebank</v>
      </c>
      <c r="E1428" t="str">
        <f>_xlfn.XLOOKUP(tblSales[[#This Row],[Store ID]],tblStores[Store ID],tblStores[Province])</f>
        <v>Gauteng</v>
      </c>
      <c r="F1428" t="str">
        <f>_xlfn.XLOOKUP(tblSales[[#This Row],[Store ID]],tblStores[Store ID],tblStores[Manager])</f>
        <v>James Taylor</v>
      </c>
      <c r="G1428" t="str">
        <f>_xlfn.XLOOKUP(tblSales[[#This Row],[Category ID]],tblCategories[Category ID],tblCategories[Category])</f>
        <v>Kids</v>
      </c>
      <c r="H1428">
        <v>18500</v>
      </c>
      <c r="I1428">
        <v>17875</v>
      </c>
      <c r="J1428">
        <v>74</v>
      </c>
      <c r="K1428">
        <f>tblSales[[#This Row],[Sales]]-tblSales[[#This Row],[Budget]]</f>
        <v>625</v>
      </c>
      <c r="L1428" s="3">
        <f>(tblSales[[#This Row],[Sales]]-tblSales[[#This Row],[Budget]])/tblSales[[#This Row],[Budget]]</f>
        <v>3.4965034965034968E-2</v>
      </c>
      <c r="M1428" s="2">
        <f>tblSales[[#This Row],[Sales]]/tblSales[[#This Row],[Transactions]]</f>
        <v>250</v>
      </c>
    </row>
    <row r="1429" spans="1:13" x14ac:dyDescent="0.25">
      <c r="A1429" s="1">
        <v>46094</v>
      </c>
      <c r="B1429" t="s">
        <v>16</v>
      </c>
      <c r="C1429" t="s">
        <v>19</v>
      </c>
      <c r="D1429" t="str">
        <f>_xlfn.XLOOKUP(tblSales[[#This Row],[Store ID]],tblStores[Store ID],tblStores[Store Name])</f>
        <v>Pretoria</v>
      </c>
      <c r="E1429" t="str">
        <f>_xlfn.XLOOKUP(tblSales[[#This Row],[Store ID]],tblStores[Store ID],tblStores[Province])</f>
        <v>Gauteng</v>
      </c>
      <c r="F1429" t="str">
        <f>_xlfn.XLOOKUP(tblSales[[#This Row],[Store ID]],tblStores[Store ID],tblStores[Manager])</f>
        <v>Susan Clark</v>
      </c>
      <c r="G1429" t="str">
        <f>_xlfn.XLOOKUP(tblSales[[#This Row],[Category ID]],tblCategories[Category ID],tblCategories[Category])</f>
        <v>Accessories</v>
      </c>
      <c r="H1429">
        <v>29302</v>
      </c>
      <c r="I1429">
        <v>28248</v>
      </c>
      <c r="J1429">
        <v>98</v>
      </c>
      <c r="K1429">
        <f>tblSales[[#This Row],[Sales]]-tblSales[[#This Row],[Budget]]</f>
        <v>1054</v>
      </c>
      <c r="L1429" s="3">
        <f>(tblSales[[#This Row],[Sales]]-tblSales[[#This Row],[Budget]])/tblSales[[#This Row],[Budget]]</f>
        <v>3.7312376097422828E-2</v>
      </c>
      <c r="M1429" s="2">
        <f>tblSales[[#This Row],[Sales]]/tblSales[[#This Row],[Transactions]]</f>
        <v>299</v>
      </c>
    </row>
    <row r="1430" spans="1:13" x14ac:dyDescent="0.25">
      <c r="A1430" s="1">
        <v>46094</v>
      </c>
      <c r="B1430" t="s">
        <v>17</v>
      </c>
      <c r="C1430" t="s">
        <v>22</v>
      </c>
      <c r="D1430" t="str">
        <f>_xlfn.XLOOKUP(tblSales[[#This Row],[Store ID]],tblStores[Store ID],tblStores[Store Name])</f>
        <v>Centurion</v>
      </c>
      <c r="E1430" t="str">
        <f>_xlfn.XLOOKUP(tblSales[[#This Row],[Store ID]],tblStores[Store ID],tblStores[Province])</f>
        <v>Gauteng</v>
      </c>
      <c r="F1430" t="str">
        <f>_xlfn.XLOOKUP(tblSales[[#This Row],[Store ID]],tblStores[Store ID],tblStores[Manager])</f>
        <v>Mark Wilson</v>
      </c>
      <c r="G1430" t="str">
        <f>_xlfn.XLOOKUP(tblSales[[#This Row],[Category ID]],tblCategories[Category ID],tblCategories[Category])</f>
        <v>Kids</v>
      </c>
      <c r="H1430">
        <v>27376</v>
      </c>
      <c r="I1430">
        <v>27374</v>
      </c>
      <c r="J1430">
        <v>58</v>
      </c>
      <c r="K1430">
        <f>tblSales[[#This Row],[Sales]]-tblSales[[#This Row],[Budget]]</f>
        <v>2</v>
      </c>
      <c r="L1430" s="3">
        <f>(tblSales[[#This Row],[Sales]]-tblSales[[#This Row],[Budget]])/tblSales[[#This Row],[Budget]]</f>
        <v>7.3062029663184045E-5</v>
      </c>
      <c r="M1430" s="2">
        <f>tblSales[[#This Row],[Sales]]/tblSales[[#This Row],[Transactions]]</f>
        <v>472</v>
      </c>
    </row>
    <row r="1431" spans="1:13" x14ac:dyDescent="0.25">
      <c r="A1431" s="1">
        <v>46094</v>
      </c>
      <c r="B1431" t="s">
        <v>18</v>
      </c>
      <c r="C1431" t="s">
        <v>9</v>
      </c>
      <c r="D1431" t="str">
        <f>_xlfn.XLOOKUP(tblSales[[#This Row],[Store ID]],tblStores[Store ID],tblStores[Store Name])</f>
        <v>East Rand</v>
      </c>
      <c r="E1431" t="str">
        <f>_xlfn.XLOOKUP(tblSales[[#This Row],[Store ID]],tblStores[Store ID],tblStores[Province])</f>
        <v>Gauteng</v>
      </c>
      <c r="F1431" t="str">
        <f>_xlfn.XLOOKUP(tblSales[[#This Row],[Store ID]],tblStores[Store ID],tblStores[Manager])</f>
        <v>Lisa Young</v>
      </c>
      <c r="G1431" t="str">
        <f>_xlfn.XLOOKUP(tblSales[[#This Row],[Category ID]],tblCategories[Category ID],tblCategories[Category])</f>
        <v>Ladieswear</v>
      </c>
      <c r="H1431">
        <v>18684</v>
      </c>
      <c r="I1431">
        <v>20519</v>
      </c>
      <c r="J1431">
        <v>54</v>
      </c>
      <c r="K1431">
        <f>tblSales[[#This Row],[Sales]]-tblSales[[#This Row],[Budget]]</f>
        <v>-1835</v>
      </c>
      <c r="L1431" s="3">
        <f>(tblSales[[#This Row],[Sales]]-tblSales[[#This Row],[Budget]])/tblSales[[#This Row],[Budget]]</f>
        <v>-8.9429309420537062E-2</v>
      </c>
      <c r="M1431" s="2">
        <f>tblSales[[#This Row],[Sales]]/tblSales[[#This Row],[Transactions]]</f>
        <v>346</v>
      </c>
    </row>
    <row r="1432" spans="1:13" x14ac:dyDescent="0.25">
      <c r="A1432" s="1">
        <v>46094</v>
      </c>
      <c r="B1432" t="s">
        <v>20</v>
      </c>
      <c r="C1432" t="s">
        <v>9</v>
      </c>
      <c r="D1432" t="str">
        <f>_xlfn.XLOOKUP(tblSales[[#This Row],[Store ID]],tblStores[Store ID],tblStores[Store Name])</f>
        <v>Cape Town CBD</v>
      </c>
      <c r="E1432" t="str">
        <f>_xlfn.XLOOKUP(tblSales[[#This Row],[Store ID]],tblStores[Store ID],tblStores[Province])</f>
        <v>Western Cape</v>
      </c>
      <c r="F1432" t="str">
        <f>_xlfn.XLOOKUP(tblSales[[#This Row],[Store ID]],tblStores[Store ID],tblStores[Manager])</f>
        <v>Brian Hall</v>
      </c>
      <c r="G1432" t="str">
        <f>_xlfn.XLOOKUP(tblSales[[#This Row],[Category ID]],tblCategories[Category ID],tblCategories[Category])</f>
        <v>Ladieswear</v>
      </c>
      <c r="H1432">
        <v>75525</v>
      </c>
      <c r="I1432">
        <v>83445</v>
      </c>
      <c r="J1432">
        <v>159</v>
      </c>
      <c r="K1432">
        <f>tblSales[[#This Row],[Sales]]-tblSales[[#This Row],[Budget]]</f>
        <v>-7920</v>
      </c>
      <c r="L1432" s="3">
        <f>(tblSales[[#This Row],[Sales]]-tblSales[[#This Row],[Budget]])/tblSales[[#This Row],[Budget]]</f>
        <v>-9.4912816825453897E-2</v>
      </c>
      <c r="M1432" s="2">
        <f>tblSales[[#This Row],[Sales]]/tblSales[[#This Row],[Transactions]]</f>
        <v>475</v>
      </c>
    </row>
    <row r="1433" spans="1:13" x14ac:dyDescent="0.25">
      <c r="A1433" s="1">
        <v>46094</v>
      </c>
      <c r="B1433" t="s">
        <v>21</v>
      </c>
      <c r="C1433" t="s">
        <v>7</v>
      </c>
      <c r="D1433" t="str">
        <f>_xlfn.XLOOKUP(tblSales[[#This Row],[Store ID]],tblStores[Store ID],tblStores[Store Name])</f>
        <v>Canal Walk</v>
      </c>
      <c r="E1433" t="str">
        <f>_xlfn.XLOOKUP(tblSales[[#This Row],[Store ID]],tblStores[Store ID],tblStores[Province])</f>
        <v>Western Cape</v>
      </c>
      <c r="F1433" t="str">
        <f>_xlfn.XLOOKUP(tblSales[[#This Row],[Store ID]],tblStores[Store ID],tblStores[Manager])</f>
        <v>Megan Scott</v>
      </c>
      <c r="G1433" t="str">
        <f>_xlfn.XLOOKUP(tblSales[[#This Row],[Category ID]],tblCategories[Category ID],tblCategories[Category])</f>
        <v>Menswear</v>
      </c>
      <c r="H1433">
        <v>94996</v>
      </c>
      <c r="I1433">
        <v>92630</v>
      </c>
      <c r="J1433">
        <v>187</v>
      </c>
      <c r="K1433">
        <f>tblSales[[#This Row],[Sales]]-tblSales[[#This Row],[Budget]]</f>
        <v>2366</v>
      </c>
      <c r="L1433" s="3">
        <f>(tblSales[[#This Row],[Sales]]-tblSales[[#This Row],[Budget]])/tblSales[[#This Row],[Budget]]</f>
        <v>2.5542480837741553E-2</v>
      </c>
      <c r="M1433" s="2">
        <f>tblSales[[#This Row],[Sales]]/tblSales[[#This Row],[Transactions]]</f>
        <v>508</v>
      </c>
    </row>
    <row r="1434" spans="1:13" x14ac:dyDescent="0.25">
      <c r="A1434" s="1">
        <v>46094</v>
      </c>
      <c r="B1434" t="s">
        <v>23</v>
      </c>
      <c r="C1434" t="s">
        <v>19</v>
      </c>
      <c r="D1434" t="str">
        <f>_xlfn.XLOOKUP(tblSales[[#This Row],[Store ID]],tblStores[Store ID],tblStores[Store Name])</f>
        <v>Stellenbosch</v>
      </c>
      <c r="E1434" t="str">
        <f>_xlfn.XLOOKUP(tblSales[[#This Row],[Store ID]],tblStores[Store ID],tblStores[Province])</f>
        <v>Western Cape</v>
      </c>
      <c r="F1434" t="str">
        <f>_xlfn.XLOOKUP(tblSales[[#This Row],[Store ID]],tblStores[Store ID],tblStores[Manager])</f>
        <v>Jason King</v>
      </c>
      <c r="G1434" t="str">
        <f>_xlfn.XLOOKUP(tblSales[[#This Row],[Category ID]],tblCategories[Category ID],tblCategories[Category])</f>
        <v>Accessories</v>
      </c>
      <c r="H1434">
        <v>29040</v>
      </c>
      <c r="I1434">
        <v>31799</v>
      </c>
      <c r="J1434">
        <v>132</v>
      </c>
      <c r="K1434">
        <f>tblSales[[#This Row],[Sales]]-tblSales[[#This Row],[Budget]]</f>
        <v>-2759</v>
      </c>
      <c r="L1434" s="3">
        <f>(tblSales[[#This Row],[Sales]]-tblSales[[#This Row],[Budget]])/tblSales[[#This Row],[Budget]]</f>
        <v>-8.6763734708638643E-2</v>
      </c>
      <c r="M1434" s="2">
        <f>tblSales[[#This Row],[Sales]]/tblSales[[#This Row],[Transactions]]</f>
        <v>220</v>
      </c>
    </row>
    <row r="1435" spans="1:13" x14ac:dyDescent="0.25">
      <c r="A1435" s="1">
        <v>46094</v>
      </c>
      <c r="B1435" t="s">
        <v>24</v>
      </c>
      <c r="C1435" t="s">
        <v>22</v>
      </c>
      <c r="D1435" t="str">
        <f>_xlfn.XLOOKUP(tblSales[[#This Row],[Store ID]],tblStores[Store ID],tblStores[Store Name])</f>
        <v>George</v>
      </c>
      <c r="E1435" t="str">
        <f>_xlfn.XLOOKUP(tblSales[[#This Row],[Store ID]],tblStores[Store ID],tblStores[Province])</f>
        <v>Western Cape</v>
      </c>
      <c r="F1435" t="str">
        <f>_xlfn.XLOOKUP(tblSales[[#This Row],[Store ID]],tblStores[Store ID],tblStores[Manager])</f>
        <v>Chloe Hill</v>
      </c>
      <c r="G1435" t="str">
        <f>_xlfn.XLOOKUP(tblSales[[#This Row],[Category ID]],tblCategories[Category ID],tblCategories[Category])</f>
        <v>Kids</v>
      </c>
      <c r="H1435">
        <v>49848</v>
      </c>
      <c r="I1435">
        <v>50053</v>
      </c>
      <c r="J1435">
        <v>124</v>
      </c>
      <c r="K1435">
        <f>tblSales[[#This Row],[Sales]]-tblSales[[#This Row],[Budget]]</f>
        <v>-205</v>
      </c>
      <c r="L1435" s="3">
        <f>(tblSales[[#This Row],[Sales]]-tblSales[[#This Row],[Budget]])/tblSales[[#This Row],[Budget]]</f>
        <v>-4.0956586018820055E-3</v>
      </c>
      <c r="M1435" s="2">
        <f>tblSales[[#This Row],[Sales]]/tblSales[[#This Row],[Transactions]]</f>
        <v>402</v>
      </c>
    </row>
    <row r="1436" spans="1:13" x14ac:dyDescent="0.25">
      <c r="A1436" s="1">
        <v>46094</v>
      </c>
      <c r="B1436" t="s">
        <v>25</v>
      </c>
      <c r="C1436" t="s">
        <v>7</v>
      </c>
      <c r="D1436" t="str">
        <f>_xlfn.XLOOKUP(tblSales[[#This Row],[Store ID]],tblStores[Store ID],tblStores[Store Name])</f>
        <v>Paarl</v>
      </c>
      <c r="E1436" t="str">
        <f>_xlfn.XLOOKUP(tblSales[[#This Row],[Store ID]],tblStores[Store ID],tblStores[Province])</f>
        <v>Western Cape</v>
      </c>
      <c r="F1436" t="str">
        <f>_xlfn.XLOOKUP(tblSales[[#This Row],[Store ID]],tblStores[Store ID],tblStores[Manager])</f>
        <v>Andrew Lee</v>
      </c>
      <c r="G1436" t="str">
        <f>_xlfn.XLOOKUP(tblSales[[#This Row],[Category ID]],tblCategories[Category ID],tblCategories[Category])</f>
        <v>Menswear</v>
      </c>
      <c r="H1436">
        <v>47802</v>
      </c>
      <c r="I1436">
        <v>53173</v>
      </c>
      <c r="J1436">
        <v>93</v>
      </c>
      <c r="K1436">
        <f>tblSales[[#This Row],[Sales]]-tblSales[[#This Row],[Budget]]</f>
        <v>-5371</v>
      </c>
      <c r="L1436" s="3">
        <f>(tblSales[[#This Row],[Sales]]-tblSales[[#This Row],[Budget]])/tblSales[[#This Row],[Budget]]</f>
        <v>-0.10100991104507927</v>
      </c>
      <c r="M1436" s="2">
        <f>tblSales[[#This Row],[Sales]]/tblSales[[#This Row],[Transactions]]</f>
        <v>514</v>
      </c>
    </row>
    <row r="1437" spans="1:13" x14ac:dyDescent="0.25">
      <c r="A1437" s="1">
        <v>46094</v>
      </c>
      <c r="B1437" t="s">
        <v>26</v>
      </c>
      <c r="C1437" t="s">
        <v>7</v>
      </c>
      <c r="D1437" t="str">
        <f>_xlfn.XLOOKUP(tblSales[[#This Row],[Store ID]],tblStores[Store ID],tblStores[Store Name])</f>
        <v>Gqeberha</v>
      </c>
      <c r="E1437" t="str">
        <f>_xlfn.XLOOKUP(tblSales[[#This Row],[Store ID]],tblStores[Store ID],tblStores[Province])</f>
        <v>Eastern Cape</v>
      </c>
      <c r="F1437" t="str">
        <f>_xlfn.XLOOKUP(tblSales[[#This Row],[Store ID]],tblStores[Store ID],tblStores[Manager])</f>
        <v>Emma Baker</v>
      </c>
      <c r="G1437" t="str">
        <f>_xlfn.XLOOKUP(tblSales[[#This Row],[Category ID]],tblCategories[Category ID],tblCategories[Category])</f>
        <v>Menswear</v>
      </c>
      <c r="H1437">
        <v>99091</v>
      </c>
      <c r="I1437">
        <v>98657</v>
      </c>
      <c r="J1437">
        <v>197</v>
      </c>
      <c r="K1437">
        <f>tblSales[[#This Row],[Sales]]-tblSales[[#This Row],[Budget]]</f>
        <v>434</v>
      </c>
      <c r="L1437" s="3">
        <f>(tblSales[[#This Row],[Sales]]-tblSales[[#This Row],[Budget]])/tblSales[[#This Row],[Budget]]</f>
        <v>4.3990796395592807E-3</v>
      </c>
      <c r="M1437" s="2">
        <f>tblSales[[#This Row],[Sales]]/tblSales[[#This Row],[Transactions]]</f>
        <v>503</v>
      </c>
    </row>
    <row r="1438" spans="1:13" x14ac:dyDescent="0.25">
      <c r="A1438" s="1">
        <v>46094</v>
      </c>
      <c r="B1438" t="s">
        <v>27</v>
      </c>
      <c r="C1438" t="s">
        <v>22</v>
      </c>
      <c r="D1438" t="str">
        <f>_xlfn.XLOOKUP(tblSales[[#This Row],[Store ID]],tblStores[Store ID],tblStores[Store Name])</f>
        <v>East London</v>
      </c>
      <c r="E1438" t="str">
        <f>_xlfn.XLOOKUP(tblSales[[#This Row],[Store ID]],tblStores[Store ID],tblStores[Province])</f>
        <v>Eastern Cape</v>
      </c>
      <c r="F1438" t="str">
        <f>_xlfn.XLOOKUP(tblSales[[#This Row],[Store ID]],tblStores[Store ID],tblStores[Manager])</f>
        <v>Daniel Evans</v>
      </c>
      <c r="G1438" t="str">
        <f>_xlfn.XLOOKUP(tblSales[[#This Row],[Category ID]],tblCategories[Category ID],tblCategories[Category])</f>
        <v>Kids</v>
      </c>
      <c r="H1438">
        <v>33969</v>
      </c>
      <c r="I1438">
        <v>33283</v>
      </c>
      <c r="J1438">
        <v>169</v>
      </c>
      <c r="K1438">
        <f>tblSales[[#This Row],[Sales]]-tblSales[[#This Row],[Budget]]</f>
        <v>686</v>
      </c>
      <c r="L1438" s="3">
        <f>(tblSales[[#This Row],[Sales]]-tblSales[[#This Row],[Budget]])/tblSales[[#This Row],[Budget]]</f>
        <v>2.0611122795421086E-2</v>
      </c>
      <c r="M1438" s="2">
        <f>tblSales[[#This Row],[Sales]]/tblSales[[#This Row],[Transactions]]</f>
        <v>201</v>
      </c>
    </row>
    <row r="1439" spans="1:13" x14ac:dyDescent="0.25">
      <c r="A1439" s="1">
        <v>46094</v>
      </c>
      <c r="B1439" t="s">
        <v>28</v>
      </c>
      <c r="C1439" t="s">
        <v>19</v>
      </c>
      <c r="D1439" t="str">
        <f>_xlfn.XLOOKUP(tblSales[[#This Row],[Store ID]],tblStores[Store ID],tblStores[Store Name])</f>
        <v>Bloemfontein</v>
      </c>
      <c r="E1439" t="str">
        <f>_xlfn.XLOOKUP(tblSales[[#This Row],[Store ID]],tblStores[Store ID],tblStores[Province])</f>
        <v>Free State</v>
      </c>
      <c r="F1439" t="str">
        <f>_xlfn.XLOOKUP(tblSales[[#This Row],[Store ID]],tblStores[Store ID],tblStores[Manager])</f>
        <v>Rachel Moore</v>
      </c>
      <c r="G1439" t="str">
        <f>_xlfn.XLOOKUP(tblSales[[#This Row],[Category ID]],tblCategories[Category ID],tblCategories[Category])</f>
        <v>Accessories</v>
      </c>
      <c r="H1439">
        <v>25331</v>
      </c>
      <c r="I1439">
        <v>25979</v>
      </c>
      <c r="J1439">
        <v>73</v>
      </c>
      <c r="K1439">
        <f>tblSales[[#This Row],[Sales]]-tblSales[[#This Row],[Budget]]</f>
        <v>-648</v>
      </c>
      <c r="L1439" s="3">
        <f>(tblSales[[#This Row],[Sales]]-tblSales[[#This Row],[Budget]])/tblSales[[#This Row],[Budget]]</f>
        <v>-2.4943223372724123E-2</v>
      </c>
      <c r="M1439" s="2">
        <f>tblSales[[#This Row],[Sales]]/tblSales[[#This Row],[Transactions]]</f>
        <v>347</v>
      </c>
    </row>
    <row r="1440" spans="1:13" x14ac:dyDescent="0.25">
      <c r="A1440" s="1">
        <v>46094</v>
      </c>
      <c r="B1440" t="s">
        <v>29</v>
      </c>
      <c r="C1440" t="s">
        <v>9</v>
      </c>
      <c r="D1440" t="str">
        <f>_xlfn.XLOOKUP(tblSales[[#This Row],[Store ID]],tblStores[Store ID],tblStores[Store Name])</f>
        <v>Polokwane</v>
      </c>
      <c r="E1440" t="str">
        <f>_xlfn.XLOOKUP(tblSales[[#This Row],[Store ID]],tblStores[Store ID],tblStores[Province])</f>
        <v>Limpopo</v>
      </c>
      <c r="F1440" t="str">
        <f>_xlfn.XLOOKUP(tblSales[[#This Row],[Store ID]],tblStores[Store ID],tblStores[Manager])</f>
        <v>Kevin Harris</v>
      </c>
      <c r="G1440" t="str">
        <f>_xlfn.XLOOKUP(tblSales[[#This Row],[Category ID]],tblCategories[Category ID],tblCategories[Category])</f>
        <v>Ladieswear</v>
      </c>
      <c r="H1440">
        <v>15170</v>
      </c>
      <c r="I1440">
        <v>16207</v>
      </c>
      <c r="J1440">
        <v>74</v>
      </c>
      <c r="K1440">
        <f>tblSales[[#This Row],[Sales]]-tblSales[[#This Row],[Budget]]</f>
        <v>-1037</v>
      </c>
      <c r="L1440" s="3">
        <f>(tblSales[[#This Row],[Sales]]-tblSales[[#This Row],[Budget]])/tblSales[[#This Row],[Budget]]</f>
        <v>-6.3984697970012952E-2</v>
      </c>
      <c r="M1440" s="2">
        <f>tblSales[[#This Row],[Sales]]/tblSales[[#This Row],[Transactions]]</f>
        <v>205</v>
      </c>
    </row>
    <row r="1441" spans="1:13" x14ac:dyDescent="0.25">
      <c r="A1441" s="1">
        <v>46094</v>
      </c>
      <c r="B1441" t="s">
        <v>30</v>
      </c>
      <c r="C1441" t="s">
        <v>11</v>
      </c>
      <c r="D1441" t="str">
        <f>_xlfn.XLOOKUP(tblSales[[#This Row],[Store ID]],tblStores[Store ID],tblStores[Store Name])</f>
        <v>Nelspruit</v>
      </c>
      <c r="E1441" t="str">
        <f>_xlfn.XLOOKUP(tblSales[[#This Row],[Store ID]],tblStores[Store ID],tblStores[Province])</f>
        <v>Mpumalanga</v>
      </c>
      <c r="F1441" t="str">
        <f>_xlfn.XLOOKUP(tblSales[[#This Row],[Store ID]],tblStores[Store ID],tblStores[Manager])</f>
        <v>Olivia Turner</v>
      </c>
      <c r="G1441" t="str">
        <f>_xlfn.XLOOKUP(tblSales[[#This Row],[Category ID]],tblCategories[Category ID],tblCategories[Category])</f>
        <v>Footwear</v>
      </c>
      <c r="H1441">
        <v>72116</v>
      </c>
      <c r="I1441">
        <v>75275</v>
      </c>
      <c r="J1441">
        <v>149</v>
      </c>
      <c r="K1441">
        <f>tblSales[[#This Row],[Sales]]-tblSales[[#This Row],[Budget]]</f>
        <v>-3159</v>
      </c>
      <c r="L1441" s="3">
        <f>(tblSales[[#This Row],[Sales]]-tblSales[[#This Row],[Budget]])/tblSales[[#This Row],[Budget]]</f>
        <v>-4.196612421122551E-2</v>
      </c>
      <c r="M1441" s="2">
        <f>tblSales[[#This Row],[Sales]]/tblSales[[#This Row],[Transactions]]</f>
        <v>484</v>
      </c>
    </row>
    <row r="1442" spans="1:13" x14ac:dyDescent="0.25">
      <c r="A1442" s="1">
        <v>46095</v>
      </c>
      <c r="B1442" t="s">
        <v>6</v>
      </c>
      <c r="C1442" t="s">
        <v>7</v>
      </c>
      <c r="D1442" t="str">
        <f>_xlfn.XLOOKUP(tblSales[[#This Row],[Store ID]],tblStores[Store ID],tblStores[Store Name])</f>
        <v>Durban CBD</v>
      </c>
      <c r="E1442" t="str">
        <f>_xlfn.XLOOKUP(tblSales[[#This Row],[Store ID]],tblStores[Store ID],tblStores[Province])</f>
        <v>KZN</v>
      </c>
      <c r="F1442" t="str">
        <f>_xlfn.XLOOKUP(tblSales[[#This Row],[Store ID]],tblStores[Store ID],tblStores[Manager])</f>
        <v>Sarah Adams</v>
      </c>
      <c r="G1442" t="str">
        <f>_xlfn.XLOOKUP(tblSales[[#This Row],[Category ID]],tblCategories[Category ID],tblCategories[Category])</f>
        <v>Menswear</v>
      </c>
      <c r="H1442">
        <v>36491</v>
      </c>
      <c r="I1442">
        <v>35485</v>
      </c>
      <c r="J1442">
        <v>91</v>
      </c>
      <c r="K1442">
        <f>tblSales[[#This Row],[Sales]]-tblSales[[#This Row],[Budget]]</f>
        <v>1006</v>
      </c>
      <c r="L1442" s="3">
        <f>(tblSales[[#This Row],[Sales]]-tblSales[[#This Row],[Budget]])/tblSales[[#This Row],[Budget]]</f>
        <v>2.8350007045230378E-2</v>
      </c>
      <c r="M1442" s="2">
        <f>tblSales[[#This Row],[Sales]]/tblSales[[#This Row],[Transactions]]</f>
        <v>401</v>
      </c>
    </row>
    <row r="1443" spans="1:13" x14ac:dyDescent="0.25">
      <c r="A1443" s="1">
        <v>46095</v>
      </c>
      <c r="B1443" t="s">
        <v>8</v>
      </c>
      <c r="C1443" t="s">
        <v>11</v>
      </c>
      <c r="D1443" t="str">
        <f>_xlfn.XLOOKUP(tblSales[[#This Row],[Store ID]],tblStores[Store ID],tblStores[Store Name])</f>
        <v>Gateway</v>
      </c>
      <c r="E1443" t="str">
        <f>_xlfn.XLOOKUP(tblSales[[#This Row],[Store ID]],tblStores[Store ID],tblStores[Province])</f>
        <v>KZN</v>
      </c>
      <c r="F1443" t="str">
        <f>_xlfn.XLOOKUP(tblSales[[#This Row],[Store ID]],tblStores[Store ID],tblStores[Manager])</f>
        <v>Michael Jones</v>
      </c>
      <c r="G1443" t="str">
        <f>_xlfn.XLOOKUP(tblSales[[#This Row],[Category ID]],tblCategories[Category ID],tblCategories[Category])</f>
        <v>Footwear</v>
      </c>
      <c r="H1443">
        <v>17784</v>
      </c>
      <c r="I1443">
        <v>17500</v>
      </c>
      <c r="J1443">
        <v>72</v>
      </c>
      <c r="K1443">
        <f>tblSales[[#This Row],[Sales]]-tblSales[[#This Row],[Budget]]</f>
        <v>284</v>
      </c>
      <c r="L1443" s="3">
        <f>(tblSales[[#This Row],[Sales]]-tblSales[[#This Row],[Budget]])/tblSales[[#This Row],[Budget]]</f>
        <v>1.6228571428571429E-2</v>
      </c>
      <c r="M1443" s="2">
        <f>tblSales[[#This Row],[Sales]]/tblSales[[#This Row],[Transactions]]</f>
        <v>247</v>
      </c>
    </row>
    <row r="1444" spans="1:13" x14ac:dyDescent="0.25">
      <c r="A1444" s="1">
        <v>46095</v>
      </c>
      <c r="B1444" t="s">
        <v>10</v>
      </c>
      <c r="C1444" t="s">
        <v>11</v>
      </c>
      <c r="D1444" t="str">
        <f>_xlfn.XLOOKUP(tblSales[[#This Row],[Store ID]],tblStores[Store ID],tblStores[Store Name])</f>
        <v>Ballito</v>
      </c>
      <c r="E1444" t="str">
        <f>_xlfn.XLOOKUP(tblSales[[#This Row],[Store ID]],tblStores[Store ID],tblStores[Province])</f>
        <v>KZN</v>
      </c>
      <c r="F1444" t="str">
        <f>_xlfn.XLOOKUP(tblSales[[#This Row],[Store ID]],tblStores[Store ID],tblStores[Manager])</f>
        <v>Linda Smith</v>
      </c>
      <c r="G1444" t="str">
        <f>_xlfn.XLOOKUP(tblSales[[#This Row],[Category ID]],tblCategories[Category ID],tblCategories[Category])</f>
        <v>Footwear</v>
      </c>
      <c r="H1444">
        <v>37105</v>
      </c>
      <c r="I1444">
        <v>38479</v>
      </c>
      <c r="J1444">
        <v>181</v>
      </c>
      <c r="K1444">
        <f>tblSales[[#This Row],[Sales]]-tblSales[[#This Row],[Budget]]</f>
        <v>-1374</v>
      </c>
      <c r="L1444" s="3">
        <f>(tblSales[[#This Row],[Sales]]-tblSales[[#This Row],[Budget]])/tblSales[[#This Row],[Budget]]</f>
        <v>-3.5707788663946569E-2</v>
      </c>
      <c r="M1444" s="2">
        <f>tblSales[[#This Row],[Sales]]/tblSales[[#This Row],[Transactions]]</f>
        <v>205</v>
      </c>
    </row>
    <row r="1445" spans="1:13" x14ac:dyDescent="0.25">
      <c r="A1445" s="1">
        <v>46095</v>
      </c>
      <c r="B1445" t="s">
        <v>12</v>
      </c>
      <c r="C1445" t="s">
        <v>22</v>
      </c>
      <c r="D1445" t="str">
        <f>_xlfn.XLOOKUP(tblSales[[#This Row],[Store ID]],tblStores[Store ID],tblStores[Store Name])</f>
        <v>Pietermaritzburg</v>
      </c>
      <c r="E1445" t="str">
        <f>_xlfn.XLOOKUP(tblSales[[#This Row],[Store ID]],tblStores[Store ID],tblStores[Province])</f>
        <v>KZN</v>
      </c>
      <c r="F1445" t="str">
        <f>_xlfn.XLOOKUP(tblSales[[#This Row],[Store ID]],tblStores[Store ID],tblStores[Manager])</f>
        <v>Peter Brown</v>
      </c>
      <c r="G1445" t="str">
        <f>_xlfn.XLOOKUP(tblSales[[#This Row],[Category ID]],tblCategories[Category ID],tblCategories[Category])</f>
        <v>Kids</v>
      </c>
      <c r="H1445">
        <v>21504</v>
      </c>
      <c r="I1445">
        <v>22051</v>
      </c>
      <c r="J1445">
        <v>56</v>
      </c>
      <c r="K1445">
        <f>tblSales[[#This Row],[Sales]]-tblSales[[#This Row],[Budget]]</f>
        <v>-547</v>
      </c>
      <c r="L1445" s="3">
        <f>(tblSales[[#This Row],[Sales]]-tblSales[[#This Row],[Budget]])/tblSales[[#This Row],[Budget]]</f>
        <v>-2.4806131241213551E-2</v>
      </c>
      <c r="M1445" s="2">
        <f>tblSales[[#This Row],[Sales]]/tblSales[[#This Row],[Transactions]]</f>
        <v>384</v>
      </c>
    </row>
    <row r="1446" spans="1:13" x14ac:dyDescent="0.25">
      <c r="A1446" s="1">
        <v>46095</v>
      </c>
      <c r="B1446" t="s">
        <v>13</v>
      </c>
      <c r="C1446" t="s">
        <v>9</v>
      </c>
      <c r="D1446" t="str">
        <f>_xlfn.XLOOKUP(tblSales[[#This Row],[Store ID]],tblStores[Store ID],tblStores[Store Name])</f>
        <v>Richards Bay</v>
      </c>
      <c r="E1446" t="str">
        <f>_xlfn.XLOOKUP(tblSales[[#This Row],[Store ID]],tblStores[Store ID],tblStores[Province])</f>
        <v>KZN</v>
      </c>
      <c r="F1446" t="str">
        <f>_xlfn.XLOOKUP(tblSales[[#This Row],[Store ID]],tblStores[Store ID],tblStores[Manager])</f>
        <v>David Green</v>
      </c>
      <c r="G1446" t="str">
        <f>_xlfn.XLOOKUP(tblSales[[#This Row],[Category ID]],tblCategories[Category ID],tblCategories[Category])</f>
        <v>Ladieswear</v>
      </c>
      <c r="H1446">
        <v>29394</v>
      </c>
      <c r="I1446">
        <v>30564</v>
      </c>
      <c r="J1446">
        <v>69</v>
      </c>
      <c r="K1446">
        <f>tblSales[[#This Row],[Sales]]-tblSales[[#This Row],[Budget]]</f>
        <v>-1170</v>
      </c>
      <c r="L1446" s="3">
        <f>(tblSales[[#This Row],[Sales]]-tblSales[[#This Row],[Budget]])/tblSales[[#This Row],[Budget]]</f>
        <v>-3.828032979976443E-2</v>
      </c>
      <c r="M1446" s="2">
        <f>tblSales[[#This Row],[Sales]]/tblSales[[#This Row],[Transactions]]</f>
        <v>426</v>
      </c>
    </row>
    <row r="1447" spans="1:13" x14ac:dyDescent="0.25">
      <c r="A1447" s="1">
        <v>46095</v>
      </c>
      <c r="B1447" t="s">
        <v>14</v>
      </c>
      <c r="C1447" t="s">
        <v>11</v>
      </c>
      <c r="D1447" t="str">
        <f>_xlfn.XLOOKUP(tblSales[[#This Row],[Store ID]],tblStores[Store ID],tblStores[Store Name])</f>
        <v>Sandton</v>
      </c>
      <c r="E1447" t="str">
        <f>_xlfn.XLOOKUP(tblSales[[#This Row],[Store ID]],tblStores[Store ID],tblStores[Province])</f>
        <v>Gauteng</v>
      </c>
      <c r="F1447" t="str">
        <f>_xlfn.XLOOKUP(tblSales[[#This Row],[Store ID]],tblStores[Store ID],tblStores[Manager])</f>
        <v>Karen White</v>
      </c>
      <c r="G1447" t="str">
        <f>_xlfn.XLOOKUP(tblSales[[#This Row],[Category ID]],tblCategories[Category ID],tblCategories[Category])</f>
        <v>Footwear</v>
      </c>
      <c r="H1447">
        <v>69768</v>
      </c>
      <c r="I1447">
        <v>72756</v>
      </c>
      <c r="J1447">
        <v>136</v>
      </c>
      <c r="K1447">
        <f>tblSales[[#This Row],[Sales]]-tblSales[[#This Row],[Budget]]</f>
        <v>-2988</v>
      </c>
      <c r="L1447" s="3">
        <f>(tblSales[[#This Row],[Sales]]-tblSales[[#This Row],[Budget]])/tblSales[[#This Row],[Budget]]</f>
        <v>-4.1068777832756059E-2</v>
      </c>
      <c r="M1447" s="2">
        <f>tblSales[[#This Row],[Sales]]/tblSales[[#This Row],[Transactions]]</f>
        <v>513</v>
      </c>
    </row>
    <row r="1448" spans="1:13" x14ac:dyDescent="0.25">
      <c r="A1448" s="1">
        <v>46095</v>
      </c>
      <c r="B1448" t="s">
        <v>15</v>
      </c>
      <c r="C1448" t="s">
        <v>19</v>
      </c>
      <c r="D1448" t="str">
        <f>_xlfn.XLOOKUP(tblSales[[#This Row],[Store ID]],tblStores[Store ID],tblStores[Store Name])</f>
        <v>Rosebank</v>
      </c>
      <c r="E1448" t="str">
        <f>_xlfn.XLOOKUP(tblSales[[#This Row],[Store ID]],tblStores[Store ID],tblStores[Province])</f>
        <v>Gauteng</v>
      </c>
      <c r="F1448" t="str">
        <f>_xlfn.XLOOKUP(tblSales[[#This Row],[Store ID]],tblStores[Store ID],tblStores[Manager])</f>
        <v>James Taylor</v>
      </c>
      <c r="G1448" t="str">
        <f>_xlfn.XLOOKUP(tblSales[[#This Row],[Category ID]],tblCategories[Category ID],tblCategories[Category])</f>
        <v>Accessories</v>
      </c>
      <c r="H1448">
        <v>86016</v>
      </c>
      <c r="I1448">
        <v>82709</v>
      </c>
      <c r="J1448">
        <v>192</v>
      </c>
      <c r="K1448">
        <f>tblSales[[#This Row],[Sales]]-tblSales[[#This Row],[Budget]]</f>
        <v>3307</v>
      </c>
      <c r="L1448" s="3">
        <f>(tblSales[[#This Row],[Sales]]-tblSales[[#This Row],[Budget]])/tblSales[[#This Row],[Budget]]</f>
        <v>3.9983556807602558E-2</v>
      </c>
      <c r="M1448" s="2">
        <f>tblSales[[#This Row],[Sales]]/tblSales[[#This Row],[Transactions]]</f>
        <v>448</v>
      </c>
    </row>
    <row r="1449" spans="1:13" x14ac:dyDescent="0.25">
      <c r="A1449" s="1">
        <v>46095</v>
      </c>
      <c r="B1449" t="s">
        <v>16</v>
      </c>
      <c r="C1449" t="s">
        <v>7</v>
      </c>
      <c r="D1449" t="str">
        <f>_xlfn.XLOOKUP(tblSales[[#This Row],[Store ID]],tblStores[Store ID],tblStores[Store Name])</f>
        <v>Pretoria</v>
      </c>
      <c r="E1449" t="str">
        <f>_xlfn.XLOOKUP(tblSales[[#This Row],[Store ID]],tblStores[Store ID],tblStores[Province])</f>
        <v>Gauteng</v>
      </c>
      <c r="F1449" t="str">
        <f>_xlfn.XLOOKUP(tblSales[[#This Row],[Store ID]],tblStores[Store ID],tblStores[Manager])</f>
        <v>Susan Clark</v>
      </c>
      <c r="G1449" t="str">
        <f>_xlfn.XLOOKUP(tblSales[[#This Row],[Category ID]],tblCategories[Category ID],tblCategories[Category])</f>
        <v>Menswear</v>
      </c>
      <c r="H1449">
        <v>41200</v>
      </c>
      <c r="I1449">
        <v>40411</v>
      </c>
      <c r="J1449">
        <v>103</v>
      </c>
      <c r="K1449">
        <f>tblSales[[#This Row],[Sales]]-tblSales[[#This Row],[Budget]]</f>
        <v>789</v>
      </c>
      <c r="L1449" s="3">
        <f>(tblSales[[#This Row],[Sales]]-tblSales[[#This Row],[Budget]])/tblSales[[#This Row],[Budget]]</f>
        <v>1.952438692435228E-2</v>
      </c>
      <c r="M1449" s="2">
        <f>tblSales[[#This Row],[Sales]]/tblSales[[#This Row],[Transactions]]</f>
        <v>400</v>
      </c>
    </row>
    <row r="1450" spans="1:13" x14ac:dyDescent="0.25">
      <c r="A1450" s="1">
        <v>46095</v>
      </c>
      <c r="B1450" t="s">
        <v>17</v>
      </c>
      <c r="C1450" t="s">
        <v>19</v>
      </c>
      <c r="D1450" t="str">
        <f>_xlfn.XLOOKUP(tblSales[[#This Row],[Store ID]],tblStores[Store ID],tblStores[Store Name])</f>
        <v>Centurion</v>
      </c>
      <c r="E1450" t="str">
        <f>_xlfn.XLOOKUP(tblSales[[#This Row],[Store ID]],tblStores[Store ID],tblStores[Province])</f>
        <v>Gauteng</v>
      </c>
      <c r="F1450" t="str">
        <f>_xlfn.XLOOKUP(tblSales[[#This Row],[Store ID]],tblStores[Store ID],tblStores[Manager])</f>
        <v>Mark Wilson</v>
      </c>
      <c r="G1450" t="str">
        <f>_xlfn.XLOOKUP(tblSales[[#This Row],[Category ID]],tblCategories[Category ID],tblCategories[Category])</f>
        <v>Accessories</v>
      </c>
      <c r="H1450">
        <v>13509</v>
      </c>
      <c r="I1450">
        <v>14426</v>
      </c>
      <c r="J1450">
        <v>57</v>
      </c>
      <c r="K1450">
        <f>tblSales[[#This Row],[Sales]]-tblSales[[#This Row],[Budget]]</f>
        <v>-917</v>
      </c>
      <c r="L1450" s="3">
        <f>(tblSales[[#This Row],[Sales]]-tblSales[[#This Row],[Budget]])/tblSales[[#This Row],[Budget]]</f>
        <v>-6.3565784001109113E-2</v>
      </c>
      <c r="M1450" s="2">
        <f>tblSales[[#This Row],[Sales]]/tblSales[[#This Row],[Transactions]]</f>
        <v>237</v>
      </c>
    </row>
    <row r="1451" spans="1:13" x14ac:dyDescent="0.25">
      <c r="A1451" s="1">
        <v>46095</v>
      </c>
      <c r="B1451" t="s">
        <v>18</v>
      </c>
      <c r="C1451" t="s">
        <v>11</v>
      </c>
      <c r="D1451" t="str">
        <f>_xlfn.XLOOKUP(tblSales[[#This Row],[Store ID]],tblStores[Store ID],tblStores[Store Name])</f>
        <v>East Rand</v>
      </c>
      <c r="E1451" t="str">
        <f>_xlfn.XLOOKUP(tblSales[[#This Row],[Store ID]],tblStores[Store ID],tblStores[Province])</f>
        <v>Gauteng</v>
      </c>
      <c r="F1451" t="str">
        <f>_xlfn.XLOOKUP(tblSales[[#This Row],[Store ID]],tblStores[Store ID],tblStores[Manager])</f>
        <v>Lisa Young</v>
      </c>
      <c r="G1451" t="str">
        <f>_xlfn.XLOOKUP(tblSales[[#This Row],[Category ID]],tblCategories[Category ID],tblCategories[Category])</f>
        <v>Footwear</v>
      </c>
      <c r="H1451">
        <v>45824</v>
      </c>
      <c r="I1451">
        <v>43423</v>
      </c>
      <c r="J1451">
        <v>128</v>
      </c>
      <c r="K1451">
        <f>tblSales[[#This Row],[Sales]]-tblSales[[#This Row],[Budget]]</f>
        <v>2401</v>
      </c>
      <c r="L1451" s="3">
        <f>(tblSales[[#This Row],[Sales]]-tblSales[[#This Row],[Budget]])/tblSales[[#This Row],[Budget]]</f>
        <v>5.5293277756027909E-2</v>
      </c>
      <c r="M1451" s="2">
        <f>tblSales[[#This Row],[Sales]]/tblSales[[#This Row],[Transactions]]</f>
        <v>358</v>
      </c>
    </row>
    <row r="1452" spans="1:13" x14ac:dyDescent="0.25">
      <c r="A1452" s="1">
        <v>46095</v>
      </c>
      <c r="B1452" t="s">
        <v>20</v>
      </c>
      <c r="C1452" t="s">
        <v>22</v>
      </c>
      <c r="D1452" t="str">
        <f>_xlfn.XLOOKUP(tblSales[[#This Row],[Store ID]],tblStores[Store ID],tblStores[Store Name])</f>
        <v>Cape Town CBD</v>
      </c>
      <c r="E1452" t="str">
        <f>_xlfn.XLOOKUP(tblSales[[#This Row],[Store ID]],tblStores[Store ID],tblStores[Province])</f>
        <v>Western Cape</v>
      </c>
      <c r="F1452" t="str">
        <f>_xlfn.XLOOKUP(tblSales[[#This Row],[Store ID]],tblStores[Store ID],tblStores[Manager])</f>
        <v>Brian Hall</v>
      </c>
      <c r="G1452" t="str">
        <f>_xlfn.XLOOKUP(tblSales[[#This Row],[Category ID]],tblCategories[Category ID],tblCategories[Category])</f>
        <v>Kids</v>
      </c>
      <c r="H1452">
        <v>96305</v>
      </c>
      <c r="I1452">
        <v>87257</v>
      </c>
      <c r="J1452">
        <v>187</v>
      </c>
      <c r="K1452">
        <f>tblSales[[#This Row],[Sales]]-tblSales[[#This Row],[Budget]]</f>
        <v>9048</v>
      </c>
      <c r="L1452" s="3">
        <f>(tblSales[[#This Row],[Sales]]-tblSales[[#This Row],[Budget]])/tblSales[[#This Row],[Budget]]</f>
        <v>0.1036936864664153</v>
      </c>
      <c r="M1452" s="2">
        <f>tblSales[[#This Row],[Sales]]/tblSales[[#This Row],[Transactions]]</f>
        <v>515</v>
      </c>
    </row>
    <row r="1453" spans="1:13" x14ac:dyDescent="0.25">
      <c r="A1453" s="1">
        <v>46095</v>
      </c>
      <c r="B1453" t="s">
        <v>21</v>
      </c>
      <c r="C1453" t="s">
        <v>22</v>
      </c>
      <c r="D1453" t="str">
        <f>_xlfn.XLOOKUP(tblSales[[#This Row],[Store ID]],tblStores[Store ID],tblStores[Store Name])</f>
        <v>Canal Walk</v>
      </c>
      <c r="E1453" t="str">
        <f>_xlfn.XLOOKUP(tblSales[[#This Row],[Store ID]],tblStores[Store ID],tblStores[Province])</f>
        <v>Western Cape</v>
      </c>
      <c r="F1453" t="str">
        <f>_xlfn.XLOOKUP(tblSales[[#This Row],[Store ID]],tblStores[Store ID],tblStores[Manager])</f>
        <v>Megan Scott</v>
      </c>
      <c r="G1453" t="str">
        <f>_xlfn.XLOOKUP(tblSales[[#This Row],[Category ID]],tblCategories[Category ID],tblCategories[Category])</f>
        <v>Kids</v>
      </c>
      <c r="H1453">
        <v>28002</v>
      </c>
      <c r="I1453">
        <v>29515</v>
      </c>
      <c r="J1453">
        <v>78</v>
      </c>
      <c r="K1453">
        <f>tblSales[[#This Row],[Sales]]-tblSales[[#This Row],[Budget]]</f>
        <v>-1513</v>
      </c>
      <c r="L1453" s="3">
        <f>(tblSales[[#This Row],[Sales]]-tblSales[[#This Row],[Budget]])/tblSales[[#This Row],[Budget]]</f>
        <v>-5.1262070133830259E-2</v>
      </c>
      <c r="M1453" s="2">
        <f>tblSales[[#This Row],[Sales]]/tblSales[[#This Row],[Transactions]]</f>
        <v>359</v>
      </c>
    </row>
    <row r="1454" spans="1:13" x14ac:dyDescent="0.25">
      <c r="A1454" s="1">
        <v>46095</v>
      </c>
      <c r="B1454" t="s">
        <v>23</v>
      </c>
      <c r="C1454" t="s">
        <v>11</v>
      </c>
      <c r="D1454" t="str">
        <f>_xlfn.XLOOKUP(tblSales[[#This Row],[Store ID]],tblStores[Store ID],tblStores[Store Name])</f>
        <v>Stellenbosch</v>
      </c>
      <c r="E1454" t="str">
        <f>_xlfn.XLOOKUP(tblSales[[#This Row],[Store ID]],tblStores[Store ID],tblStores[Province])</f>
        <v>Western Cape</v>
      </c>
      <c r="F1454" t="str">
        <f>_xlfn.XLOOKUP(tblSales[[#This Row],[Store ID]],tblStores[Store ID],tblStores[Manager])</f>
        <v>Jason King</v>
      </c>
      <c r="G1454" t="str">
        <f>_xlfn.XLOOKUP(tblSales[[#This Row],[Category ID]],tblCategories[Category ID],tblCategories[Category])</f>
        <v>Footwear</v>
      </c>
      <c r="H1454">
        <v>49276</v>
      </c>
      <c r="I1454">
        <v>49774</v>
      </c>
      <c r="J1454">
        <v>194</v>
      </c>
      <c r="K1454">
        <f>tblSales[[#This Row],[Sales]]-tblSales[[#This Row],[Budget]]</f>
        <v>-498</v>
      </c>
      <c r="L1454" s="3">
        <f>(tblSales[[#This Row],[Sales]]-tblSales[[#This Row],[Budget]])/tblSales[[#This Row],[Budget]]</f>
        <v>-1.0005223610720456E-2</v>
      </c>
      <c r="M1454" s="2">
        <f>tblSales[[#This Row],[Sales]]/tblSales[[#This Row],[Transactions]]</f>
        <v>254</v>
      </c>
    </row>
    <row r="1455" spans="1:13" x14ac:dyDescent="0.25">
      <c r="A1455" s="1">
        <v>46095</v>
      </c>
      <c r="B1455" t="s">
        <v>24</v>
      </c>
      <c r="C1455" t="s">
        <v>9</v>
      </c>
      <c r="D1455" t="str">
        <f>_xlfn.XLOOKUP(tblSales[[#This Row],[Store ID]],tblStores[Store ID],tblStores[Store Name])</f>
        <v>George</v>
      </c>
      <c r="E1455" t="str">
        <f>_xlfn.XLOOKUP(tblSales[[#This Row],[Store ID]],tblStores[Store ID],tblStores[Province])</f>
        <v>Western Cape</v>
      </c>
      <c r="F1455" t="str">
        <f>_xlfn.XLOOKUP(tblSales[[#This Row],[Store ID]],tblStores[Store ID],tblStores[Manager])</f>
        <v>Chloe Hill</v>
      </c>
      <c r="G1455" t="str">
        <f>_xlfn.XLOOKUP(tblSales[[#This Row],[Category ID]],tblCategories[Category ID],tblCategories[Category])</f>
        <v>Ladieswear</v>
      </c>
      <c r="H1455">
        <v>31906</v>
      </c>
      <c r="I1455">
        <v>29959</v>
      </c>
      <c r="J1455">
        <v>86</v>
      </c>
      <c r="K1455">
        <f>tblSales[[#This Row],[Sales]]-tblSales[[#This Row],[Budget]]</f>
        <v>1947</v>
      </c>
      <c r="L1455" s="3">
        <f>(tblSales[[#This Row],[Sales]]-tblSales[[#This Row],[Budget]])/tblSales[[#This Row],[Budget]]</f>
        <v>6.4988818051336827E-2</v>
      </c>
      <c r="M1455" s="2">
        <f>tblSales[[#This Row],[Sales]]/tblSales[[#This Row],[Transactions]]</f>
        <v>371</v>
      </c>
    </row>
    <row r="1456" spans="1:13" x14ac:dyDescent="0.25">
      <c r="A1456" s="1">
        <v>46095</v>
      </c>
      <c r="B1456" t="s">
        <v>25</v>
      </c>
      <c r="C1456" t="s">
        <v>7</v>
      </c>
      <c r="D1456" t="str">
        <f>_xlfn.XLOOKUP(tblSales[[#This Row],[Store ID]],tblStores[Store ID],tblStores[Store Name])</f>
        <v>Paarl</v>
      </c>
      <c r="E1456" t="str">
        <f>_xlfn.XLOOKUP(tblSales[[#This Row],[Store ID]],tblStores[Store ID],tblStores[Province])</f>
        <v>Western Cape</v>
      </c>
      <c r="F1456" t="str">
        <f>_xlfn.XLOOKUP(tblSales[[#This Row],[Store ID]],tblStores[Store ID],tblStores[Manager])</f>
        <v>Andrew Lee</v>
      </c>
      <c r="G1456" t="str">
        <f>_xlfn.XLOOKUP(tblSales[[#This Row],[Category ID]],tblCategories[Category ID],tblCategories[Category])</f>
        <v>Menswear</v>
      </c>
      <c r="H1456">
        <v>13041</v>
      </c>
      <c r="I1456">
        <v>12529</v>
      </c>
      <c r="J1456">
        <v>63</v>
      </c>
      <c r="K1456">
        <f>tblSales[[#This Row],[Sales]]-tblSales[[#This Row],[Budget]]</f>
        <v>512</v>
      </c>
      <c r="L1456" s="3">
        <f>(tblSales[[#This Row],[Sales]]-tblSales[[#This Row],[Budget]])/tblSales[[#This Row],[Budget]]</f>
        <v>4.0865192752813473E-2</v>
      </c>
      <c r="M1456" s="2">
        <f>tblSales[[#This Row],[Sales]]/tblSales[[#This Row],[Transactions]]</f>
        <v>207</v>
      </c>
    </row>
    <row r="1457" spans="1:13" x14ac:dyDescent="0.25">
      <c r="A1457" s="1">
        <v>46095</v>
      </c>
      <c r="B1457" t="s">
        <v>26</v>
      </c>
      <c r="C1457" t="s">
        <v>19</v>
      </c>
      <c r="D1457" t="str">
        <f>_xlfn.XLOOKUP(tblSales[[#This Row],[Store ID]],tblStores[Store ID],tblStores[Store Name])</f>
        <v>Gqeberha</v>
      </c>
      <c r="E1457" t="str">
        <f>_xlfn.XLOOKUP(tblSales[[#This Row],[Store ID]],tblStores[Store ID],tblStores[Province])</f>
        <v>Eastern Cape</v>
      </c>
      <c r="F1457" t="str">
        <f>_xlfn.XLOOKUP(tblSales[[#This Row],[Store ID]],tblStores[Store ID],tblStores[Manager])</f>
        <v>Emma Baker</v>
      </c>
      <c r="G1457" t="str">
        <f>_xlfn.XLOOKUP(tblSales[[#This Row],[Category ID]],tblCategories[Category ID],tblCategories[Category])</f>
        <v>Accessories</v>
      </c>
      <c r="H1457">
        <v>23544</v>
      </c>
      <c r="I1457">
        <v>21270</v>
      </c>
      <c r="J1457">
        <v>72</v>
      </c>
      <c r="K1457">
        <f>tblSales[[#This Row],[Sales]]-tblSales[[#This Row],[Budget]]</f>
        <v>2274</v>
      </c>
      <c r="L1457" s="3">
        <f>(tblSales[[#This Row],[Sales]]-tblSales[[#This Row],[Budget]])/tblSales[[#This Row],[Budget]]</f>
        <v>0.10691114245416079</v>
      </c>
      <c r="M1457" s="2">
        <f>tblSales[[#This Row],[Sales]]/tblSales[[#This Row],[Transactions]]</f>
        <v>327</v>
      </c>
    </row>
    <row r="1458" spans="1:13" x14ac:dyDescent="0.25">
      <c r="A1458" s="1">
        <v>46095</v>
      </c>
      <c r="B1458" t="s">
        <v>27</v>
      </c>
      <c r="C1458" t="s">
        <v>7</v>
      </c>
      <c r="D1458" t="str">
        <f>_xlfn.XLOOKUP(tblSales[[#This Row],[Store ID]],tblStores[Store ID],tblStores[Store Name])</f>
        <v>East London</v>
      </c>
      <c r="E1458" t="str">
        <f>_xlfn.XLOOKUP(tblSales[[#This Row],[Store ID]],tblStores[Store ID],tblStores[Province])</f>
        <v>Eastern Cape</v>
      </c>
      <c r="F1458" t="str">
        <f>_xlfn.XLOOKUP(tblSales[[#This Row],[Store ID]],tblStores[Store ID],tblStores[Manager])</f>
        <v>Daniel Evans</v>
      </c>
      <c r="G1458" t="str">
        <f>_xlfn.XLOOKUP(tblSales[[#This Row],[Category ID]],tblCategories[Category ID],tblCategories[Category])</f>
        <v>Menswear</v>
      </c>
      <c r="H1458">
        <v>46330</v>
      </c>
      <c r="I1458">
        <v>47154</v>
      </c>
      <c r="J1458">
        <v>113</v>
      </c>
      <c r="K1458">
        <f>tblSales[[#This Row],[Sales]]-tblSales[[#This Row],[Budget]]</f>
        <v>-824</v>
      </c>
      <c r="L1458" s="3">
        <f>(tblSales[[#This Row],[Sales]]-tblSales[[#This Row],[Budget]])/tblSales[[#This Row],[Budget]]</f>
        <v>-1.747465750519574E-2</v>
      </c>
      <c r="M1458" s="2">
        <f>tblSales[[#This Row],[Sales]]/tblSales[[#This Row],[Transactions]]</f>
        <v>410</v>
      </c>
    </row>
    <row r="1459" spans="1:13" x14ac:dyDescent="0.25">
      <c r="A1459" s="1">
        <v>46095</v>
      </c>
      <c r="B1459" t="s">
        <v>28</v>
      </c>
      <c r="C1459" t="s">
        <v>22</v>
      </c>
      <c r="D1459" t="str">
        <f>_xlfn.XLOOKUP(tblSales[[#This Row],[Store ID]],tblStores[Store ID],tblStores[Store Name])</f>
        <v>Bloemfontein</v>
      </c>
      <c r="E1459" t="str">
        <f>_xlfn.XLOOKUP(tblSales[[#This Row],[Store ID]],tblStores[Store ID],tblStores[Province])</f>
        <v>Free State</v>
      </c>
      <c r="F1459" t="str">
        <f>_xlfn.XLOOKUP(tblSales[[#This Row],[Store ID]],tblStores[Store ID],tblStores[Manager])</f>
        <v>Rachel Moore</v>
      </c>
      <c r="G1459" t="str">
        <f>_xlfn.XLOOKUP(tblSales[[#This Row],[Category ID]],tblCategories[Category ID],tblCategories[Category])</f>
        <v>Kids</v>
      </c>
      <c r="H1459">
        <v>40040</v>
      </c>
      <c r="I1459">
        <v>38156</v>
      </c>
      <c r="J1459">
        <v>88</v>
      </c>
      <c r="K1459">
        <f>tblSales[[#This Row],[Sales]]-tblSales[[#This Row],[Budget]]</f>
        <v>1884</v>
      </c>
      <c r="L1459" s="3">
        <f>(tblSales[[#This Row],[Sales]]-tblSales[[#This Row],[Budget]])/tblSales[[#This Row],[Budget]]</f>
        <v>4.9376244889401406E-2</v>
      </c>
      <c r="M1459" s="2">
        <f>tblSales[[#This Row],[Sales]]/tblSales[[#This Row],[Transactions]]</f>
        <v>455</v>
      </c>
    </row>
    <row r="1460" spans="1:13" x14ac:dyDescent="0.25">
      <c r="A1460" s="1">
        <v>46095</v>
      </c>
      <c r="B1460" t="s">
        <v>29</v>
      </c>
      <c r="C1460" t="s">
        <v>19</v>
      </c>
      <c r="D1460" t="str">
        <f>_xlfn.XLOOKUP(tblSales[[#This Row],[Store ID]],tblStores[Store ID],tblStores[Store Name])</f>
        <v>Polokwane</v>
      </c>
      <c r="E1460" t="str">
        <f>_xlfn.XLOOKUP(tblSales[[#This Row],[Store ID]],tblStores[Store ID],tblStores[Province])</f>
        <v>Limpopo</v>
      </c>
      <c r="F1460" t="str">
        <f>_xlfn.XLOOKUP(tblSales[[#This Row],[Store ID]],tblStores[Store ID],tblStores[Manager])</f>
        <v>Kevin Harris</v>
      </c>
      <c r="G1460" t="str">
        <f>_xlfn.XLOOKUP(tblSales[[#This Row],[Category ID]],tblCategories[Category ID],tblCategories[Category])</f>
        <v>Accessories</v>
      </c>
      <c r="H1460">
        <v>52416</v>
      </c>
      <c r="I1460">
        <v>54365</v>
      </c>
      <c r="J1460">
        <v>168</v>
      </c>
      <c r="K1460">
        <f>tblSales[[#This Row],[Sales]]-tblSales[[#This Row],[Budget]]</f>
        <v>-1949</v>
      </c>
      <c r="L1460" s="3">
        <f>(tblSales[[#This Row],[Sales]]-tblSales[[#This Row],[Budget]])/tblSales[[#This Row],[Budget]]</f>
        <v>-3.5850271314264694E-2</v>
      </c>
      <c r="M1460" s="2">
        <f>tblSales[[#This Row],[Sales]]/tblSales[[#This Row],[Transactions]]</f>
        <v>312</v>
      </c>
    </row>
    <row r="1461" spans="1:13" x14ac:dyDescent="0.25">
      <c r="A1461" s="1">
        <v>46095</v>
      </c>
      <c r="B1461" t="s">
        <v>30</v>
      </c>
      <c r="C1461" t="s">
        <v>19</v>
      </c>
      <c r="D1461" t="str">
        <f>_xlfn.XLOOKUP(tblSales[[#This Row],[Store ID]],tblStores[Store ID],tblStores[Store Name])</f>
        <v>Nelspruit</v>
      </c>
      <c r="E1461" t="str">
        <f>_xlfn.XLOOKUP(tblSales[[#This Row],[Store ID]],tblStores[Store ID],tblStores[Province])</f>
        <v>Mpumalanga</v>
      </c>
      <c r="F1461" t="str">
        <f>_xlfn.XLOOKUP(tblSales[[#This Row],[Store ID]],tblStores[Store ID],tblStores[Manager])</f>
        <v>Olivia Turner</v>
      </c>
      <c r="G1461" t="str">
        <f>_xlfn.XLOOKUP(tblSales[[#This Row],[Category ID]],tblCategories[Category ID],tblCategories[Category])</f>
        <v>Accessories</v>
      </c>
      <c r="H1461">
        <v>13419</v>
      </c>
      <c r="I1461">
        <v>13340</v>
      </c>
      <c r="J1461">
        <v>71</v>
      </c>
      <c r="K1461">
        <f>tblSales[[#This Row],[Sales]]-tblSales[[#This Row],[Budget]]</f>
        <v>79</v>
      </c>
      <c r="L1461" s="3">
        <f>(tblSales[[#This Row],[Sales]]-tblSales[[#This Row],[Budget]])/tblSales[[#This Row],[Budget]]</f>
        <v>5.9220389805097447E-3</v>
      </c>
      <c r="M1461" s="2">
        <f>tblSales[[#This Row],[Sales]]/tblSales[[#This Row],[Transactions]]</f>
        <v>189</v>
      </c>
    </row>
    <row r="1462" spans="1:13" x14ac:dyDescent="0.25">
      <c r="A1462" s="1">
        <v>46096</v>
      </c>
      <c r="B1462" t="s">
        <v>6</v>
      </c>
      <c r="C1462" t="s">
        <v>19</v>
      </c>
      <c r="D1462" t="str">
        <f>_xlfn.XLOOKUP(tblSales[[#This Row],[Store ID]],tblStores[Store ID],tblStores[Store Name])</f>
        <v>Durban CBD</v>
      </c>
      <c r="E1462" t="str">
        <f>_xlfn.XLOOKUP(tblSales[[#This Row],[Store ID]],tblStores[Store ID],tblStores[Province])</f>
        <v>KZN</v>
      </c>
      <c r="F1462" t="str">
        <f>_xlfn.XLOOKUP(tblSales[[#This Row],[Store ID]],tblStores[Store ID],tblStores[Manager])</f>
        <v>Sarah Adams</v>
      </c>
      <c r="G1462" t="str">
        <f>_xlfn.XLOOKUP(tblSales[[#This Row],[Category ID]],tblCategories[Category ID],tblCategories[Category])</f>
        <v>Accessories</v>
      </c>
      <c r="H1462">
        <v>14260</v>
      </c>
      <c r="I1462">
        <v>13441</v>
      </c>
      <c r="J1462">
        <v>46</v>
      </c>
      <c r="K1462">
        <f>tblSales[[#This Row],[Sales]]-tblSales[[#This Row],[Budget]]</f>
        <v>819</v>
      </c>
      <c r="L1462" s="3">
        <f>(tblSales[[#This Row],[Sales]]-tblSales[[#This Row],[Budget]])/tblSales[[#This Row],[Budget]]</f>
        <v>6.0932966297150511E-2</v>
      </c>
      <c r="M1462" s="2">
        <f>tblSales[[#This Row],[Sales]]/tblSales[[#This Row],[Transactions]]</f>
        <v>310</v>
      </c>
    </row>
    <row r="1463" spans="1:13" x14ac:dyDescent="0.25">
      <c r="A1463" s="1">
        <v>46096</v>
      </c>
      <c r="B1463" t="s">
        <v>8</v>
      </c>
      <c r="C1463" t="s">
        <v>22</v>
      </c>
      <c r="D1463" t="str">
        <f>_xlfn.XLOOKUP(tblSales[[#This Row],[Store ID]],tblStores[Store ID],tblStores[Store Name])</f>
        <v>Gateway</v>
      </c>
      <c r="E1463" t="str">
        <f>_xlfn.XLOOKUP(tblSales[[#This Row],[Store ID]],tblStores[Store ID],tblStores[Province])</f>
        <v>KZN</v>
      </c>
      <c r="F1463" t="str">
        <f>_xlfn.XLOOKUP(tblSales[[#This Row],[Store ID]],tblStores[Store ID],tblStores[Manager])</f>
        <v>Michael Jones</v>
      </c>
      <c r="G1463" t="str">
        <f>_xlfn.XLOOKUP(tblSales[[#This Row],[Category ID]],tblCategories[Category ID],tblCategories[Category])</f>
        <v>Kids</v>
      </c>
      <c r="H1463">
        <v>42656</v>
      </c>
      <c r="I1463">
        <v>41283</v>
      </c>
      <c r="J1463">
        <v>86</v>
      </c>
      <c r="K1463">
        <f>tblSales[[#This Row],[Sales]]-tblSales[[#This Row],[Budget]]</f>
        <v>1373</v>
      </c>
      <c r="L1463" s="3">
        <f>(tblSales[[#This Row],[Sales]]-tblSales[[#This Row],[Budget]])/tblSales[[#This Row],[Budget]]</f>
        <v>3.3258241891335416E-2</v>
      </c>
      <c r="M1463" s="2">
        <f>tblSales[[#This Row],[Sales]]/tblSales[[#This Row],[Transactions]]</f>
        <v>496</v>
      </c>
    </row>
    <row r="1464" spans="1:13" x14ac:dyDescent="0.25">
      <c r="A1464" s="1">
        <v>46096</v>
      </c>
      <c r="B1464" t="s">
        <v>10</v>
      </c>
      <c r="C1464" t="s">
        <v>11</v>
      </c>
      <c r="D1464" t="str">
        <f>_xlfn.XLOOKUP(tblSales[[#This Row],[Store ID]],tblStores[Store ID],tblStores[Store Name])</f>
        <v>Ballito</v>
      </c>
      <c r="E1464" t="str">
        <f>_xlfn.XLOOKUP(tblSales[[#This Row],[Store ID]],tblStores[Store ID],tblStores[Province])</f>
        <v>KZN</v>
      </c>
      <c r="F1464" t="str">
        <f>_xlfn.XLOOKUP(tblSales[[#This Row],[Store ID]],tblStores[Store ID],tblStores[Manager])</f>
        <v>Linda Smith</v>
      </c>
      <c r="G1464" t="str">
        <f>_xlfn.XLOOKUP(tblSales[[#This Row],[Category ID]],tblCategories[Category ID],tblCategories[Category])</f>
        <v>Footwear</v>
      </c>
      <c r="H1464">
        <v>37168</v>
      </c>
      <c r="I1464">
        <v>34070</v>
      </c>
      <c r="J1464">
        <v>202</v>
      </c>
      <c r="K1464">
        <f>tblSales[[#This Row],[Sales]]-tblSales[[#This Row],[Budget]]</f>
        <v>3098</v>
      </c>
      <c r="L1464" s="3">
        <f>(tblSales[[#This Row],[Sales]]-tblSales[[#This Row],[Budget]])/tblSales[[#This Row],[Budget]]</f>
        <v>9.0930437334898737E-2</v>
      </c>
      <c r="M1464" s="2">
        <f>tblSales[[#This Row],[Sales]]/tblSales[[#This Row],[Transactions]]</f>
        <v>184</v>
      </c>
    </row>
    <row r="1465" spans="1:13" x14ac:dyDescent="0.25">
      <c r="A1465" s="1">
        <v>46096</v>
      </c>
      <c r="B1465" t="s">
        <v>12</v>
      </c>
      <c r="C1465" t="s">
        <v>22</v>
      </c>
      <c r="D1465" t="str">
        <f>_xlfn.XLOOKUP(tblSales[[#This Row],[Store ID]],tblStores[Store ID],tblStores[Store Name])</f>
        <v>Pietermaritzburg</v>
      </c>
      <c r="E1465" t="str">
        <f>_xlfn.XLOOKUP(tblSales[[#This Row],[Store ID]],tblStores[Store ID],tblStores[Province])</f>
        <v>KZN</v>
      </c>
      <c r="F1465" t="str">
        <f>_xlfn.XLOOKUP(tblSales[[#This Row],[Store ID]],tblStores[Store ID],tblStores[Manager])</f>
        <v>Peter Brown</v>
      </c>
      <c r="G1465" t="str">
        <f>_xlfn.XLOOKUP(tblSales[[#This Row],[Category ID]],tblCategories[Category ID],tblCategories[Category])</f>
        <v>Kids</v>
      </c>
      <c r="H1465">
        <v>105468</v>
      </c>
      <c r="I1465">
        <v>104419</v>
      </c>
      <c r="J1465">
        <v>204</v>
      </c>
      <c r="K1465">
        <f>tblSales[[#This Row],[Sales]]-tblSales[[#This Row],[Budget]]</f>
        <v>1049</v>
      </c>
      <c r="L1465" s="3">
        <f>(tblSales[[#This Row],[Sales]]-tblSales[[#This Row],[Budget]])/tblSales[[#This Row],[Budget]]</f>
        <v>1.0046064413564581E-2</v>
      </c>
      <c r="M1465" s="2">
        <f>tblSales[[#This Row],[Sales]]/tblSales[[#This Row],[Transactions]]</f>
        <v>517</v>
      </c>
    </row>
    <row r="1466" spans="1:13" x14ac:dyDescent="0.25">
      <c r="A1466" s="1">
        <v>46096</v>
      </c>
      <c r="B1466" t="s">
        <v>13</v>
      </c>
      <c r="C1466" t="s">
        <v>7</v>
      </c>
      <c r="D1466" t="str">
        <f>_xlfn.XLOOKUP(tblSales[[#This Row],[Store ID]],tblStores[Store ID],tblStores[Store Name])</f>
        <v>Richards Bay</v>
      </c>
      <c r="E1466" t="str">
        <f>_xlfn.XLOOKUP(tblSales[[#This Row],[Store ID]],tblStores[Store ID],tblStores[Province])</f>
        <v>KZN</v>
      </c>
      <c r="F1466" t="str">
        <f>_xlfn.XLOOKUP(tblSales[[#This Row],[Store ID]],tblStores[Store ID],tblStores[Manager])</f>
        <v>David Green</v>
      </c>
      <c r="G1466" t="str">
        <f>_xlfn.XLOOKUP(tblSales[[#This Row],[Category ID]],tblCategories[Category ID],tblCategories[Category])</f>
        <v>Menswear</v>
      </c>
      <c r="H1466">
        <v>12831</v>
      </c>
      <c r="I1466">
        <v>14330</v>
      </c>
      <c r="J1466">
        <v>39</v>
      </c>
      <c r="K1466">
        <f>tblSales[[#This Row],[Sales]]-tblSales[[#This Row],[Budget]]</f>
        <v>-1499</v>
      </c>
      <c r="L1466" s="3">
        <f>(tblSales[[#This Row],[Sales]]-tblSales[[#This Row],[Budget]])/tblSales[[#This Row],[Budget]]</f>
        <v>-0.10460572226099092</v>
      </c>
      <c r="M1466" s="2">
        <f>tblSales[[#This Row],[Sales]]/tblSales[[#This Row],[Transactions]]</f>
        <v>329</v>
      </c>
    </row>
    <row r="1467" spans="1:13" x14ac:dyDescent="0.25">
      <c r="A1467" s="1">
        <v>46096</v>
      </c>
      <c r="B1467" t="s">
        <v>14</v>
      </c>
      <c r="C1467" t="s">
        <v>11</v>
      </c>
      <c r="D1467" t="str">
        <f>_xlfn.XLOOKUP(tblSales[[#This Row],[Store ID]],tblStores[Store ID],tblStores[Store Name])</f>
        <v>Sandton</v>
      </c>
      <c r="E1467" t="str">
        <f>_xlfn.XLOOKUP(tblSales[[#This Row],[Store ID]],tblStores[Store ID],tblStores[Province])</f>
        <v>Gauteng</v>
      </c>
      <c r="F1467" t="str">
        <f>_xlfn.XLOOKUP(tblSales[[#This Row],[Store ID]],tblStores[Store ID],tblStores[Manager])</f>
        <v>Karen White</v>
      </c>
      <c r="G1467" t="str">
        <f>_xlfn.XLOOKUP(tblSales[[#This Row],[Category ID]],tblCategories[Category ID],tblCategories[Category])</f>
        <v>Footwear</v>
      </c>
      <c r="H1467">
        <v>35156</v>
      </c>
      <c r="I1467">
        <v>36109</v>
      </c>
      <c r="J1467">
        <v>94</v>
      </c>
      <c r="K1467">
        <f>tblSales[[#This Row],[Sales]]-tblSales[[#This Row],[Budget]]</f>
        <v>-953</v>
      </c>
      <c r="L1467" s="3">
        <f>(tblSales[[#This Row],[Sales]]-tblSales[[#This Row],[Budget]])/tblSales[[#This Row],[Budget]]</f>
        <v>-2.6392312165942008E-2</v>
      </c>
      <c r="M1467" s="2">
        <f>tblSales[[#This Row],[Sales]]/tblSales[[#This Row],[Transactions]]</f>
        <v>374</v>
      </c>
    </row>
    <row r="1468" spans="1:13" x14ac:dyDescent="0.25">
      <c r="A1468" s="1">
        <v>46096</v>
      </c>
      <c r="B1468" t="s">
        <v>15</v>
      </c>
      <c r="C1468" t="s">
        <v>7</v>
      </c>
      <c r="D1468" t="str">
        <f>_xlfn.XLOOKUP(tblSales[[#This Row],[Store ID]],tblStores[Store ID],tblStores[Store Name])</f>
        <v>Rosebank</v>
      </c>
      <c r="E1468" t="str">
        <f>_xlfn.XLOOKUP(tblSales[[#This Row],[Store ID]],tblStores[Store ID],tblStores[Province])</f>
        <v>Gauteng</v>
      </c>
      <c r="F1468" t="str">
        <f>_xlfn.XLOOKUP(tblSales[[#This Row],[Store ID]],tblStores[Store ID],tblStores[Manager])</f>
        <v>James Taylor</v>
      </c>
      <c r="G1468" t="str">
        <f>_xlfn.XLOOKUP(tblSales[[#This Row],[Category ID]],tblCategories[Category ID],tblCategories[Category])</f>
        <v>Menswear</v>
      </c>
      <c r="H1468">
        <v>49220</v>
      </c>
      <c r="I1468">
        <v>54963</v>
      </c>
      <c r="J1468">
        <v>115</v>
      </c>
      <c r="K1468">
        <f>tblSales[[#This Row],[Sales]]-tblSales[[#This Row],[Budget]]</f>
        <v>-5743</v>
      </c>
      <c r="L1468" s="3">
        <f>(tblSales[[#This Row],[Sales]]-tblSales[[#This Row],[Budget]])/tblSales[[#This Row],[Budget]]</f>
        <v>-0.10448847406437058</v>
      </c>
      <c r="M1468" s="2">
        <f>tblSales[[#This Row],[Sales]]/tblSales[[#This Row],[Transactions]]</f>
        <v>428</v>
      </c>
    </row>
    <row r="1469" spans="1:13" x14ac:dyDescent="0.25">
      <c r="A1469" s="1">
        <v>46096</v>
      </c>
      <c r="B1469" t="s">
        <v>16</v>
      </c>
      <c r="C1469" t="s">
        <v>19</v>
      </c>
      <c r="D1469" t="str">
        <f>_xlfn.XLOOKUP(tblSales[[#This Row],[Store ID]],tblStores[Store ID],tblStores[Store Name])</f>
        <v>Pretoria</v>
      </c>
      <c r="E1469" t="str">
        <f>_xlfn.XLOOKUP(tblSales[[#This Row],[Store ID]],tblStores[Store ID],tblStores[Province])</f>
        <v>Gauteng</v>
      </c>
      <c r="F1469" t="str">
        <f>_xlfn.XLOOKUP(tblSales[[#This Row],[Store ID]],tblStores[Store ID],tblStores[Manager])</f>
        <v>Susan Clark</v>
      </c>
      <c r="G1469" t="str">
        <f>_xlfn.XLOOKUP(tblSales[[#This Row],[Category ID]],tblCategories[Category ID],tblCategories[Category])</f>
        <v>Accessories</v>
      </c>
      <c r="H1469">
        <v>15675</v>
      </c>
      <c r="I1469">
        <v>14886</v>
      </c>
      <c r="J1469">
        <v>57</v>
      </c>
      <c r="K1469">
        <f>tblSales[[#This Row],[Sales]]-tblSales[[#This Row],[Budget]]</f>
        <v>789</v>
      </c>
      <c r="L1469" s="3">
        <f>(tblSales[[#This Row],[Sales]]-tblSales[[#This Row],[Budget]])/tblSales[[#This Row],[Budget]]</f>
        <v>5.3002821442966544E-2</v>
      </c>
      <c r="M1469" s="2">
        <f>tblSales[[#This Row],[Sales]]/tblSales[[#This Row],[Transactions]]</f>
        <v>275</v>
      </c>
    </row>
    <row r="1470" spans="1:13" x14ac:dyDescent="0.25">
      <c r="A1470" s="1">
        <v>46096</v>
      </c>
      <c r="B1470" t="s">
        <v>17</v>
      </c>
      <c r="C1470" t="s">
        <v>11</v>
      </c>
      <c r="D1470" t="str">
        <f>_xlfn.XLOOKUP(tblSales[[#This Row],[Store ID]],tblStores[Store ID],tblStores[Store Name])</f>
        <v>Centurion</v>
      </c>
      <c r="E1470" t="str">
        <f>_xlfn.XLOOKUP(tblSales[[#This Row],[Store ID]],tblStores[Store ID],tblStores[Province])</f>
        <v>Gauteng</v>
      </c>
      <c r="F1470" t="str">
        <f>_xlfn.XLOOKUP(tblSales[[#This Row],[Store ID]],tblStores[Store ID],tblStores[Manager])</f>
        <v>Mark Wilson</v>
      </c>
      <c r="G1470" t="str">
        <f>_xlfn.XLOOKUP(tblSales[[#This Row],[Category ID]],tblCategories[Category ID],tblCategories[Category])</f>
        <v>Footwear</v>
      </c>
      <c r="H1470">
        <v>33998</v>
      </c>
      <c r="I1470">
        <v>30936</v>
      </c>
      <c r="J1470">
        <v>178</v>
      </c>
      <c r="K1470">
        <f>tblSales[[#This Row],[Sales]]-tblSales[[#This Row],[Budget]]</f>
        <v>3062</v>
      </c>
      <c r="L1470" s="3">
        <f>(tblSales[[#This Row],[Sales]]-tblSales[[#This Row],[Budget]])/tblSales[[#This Row],[Budget]]</f>
        <v>9.897853633307474E-2</v>
      </c>
      <c r="M1470" s="2">
        <f>tblSales[[#This Row],[Sales]]/tblSales[[#This Row],[Transactions]]</f>
        <v>191</v>
      </c>
    </row>
    <row r="1471" spans="1:13" x14ac:dyDescent="0.25">
      <c r="A1471" s="1">
        <v>46096</v>
      </c>
      <c r="B1471" t="s">
        <v>18</v>
      </c>
      <c r="C1471" t="s">
        <v>19</v>
      </c>
      <c r="D1471" t="str">
        <f>_xlfn.XLOOKUP(tblSales[[#This Row],[Store ID]],tblStores[Store ID],tblStores[Store Name])</f>
        <v>East Rand</v>
      </c>
      <c r="E1471" t="str">
        <f>_xlfn.XLOOKUP(tblSales[[#This Row],[Store ID]],tblStores[Store ID],tblStores[Province])</f>
        <v>Gauteng</v>
      </c>
      <c r="F1471" t="str">
        <f>_xlfn.XLOOKUP(tblSales[[#This Row],[Store ID]],tblStores[Store ID],tblStores[Manager])</f>
        <v>Lisa Young</v>
      </c>
      <c r="G1471" t="str">
        <f>_xlfn.XLOOKUP(tblSales[[#This Row],[Category ID]],tblCategories[Category ID],tblCategories[Category])</f>
        <v>Accessories</v>
      </c>
      <c r="H1471">
        <v>39550</v>
      </c>
      <c r="I1471">
        <v>40439</v>
      </c>
      <c r="J1471">
        <v>113</v>
      </c>
      <c r="K1471">
        <f>tblSales[[#This Row],[Sales]]-tblSales[[#This Row],[Budget]]</f>
        <v>-889</v>
      </c>
      <c r="L1471" s="3">
        <f>(tblSales[[#This Row],[Sales]]-tblSales[[#This Row],[Budget]])/tblSales[[#This Row],[Budget]]</f>
        <v>-2.1983728578847152E-2</v>
      </c>
      <c r="M1471" s="2">
        <f>tblSales[[#This Row],[Sales]]/tblSales[[#This Row],[Transactions]]</f>
        <v>350</v>
      </c>
    </row>
    <row r="1472" spans="1:13" x14ac:dyDescent="0.25">
      <c r="A1472" s="1">
        <v>46096</v>
      </c>
      <c r="B1472" t="s">
        <v>20</v>
      </c>
      <c r="C1472" t="s">
        <v>9</v>
      </c>
      <c r="D1472" t="str">
        <f>_xlfn.XLOOKUP(tblSales[[#This Row],[Store ID]],tblStores[Store ID],tblStores[Store Name])</f>
        <v>Cape Town CBD</v>
      </c>
      <c r="E1472" t="str">
        <f>_xlfn.XLOOKUP(tblSales[[#This Row],[Store ID]],tblStores[Store ID],tblStores[Province])</f>
        <v>Western Cape</v>
      </c>
      <c r="F1472" t="str">
        <f>_xlfn.XLOOKUP(tblSales[[#This Row],[Store ID]],tblStores[Store ID],tblStores[Manager])</f>
        <v>Brian Hall</v>
      </c>
      <c r="G1472" t="str">
        <f>_xlfn.XLOOKUP(tblSales[[#This Row],[Category ID]],tblCategories[Category ID],tblCategories[Category])</f>
        <v>Ladieswear</v>
      </c>
      <c r="H1472">
        <v>13923</v>
      </c>
      <c r="I1472">
        <v>14912</v>
      </c>
      <c r="J1472">
        <v>39</v>
      </c>
      <c r="K1472">
        <f>tblSales[[#This Row],[Sales]]-tblSales[[#This Row],[Budget]]</f>
        <v>-989</v>
      </c>
      <c r="L1472" s="3">
        <f>(tblSales[[#This Row],[Sales]]-tblSales[[#This Row],[Budget]])/tblSales[[#This Row],[Budget]]</f>
        <v>-6.632242489270386E-2</v>
      </c>
      <c r="M1472" s="2">
        <f>tblSales[[#This Row],[Sales]]/tblSales[[#This Row],[Transactions]]</f>
        <v>357</v>
      </c>
    </row>
    <row r="1473" spans="1:13" x14ac:dyDescent="0.25">
      <c r="A1473" s="1">
        <v>46096</v>
      </c>
      <c r="B1473" t="s">
        <v>21</v>
      </c>
      <c r="C1473" t="s">
        <v>22</v>
      </c>
      <c r="D1473" t="str">
        <f>_xlfn.XLOOKUP(tblSales[[#This Row],[Store ID]],tblStores[Store ID],tblStores[Store Name])</f>
        <v>Canal Walk</v>
      </c>
      <c r="E1473" t="str">
        <f>_xlfn.XLOOKUP(tblSales[[#This Row],[Store ID]],tblStores[Store ID],tblStores[Province])</f>
        <v>Western Cape</v>
      </c>
      <c r="F1473" t="str">
        <f>_xlfn.XLOOKUP(tblSales[[#This Row],[Store ID]],tblStores[Store ID],tblStores[Manager])</f>
        <v>Megan Scott</v>
      </c>
      <c r="G1473" t="str">
        <f>_xlfn.XLOOKUP(tblSales[[#This Row],[Category ID]],tblCategories[Category ID],tblCategories[Category])</f>
        <v>Kids</v>
      </c>
      <c r="H1473">
        <v>65130</v>
      </c>
      <c r="I1473">
        <v>62463</v>
      </c>
      <c r="J1473">
        <v>195</v>
      </c>
      <c r="K1473">
        <f>tblSales[[#This Row],[Sales]]-tblSales[[#This Row],[Budget]]</f>
        <v>2667</v>
      </c>
      <c r="L1473" s="3">
        <f>(tblSales[[#This Row],[Sales]]-tblSales[[#This Row],[Budget]])/tblSales[[#This Row],[Budget]]</f>
        <v>4.269727678785841E-2</v>
      </c>
      <c r="M1473" s="2">
        <f>tblSales[[#This Row],[Sales]]/tblSales[[#This Row],[Transactions]]</f>
        <v>334</v>
      </c>
    </row>
    <row r="1474" spans="1:13" x14ac:dyDescent="0.25">
      <c r="A1474" s="1">
        <v>46096</v>
      </c>
      <c r="B1474" t="s">
        <v>23</v>
      </c>
      <c r="C1474" t="s">
        <v>19</v>
      </c>
      <c r="D1474" t="str">
        <f>_xlfn.XLOOKUP(tblSales[[#This Row],[Store ID]],tblStores[Store ID],tblStores[Store Name])</f>
        <v>Stellenbosch</v>
      </c>
      <c r="E1474" t="str">
        <f>_xlfn.XLOOKUP(tblSales[[#This Row],[Store ID]],tblStores[Store ID],tblStores[Province])</f>
        <v>Western Cape</v>
      </c>
      <c r="F1474" t="str">
        <f>_xlfn.XLOOKUP(tblSales[[#This Row],[Store ID]],tblStores[Store ID],tblStores[Manager])</f>
        <v>Jason King</v>
      </c>
      <c r="G1474" t="str">
        <f>_xlfn.XLOOKUP(tblSales[[#This Row],[Category ID]],tblCategories[Category ID],tblCategories[Category])</f>
        <v>Accessories</v>
      </c>
      <c r="H1474">
        <v>22155</v>
      </c>
      <c r="I1474">
        <v>23405</v>
      </c>
      <c r="J1474">
        <v>105</v>
      </c>
      <c r="K1474">
        <f>tblSales[[#This Row],[Sales]]-tblSales[[#This Row],[Budget]]</f>
        <v>-1250</v>
      </c>
      <c r="L1474" s="3">
        <f>(tblSales[[#This Row],[Sales]]-tblSales[[#This Row],[Budget]])/tblSales[[#This Row],[Budget]]</f>
        <v>-5.3407391582995088E-2</v>
      </c>
      <c r="M1474" s="2">
        <f>tblSales[[#This Row],[Sales]]/tblSales[[#This Row],[Transactions]]</f>
        <v>211</v>
      </c>
    </row>
    <row r="1475" spans="1:13" x14ac:dyDescent="0.25">
      <c r="A1475" s="1">
        <v>46096</v>
      </c>
      <c r="B1475" t="s">
        <v>24</v>
      </c>
      <c r="C1475" t="s">
        <v>11</v>
      </c>
      <c r="D1475" t="str">
        <f>_xlfn.XLOOKUP(tblSales[[#This Row],[Store ID]],tblStores[Store ID],tblStores[Store Name])</f>
        <v>George</v>
      </c>
      <c r="E1475" t="str">
        <f>_xlfn.XLOOKUP(tblSales[[#This Row],[Store ID]],tblStores[Store ID],tblStores[Province])</f>
        <v>Western Cape</v>
      </c>
      <c r="F1475" t="str">
        <f>_xlfn.XLOOKUP(tblSales[[#This Row],[Store ID]],tblStores[Store ID],tblStores[Manager])</f>
        <v>Chloe Hill</v>
      </c>
      <c r="G1475" t="str">
        <f>_xlfn.XLOOKUP(tblSales[[#This Row],[Category ID]],tblCategories[Category ID],tblCategories[Category])</f>
        <v>Footwear</v>
      </c>
      <c r="H1475">
        <v>19488</v>
      </c>
      <c r="I1475">
        <v>22163</v>
      </c>
      <c r="J1475">
        <v>42</v>
      </c>
      <c r="K1475">
        <f>tblSales[[#This Row],[Sales]]-tblSales[[#This Row],[Budget]]</f>
        <v>-2675</v>
      </c>
      <c r="L1475" s="3">
        <f>(tblSales[[#This Row],[Sales]]-tblSales[[#This Row],[Budget]])/tblSales[[#This Row],[Budget]]</f>
        <v>-0.12069665658981185</v>
      </c>
      <c r="M1475" s="2">
        <f>tblSales[[#This Row],[Sales]]/tblSales[[#This Row],[Transactions]]</f>
        <v>464</v>
      </c>
    </row>
    <row r="1476" spans="1:13" x14ac:dyDescent="0.25">
      <c r="A1476" s="1">
        <v>46096</v>
      </c>
      <c r="B1476" t="s">
        <v>25</v>
      </c>
      <c r="C1476" t="s">
        <v>9</v>
      </c>
      <c r="D1476" t="str">
        <f>_xlfn.XLOOKUP(tblSales[[#This Row],[Store ID]],tblStores[Store ID],tblStores[Store Name])</f>
        <v>Paarl</v>
      </c>
      <c r="E1476" t="str">
        <f>_xlfn.XLOOKUP(tblSales[[#This Row],[Store ID]],tblStores[Store ID],tblStores[Province])</f>
        <v>Western Cape</v>
      </c>
      <c r="F1476" t="str">
        <f>_xlfn.XLOOKUP(tblSales[[#This Row],[Store ID]],tblStores[Store ID],tblStores[Manager])</f>
        <v>Andrew Lee</v>
      </c>
      <c r="G1476" t="str">
        <f>_xlfn.XLOOKUP(tblSales[[#This Row],[Category ID]],tblCategories[Category ID],tblCategories[Category])</f>
        <v>Ladieswear</v>
      </c>
      <c r="H1476">
        <v>25842</v>
      </c>
      <c r="I1476">
        <v>29054</v>
      </c>
      <c r="J1476">
        <v>73</v>
      </c>
      <c r="K1476">
        <f>tblSales[[#This Row],[Sales]]-tblSales[[#This Row],[Budget]]</f>
        <v>-3212</v>
      </c>
      <c r="L1476" s="3">
        <f>(tblSales[[#This Row],[Sales]]-tblSales[[#This Row],[Budget]])/tblSales[[#This Row],[Budget]]</f>
        <v>-0.11055276381909548</v>
      </c>
      <c r="M1476" s="2">
        <f>tblSales[[#This Row],[Sales]]/tblSales[[#This Row],[Transactions]]</f>
        <v>354</v>
      </c>
    </row>
    <row r="1477" spans="1:13" x14ac:dyDescent="0.25">
      <c r="A1477" s="1">
        <v>46096</v>
      </c>
      <c r="B1477" t="s">
        <v>26</v>
      </c>
      <c r="C1477" t="s">
        <v>9</v>
      </c>
      <c r="D1477" t="str">
        <f>_xlfn.XLOOKUP(tblSales[[#This Row],[Store ID]],tblStores[Store ID],tblStores[Store Name])</f>
        <v>Gqeberha</v>
      </c>
      <c r="E1477" t="str">
        <f>_xlfn.XLOOKUP(tblSales[[#This Row],[Store ID]],tblStores[Store ID],tblStores[Province])</f>
        <v>Eastern Cape</v>
      </c>
      <c r="F1477" t="str">
        <f>_xlfn.XLOOKUP(tblSales[[#This Row],[Store ID]],tblStores[Store ID],tblStores[Manager])</f>
        <v>Emma Baker</v>
      </c>
      <c r="G1477" t="str">
        <f>_xlfn.XLOOKUP(tblSales[[#This Row],[Category ID]],tblCategories[Category ID],tblCategories[Category])</f>
        <v>Ladieswear</v>
      </c>
      <c r="H1477">
        <v>21375</v>
      </c>
      <c r="I1477">
        <v>22020</v>
      </c>
      <c r="J1477">
        <v>57</v>
      </c>
      <c r="K1477">
        <f>tblSales[[#This Row],[Sales]]-tblSales[[#This Row],[Budget]]</f>
        <v>-645</v>
      </c>
      <c r="L1477" s="3">
        <f>(tblSales[[#This Row],[Sales]]-tblSales[[#This Row],[Budget]])/tblSales[[#This Row],[Budget]]</f>
        <v>-2.9291553133514985E-2</v>
      </c>
      <c r="M1477" s="2">
        <f>tblSales[[#This Row],[Sales]]/tblSales[[#This Row],[Transactions]]</f>
        <v>375</v>
      </c>
    </row>
    <row r="1478" spans="1:13" x14ac:dyDescent="0.25">
      <c r="A1478" s="1">
        <v>46096</v>
      </c>
      <c r="B1478" t="s">
        <v>27</v>
      </c>
      <c r="C1478" t="s">
        <v>19</v>
      </c>
      <c r="D1478" t="str">
        <f>_xlfn.XLOOKUP(tblSales[[#This Row],[Store ID]],tblStores[Store ID],tblStores[Store Name])</f>
        <v>East London</v>
      </c>
      <c r="E1478" t="str">
        <f>_xlfn.XLOOKUP(tblSales[[#This Row],[Store ID]],tblStores[Store ID],tblStores[Province])</f>
        <v>Eastern Cape</v>
      </c>
      <c r="F1478" t="str">
        <f>_xlfn.XLOOKUP(tblSales[[#This Row],[Store ID]],tblStores[Store ID],tblStores[Manager])</f>
        <v>Daniel Evans</v>
      </c>
      <c r="G1478" t="str">
        <f>_xlfn.XLOOKUP(tblSales[[#This Row],[Category ID]],tblCategories[Category ID],tblCategories[Category])</f>
        <v>Accessories</v>
      </c>
      <c r="H1478">
        <v>57720</v>
      </c>
      <c r="I1478">
        <v>57970</v>
      </c>
      <c r="J1478">
        <v>195</v>
      </c>
      <c r="K1478">
        <f>tblSales[[#This Row],[Sales]]-tblSales[[#This Row],[Budget]]</f>
        <v>-250</v>
      </c>
      <c r="L1478" s="3">
        <f>(tblSales[[#This Row],[Sales]]-tblSales[[#This Row],[Budget]])/tblSales[[#This Row],[Budget]]</f>
        <v>-4.3125754700707262E-3</v>
      </c>
      <c r="M1478" s="2">
        <f>tblSales[[#This Row],[Sales]]/tblSales[[#This Row],[Transactions]]</f>
        <v>296</v>
      </c>
    </row>
    <row r="1479" spans="1:13" x14ac:dyDescent="0.25">
      <c r="A1479" s="1">
        <v>46096</v>
      </c>
      <c r="B1479" t="s">
        <v>28</v>
      </c>
      <c r="C1479" t="s">
        <v>19</v>
      </c>
      <c r="D1479" t="str">
        <f>_xlfn.XLOOKUP(tblSales[[#This Row],[Store ID]],tblStores[Store ID],tblStores[Store Name])</f>
        <v>Bloemfontein</v>
      </c>
      <c r="E1479" t="str">
        <f>_xlfn.XLOOKUP(tblSales[[#This Row],[Store ID]],tblStores[Store ID],tblStores[Province])</f>
        <v>Free State</v>
      </c>
      <c r="F1479" t="str">
        <f>_xlfn.XLOOKUP(tblSales[[#This Row],[Store ID]],tblStores[Store ID],tblStores[Manager])</f>
        <v>Rachel Moore</v>
      </c>
      <c r="G1479" t="str">
        <f>_xlfn.XLOOKUP(tblSales[[#This Row],[Category ID]],tblCategories[Category ID],tblCategories[Category])</f>
        <v>Accessories</v>
      </c>
      <c r="H1479">
        <v>29452</v>
      </c>
      <c r="I1479">
        <v>33652</v>
      </c>
      <c r="J1479">
        <v>74</v>
      </c>
      <c r="K1479">
        <f>tblSales[[#This Row],[Sales]]-tblSales[[#This Row],[Budget]]</f>
        <v>-4200</v>
      </c>
      <c r="L1479" s="3">
        <f>(tblSales[[#This Row],[Sales]]-tblSales[[#This Row],[Budget]])/tblSales[[#This Row],[Budget]]</f>
        <v>-0.12480684654701057</v>
      </c>
      <c r="M1479" s="2">
        <f>tblSales[[#This Row],[Sales]]/tblSales[[#This Row],[Transactions]]</f>
        <v>398</v>
      </c>
    </row>
    <row r="1480" spans="1:13" x14ac:dyDescent="0.25">
      <c r="A1480" s="1">
        <v>46096</v>
      </c>
      <c r="B1480" t="s">
        <v>29</v>
      </c>
      <c r="C1480" t="s">
        <v>19</v>
      </c>
      <c r="D1480" t="str">
        <f>_xlfn.XLOOKUP(tblSales[[#This Row],[Store ID]],tblStores[Store ID],tblStores[Store Name])</f>
        <v>Polokwane</v>
      </c>
      <c r="E1480" t="str">
        <f>_xlfn.XLOOKUP(tblSales[[#This Row],[Store ID]],tblStores[Store ID],tblStores[Province])</f>
        <v>Limpopo</v>
      </c>
      <c r="F1480" t="str">
        <f>_xlfn.XLOOKUP(tblSales[[#This Row],[Store ID]],tblStores[Store ID],tblStores[Manager])</f>
        <v>Kevin Harris</v>
      </c>
      <c r="G1480" t="str">
        <f>_xlfn.XLOOKUP(tblSales[[#This Row],[Category ID]],tblCategories[Category ID],tblCategories[Category])</f>
        <v>Accessories</v>
      </c>
      <c r="H1480">
        <v>48671</v>
      </c>
      <c r="I1480">
        <v>50401</v>
      </c>
      <c r="J1480">
        <v>119</v>
      </c>
      <c r="K1480">
        <f>tblSales[[#This Row],[Sales]]-tblSales[[#This Row],[Budget]]</f>
        <v>-1730</v>
      </c>
      <c r="L1480" s="3">
        <f>(tblSales[[#This Row],[Sales]]-tblSales[[#This Row],[Budget]])/tblSales[[#This Row],[Budget]]</f>
        <v>-3.4324715779448824E-2</v>
      </c>
      <c r="M1480" s="2">
        <f>tblSales[[#This Row],[Sales]]/tblSales[[#This Row],[Transactions]]</f>
        <v>409</v>
      </c>
    </row>
    <row r="1481" spans="1:13" x14ac:dyDescent="0.25">
      <c r="A1481" s="1">
        <v>46096</v>
      </c>
      <c r="B1481" t="s">
        <v>30</v>
      </c>
      <c r="C1481" t="s">
        <v>9</v>
      </c>
      <c r="D1481" t="str">
        <f>_xlfn.XLOOKUP(tblSales[[#This Row],[Store ID]],tblStores[Store ID],tblStores[Store Name])</f>
        <v>Nelspruit</v>
      </c>
      <c r="E1481" t="str">
        <f>_xlfn.XLOOKUP(tblSales[[#This Row],[Store ID]],tblStores[Store ID],tblStores[Province])</f>
        <v>Mpumalanga</v>
      </c>
      <c r="F1481" t="str">
        <f>_xlfn.XLOOKUP(tblSales[[#This Row],[Store ID]],tblStores[Store ID],tblStores[Manager])</f>
        <v>Olivia Turner</v>
      </c>
      <c r="G1481" t="str">
        <f>_xlfn.XLOOKUP(tblSales[[#This Row],[Category ID]],tblCategories[Category ID],tblCategories[Category])</f>
        <v>Ladieswear</v>
      </c>
      <c r="H1481">
        <v>50500</v>
      </c>
      <c r="I1481">
        <v>52785</v>
      </c>
      <c r="J1481">
        <v>202</v>
      </c>
      <c r="K1481">
        <f>tblSales[[#This Row],[Sales]]-tblSales[[#This Row],[Budget]]</f>
        <v>-2285</v>
      </c>
      <c r="L1481" s="3">
        <f>(tblSales[[#This Row],[Sales]]-tblSales[[#This Row],[Budget]])/tblSales[[#This Row],[Budget]]</f>
        <v>-4.3288813109784975E-2</v>
      </c>
      <c r="M1481" s="2">
        <f>tblSales[[#This Row],[Sales]]/tblSales[[#This Row],[Transactions]]</f>
        <v>250</v>
      </c>
    </row>
    <row r="1482" spans="1:13" x14ac:dyDescent="0.25">
      <c r="A1482" s="1">
        <v>46097</v>
      </c>
      <c r="B1482" t="s">
        <v>6</v>
      </c>
      <c r="C1482" t="s">
        <v>9</v>
      </c>
      <c r="D1482" t="str">
        <f>_xlfn.XLOOKUP(tblSales[[#This Row],[Store ID]],tblStores[Store ID],tblStores[Store Name])</f>
        <v>Durban CBD</v>
      </c>
      <c r="E1482" t="str">
        <f>_xlfn.XLOOKUP(tblSales[[#This Row],[Store ID]],tblStores[Store ID],tblStores[Province])</f>
        <v>KZN</v>
      </c>
      <c r="F1482" t="str">
        <f>_xlfn.XLOOKUP(tblSales[[#This Row],[Store ID]],tblStores[Store ID],tblStores[Manager])</f>
        <v>Sarah Adams</v>
      </c>
      <c r="G1482" t="str">
        <f>_xlfn.XLOOKUP(tblSales[[#This Row],[Category ID]],tblCategories[Category ID],tblCategories[Category])</f>
        <v>Ladieswear</v>
      </c>
      <c r="H1482">
        <v>23660</v>
      </c>
      <c r="I1482">
        <v>25366</v>
      </c>
      <c r="J1482">
        <v>70</v>
      </c>
      <c r="K1482">
        <f>tblSales[[#This Row],[Sales]]-tblSales[[#This Row],[Budget]]</f>
        <v>-1706</v>
      </c>
      <c r="L1482" s="3">
        <f>(tblSales[[#This Row],[Sales]]-tblSales[[#This Row],[Budget]])/tblSales[[#This Row],[Budget]]</f>
        <v>-6.725538121895451E-2</v>
      </c>
      <c r="M1482" s="2">
        <f>tblSales[[#This Row],[Sales]]/tblSales[[#This Row],[Transactions]]</f>
        <v>338</v>
      </c>
    </row>
    <row r="1483" spans="1:13" x14ac:dyDescent="0.25">
      <c r="A1483" s="1">
        <v>46097</v>
      </c>
      <c r="B1483" t="s">
        <v>8</v>
      </c>
      <c r="C1483" t="s">
        <v>19</v>
      </c>
      <c r="D1483" t="str">
        <f>_xlfn.XLOOKUP(tblSales[[#This Row],[Store ID]],tblStores[Store ID],tblStores[Store Name])</f>
        <v>Gateway</v>
      </c>
      <c r="E1483" t="str">
        <f>_xlfn.XLOOKUP(tblSales[[#This Row],[Store ID]],tblStores[Store ID],tblStores[Province])</f>
        <v>KZN</v>
      </c>
      <c r="F1483" t="str">
        <f>_xlfn.XLOOKUP(tblSales[[#This Row],[Store ID]],tblStores[Store ID],tblStores[Manager])</f>
        <v>Michael Jones</v>
      </c>
      <c r="G1483" t="str">
        <f>_xlfn.XLOOKUP(tblSales[[#This Row],[Category ID]],tblCategories[Category ID],tblCategories[Category])</f>
        <v>Accessories</v>
      </c>
      <c r="H1483">
        <v>27600</v>
      </c>
      <c r="I1483">
        <v>31710</v>
      </c>
      <c r="J1483">
        <v>69</v>
      </c>
      <c r="K1483">
        <f>tblSales[[#This Row],[Sales]]-tblSales[[#This Row],[Budget]]</f>
        <v>-4110</v>
      </c>
      <c r="L1483" s="3">
        <f>(tblSales[[#This Row],[Sales]]-tblSales[[#This Row],[Budget]])/tblSales[[#This Row],[Budget]]</f>
        <v>-0.12961210974456008</v>
      </c>
      <c r="M1483" s="2">
        <f>tblSales[[#This Row],[Sales]]/tblSales[[#This Row],[Transactions]]</f>
        <v>400</v>
      </c>
    </row>
    <row r="1484" spans="1:13" x14ac:dyDescent="0.25">
      <c r="A1484" s="1">
        <v>46097</v>
      </c>
      <c r="B1484" t="s">
        <v>10</v>
      </c>
      <c r="C1484" t="s">
        <v>9</v>
      </c>
      <c r="D1484" t="str">
        <f>_xlfn.XLOOKUP(tblSales[[#This Row],[Store ID]],tblStores[Store ID],tblStores[Store Name])</f>
        <v>Ballito</v>
      </c>
      <c r="E1484" t="str">
        <f>_xlfn.XLOOKUP(tblSales[[#This Row],[Store ID]],tblStores[Store ID],tblStores[Province])</f>
        <v>KZN</v>
      </c>
      <c r="F1484" t="str">
        <f>_xlfn.XLOOKUP(tblSales[[#This Row],[Store ID]],tblStores[Store ID],tblStores[Manager])</f>
        <v>Linda Smith</v>
      </c>
      <c r="G1484" t="str">
        <f>_xlfn.XLOOKUP(tblSales[[#This Row],[Category ID]],tblCategories[Category ID],tblCategories[Category])</f>
        <v>Ladieswear</v>
      </c>
      <c r="H1484">
        <v>94738</v>
      </c>
      <c r="I1484">
        <v>106985</v>
      </c>
      <c r="J1484">
        <v>202</v>
      </c>
      <c r="K1484">
        <f>tblSales[[#This Row],[Sales]]-tblSales[[#This Row],[Budget]]</f>
        <v>-12247</v>
      </c>
      <c r="L1484" s="3">
        <f>(tblSales[[#This Row],[Sales]]-tblSales[[#This Row],[Budget]])/tblSales[[#This Row],[Budget]]</f>
        <v>-0.11447399168107679</v>
      </c>
      <c r="M1484" s="2">
        <f>tblSales[[#This Row],[Sales]]/tblSales[[#This Row],[Transactions]]</f>
        <v>469</v>
      </c>
    </row>
    <row r="1485" spans="1:13" x14ac:dyDescent="0.25">
      <c r="A1485" s="1">
        <v>46097</v>
      </c>
      <c r="B1485" t="s">
        <v>12</v>
      </c>
      <c r="C1485" t="s">
        <v>22</v>
      </c>
      <c r="D1485" t="str">
        <f>_xlfn.XLOOKUP(tblSales[[#This Row],[Store ID]],tblStores[Store ID],tblStores[Store Name])</f>
        <v>Pietermaritzburg</v>
      </c>
      <c r="E1485" t="str">
        <f>_xlfn.XLOOKUP(tblSales[[#This Row],[Store ID]],tblStores[Store ID],tblStores[Province])</f>
        <v>KZN</v>
      </c>
      <c r="F1485" t="str">
        <f>_xlfn.XLOOKUP(tblSales[[#This Row],[Store ID]],tblStores[Store ID],tblStores[Manager])</f>
        <v>Peter Brown</v>
      </c>
      <c r="G1485" t="str">
        <f>_xlfn.XLOOKUP(tblSales[[#This Row],[Category ID]],tblCategories[Category ID],tblCategories[Category])</f>
        <v>Kids</v>
      </c>
      <c r="H1485">
        <v>24180</v>
      </c>
      <c r="I1485">
        <v>24983</v>
      </c>
      <c r="J1485">
        <v>52</v>
      </c>
      <c r="K1485">
        <f>tblSales[[#This Row],[Sales]]-tblSales[[#This Row],[Budget]]</f>
        <v>-803</v>
      </c>
      <c r="L1485" s="3">
        <f>(tblSales[[#This Row],[Sales]]-tblSales[[#This Row],[Budget]])/tblSales[[#This Row],[Budget]]</f>
        <v>-3.2141856462394432E-2</v>
      </c>
      <c r="M1485" s="2">
        <f>tblSales[[#This Row],[Sales]]/tblSales[[#This Row],[Transactions]]</f>
        <v>465</v>
      </c>
    </row>
    <row r="1486" spans="1:13" x14ac:dyDescent="0.25">
      <c r="A1486" s="1">
        <v>46097</v>
      </c>
      <c r="B1486" t="s">
        <v>13</v>
      </c>
      <c r="C1486" t="s">
        <v>7</v>
      </c>
      <c r="D1486" t="str">
        <f>_xlfn.XLOOKUP(tblSales[[#This Row],[Store ID]],tblStores[Store ID],tblStores[Store Name])</f>
        <v>Richards Bay</v>
      </c>
      <c r="E1486" t="str">
        <f>_xlfn.XLOOKUP(tblSales[[#This Row],[Store ID]],tblStores[Store ID],tblStores[Province])</f>
        <v>KZN</v>
      </c>
      <c r="F1486" t="str">
        <f>_xlfn.XLOOKUP(tblSales[[#This Row],[Store ID]],tblStores[Store ID],tblStores[Manager])</f>
        <v>David Green</v>
      </c>
      <c r="G1486" t="str">
        <f>_xlfn.XLOOKUP(tblSales[[#This Row],[Category ID]],tblCategories[Category ID],tblCategories[Category])</f>
        <v>Menswear</v>
      </c>
      <c r="H1486">
        <v>28044</v>
      </c>
      <c r="I1486">
        <v>31125</v>
      </c>
      <c r="J1486">
        <v>82</v>
      </c>
      <c r="K1486">
        <f>tblSales[[#This Row],[Sales]]-tblSales[[#This Row],[Budget]]</f>
        <v>-3081</v>
      </c>
      <c r="L1486" s="3">
        <f>(tblSales[[#This Row],[Sales]]-tblSales[[#This Row],[Budget]])/tblSales[[#This Row],[Budget]]</f>
        <v>-9.8987951807228913E-2</v>
      </c>
      <c r="M1486" s="2">
        <f>tblSales[[#This Row],[Sales]]/tblSales[[#This Row],[Transactions]]</f>
        <v>342</v>
      </c>
    </row>
    <row r="1487" spans="1:13" x14ac:dyDescent="0.25">
      <c r="A1487" s="1">
        <v>46097</v>
      </c>
      <c r="B1487" t="s">
        <v>14</v>
      </c>
      <c r="C1487" t="s">
        <v>9</v>
      </c>
      <c r="D1487" t="str">
        <f>_xlfn.XLOOKUP(tblSales[[#This Row],[Store ID]],tblStores[Store ID],tblStores[Store Name])</f>
        <v>Sandton</v>
      </c>
      <c r="E1487" t="str">
        <f>_xlfn.XLOOKUP(tblSales[[#This Row],[Store ID]],tblStores[Store ID],tblStores[Province])</f>
        <v>Gauteng</v>
      </c>
      <c r="F1487" t="str">
        <f>_xlfn.XLOOKUP(tblSales[[#This Row],[Store ID]],tblStores[Store ID],tblStores[Manager])</f>
        <v>Karen White</v>
      </c>
      <c r="G1487" t="str">
        <f>_xlfn.XLOOKUP(tblSales[[#This Row],[Category ID]],tblCategories[Category ID],tblCategories[Category])</f>
        <v>Ladieswear</v>
      </c>
      <c r="H1487">
        <v>14406</v>
      </c>
      <c r="I1487">
        <v>16135</v>
      </c>
      <c r="J1487">
        <v>42</v>
      </c>
      <c r="K1487">
        <f>tblSales[[#This Row],[Sales]]-tblSales[[#This Row],[Budget]]</f>
        <v>-1729</v>
      </c>
      <c r="L1487" s="3">
        <f>(tblSales[[#This Row],[Sales]]-tblSales[[#This Row],[Budget]])/tblSales[[#This Row],[Budget]]</f>
        <v>-0.10715835140997831</v>
      </c>
      <c r="M1487" s="2">
        <f>tblSales[[#This Row],[Sales]]/tblSales[[#This Row],[Transactions]]</f>
        <v>343</v>
      </c>
    </row>
    <row r="1488" spans="1:13" x14ac:dyDescent="0.25">
      <c r="A1488" s="1">
        <v>46097</v>
      </c>
      <c r="B1488" t="s">
        <v>15</v>
      </c>
      <c r="C1488" t="s">
        <v>11</v>
      </c>
      <c r="D1488" t="str">
        <f>_xlfn.XLOOKUP(tblSales[[#This Row],[Store ID]],tblStores[Store ID],tblStores[Store Name])</f>
        <v>Rosebank</v>
      </c>
      <c r="E1488" t="str">
        <f>_xlfn.XLOOKUP(tblSales[[#This Row],[Store ID]],tblStores[Store ID],tblStores[Province])</f>
        <v>Gauteng</v>
      </c>
      <c r="F1488" t="str">
        <f>_xlfn.XLOOKUP(tblSales[[#This Row],[Store ID]],tblStores[Store ID],tblStores[Manager])</f>
        <v>James Taylor</v>
      </c>
      <c r="G1488" t="str">
        <f>_xlfn.XLOOKUP(tblSales[[#This Row],[Category ID]],tblCategories[Category ID],tblCategories[Category])</f>
        <v>Footwear</v>
      </c>
      <c r="H1488">
        <v>46900</v>
      </c>
      <c r="I1488">
        <v>47404</v>
      </c>
      <c r="J1488">
        <v>140</v>
      </c>
      <c r="K1488">
        <f>tblSales[[#This Row],[Sales]]-tblSales[[#This Row],[Budget]]</f>
        <v>-504</v>
      </c>
      <c r="L1488" s="3">
        <f>(tblSales[[#This Row],[Sales]]-tblSales[[#This Row],[Budget]])/tblSales[[#This Row],[Budget]]</f>
        <v>-1.0632014176018901E-2</v>
      </c>
      <c r="M1488" s="2">
        <f>tblSales[[#This Row],[Sales]]/tblSales[[#This Row],[Transactions]]</f>
        <v>335</v>
      </c>
    </row>
    <row r="1489" spans="1:13" x14ac:dyDescent="0.25">
      <c r="A1489" s="1">
        <v>46097</v>
      </c>
      <c r="B1489" t="s">
        <v>16</v>
      </c>
      <c r="C1489" t="s">
        <v>22</v>
      </c>
      <c r="D1489" t="str">
        <f>_xlfn.XLOOKUP(tblSales[[#This Row],[Store ID]],tblStores[Store ID],tblStores[Store Name])</f>
        <v>Pretoria</v>
      </c>
      <c r="E1489" t="str">
        <f>_xlfn.XLOOKUP(tblSales[[#This Row],[Store ID]],tblStores[Store ID],tblStores[Province])</f>
        <v>Gauteng</v>
      </c>
      <c r="F1489" t="str">
        <f>_xlfn.XLOOKUP(tblSales[[#This Row],[Store ID]],tblStores[Store ID],tblStores[Manager])</f>
        <v>Susan Clark</v>
      </c>
      <c r="G1489" t="str">
        <f>_xlfn.XLOOKUP(tblSales[[#This Row],[Category ID]],tblCategories[Category ID],tblCategories[Category])</f>
        <v>Kids</v>
      </c>
      <c r="H1489">
        <v>20148</v>
      </c>
      <c r="I1489">
        <v>18671</v>
      </c>
      <c r="J1489">
        <v>73</v>
      </c>
      <c r="K1489">
        <f>tblSales[[#This Row],[Sales]]-tblSales[[#This Row],[Budget]]</f>
        <v>1477</v>
      </c>
      <c r="L1489" s="3">
        <f>(tblSales[[#This Row],[Sales]]-tblSales[[#This Row],[Budget]])/tblSales[[#This Row],[Budget]]</f>
        <v>7.9106635959509397E-2</v>
      </c>
      <c r="M1489" s="2">
        <f>tblSales[[#This Row],[Sales]]/tblSales[[#This Row],[Transactions]]</f>
        <v>276</v>
      </c>
    </row>
    <row r="1490" spans="1:13" x14ac:dyDescent="0.25">
      <c r="A1490" s="1">
        <v>46097</v>
      </c>
      <c r="B1490" t="s">
        <v>17</v>
      </c>
      <c r="C1490" t="s">
        <v>9</v>
      </c>
      <c r="D1490" t="str">
        <f>_xlfn.XLOOKUP(tblSales[[#This Row],[Store ID]],tblStores[Store ID],tblStores[Store Name])</f>
        <v>Centurion</v>
      </c>
      <c r="E1490" t="str">
        <f>_xlfn.XLOOKUP(tblSales[[#This Row],[Store ID]],tblStores[Store ID],tblStores[Province])</f>
        <v>Gauteng</v>
      </c>
      <c r="F1490" t="str">
        <f>_xlfn.XLOOKUP(tblSales[[#This Row],[Store ID]],tblStores[Store ID],tblStores[Manager])</f>
        <v>Mark Wilson</v>
      </c>
      <c r="G1490" t="str">
        <f>_xlfn.XLOOKUP(tblSales[[#This Row],[Category ID]],tblCategories[Category ID],tblCategories[Category])</f>
        <v>Ladieswear</v>
      </c>
      <c r="H1490">
        <v>20213</v>
      </c>
      <c r="I1490">
        <v>21309</v>
      </c>
      <c r="J1490">
        <v>41</v>
      </c>
      <c r="K1490">
        <f>tblSales[[#This Row],[Sales]]-tblSales[[#This Row],[Budget]]</f>
        <v>-1096</v>
      </c>
      <c r="L1490" s="3">
        <f>(tblSales[[#This Row],[Sales]]-tblSales[[#This Row],[Budget]])/tblSales[[#This Row],[Budget]]</f>
        <v>-5.1433666525881085E-2</v>
      </c>
      <c r="M1490" s="2">
        <f>tblSales[[#This Row],[Sales]]/tblSales[[#This Row],[Transactions]]</f>
        <v>493</v>
      </c>
    </row>
    <row r="1491" spans="1:13" x14ac:dyDescent="0.25">
      <c r="A1491" s="1">
        <v>46097</v>
      </c>
      <c r="B1491" t="s">
        <v>18</v>
      </c>
      <c r="C1491" t="s">
        <v>19</v>
      </c>
      <c r="D1491" t="str">
        <f>_xlfn.XLOOKUP(tblSales[[#This Row],[Store ID]],tblStores[Store ID],tblStores[Store Name])</f>
        <v>East Rand</v>
      </c>
      <c r="E1491" t="str">
        <f>_xlfn.XLOOKUP(tblSales[[#This Row],[Store ID]],tblStores[Store ID],tblStores[Province])</f>
        <v>Gauteng</v>
      </c>
      <c r="F1491" t="str">
        <f>_xlfn.XLOOKUP(tblSales[[#This Row],[Store ID]],tblStores[Store ID],tblStores[Manager])</f>
        <v>Lisa Young</v>
      </c>
      <c r="G1491" t="str">
        <f>_xlfn.XLOOKUP(tblSales[[#This Row],[Category ID]],tblCategories[Category ID],tblCategories[Category])</f>
        <v>Accessories</v>
      </c>
      <c r="H1491">
        <v>88740</v>
      </c>
      <c r="I1491">
        <v>84988</v>
      </c>
      <c r="J1491">
        <v>180</v>
      </c>
      <c r="K1491">
        <f>tblSales[[#This Row],[Sales]]-tblSales[[#This Row],[Budget]]</f>
        <v>3752</v>
      </c>
      <c r="L1491" s="3">
        <f>(tblSales[[#This Row],[Sales]]-tblSales[[#This Row],[Budget]])/tblSales[[#This Row],[Budget]]</f>
        <v>4.4147409045982959E-2</v>
      </c>
      <c r="M1491" s="2">
        <f>tblSales[[#This Row],[Sales]]/tblSales[[#This Row],[Transactions]]</f>
        <v>493</v>
      </c>
    </row>
    <row r="1492" spans="1:13" x14ac:dyDescent="0.25">
      <c r="A1492" s="1">
        <v>46097</v>
      </c>
      <c r="B1492" t="s">
        <v>20</v>
      </c>
      <c r="C1492" t="s">
        <v>9</v>
      </c>
      <c r="D1492" t="str">
        <f>_xlfn.XLOOKUP(tblSales[[#This Row],[Store ID]],tblStores[Store ID],tblStores[Store Name])</f>
        <v>Cape Town CBD</v>
      </c>
      <c r="E1492" t="str">
        <f>_xlfn.XLOOKUP(tblSales[[#This Row],[Store ID]],tblStores[Store ID],tblStores[Province])</f>
        <v>Western Cape</v>
      </c>
      <c r="F1492" t="str">
        <f>_xlfn.XLOOKUP(tblSales[[#This Row],[Store ID]],tblStores[Store ID],tblStores[Manager])</f>
        <v>Brian Hall</v>
      </c>
      <c r="G1492" t="str">
        <f>_xlfn.XLOOKUP(tblSales[[#This Row],[Category ID]],tblCategories[Category ID],tblCategories[Category])</f>
        <v>Ladieswear</v>
      </c>
      <c r="H1492">
        <v>18142</v>
      </c>
      <c r="I1492">
        <v>17957</v>
      </c>
      <c r="J1492">
        <v>94</v>
      </c>
      <c r="K1492">
        <f>tblSales[[#This Row],[Sales]]-tblSales[[#This Row],[Budget]]</f>
        <v>185</v>
      </c>
      <c r="L1492" s="3">
        <f>(tblSales[[#This Row],[Sales]]-tblSales[[#This Row],[Budget]])/tblSales[[#This Row],[Budget]]</f>
        <v>1.0302389040485605E-2</v>
      </c>
      <c r="M1492" s="2">
        <f>tblSales[[#This Row],[Sales]]/tblSales[[#This Row],[Transactions]]</f>
        <v>193</v>
      </c>
    </row>
    <row r="1493" spans="1:13" x14ac:dyDescent="0.25">
      <c r="A1493" s="1">
        <v>46097</v>
      </c>
      <c r="B1493" t="s">
        <v>21</v>
      </c>
      <c r="C1493" t="s">
        <v>11</v>
      </c>
      <c r="D1493" t="str">
        <f>_xlfn.XLOOKUP(tblSales[[#This Row],[Store ID]],tblStores[Store ID],tblStores[Store Name])</f>
        <v>Canal Walk</v>
      </c>
      <c r="E1493" t="str">
        <f>_xlfn.XLOOKUP(tblSales[[#This Row],[Store ID]],tblStores[Store ID],tblStores[Province])</f>
        <v>Western Cape</v>
      </c>
      <c r="F1493" t="str">
        <f>_xlfn.XLOOKUP(tblSales[[#This Row],[Store ID]],tblStores[Store ID],tblStores[Manager])</f>
        <v>Megan Scott</v>
      </c>
      <c r="G1493" t="str">
        <f>_xlfn.XLOOKUP(tblSales[[#This Row],[Category ID]],tblCategories[Category ID],tblCategories[Category])</f>
        <v>Footwear</v>
      </c>
      <c r="H1493">
        <v>30153</v>
      </c>
      <c r="I1493">
        <v>33516</v>
      </c>
      <c r="J1493">
        <v>69</v>
      </c>
      <c r="K1493">
        <f>tblSales[[#This Row],[Sales]]-tblSales[[#This Row],[Budget]]</f>
        <v>-3363</v>
      </c>
      <c r="L1493" s="3">
        <f>(tblSales[[#This Row],[Sales]]-tblSales[[#This Row],[Budget]])/tblSales[[#This Row],[Budget]]</f>
        <v>-0.10034013605442177</v>
      </c>
      <c r="M1493" s="2">
        <f>tblSales[[#This Row],[Sales]]/tblSales[[#This Row],[Transactions]]</f>
        <v>437</v>
      </c>
    </row>
    <row r="1494" spans="1:13" x14ac:dyDescent="0.25">
      <c r="A1494" s="1">
        <v>46097</v>
      </c>
      <c r="B1494" t="s">
        <v>23</v>
      </c>
      <c r="C1494" t="s">
        <v>11</v>
      </c>
      <c r="D1494" t="str">
        <f>_xlfn.XLOOKUP(tblSales[[#This Row],[Store ID]],tblStores[Store ID],tblStores[Store Name])</f>
        <v>Stellenbosch</v>
      </c>
      <c r="E1494" t="str">
        <f>_xlfn.XLOOKUP(tblSales[[#This Row],[Store ID]],tblStores[Store ID],tblStores[Province])</f>
        <v>Western Cape</v>
      </c>
      <c r="F1494" t="str">
        <f>_xlfn.XLOOKUP(tblSales[[#This Row],[Store ID]],tblStores[Store ID],tblStores[Manager])</f>
        <v>Jason King</v>
      </c>
      <c r="G1494" t="str">
        <f>_xlfn.XLOOKUP(tblSales[[#This Row],[Category ID]],tblCategories[Category ID],tblCategories[Category])</f>
        <v>Footwear</v>
      </c>
      <c r="H1494">
        <v>111104</v>
      </c>
      <c r="I1494">
        <v>110380</v>
      </c>
      <c r="J1494">
        <v>217</v>
      </c>
      <c r="K1494">
        <f>tblSales[[#This Row],[Sales]]-tblSales[[#This Row],[Budget]]</f>
        <v>724</v>
      </c>
      <c r="L1494" s="3">
        <f>(tblSales[[#This Row],[Sales]]-tblSales[[#This Row],[Budget]])/tblSales[[#This Row],[Budget]]</f>
        <v>6.5591592679833301E-3</v>
      </c>
      <c r="M1494" s="2">
        <f>tblSales[[#This Row],[Sales]]/tblSales[[#This Row],[Transactions]]</f>
        <v>512</v>
      </c>
    </row>
    <row r="1495" spans="1:13" x14ac:dyDescent="0.25">
      <c r="A1495" s="1">
        <v>46097</v>
      </c>
      <c r="B1495" t="s">
        <v>24</v>
      </c>
      <c r="C1495" t="s">
        <v>11</v>
      </c>
      <c r="D1495" t="str">
        <f>_xlfn.XLOOKUP(tblSales[[#This Row],[Store ID]],tblStores[Store ID],tblStores[Store Name])</f>
        <v>George</v>
      </c>
      <c r="E1495" t="str">
        <f>_xlfn.XLOOKUP(tblSales[[#This Row],[Store ID]],tblStores[Store ID],tblStores[Province])</f>
        <v>Western Cape</v>
      </c>
      <c r="F1495" t="str">
        <f>_xlfn.XLOOKUP(tblSales[[#This Row],[Store ID]],tblStores[Store ID],tblStores[Manager])</f>
        <v>Chloe Hill</v>
      </c>
      <c r="G1495" t="str">
        <f>_xlfn.XLOOKUP(tblSales[[#This Row],[Category ID]],tblCategories[Category ID],tblCategories[Category])</f>
        <v>Footwear</v>
      </c>
      <c r="H1495">
        <v>67520</v>
      </c>
      <c r="I1495">
        <v>63089</v>
      </c>
      <c r="J1495">
        <v>160</v>
      </c>
      <c r="K1495">
        <f>tblSales[[#This Row],[Sales]]-tblSales[[#This Row],[Budget]]</f>
        <v>4431</v>
      </c>
      <c r="L1495" s="3">
        <f>(tblSales[[#This Row],[Sales]]-tblSales[[#This Row],[Budget]])/tblSales[[#This Row],[Budget]]</f>
        <v>7.0234113712374577E-2</v>
      </c>
      <c r="M1495" s="2">
        <f>tblSales[[#This Row],[Sales]]/tblSales[[#This Row],[Transactions]]</f>
        <v>422</v>
      </c>
    </row>
    <row r="1496" spans="1:13" x14ac:dyDescent="0.25">
      <c r="A1496" s="1">
        <v>46097</v>
      </c>
      <c r="B1496" t="s">
        <v>25</v>
      </c>
      <c r="C1496" t="s">
        <v>9</v>
      </c>
      <c r="D1496" t="str">
        <f>_xlfn.XLOOKUP(tblSales[[#This Row],[Store ID]],tblStores[Store ID],tblStores[Store Name])</f>
        <v>Paarl</v>
      </c>
      <c r="E1496" t="str">
        <f>_xlfn.XLOOKUP(tblSales[[#This Row],[Store ID]],tblStores[Store ID],tblStores[Province])</f>
        <v>Western Cape</v>
      </c>
      <c r="F1496" t="str">
        <f>_xlfn.XLOOKUP(tblSales[[#This Row],[Store ID]],tblStores[Store ID],tblStores[Manager])</f>
        <v>Andrew Lee</v>
      </c>
      <c r="G1496" t="str">
        <f>_xlfn.XLOOKUP(tblSales[[#This Row],[Category ID]],tblCategories[Category ID],tblCategories[Category])</f>
        <v>Ladieswear</v>
      </c>
      <c r="H1496">
        <v>18032</v>
      </c>
      <c r="I1496">
        <v>18070</v>
      </c>
      <c r="J1496">
        <v>92</v>
      </c>
      <c r="K1496">
        <f>tblSales[[#This Row],[Sales]]-tblSales[[#This Row],[Budget]]</f>
        <v>-38</v>
      </c>
      <c r="L1496" s="3">
        <f>(tblSales[[#This Row],[Sales]]-tblSales[[#This Row],[Budget]])/tblSales[[#This Row],[Budget]]</f>
        <v>-2.1029330381848368E-3</v>
      </c>
      <c r="M1496" s="2">
        <f>tblSales[[#This Row],[Sales]]/tblSales[[#This Row],[Transactions]]</f>
        <v>196</v>
      </c>
    </row>
    <row r="1497" spans="1:13" x14ac:dyDescent="0.25">
      <c r="A1497" s="1">
        <v>46097</v>
      </c>
      <c r="B1497" t="s">
        <v>26</v>
      </c>
      <c r="C1497" t="s">
        <v>7</v>
      </c>
      <c r="D1497" t="str">
        <f>_xlfn.XLOOKUP(tblSales[[#This Row],[Store ID]],tblStores[Store ID],tblStores[Store Name])</f>
        <v>Gqeberha</v>
      </c>
      <c r="E1497" t="str">
        <f>_xlfn.XLOOKUP(tblSales[[#This Row],[Store ID]],tblStores[Store ID],tblStores[Province])</f>
        <v>Eastern Cape</v>
      </c>
      <c r="F1497" t="str">
        <f>_xlfn.XLOOKUP(tblSales[[#This Row],[Store ID]],tblStores[Store ID],tblStores[Manager])</f>
        <v>Emma Baker</v>
      </c>
      <c r="G1497" t="str">
        <f>_xlfn.XLOOKUP(tblSales[[#This Row],[Category ID]],tblCategories[Category ID],tblCategories[Category])</f>
        <v>Menswear</v>
      </c>
      <c r="H1497">
        <v>40664</v>
      </c>
      <c r="I1497">
        <v>38860</v>
      </c>
      <c r="J1497">
        <v>104</v>
      </c>
      <c r="K1497">
        <f>tblSales[[#This Row],[Sales]]-tblSales[[#This Row],[Budget]]</f>
        <v>1804</v>
      </c>
      <c r="L1497" s="3">
        <f>(tblSales[[#This Row],[Sales]]-tblSales[[#This Row],[Budget]])/tblSales[[#This Row],[Budget]]</f>
        <v>4.642305712815234E-2</v>
      </c>
      <c r="M1497" s="2">
        <f>tblSales[[#This Row],[Sales]]/tblSales[[#This Row],[Transactions]]</f>
        <v>391</v>
      </c>
    </row>
    <row r="1498" spans="1:13" x14ac:dyDescent="0.25">
      <c r="A1498" s="1">
        <v>46097</v>
      </c>
      <c r="B1498" t="s">
        <v>27</v>
      </c>
      <c r="C1498" t="s">
        <v>9</v>
      </c>
      <c r="D1498" t="str">
        <f>_xlfn.XLOOKUP(tblSales[[#This Row],[Store ID]],tblStores[Store ID],tblStores[Store Name])</f>
        <v>East London</v>
      </c>
      <c r="E1498" t="str">
        <f>_xlfn.XLOOKUP(tblSales[[#This Row],[Store ID]],tblStores[Store ID],tblStores[Province])</f>
        <v>Eastern Cape</v>
      </c>
      <c r="F1498" t="str">
        <f>_xlfn.XLOOKUP(tblSales[[#This Row],[Store ID]],tblStores[Store ID],tblStores[Manager])</f>
        <v>Daniel Evans</v>
      </c>
      <c r="G1498" t="str">
        <f>_xlfn.XLOOKUP(tblSales[[#This Row],[Category ID]],tblCategories[Category ID],tblCategories[Category])</f>
        <v>Ladieswear</v>
      </c>
      <c r="H1498">
        <v>18531</v>
      </c>
      <c r="I1498">
        <v>17498</v>
      </c>
      <c r="J1498">
        <v>87</v>
      </c>
      <c r="K1498">
        <f>tblSales[[#This Row],[Sales]]-tblSales[[#This Row],[Budget]]</f>
        <v>1033</v>
      </c>
      <c r="L1498" s="3">
        <f>(tblSales[[#This Row],[Sales]]-tblSales[[#This Row],[Budget]])/tblSales[[#This Row],[Budget]]</f>
        <v>5.9035318322093952E-2</v>
      </c>
      <c r="M1498" s="2">
        <f>tblSales[[#This Row],[Sales]]/tblSales[[#This Row],[Transactions]]</f>
        <v>213</v>
      </c>
    </row>
    <row r="1499" spans="1:13" x14ac:dyDescent="0.25">
      <c r="A1499" s="1">
        <v>46097</v>
      </c>
      <c r="B1499" t="s">
        <v>28</v>
      </c>
      <c r="C1499" t="s">
        <v>11</v>
      </c>
      <c r="D1499" t="str">
        <f>_xlfn.XLOOKUP(tblSales[[#This Row],[Store ID]],tblStores[Store ID],tblStores[Store Name])</f>
        <v>Bloemfontein</v>
      </c>
      <c r="E1499" t="str">
        <f>_xlfn.XLOOKUP(tblSales[[#This Row],[Store ID]],tblStores[Store ID],tblStores[Province])</f>
        <v>Free State</v>
      </c>
      <c r="F1499" t="str">
        <f>_xlfn.XLOOKUP(tblSales[[#This Row],[Store ID]],tblStores[Store ID],tblStores[Manager])</f>
        <v>Rachel Moore</v>
      </c>
      <c r="G1499" t="str">
        <f>_xlfn.XLOOKUP(tblSales[[#This Row],[Category ID]],tblCategories[Category ID],tblCategories[Category])</f>
        <v>Footwear</v>
      </c>
      <c r="H1499">
        <v>82560</v>
      </c>
      <c r="I1499">
        <v>88501</v>
      </c>
      <c r="J1499">
        <v>192</v>
      </c>
      <c r="K1499">
        <f>tblSales[[#This Row],[Sales]]-tblSales[[#This Row],[Budget]]</f>
        <v>-5941</v>
      </c>
      <c r="L1499" s="3">
        <f>(tblSales[[#This Row],[Sales]]-tblSales[[#This Row],[Budget]])/tblSales[[#This Row],[Budget]]</f>
        <v>-6.7129184980960668E-2</v>
      </c>
      <c r="M1499" s="2">
        <f>tblSales[[#This Row],[Sales]]/tblSales[[#This Row],[Transactions]]</f>
        <v>430</v>
      </c>
    </row>
    <row r="1500" spans="1:13" x14ac:dyDescent="0.25">
      <c r="A1500" s="1">
        <v>46097</v>
      </c>
      <c r="B1500" t="s">
        <v>29</v>
      </c>
      <c r="C1500" t="s">
        <v>11</v>
      </c>
      <c r="D1500" t="str">
        <f>_xlfn.XLOOKUP(tblSales[[#This Row],[Store ID]],tblStores[Store ID],tblStores[Store Name])</f>
        <v>Polokwane</v>
      </c>
      <c r="E1500" t="str">
        <f>_xlfn.XLOOKUP(tblSales[[#This Row],[Store ID]],tblStores[Store ID],tblStores[Province])</f>
        <v>Limpopo</v>
      </c>
      <c r="F1500" t="str">
        <f>_xlfn.XLOOKUP(tblSales[[#This Row],[Store ID]],tblStores[Store ID],tblStores[Manager])</f>
        <v>Kevin Harris</v>
      </c>
      <c r="G1500" t="str">
        <f>_xlfn.XLOOKUP(tblSales[[#This Row],[Category ID]],tblCategories[Category ID],tblCategories[Category])</f>
        <v>Footwear</v>
      </c>
      <c r="H1500">
        <v>39004</v>
      </c>
      <c r="I1500">
        <v>39051</v>
      </c>
      <c r="J1500">
        <v>98</v>
      </c>
      <c r="K1500">
        <f>tblSales[[#This Row],[Sales]]-tblSales[[#This Row],[Budget]]</f>
        <v>-47</v>
      </c>
      <c r="L1500" s="3">
        <f>(tblSales[[#This Row],[Sales]]-tblSales[[#This Row],[Budget]])/tblSales[[#This Row],[Budget]]</f>
        <v>-1.2035543263936902E-3</v>
      </c>
      <c r="M1500" s="2">
        <f>tblSales[[#This Row],[Sales]]/tblSales[[#This Row],[Transactions]]</f>
        <v>398</v>
      </c>
    </row>
    <row r="1501" spans="1:13" x14ac:dyDescent="0.25">
      <c r="A1501" s="1">
        <v>46097</v>
      </c>
      <c r="B1501" t="s">
        <v>30</v>
      </c>
      <c r="C1501" t="s">
        <v>7</v>
      </c>
      <c r="D1501" t="str">
        <f>_xlfn.XLOOKUP(tblSales[[#This Row],[Store ID]],tblStores[Store ID],tblStores[Store Name])</f>
        <v>Nelspruit</v>
      </c>
      <c r="E1501" t="str">
        <f>_xlfn.XLOOKUP(tblSales[[#This Row],[Store ID]],tblStores[Store ID],tblStores[Province])</f>
        <v>Mpumalanga</v>
      </c>
      <c r="F1501" t="str">
        <f>_xlfn.XLOOKUP(tblSales[[#This Row],[Store ID]],tblStores[Store ID],tblStores[Manager])</f>
        <v>Olivia Turner</v>
      </c>
      <c r="G1501" t="str">
        <f>_xlfn.XLOOKUP(tblSales[[#This Row],[Category ID]],tblCategories[Category ID],tblCategories[Category])</f>
        <v>Menswear</v>
      </c>
      <c r="H1501">
        <v>71060</v>
      </c>
      <c r="I1501">
        <v>76748</v>
      </c>
      <c r="J1501">
        <v>190</v>
      </c>
      <c r="K1501">
        <f>tblSales[[#This Row],[Sales]]-tblSales[[#This Row],[Budget]]</f>
        <v>-5688</v>
      </c>
      <c r="L1501" s="3">
        <f>(tblSales[[#This Row],[Sales]]-tblSales[[#This Row],[Budget]])/tblSales[[#This Row],[Budget]]</f>
        <v>-7.4112680460728622E-2</v>
      </c>
      <c r="M1501" s="2">
        <f>tblSales[[#This Row],[Sales]]/tblSales[[#This Row],[Transactions]]</f>
        <v>374</v>
      </c>
    </row>
    <row r="1502" spans="1:13" x14ac:dyDescent="0.25">
      <c r="A1502" s="1">
        <v>46098</v>
      </c>
      <c r="B1502" t="s">
        <v>6</v>
      </c>
      <c r="C1502" t="s">
        <v>11</v>
      </c>
      <c r="D1502" t="str">
        <f>_xlfn.XLOOKUP(tblSales[[#This Row],[Store ID]],tblStores[Store ID],tblStores[Store Name])</f>
        <v>Durban CBD</v>
      </c>
      <c r="E1502" t="str">
        <f>_xlfn.XLOOKUP(tblSales[[#This Row],[Store ID]],tblStores[Store ID],tblStores[Province])</f>
        <v>KZN</v>
      </c>
      <c r="F1502" t="str">
        <f>_xlfn.XLOOKUP(tblSales[[#This Row],[Store ID]],tblStores[Store ID],tblStores[Manager])</f>
        <v>Sarah Adams</v>
      </c>
      <c r="G1502" t="str">
        <f>_xlfn.XLOOKUP(tblSales[[#This Row],[Category ID]],tblCategories[Category ID],tblCategories[Category])</f>
        <v>Footwear</v>
      </c>
      <c r="H1502">
        <v>90152</v>
      </c>
      <c r="I1502">
        <v>94519</v>
      </c>
      <c r="J1502">
        <v>191</v>
      </c>
      <c r="K1502">
        <f>tblSales[[#This Row],[Sales]]-tblSales[[#This Row],[Budget]]</f>
        <v>-4367</v>
      </c>
      <c r="L1502" s="3">
        <f>(tblSales[[#This Row],[Sales]]-tblSales[[#This Row],[Budget]])/tblSales[[#This Row],[Budget]]</f>
        <v>-4.6202350850093631E-2</v>
      </c>
      <c r="M1502" s="2">
        <f>tblSales[[#This Row],[Sales]]/tblSales[[#This Row],[Transactions]]</f>
        <v>472</v>
      </c>
    </row>
    <row r="1503" spans="1:13" x14ac:dyDescent="0.25">
      <c r="A1503" s="1">
        <v>46098</v>
      </c>
      <c r="B1503" t="s">
        <v>8</v>
      </c>
      <c r="C1503" t="s">
        <v>19</v>
      </c>
      <c r="D1503" t="str">
        <f>_xlfn.XLOOKUP(tblSales[[#This Row],[Store ID]],tblStores[Store ID],tblStores[Store Name])</f>
        <v>Gateway</v>
      </c>
      <c r="E1503" t="str">
        <f>_xlfn.XLOOKUP(tblSales[[#This Row],[Store ID]],tblStores[Store ID],tblStores[Province])</f>
        <v>KZN</v>
      </c>
      <c r="F1503" t="str">
        <f>_xlfn.XLOOKUP(tblSales[[#This Row],[Store ID]],tblStores[Store ID],tblStores[Manager])</f>
        <v>Michael Jones</v>
      </c>
      <c r="G1503" t="str">
        <f>_xlfn.XLOOKUP(tblSales[[#This Row],[Category ID]],tblCategories[Category ID],tblCategories[Category])</f>
        <v>Accessories</v>
      </c>
      <c r="H1503">
        <v>39601</v>
      </c>
      <c r="I1503">
        <v>40795</v>
      </c>
      <c r="J1503">
        <v>199</v>
      </c>
      <c r="K1503">
        <f>tblSales[[#This Row],[Sales]]-tblSales[[#This Row],[Budget]]</f>
        <v>-1194</v>
      </c>
      <c r="L1503" s="3">
        <f>(tblSales[[#This Row],[Sales]]-tblSales[[#This Row],[Budget]])/tblSales[[#This Row],[Budget]]</f>
        <v>-2.9268292682926831E-2</v>
      </c>
      <c r="M1503" s="2">
        <f>tblSales[[#This Row],[Sales]]/tblSales[[#This Row],[Transactions]]</f>
        <v>199</v>
      </c>
    </row>
    <row r="1504" spans="1:13" x14ac:dyDescent="0.25">
      <c r="A1504" s="1">
        <v>46098</v>
      </c>
      <c r="B1504" t="s">
        <v>10</v>
      </c>
      <c r="C1504" t="s">
        <v>11</v>
      </c>
      <c r="D1504" t="str">
        <f>_xlfn.XLOOKUP(tblSales[[#This Row],[Store ID]],tblStores[Store ID],tblStores[Store Name])</f>
        <v>Ballito</v>
      </c>
      <c r="E1504" t="str">
        <f>_xlfn.XLOOKUP(tblSales[[#This Row],[Store ID]],tblStores[Store ID],tblStores[Province])</f>
        <v>KZN</v>
      </c>
      <c r="F1504" t="str">
        <f>_xlfn.XLOOKUP(tblSales[[#This Row],[Store ID]],tblStores[Store ID],tblStores[Manager])</f>
        <v>Linda Smith</v>
      </c>
      <c r="G1504" t="str">
        <f>_xlfn.XLOOKUP(tblSales[[#This Row],[Category ID]],tblCategories[Category ID],tblCategories[Category])</f>
        <v>Footwear</v>
      </c>
      <c r="H1504">
        <v>30351</v>
      </c>
      <c r="I1504">
        <v>33976</v>
      </c>
      <c r="J1504">
        <v>151</v>
      </c>
      <c r="K1504">
        <f>tblSales[[#This Row],[Sales]]-tblSales[[#This Row],[Budget]]</f>
        <v>-3625</v>
      </c>
      <c r="L1504" s="3">
        <f>(tblSales[[#This Row],[Sales]]-tblSales[[#This Row],[Budget]])/tblSales[[#This Row],[Budget]]</f>
        <v>-0.10669295973628444</v>
      </c>
      <c r="M1504" s="2">
        <f>tblSales[[#This Row],[Sales]]/tblSales[[#This Row],[Transactions]]</f>
        <v>201</v>
      </c>
    </row>
    <row r="1505" spans="1:13" x14ac:dyDescent="0.25">
      <c r="A1505" s="1">
        <v>46098</v>
      </c>
      <c r="B1505" t="s">
        <v>12</v>
      </c>
      <c r="C1505" t="s">
        <v>9</v>
      </c>
      <c r="D1505" t="str">
        <f>_xlfn.XLOOKUP(tblSales[[#This Row],[Store ID]],tblStores[Store ID],tblStores[Store Name])</f>
        <v>Pietermaritzburg</v>
      </c>
      <c r="E1505" t="str">
        <f>_xlfn.XLOOKUP(tblSales[[#This Row],[Store ID]],tblStores[Store ID],tblStores[Province])</f>
        <v>KZN</v>
      </c>
      <c r="F1505" t="str">
        <f>_xlfn.XLOOKUP(tblSales[[#This Row],[Store ID]],tblStores[Store ID],tblStores[Manager])</f>
        <v>Peter Brown</v>
      </c>
      <c r="G1505" t="str">
        <f>_xlfn.XLOOKUP(tblSales[[#This Row],[Category ID]],tblCategories[Category ID],tblCategories[Category])</f>
        <v>Ladieswear</v>
      </c>
      <c r="H1505">
        <v>75985</v>
      </c>
      <c r="I1505">
        <v>75901</v>
      </c>
      <c r="J1505">
        <v>167</v>
      </c>
      <c r="K1505">
        <f>tblSales[[#This Row],[Sales]]-tblSales[[#This Row],[Budget]]</f>
        <v>84</v>
      </c>
      <c r="L1505" s="3">
        <f>(tblSales[[#This Row],[Sales]]-tblSales[[#This Row],[Budget]])/tblSales[[#This Row],[Budget]]</f>
        <v>1.1067047864982017E-3</v>
      </c>
      <c r="M1505" s="2">
        <f>tblSales[[#This Row],[Sales]]/tblSales[[#This Row],[Transactions]]</f>
        <v>455</v>
      </c>
    </row>
    <row r="1506" spans="1:13" x14ac:dyDescent="0.25">
      <c r="A1506" s="1">
        <v>46098</v>
      </c>
      <c r="B1506" t="s">
        <v>13</v>
      </c>
      <c r="C1506" t="s">
        <v>7</v>
      </c>
      <c r="D1506" t="str">
        <f>_xlfn.XLOOKUP(tblSales[[#This Row],[Store ID]],tblStores[Store ID],tblStores[Store Name])</f>
        <v>Richards Bay</v>
      </c>
      <c r="E1506" t="str">
        <f>_xlfn.XLOOKUP(tblSales[[#This Row],[Store ID]],tblStores[Store ID],tblStores[Province])</f>
        <v>KZN</v>
      </c>
      <c r="F1506" t="str">
        <f>_xlfn.XLOOKUP(tblSales[[#This Row],[Store ID]],tblStores[Store ID],tblStores[Manager])</f>
        <v>David Green</v>
      </c>
      <c r="G1506" t="str">
        <f>_xlfn.XLOOKUP(tblSales[[#This Row],[Category ID]],tblCategories[Category ID],tblCategories[Category])</f>
        <v>Menswear</v>
      </c>
      <c r="H1506">
        <v>66906</v>
      </c>
      <c r="I1506">
        <v>68848</v>
      </c>
      <c r="J1506">
        <v>177</v>
      </c>
      <c r="K1506">
        <f>tblSales[[#This Row],[Sales]]-tblSales[[#This Row],[Budget]]</f>
        <v>-1942</v>
      </c>
      <c r="L1506" s="3">
        <f>(tblSales[[#This Row],[Sales]]-tblSales[[#This Row],[Budget]])/tblSales[[#This Row],[Budget]]</f>
        <v>-2.8207064838484779E-2</v>
      </c>
      <c r="M1506" s="2">
        <f>tblSales[[#This Row],[Sales]]/tblSales[[#This Row],[Transactions]]</f>
        <v>378</v>
      </c>
    </row>
    <row r="1507" spans="1:13" x14ac:dyDescent="0.25">
      <c r="A1507" s="1">
        <v>46098</v>
      </c>
      <c r="B1507" t="s">
        <v>14</v>
      </c>
      <c r="C1507" t="s">
        <v>7</v>
      </c>
      <c r="D1507" t="str">
        <f>_xlfn.XLOOKUP(tblSales[[#This Row],[Store ID]],tblStores[Store ID],tblStores[Store Name])</f>
        <v>Sandton</v>
      </c>
      <c r="E1507" t="str">
        <f>_xlfn.XLOOKUP(tblSales[[#This Row],[Store ID]],tblStores[Store ID],tblStores[Province])</f>
        <v>Gauteng</v>
      </c>
      <c r="F1507" t="str">
        <f>_xlfn.XLOOKUP(tblSales[[#This Row],[Store ID]],tblStores[Store ID],tblStores[Manager])</f>
        <v>Karen White</v>
      </c>
      <c r="G1507" t="str">
        <f>_xlfn.XLOOKUP(tblSales[[#This Row],[Category ID]],tblCategories[Category ID],tblCategories[Category])</f>
        <v>Menswear</v>
      </c>
      <c r="H1507">
        <v>27307</v>
      </c>
      <c r="I1507">
        <v>27577</v>
      </c>
      <c r="J1507">
        <v>83</v>
      </c>
      <c r="K1507">
        <f>tblSales[[#This Row],[Sales]]-tblSales[[#This Row],[Budget]]</f>
        <v>-270</v>
      </c>
      <c r="L1507" s="3">
        <f>(tblSales[[#This Row],[Sales]]-tblSales[[#This Row],[Budget]])/tblSales[[#This Row],[Budget]]</f>
        <v>-9.7907676687094321E-3</v>
      </c>
      <c r="M1507" s="2">
        <f>tblSales[[#This Row],[Sales]]/tblSales[[#This Row],[Transactions]]</f>
        <v>329</v>
      </c>
    </row>
    <row r="1508" spans="1:13" x14ac:dyDescent="0.25">
      <c r="A1508" s="1">
        <v>46098</v>
      </c>
      <c r="B1508" t="s">
        <v>15</v>
      </c>
      <c r="C1508" t="s">
        <v>22</v>
      </c>
      <c r="D1508" t="str">
        <f>_xlfn.XLOOKUP(tblSales[[#This Row],[Store ID]],tblStores[Store ID],tblStores[Store Name])</f>
        <v>Rosebank</v>
      </c>
      <c r="E1508" t="str">
        <f>_xlfn.XLOOKUP(tblSales[[#This Row],[Store ID]],tblStores[Store ID],tblStores[Province])</f>
        <v>Gauteng</v>
      </c>
      <c r="F1508" t="str">
        <f>_xlfn.XLOOKUP(tblSales[[#This Row],[Store ID]],tblStores[Store ID],tblStores[Manager])</f>
        <v>James Taylor</v>
      </c>
      <c r="G1508" t="str">
        <f>_xlfn.XLOOKUP(tblSales[[#This Row],[Category ID]],tblCategories[Category ID],tblCategories[Category])</f>
        <v>Kids</v>
      </c>
      <c r="H1508">
        <v>44928</v>
      </c>
      <c r="I1508">
        <v>42305</v>
      </c>
      <c r="J1508">
        <v>108</v>
      </c>
      <c r="K1508">
        <f>tblSales[[#This Row],[Sales]]-tblSales[[#This Row],[Budget]]</f>
        <v>2623</v>
      </c>
      <c r="L1508" s="3">
        <f>(tblSales[[#This Row],[Sales]]-tblSales[[#This Row],[Budget]])/tblSales[[#This Row],[Budget]]</f>
        <v>6.2002127408107788E-2</v>
      </c>
      <c r="M1508" s="2">
        <f>tblSales[[#This Row],[Sales]]/tblSales[[#This Row],[Transactions]]</f>
        <v>416</v>
      </c>
    </row>
    <row r="1509" spans="1:13" x14ac:dyDescent="0.25">
      <c r="A1509" s="1">
        <v>46098</v>
      </c>
      <c r="B1509" t="s">
        <v>16</v>
      </c>
      <c r="C1509" t="s">
        <v>22</v>
      </c>
      <c r="D1509" t="str">
        <f>_xlfn.XLOOKUP(tblSales[[#This Row],[Store ID]],tblStores[Store ID],tblStores[Store Name])</f>
        <v>Pretoria</v>
      </c>
      <c r="E1509" t="str">
        <f>_xlfn.XLOOKUP(tblSales[[#This Row],[Store ID]],tblStores[Store ID],tblStores[Province])</f>
        <v>Gauteng</v>
      </c>
      <c r="F1509" t="str">
        <f>_xlfn.XLOOKUP(tblSales[[#This Row],[Store ID]],tblStores[Store ID],tblStores[Manager])</f>
        <v>Susan Clark</v>
      </c>
      <c r="G1509" t="str">
        <f>_xlfn.XLOOKUP(tblSales[[#This Row],[Category ID]],tblCategories[Category ID],tblCategories[Category])</f>
        <v>Kids</v>
      </c>
      <c r="H1509">
        <v>39537</v>
      </c>
      <c r="I1509">
        <v>42402</v>
      </c>
      <c r="J1509">
        <v>191</v>
      </c>
      <c r="K1509">
        <f>tblSales[[#This Row],[Sales]]-tblSales[[#This Row],[Budget]]</f>
        <v>-2865</v>
      </c>
      <c r="L1509" s="3">
        <f>(tblSales[[#This Row],[Sales]]-tblSales[[#This Row],[Budget]])/tblSales[[#This Row],[Budget]]</f>
        <v>-6.7567567567567571E-2</v>
      </c>
      <c r="M1509" s="2">
        <f>tblSales[[#This Row],[Sales]]/tblSales[[#This Row],[Transactions]]</f>
        <v>207</v>
      </c>
    </row>
    <row r="1510" spans="1:13" x14ac:dyDescent="0.25">
      <c r="A1510" s="1">
        <v>46098</v>
      </c>
      <c r="B1510" t="s">
        <v>17</v>
      </c>
      <c r="C1510" t="s">
        <v>9</v>
      </c>
      <c r="D1510" t="str">
        <f>_xlfn.XLOOKUP(tblSales[[#This Row],[Store ID]],tblStores[Store ID],tblStores[Store Name])</f>
        <v>Centurion</v>
      </c>
      <c r="E1510" t="str">
        <f>_xlfn.XLOOKUP(tblSales[[#This Row],[Store ID]],tblStores[Store ID],tblStores[Province])</f>
        <v>Gauteng</v>
      </c>
      <c r="F1510" t="str">
        <f>_xlfn.XLOOKUP(tblSales[[#This Row],[Store ID]],tblStores[Store ID],tblStores[Manager])</f>
        <v>Mark Wilson</v>
      </c>
      <c r="G1510" t="str">
        <f>_xlfn.XLOOKUP(tblSales[[#This Row],[Category ID]],tblCategories[Category ID],tblCategories[Category])</f>
        <v>Ladieswear</v>
      </c>
      <c r="H1510">
        <v>78030</v>
      </c>
      <c r="I1510">
        <v>79038</v>
      </c>
      <c r="J1510">
        <v>153</v>
      </c>
      <c r="K1510">
        <f>tblSales[[#This Row],[Sales]]-tblSales[[#This Row],[Budget]]</f>
        <v>-1008</v>
      </c>
      <c r="L1510" s="3">
        <f>(tblSales[[#This Row],[Sales]]-tblSales[[#This Row],[Budget]])/tblSales[[#This Row],[Budget]]</f>
        <v>-1.2753359143703029E-2</v>
      </c>
      <c r="M1510" s="2">
        <f>tblSales[[#This Row],[Sales]]/tblSales[[#This Row],[Transactions]]</f>
        <v>510</v>
      </c>
    </row>
    <row r="1511" spans="1:13" x14ac:dyDescent="0.25">
      <c r="A1511" s="1">
        <v>46098</v>
      </c>
      <c r="B1511" t="s">
        <v>18</v>
      </c>
      <c r="C1511" t="s">
        <v>19</v>
      </c>
      <c r="D1511" t="str">
        <f>_xlfn.XLOOKUP(tblSales[[#This Row],[Store ID]],tblStores[Store ID],tblStores[Store Name])</f>
        <v>East Rand</v>
      </c>
      <c r="E1511" t="str">
        <f>_xlfn.XLOOKUP(tblSales[[#This Row],[Store ID]],tblStores[Store ID],tblStores[Province])</f>
        <v>Gauteng</v>
      </c>
      <c r="F1511" t="str">
        <f>_xlfn.XLOOKUP(tblSales[[#This Row],[Store ID]],tblStores[Store ID],tblStores[Manager])</f>
        <v>Lisa Young</v>
      </c>
      <c r="G1511" t="str">
        <f>_xlfn.XLOOKUP(tblSales[[#This Row],[Category ID]],tblCategories[Category ID],tblCategories[Category])</f>
        <v>Accessories</v>
      </c>
      <c r="H1511">
        <v>17136</v>
      </c>
      <c r="I1511">
        <v>18758</v>
      </c>
      <c r="J1511">
        <v>63</v>
      </c>
      <c r="K1511">
        <f>tblSales[[#This Row],[Sales]]-tblSales[[#This Row],[Budget]]</f>
        <v>-1622</v>
      </c>
      <c r="L1511" s="3">
        <f>(tblSales[[#This Row],[Sales]]-tblSales[[#This Row],[Budget]])/tblSales[[#This Row],[Budget]]</f>
        <v>-8.6469772896897321E-2</v>
      </c>
      <c r="M1511" s="2">
        <f>tblSales[[#This Row],[Sales]]/tblSales[[#This Row],[Transactions]]</f>
        <v>272</v>
      </c>
    </row>
    <row r="1512" spans="1:13" x14ac:dyDescent="0.25">
      <c r="A1512" s="1">
        <v>46098</v>
      </c>
      <c r="B1512" t="s">
        <v>20</v>
      </c>
      <c r="C1512" t="s">
        <v>19</v>
      </c>
      <c r="D1512" t="str">
        <f>_xlfn.XLOOKUP(tblSales[[#This Row],[Store ID]],tblStores[Store ID],tblStores[Store Name])</f>
        <v>Cape Town CBD</v>
      </c>
      <c r="E1512" t="str">
        <f>_xlfn.XLOOKUP(tblSales[[#This Row],[Store ID]],tblStores[Store ID],tblStores[Province])</f>
        <v>Western Cape</v>
      </c>
      <c r="F1512" t="str">
        <f>_xlfn.XLOOKUP(tblSales[[#This Row],[Store ID]],tblStores[Store ID],tblStores[Manager])</f>
        <v>Brian Hall</v>
      </c>
      <c r="G1512" t="str">
        <f>_xlfn.XLOOKUP(tblSales[[#This Row],[Category ID]],tblCategories[Category ID],tblCategories[Category])</f>
        <v>Accessories</v>
      </c>
      <c r="H1512">
        <v>26289</v>
      </c>
      <c r="I1512">
        <v>26378</v>
      </c>
      <c r="J1512">
        <v>69</v>
      </c>
      <c r="K1512">
        <f>tblSales[[#This Row],[Sales]]-tblSales[[#This Row],[Budget]]</f>
        <v>-89</v>
      </c>
      <c r="L1512" s="3">
        <f>(tblSales[[#This Row],[Sales]]-tblSales[[#This Row],[Budget]])/tblSales[[#This Row],[Budget]]</f>
        <v>-3.3740238077185534E-3</v>
      </c>
      <c r="M1512" s="2">
        <f>tblSales[[#This Row],[Sales]]/tblSales[[#This Row],[Transactions]]</f>
        <v>381</v>
      </c>
    </row>
    <row r="1513" spans="1:13" x14ac:dyDescent="0.25">
      <c r="A1513" s="1">
        <v>46098</v>
      </c>
      <c r="B1513" t="s">
        <v>21</v>
      </c>
      <c r="C1513" t="s">
        <v>11</v>
      </c>
      <c r="D1513" t="str">
        <f>_xlfn.XLOOKUP(tblSales[[#This Row],[Store ID]],tblStores[Store ID],tblStores[Store Name])</f>
        <v>Canal Walk</v>
      </c>
      <c r="E1513" t="str">
        <f>_xlfn.XLOOKUP(tblSales[[#This Row],[Store ID]],tblStores[Store ID],tblStores[Province])</f>
        <v>Western Cape</v>
      </c>
      <c r="F1513" t="str">
        <f>_xlfn.XLOOKUP(tblSales[[#This Row],[Store ID]],tblStores[Store ID],tblStores[Manager])</f>
        <v>Megan Scott</v>
      </c>
      <c r="G1513" t="str">
        <f>_xlfn.XLOOKUP(tblSales[[#This Row],[Category ID]],tblCategories[Category ID],tblCategories[Category])</f>
        <v>Footwear</v>
      </c>
      <c r="H1513">
        <v>11111</v>
      </c>
      <c r="I1513">
        <v>11260</v>
      </c>
      <c r="J1513">
        <v>41</v>
      </c>
      <c r="K1513">
        <f>tblSales[[#This Row],[Sales]]-tblSales[[#This Row],[Budget]]</f>
        <v>-149</v>
      </c>
      <c r="L1513" s="3">
        <f>(tblSales[[#This Row],[Sales]]-tblSales[[#This Row],[Budget]])/tblSales[[#This Row],[Budget]]</f>
        <v>-1.3232682060390764E-2</v>
      </c>
      <c r="M1513" s="2">
        <f>tblSales[[#This Row],[Sales]]/tblSales[[#This Row],[Transactions]]</f>
        <v>271</v>
      </c>
    </row>
    <row r="1514" spans="1:13" x14ac:dyDescent="0.25">
      <c r="A1514" s="1">
        <v>46098</v>
      </c>
      <c r="B1514" t="s">
        <v>23</v>
      </c>
      <c r="C1514" t="s">
        <v>9</v>
      </c>
      <c r="D1514" t="str">
        <f>_xlfn.XLOOKUP(tblSales[[#This Row],[Store ID]],tblStores[Store ID],tblStores[Store Name])</f>
        <v>Stellenbosch</v>
      </c>
      <c r="E1514" t="str">
        <f>_xlfn.XLOOKUP(tblSales[[#This Row],[Store ID]],tblStores[Store ID],tblStores[Province])</f>
        <v>Western Cape</v>
      </c>
      <c r="F1514" t="str">
        <f>_xlfn.XLOOKUP(tblSales[[#This Row],[Store ID]],tblStores[Store ID],tblStores[Manager])</f>
        <v>Jason King</v>
      </c>
      <c r="G1514" t="str">
        <f>_xlfn.XLOOKUP(tblSales[[#This Row],[Category ID]],tblCategories[Category ID],tblCategories[Category])</f>
        <v>Ladieswear</v>
      </c>
      <c r="H1514">
        <v>34126</v>
      </c>
      <c r="I1514">
        <v>32846</v>
      </c>
      <c r="J1514">
        <v>151</v>
      </c>
      <c r="K1514">
        <f>tblSales[[#This Row],[Sales]]-tblSales[[#This Row],[Budget]]</f>
        <v>1280</v>
      </c>
      <c r="L1514" s="3">
        <f>(tblSales[[#This Row],[Sales]]-tblSales[[#This Row],[Budget]])/tblSales[[#This Row],[Budget]]</f>
        <v>3.8969737563173595E-2</v>
      </c>
      <c r="M1514" s="2">
        <f>tblSales[[#This Row],[Sales]]/tblSales[[#This Row],[Transactions]]</f>
        <v>226</v>
      </c>
    </row>
    <row r="1515" spans="1:13" x14ac:dyDescent="0.25">
      <c r="A1515" s="1">
        <v>46098</v>
      </c>
      <c r="B1515" t="s">
        <v>24</v>
      </c>
      <c r="C1515" t="s">
        <v>9</v>
      </c>
      <c r="D1515" t="str">
        <f>_xlfn.XLOOKUP(tblSales[[#This Row],[Store ID]],tblStores[Store ID],tblStores[Store Name])</f>
        <v>George</v>
      </c>
      <c r="E1515" t="str">
        <f>_xlfn.XLOOKUP(tblSales[[#This Row],[Store ID]],tblStores[Store ID],tblStores[Province])</f>
        <v>Western Cape</v>
      </c>
      <c r="F1515" t="str">
        <f>_xlfn.XLOOKUP(tblSales[[#This Row],[Store ID]],tblStores[Store ID],tblStores[Manager])</f>
        <v>Chloe Hill</v>
      </c>
      <c r="G1515" t="str">
        <f>_xlfn.XLOOKUP(tblSales[[#This Row],[Category ID]],tblCategories[Category ID],tblCategories[Category])</f>
        <v>Ladieswear</v>
      </c>
      <c r="H1515">
        <v>52974</v>
      </c>
      <c r="I1515">
        <v>48884</v>
      </c>
      <c r="J1515">
        <v>218</v>
      </c>
      <c r="K1515">
        <f>tblSales[[#This Row],[Sales]]-tblSales[[#This Row],[Budget]]</f>
        <v>4090</v>
      </c>
      <c r="L1515" s="3">
        <f>(tblSales[[#This Row],[Sales]]-tblSales[[#This Row],[Budget]])/tblSales[[#This Row],[Budget]]</f>
        <v>8.3667457654856392E-2</v>
      </c>
      <c r="M1515" s="2">
        <f>tblSales[[#This Row],[Sales]]/tblSales[[#This Row],[Transactions]]</f>
        <v>243</v>
      </c>
    </row>
    <row r="1516" spans="1:13" x14ac:dyDescent="0.25">
      <c r="A1516" s="1">
        <v>46098</v>
      </c>
      <c r="B1516" t="s">
        <v>25</v>
      </c>
      <c r="C1516" t="s">
        <v>11</v>
      </c>
      <c r="D1516" t="str">
        <f>_xlfn.XLOOKUP(tblSales[[#This Row],[Store ID]],tblStores[Store ID],tblStores[Store Name])</f>
        <v>Paarl</v>
      </c>
      <c r="E1516" t="str">
        <f>_xlfn.XLOOKUP(tblSales[[#This Row],[Store ID]],tblStores[Store ID],tblStores[Province])</f>
        <v>Western Cape</v>
      </c>
      <c r="F1516" t="str">
        <f>_xlfn.XLOOKUP(tblSales[[#This Row],[Store ID]],tblStores[Store ID],tblStores[Manager])</f>
        <v>Andrew Lee</v>
      </c>
      <c r="G1516" t="str">
        <f>_xlfn.XLOOKUP(tblSales[[#This Row],[Category ID]],tblCategories[Category ID],tblCategories[Category])</f>
        <v>Footwear</v>
      </c>
      <c r="H1516">
        <v>71905</v>
      </c>
      <c r="I1516">
        <v>66247</v>
      </c>
      <c r="J1516">
        <v>197</v>
      </c>
      <c r="K1516">
        <f>tblSales[[#This Row],[Sales]]-tblSales[[#This Row],[Budget]]</f>
        <v>5658</v>
      </c>
      <c r="L1516" s="3">
        <f>(tblSales[[#This Row],[Sales]]-tblSales[[#This Row],[Budget]])/tblSales[[#This Row],[Budget]]</f>
        <v>8.5407641100729084E-2</v>
      </c>
      <c r="M1516" s="2">
        <f>tblSales[[#This Row],[Sales]]/tblSales[[#This Row],[Transactions]]</f>
        <v>365</v>
      </c>
    </row>
    <row r="1517" spans="1:13" x14ac:dyDescent="0.25">
      <c r="A1517" s="1">
        <v>46098</v>
      </c>
      <c r="B1517" t="s">
        <v>26</v>
      </c>
      <c r="C1517" t="s">
        <v>11</v>
      </c>
      <c r="D1517" t="str">
        <f>_xlfn.XLOOKUP(tblSales[[#This Row],[Store ID]],tblStores[Store ID],tblStores[Store Name])</f>
        <v>Gqeberha</v>
      </c>
      <c r="E1517" t="str">
        <f>_xlfn.XLOOKUP(tblSales[[#This Row],[Store ID]],tblStores[Store ID],tblStores[Province])</f>
        <v>Eastern Cape</v>
      </c>
      <c r="F1517" t="str">
        <f>_xlfn.XLOOKUP(tblSales[[#This Row],[Store ID]],tblStores[Store ID],tblStores[Manager])</f>
        <v>Emma Baker</v>
      </c>
      <c r="G1517" t="str">
        <f>_xlfn.XLOOKUP(tblSales[[#This Row],[Category ID]],tblCategories[Category ID],tblCategories[Category])</f>
        <v>Footwear</v>
      </c>
      <c r="H1517">
        <v>81345</v>
      </c>
      <c r="I1517">
        <v>92524</v>
      </c>
      <c r="J1517">
        <v>165</v>
      </c>
      <c r="K1517">
        <f>tblSales[[#This Row],[Sales]]-tblSales[[#This Row],[Budget]]</f>
        <v>-11179</v>
      </c>
      <c r="L1517" s="3">
        <f>(tblSales[[#This Row],[Sales]]-tblSales[[#This Row],[Budget]])/tblSales[[#This Row],[Budget]]</f>
        <v>-0.12082270546020492</v>
      </c>
      <c r="M1517" s="2">
        <f>tblSales[[#This Row],[Sales]]/tblSales[[#This Row],[Transactions]]</f>
        <v>493</v>
      </c>
    </row>
    <row r="1518" spans="1:13" x14ac:dyDescent="0.25">
      <c r="A1518" s="1">
        <v>46098</v>
      </c>
      <c r="B1518" t="s">
        <v>27</v>
      </c>
      <c r="C1518" t="s">
        <v>11</v>
      </c>
      <c r="D1518" t="str">
        <f>_xlfn.XLOOKUP(tblSales[[#This Row],[Store ID]],tblStores[Store ID],tblStores[Store Name])</f>
        <v>East London</v>
      </c>
      <c r="E1518" t="str">
        <f>_xlfn.XLOOKUP(tblSales[[#This Row],[Store ID]],tblStores[Store ID],tblStores[Province])</f>
        <v>Eastern Cape</v>
      </c>
      <c r="F1518" t="str">
        <f>_xlfn.XLOOKUP(tblSales[[#This Row],[Store ID]],tblStores[Store ID],tblStores[Manager])</f>
        <v>Daniel Evans</v>
      </c>
      <c r="G1518" t="str">
        <f>_xlfn.XLOOKUP(tblSales[[#This Row],[Category ID]],tblCategories[Category ID],tblCategories[Category])</f>
        <v>Footwear</v>
      </c>
      <c r="H1518">
        <v>65450</v>
      </c>
      <c r="I1518">
        <v>59623</v>
      </c>
      <c r="J1518">
        <v>175</v>
      </c>
      <c r="K1518">
        <f>tblSales[[#This Row],[Sales]]-tblSales[[#This Row],[Budget]]</f>
        <v>5827</v>
      </c>
      <c r="L1518" s="3">
        <f>(tblSales[[#This Row],[Sales]]-tblSales[[#This Row],[Budget]])/tblSales[[#This Row],[Budget]]</f>
        <v>9.7730741492377107E-2</v>
      </c>
      <c r="M1518" s="2">
        <f>tblSales[[#This Row],[Sales]]/tblSales[[#This Row],[Transactions]]</f>
        <v>374</v>
      </c>
    </row>
    <row r="1519" spans="1:13" x14ac:dyDescent="0.25">
      <c r="A1519" s="1">
        <v>46098</v>
      </c>
      <c r="B1519" t="s">
        <v>28</v>
      </c>
      <c r="C1519" t="s">
        <v>9</v>
      </c>
      <c r="D1519" t="str">
        <f>_xlfn.XLOOKUP(tblSales[[#This Row],[Store ID]],tblStores[Store ID],tblStores[Store Name])</f>
        <v>Bloemfontein</v>
      </c>
      <c r="E1519" t="str">
        <f>_xlfn.XLOOKUP(tblSales[[#This Row],[Store ID]],tblStores[Store ID],tblStores[Province])</f>
        <v>Free State</v>
      </c>
      <c r="F1519" t="str">
        <f>_xlfn.XLOOKUP(tblSales[[#This Row],[Store ID]],tblStores[Store ID],tblStores[Manager])</f>
        <v>Rachel Moore</v>
      </c>
      <c r="G1519" t="str">
        <f>_xlfn.XLOOKUP(tblSales[[#This Row],[Category ID]],tblCategories[Category ID],tblCategories[Category])</f>
        <v>Ladieswear</v>
      </c>
      <c r="H1519">
        <v>56280</v>
      </c>
      <c r="I1519">
        <v>62911</v>
      </c>
      <c r="J1519">
        <v>120</v>
      </c>
      <c r="K1519">
        <f>tblSales[[#This Row],[Sales]]-tblSales[[#This Row],[Budget]]</f>
        <v>-6631</v>
      </c>
      <c r="L1519" s="3">
        <f>(tblSales[[#This Row],[Sales]]-tblSales[[#This Row],[Budget]])/tblSales[[#This Row],[Budget]]</f>
        <v>-0.10540287072213127</v>
      </c>
      <c r="M1519" s="2">
        <f>tblSales[[#This Row],[Sales]]/tblSales[[#This Row],[Transactions]]</f>
        <v>469</v>
      </c>
    </row>
    <row r="1520" spans="1:13" x14ac:dyDescent="0.25">
      <c r="A1520" s="1">
        <v>46098</v>
      </c>
      <c r="B1520" t="s">
        <v>29</v>
      </c>
      <c r="C1520" t="s">
        <v>9</v>
      </c>
      <c r="D1520" t="str">
        <f>_xlfn.XLOOKUP(tblSales[[#This Row],[Store ID]],tblStores[Store ID],tblStores[Store Name])</f>
        <v>Polokwane</v>
      </c>
      <c r="E1520" t="str">
        <f>_xlfn.XLOOKUP(tblSales[[#This Row],[Store ID]],tblStores[Store ID],tblStores[Province])</f>
        <v>Limpopo</v>
      </c>
      <c r="F1520" t="str">
        <f>_xlfn.XLOOKUP(tblSales[[#This Row],[Store ID]],tblStores[Store ID],tblStores[Manager])</f>
        <v>Kevin Harris</v>
      </c>
      <c r="G1520" t="str">
        <f>_xlfn.XLOOKUP(tblSales[[#This Row],[Category ID]],tblCategories[Category ID],tblCategories[Category])</f>
        <v>Ladieswear</v>
      </c>
      <c r="H1520">
        <v>19304</v>
      </c>
      <c r="I1520">
        <v>18236</v>
      </c>
      <c r="J1520">
        <v>76</v>
      </c>
      <c r="K1520">
        <f>tblSales[[#This Row],[Sales]]-tblSales[[#This Row],[Budget]]</f>
        <v>1068</v>
      </c>
      <c r="L1520" s="3">
        <f>(tblSales[[#This Row],[Sales]]-tblSales[[#This Row],[Budget]])/tblSales[[#This Row],[Budget]]</f>
        <v>5.856547488484317E-2</v>
      </c>
      <c r="M1520" s="2">
        <f>tblSales[[#This Row],[Sales]]/tblSales[[#This Row],[Transactions]]</f>
        <v>254</v>
      </c>
    </row>
    <row r="1521" spans="1:13" x14ac:dyDescent="0.25">
      <c r="A1521" s="1">
        <v>46098</v>
      </c>
      <c r="B1521" t="s">
        <v>30</v>
      </c>
      <c r="C1521" t="s">
        <v>7</v>
      </c>
      <c r="D1521" t="str">
        <f>_xlfn.XLOOKUP(tblSales[[#This Row],[Store ID]],tblStores[Store ID],tblStores[Store Name])</f>
        <v>Nelspruit</v>
      </c>
      <c r="E1521" t="str">
        <f>_xlfn.XLOOKUP(tblSales[[#This Row],[Store ID]],tblStores[Store ID],tblStores[Province])</f>
        <v>Mpumalanga</v>
      </c>
      <c r="F1521" t="str">
        <f>_xlfn.XLOOKUP(tblSales[[#This Row],[Store ID]],tblStores[Store ID],tblStores[Manager])</f>
        <v>Olivia Turner</v>
      </c>
      <c r="G1521" t="str">
        <f>_xlfn.XLOOKUP(tblSales[[#This Row],[Category ID]],tblCategories[Category ID],tblCategories[Category])</f>
        <v>Menswear</v>
      </c>
      <c r="H1521">
        <v>47854</v>
      </c>
      <c r="I1521">
        <v>46771</v>
      </c>
      <c r="J1521">
        <v>142</v>
      </c>
      <c r="K1521">
        <f>tblSales[[#This Row],[Sales]]-tblSales[[#This Row],[Budget]]</f>
        <v>1083</v>
      </c>
      <c r="L1521" s="3">
        <f>(tblSales[[#This Row],[Sales]]-tblSales[[#This Row],[Budget]])/tblSales[[#This Row],[Budget]]</f>
        <v>2.3155374056573516E-2</v>
      </c>
      <c r="M1521" s="2">
        <f>tblSales[[#This Row],[Sales]]/tblSales[[#This Row],[Transactions]]</f>
        <v>337</v>
      </c>
    </row>
    <row r="1522" spans="1:13" x14ac:dyDescent="0.25">
      <c r="A1522" s="1">
        <v>46099</v>
      </c>
      <c r="B1522" t="s">
        <v>6</v>
      </c>
      <c r="C1522" t="s">
        <v>11</v>
      </c>
      <c r="D1522" t="str">
        <f>_xlfn.XLOOKUP(tblSales[[#This Row],[Store ID]],tblStores[Store ID],tblStores[Store Name])</f>
        <v>Durban CBD</v>
      </c>
      <c r="E1522" t="str">
        <f>_xlfn.XLOOKUP(tblSales[[#This Row],[Store ID]],tblStores[Store ID],tblStores[Province])</f>
        <v>KZN</v>
      </c>
      <c r="F1522" t="str">
        <f>_xlfn.XLOOKUP(tblSales[[#This Row],[Store ID]],tblStores[Store ID],tblStores[Manager])</f>
        <v>Sarah Adams</v>
      </c>
      <c r="G1522" t="str">
        <f>_xlfn.XLOOKUP(tblSales[[#This Row],[Category ID]],tblCategories[Category ID],tblCategories[Category])</f>
        <v>Footwear</v>
      </c>
      <c r="H1522">
        <v>54000</v>
      </c>
      <c r="I1522">
        <v>51039</v>
      </c>
      <c r="J1522">
        <v>108</v>
      </c>
      <c r="K1522">
        <f>tblSales[[#This Row],[Sales]]-tblSales[[#This Row],[Budget]]</f>
        <v>2961</v>
      </c>
      <c r="L1522" s="3">
        <f>(tblSales[[#This Row],[Sales]]-tblSales[[#This Row],[Budget]])/tblSales[[#This Row],[Budget]]</f>
        <v>5.8014459530946923E-2</v>
      </c>
      <c r="M1522" s="2">
        <f>tblSales[[#This Row],[Sales]]/tblSales[[#This Row],[Transactions]]</f>
        <v>500</v>
      </c>
    </row>
    <row r="1523" spans="1:13" x14ac:dyDescent="0.25">
      <c r="A1523" s="1">
        <v>46099</v>
      </c>
      <c r="B1523" t="s">
        <v>8</v>
      </c>
      <c r="C1523" t="s">
        <v>9</v>
      </c>
      <c r="D1523" t="str">
        <f>_xlfn.XLOOKUP(tblSales[[#This Row],[Store ID]],tblStores[Store ID],tblStores[Store Name])</f>
        <v>Gateway</v>
      </c>
      <c r="E1523" t="str">
        <f>_xlfn.XLOOKUP(tblSales[[#This Row],[Store ID]],tblStores[Store ID],tblStores[Province])</f>
        <v>KZN</v>
      </c>
      <c r="F1523" t="str">
        <f>_xlfn.XLOOKUP(tblSales[[#This Row],[Store ID]],tblStores[Store ID],tblStores[Manager])</f>
        <v>Michael Jones</v>
      </c>
      <c r="G1523" t="str">
        <f>_xlfn.XLOOKUP(tblSales[[#This Row],[Category ID]],tblCategories[Category ID],tblCategories[Category])</f>
        <v>Ladieswear</v>
      </c>
      <c r="H1523">
        <v>15566</v>
      </c>
      <c r="I1523">
        <v>16432</v>
      </c>
      <c r="J1523">
        <v>86</v>
      </c>
      <c r="K1523">
        <f>tblSales[[#This Row],[Sales]]-tblSales[[#This Row],[Budget]]</f>
        <v>-866</v>
      </c>
      <c r="L1523" s="3">
        <f>(tblSales[[#This Row],[Sales]]-tblSales[[#This Row],[Budget]])/tblSales[[#This Row],[Budget]]</f>
        <v>-5.2702044790652387E-2</v>
      </c>
      <c r="M1523" s="2">
        <f>tblSales[[#This Row],[Sales]]/tblSales[[#This Row],[Transactions]]</f>
        <v>181</v>
      </c>
    </row>
    <row r="1524" spans="1:13" x14ac:dyDescent="0.25">
      <c r="A1524" s="1">
        <v>46099</v>
      </c>
      <c r="B1524" t="s">
        <v>10</v>
      </c>
      <c r="C1524" t="s">
        <v>22</v>
      </c>
      <c r="D1524" t="str">
        <f>_xlfn.XLOOKUP(tblSales[[#This Row],[Store ID]],tblStores[Store ID],tblStores[Store Name])</f>
        <v>Ballito</v>
      </c>
      <c r="E1524" t="str">
        <f>_xlfn.XLOOKUP(tblSales[[#This Row],[Store ID]],tblStores[Store ID],tblStores[Province])</f>
        <v>KZN</v>
      </c>
      <c r="F1524" t="str">
        <f>_xlfn.XLOOKUP(tblSales[[#This Row],[Store ID]],tblStores[Store ID],tblStores[Manager])</f>
        <v>Linda Smith</v>
      </c>
      <c r="G1524" t="str">
        <f>_xlfn.XLOOKUP(tblSales[[#This Row],[Category ID]],tblCategories[Category ID],tblCategories[Category])</f>
        <v>Kids</v>
      </c>
      <c r="H1524">
        <v>15732</v>
      </c>
      <c r="I1524">
        <v>16115</v>
      </c>
      <c r="J1524">
        <v>38</v>
      </c>
      <c r="K1524">
        <f>tblSales[[#This Row],[Sales]]-tblSales[[#This Row],[Budget]]</f>
        <v>-383</v>
      </c>
      <c r="L1524" s="3">
        <f>(tblSales[[#This Row],[Sales]]-tblSales[[#This Row],[Budget]])/tblSales[[#This Row],[Budget]]</f>
        <v>-2.3766677008997827E-2</v>
      </c>
      <c r="M1524" s="2">
        <f>tblSales[[#This Row],[Sales]]/tblSales[[#This Row],[Transactions]]</f>
        <v>414</v>
      </c>
    </row>
    <row r="1525" spans="1:13" x14ac:dyDescent="0.25">
      <c r="A1525" s="1">
        <v>46099</v>
      </c>
      <c r="B1525" t="s">
        <v>12</v>
      </c>
      <c r="C1525" t="s">
        <v>11</v>
      </c>
      <c r="D1525" t="str">
        <f>_xlfn.XLOOKUP(tblSales[[#This Row],[Store ID]],tblStores[Store ID],tblStores[Store Name])</f>
        <v>Pietermaritzburg</v>
      </c>
      <c r="E1525" t="str">
        <f>_xlfn.XLOOKUP(tblSales[[#This Row],[Store ID]],tblStores[Store ID],tblStores[Province])</f>
        <v>KZN</v>
      </c>
      <c r="F1525" t="str">
        <f>_xlfn.XLOOKUP(tblSales[[#This Row],[Store ID]],tblStores[Store ID],tblStores[Manager])</f>
        <v>Peter Brown</v>
      </c>
      <c r="G1525" t="str">
        <f>_xlfn.XLOOKUP(tblSales[[#This Row],[Category ID]],tblCategories[Category ID],tblCategories[Category])</f>
        <v>Footwear</v>
      </c>
      <c r="H1525">
        <v>31668</v>
      </c>
      <c r="I1525">
        <v>33314</v>
      </c>
      <c r="J1525">
        <v>174</v>
      </c>
      <c r="K1525">
        <f>tblSales[[#This Row],[Sales]]-tblSales[[#This Row],[Budget]]</f>
        <v>-1646</v>
      </c>
      <c r="L1525" s="3">
        <f>(tblSales[[#This Row],[Sales]]-tblSales[[#This Row],[Budget]])/tblSales[[#This Row],[Budget]]</f>
        <v>-4.9408657021072222E-2</v>
      </c>
      <c r="M1525" s="2">
        <f>tblSales[[#This Row],[Sales]]/tblSales[[#This Row],[Transactions]]</f>
        <v>182</v>
      </c>
    </row>
    <row r="1526" spans="1:13" x14ac:dyDescent="0.25">
      <c r="A1526" s="1">
        <v>46099</v>
      </c>
      <c r="B1526" t="s">
        <v>13</v>
      </c>
      <c r="C1526" t="s">
        <v>11</v>
      </c>
      <c r="D1526" t="str">
        <f>_xlfn.XLOOKUP(tblSales[[#This Row],[Store ID]],tblStores[Store ID],tblStores[Store Name])</f>
        <v>Richards Bay</v>
      </c>
      <c r="E1526" t="str">
        <f>_xlfn.XLOOKUP(tblSales[[#This Row],[Store ID]],tblStores[Store ID],tblStores[Province])</f>
        <v>KZN</v>
      </c>
      <c r="F1526" t="str">
        <f>_xlfn.XLOOKUP(tblSales[[#This Row],[Store ID]],tblStores[Store ID],tblStores[Manager])</f>
        <v>David Green</v>
      </c>
      <c r="G1526" t="str">
        <f>_xlfn.XLOOKUP(tblSales[[#This Row],[Category ID]],tblCategories[Category ID],tblCategories[Category])</f>
        <v>Footwear</v>
      </c>
      <c r="H1526">
        <v>27645</v>
      </c>
      <c r="I1526">
        <v>28950</v>
      </c>
      <c r="J1526">
        <v>95</v>
      </c>
      <c r="K1526">
        <f>tblSales[[#This Row],[Sales]]-tblSales[[#This Row],[Budget]]</f>
        <v>-1305</v>
      </c>
      <c r="L1526" s="3">
        <f>(tblSales[[#This Row],[Sales]]-tblSales[[#This Row],[Budget]])/tblSales[[#This Row],[Budget]]</f>
        <v>-4.5077720207253889E-2</v>
      </c>
      <c r="M1526" s="2">
        <f>tblSales[[#This Row],[Sales]]/tblSales[[#This Row],[Transactions]]</f>
        <v>291</v>
      </c>
    </row>
    <row r="1527" spans="1:13" x14ac:dyDescent="0.25">
      <c r="A1527" s="1">
        <v>46099</v>
      </c>
      <c r="B1527" t="s">
        <v>14</v>
      </c>
      <c r="C1527" t="s">
        <v>11</v>
      </c>
      <c r="D1527" t="str">
        <f>_xlfn.XLOOKUP(tblSales[[#This Row],[Store ID]],tblStores[Store ID],tblStores[Store Name])</f>
        <v>Sandton</v>
      </c>
      <c r="E1527" t="str">
        <f>_xlfn.XLOOKUP(tblSales[[#This Row],[Store ID]],tblStores[Store ID],tblStores[Province])</f>
        <v>Gauteng</v>
      </c>
      <c r="F1527" t="str">
        <f>_xlfn.XLOOKUP(tblSales[[#This Row],[Store ID]],tblStores[Store ID],tblStores[Manager])</f>
        <v>Karen White</v>
      </c>
      <c r="G1527" t="str">
        <f>_xlfn.XLOOKUP(tblSales[[#This Row],[Category ID]],tblCategories[Category ID],tblCategories[Category])</f>
        <v>Footwear</v>
      </c>
      <c r="H1527">
        <v>58739</v>
      </c>
      <c r="I1527">
        <v>59353</v>
      </c>
      <c r="J1527">
        <v>151</v>
      </c>
      <c r="K1527">
        <f>tblSales[[#This Row],[Sales]]-tblSales[[#This Row],[Budget]]</f>
        <v>-614</v>
      </c>
      <c r="L1527" s="3">
        <f>(tblSales[[#This Row],[Sales]]-tblSales[[#This Row],[Budget]])/tblSales[[#This Row],[Budget]]</f>
        <v>-1.0344885683958688E-2</v>
      </c>
      <c r="M1527" s="2">
        <f>tblSales[[#This Row],[Sales]]/tblSales[[#This Row],[Transactions]]</f>
        <v>389</v>
      </c>
    </row>
    <row r="1528" spans="1:13" x14ac:dyDescent="0.25">
      <c r="A1528" s="1">
        <v>46099</v>
      </c>
      <c r="B1528" t="s">
        <v>15</v>
      </c>
      <c r="C1528" t="s">
        <v>19</v>
      </c>
      <c r="D1528" t="str">
        <f>_xlfn.XLOOKUP(tblSales[[#This Row],[Store ID]],tblStores[Store ID],tblStores[Store Name])</f>
        <v>Rosebank</v>
      </c>
      <c r="E1528" t="str">
        <f>_xlfn.XLOOKUP(tblSales[[#This Row],[Store ID]],tblStores[Store ID],tblStores[Province])</f>
        <v>Gauteng</v>
      </c>
      <c r="F1528" t="str">
        <f>_xlfn.XLOOKUP(tblSales[[#This Row],[Store ID]],tblStores[Store ID],tblStores[Manager])</f>
        <v>James Taylor</v>
      </c>
      <c r="G1528" t="str">
        <f>_xlfn.XLOOKUP(tblSales[[#This Row],[Category ID]],tblCategories[Category ID],tblCategories[Category])</f>
        <v>Accessories</v>
      </c>
      <c r="H1528">
        <v>34404</v>
      </c>
      <c r="I1528">
        <v>33068</v>
      </c>
      <c r="J1528">
        <v>188</v>
      </c>
      <c r="K1528">
        <f>tblSales[[#This Row],[Sales]]-tblSales[[#This Row],[Budget]]</f>
        <v>1336</v>
      </c>
      <c r="L1528" s="3">
        <f>(tblSales[[#This Row],[Sales]]-tblSales[[#This Row],[Budget]])/tblSales[[#This Row],[Budget]]</f>
        <v>4.0401596709810091E-2</v>
      </c>
      <c r="M1528" s="2">
        <f>tblSales[[#This Row],[Sales]]/tblSales[[#This Row],[Transactions]]</f>
        <v>183</v>
      </c>
    </row>
    <row r="1529" spans="1:13" x14ac:dyDescent="0.25">
      <c r="A1529" s="1">
        <v>46099</v>
      </c>
      <c r="B1529" t="s">
        <v>16</v>
      </c>
      <c r="C1529" t="s">
        <v>19</v>
      </c>
      <c r="D1529" t="str">
        <f>_xlfn.XLOOKUP(tblSales[[#This Row],[Store ID]],tblStores[Store ID],tblStores[Store Name])</f>
        <v>Pretoria</v>
      </c>
      <c r="E1529" t="str">
        <f>_xlfn.XLOOKUP(tblSales[[#This Row],[Store ID]],tblStores[Store ID],tblStores[Province])</f>
        <v>Gauteng</v>
      </c>
      <c r="F1529" t="str">
        <f>_xlfn.XLOOKUP(tblSales[[#This Row],[Store ID]],tblStores[Store ID],tblStores[Manager])</f>
        <v>Susan Clark</v>
      </c>
      <c r="G1529" t="str">
        <f>_xlfn.XLOOKUP(tblSales[[#This Row],[Category ID]],tblCategories[Category ID],tblCategories[Category])</f>
        <v>Accessories</v>
      </c>
      <c r="H1529">
        <v>52682</v>
      </c>
      <c r="I1529">
        <v>55693</v>
      </c>
      <c r="J1529">
        <v>106</v>
      </c>
      <c r="K1529">
        <f>tblSales[[#This Row],[Sales]]-tblSales[[#This Row],[Budget]]</f>
        <v>-3011</v>
      </c>
      <c r="L1529" s="3">
        <f>(tblSales[[#This Row],[Sales]]-tblSales[[#This Row],[Budget]])/tblSales[[#This Row],[Budget]]</f>
        <v>-5.4064245057727181E-2</v>
      </c>
      <c r="M1529" s="2">
        <f>tblSales[[#This Row],[Sales]]/tblSales[[#This Row],[Transactions]]</f>
        <v>497</v>
      </c>
    </row>
    <row r="1530" spans="1:13" x14ac:dyDescent="0.25">
      <c r="A1530" s="1">
        <v>46099</v>
      </c>
      <c r="B1530" t="s">
        <v>17</v>
      </c>
      <c r="C1530" t="s">
        <v>9</v>
      </c>
      <c r="D1530" t="str">
        <f>_xlfn.XLOOKUP(tblSales[[#This Row],[Store ID]],tblStores[Store ID],tblStores[Store Name])</f>
        <v>Centurion</v>
      </c>
      <c r="E1530" t="str">
        <f>_xlfn.XLOOKUP(tblSales[[#This Row],[Store ID]],tblStores[Store ID],tblStores[Province])</f>
        <v>Gauteng</v>
      </c>
      <c r="F1530" t="str">
        <f>_xlfn.XLOOKUP(tblSales[[#This Row],[Store ID]],tblStores[Store ID],tblStores[Manager])</f>
        <v>Mark Wilson</v>
      </c>
      <c r="G1530" t="str">
        <f>_xlfn.XLOOKUP(tblSales[[#This Row],[Category ID]],tblCategories[Category ID],tblCategories[Category])</f>
        <v>Ladieswear</v>
      </c>
      <c r="H1530">
        <v>12878</v>
      </c>
      <c r="I1530">
        <v>12067</v>
      </c>
      <c r="J1530">
        <v>47</v>
      </c>
      <c r="K1530">
        <f>tblSales[[#This Row],[Sales]]-tblSales[[#This Row],[Budget]]</f>
        <v>811</v>
      </c>
      <c r="L1530" s="3">
        <f>(tblSales[[#This Row],[Sales]]-tblSales[[#This Row],[Budget]])/tblSales[[#This Row],[Budget]]</f>
        <v>6.7208088174359817E-2</v>
      </c>
      <c r="M1530" s="2">
        <f>tblSales[[#This Row],[Sales]]/tblSales[[#This Row],[Transactions]]</f>
        <v>274</v>
      </c>
    </row>
    <row r="1531" spans="1:13" x14ac:dyDescent="0.25">
      <c r="A1531" s="1">
        <v>46099</v>
      </c>
      <c r="B1531" t="s">
        <v>18</v>
      </c>
      <c r="C1531" t="s">
        <v>22</v>
      </c>
      <c r="D1531" t="str">
        <f>_xlfn.XLOOKUP(tblSales[[#This Row],[Store ID]],tblStores[Store ID],tblStores[Store Name])</f>
        <v>East Rand</v>
      </c>
      <c r="E1531" t="str">
        <f>_xlfn.XLOOKUP(tblSales[[#This Row],[Store ID]],tblStores[Store ID],tblStores[Province])</f>
        <v>Gauteng</v>
      </c>
      <c r="F1531" t="str">
        <f>_xlfn.XLOOKUP(tblSales[[#This Row],[Store ID]],tblStores[Store ID],tblStores[Manager])</f>
        <v>Lisa Young</v>
      </c>
      <c r="G1531" t="str">
        <f>_xlfn.XLOOKUP(tblSales[[#This Row],[Category ID]],tblCategories[Category ID],tblCategories[Category])</f>
        <v>Kids</v>
      </c>
      <c r="H1531">
        <v>11176</v>
      </c>
      <c r="I1531">
        <v>12443</v>
      </c>
      <c r="J1531">
        <v>44</v>
      </c>
      <c r="K1531">
        <f>tblSales[[#This Row],[Sales]]-tblSales[[#This Row],[Budget]]</f>
        <v>-1267</v>
      </c>
      <c r="L1531" s="3">
        <f>(tblSales[[#This Row],[Sales]]-tblSales[[#This Row],[Budget]])/tblSales[[#This Row],[Budget]]</f>
        <v>-0.10182431889415736</v>
      </c>
      <c r="M1531" s="2">
        <f>tblSales[[#This Row],[Sales]]/tblSales[[#This Row],[Transactions]]</f>
        <v>254</v>
      </c>
    </row>
    <row r="1532" spans="1:13" x14ac:dyDescent="0.25">
      <c r="A1532" s="1">
        <v>46099</v>
      </c>
      <c r="B1532" t="s">
        <v>20</v>
      </c>
      <c r="C1532" t="s">
        <v>19</v>
      </c>
      <c r="D1532" t="str">
        <f>_xlfn.XLOOKUP(tblSales[[#This Row],[Store ID]],tblStores[Store ID],tblStores[Store Name])</f>
        <v>Cape Town CBD</v>
      </c>
      <c r="E1532" t="str">
        <f>_xlfn.XLOOKUP(tblSales[[#This Row],[Store ID]],tblStores[Store ID],tblStores[Province])</f>
        <v>Western Cape</v>
      </c>
      <c r="F1532" t="str">
        <f>_xlfn.XLOOKUP(tblSales[[#This Row],[Store ID]],tblStores[Store ID],tblStores[Manager])</f>
        <v>Brian Hall</v>
      </c>
      <c r="G1532" t="str">
        <f>_xlfn.XLOOKUP(tblSales[[#This Row],[Category ID]],tblCategories[Category ID],tblCategories[Category])</f>
        <v>Accessories</v>
      </c>
      <c r="H1532">
        <v>62748</v>
      </c>
      <c r="I1532">
        <v>61667</v>
      </c>
      <c r="J1532">
        <v>189</v>
      </c>
      <c r="K1532">
        <f>tblSales[[#This Row],[Sales]]-tblSales[[#This Row],[Budget]]</f>
        <v>1081</v>
      </c>
      <c r="L1532" s="3">
        <f>(tblSales[[#This Row],[Sales]]-tblSales[[#This Row],[Budget]])/tblSales[[#This Row],[Budget]]</f>
        <v>1.7529634974946081E-2</v>
      </c>
      <c r="M1532" s="2">
        <f>tblSales[[#This Row],[Sales]]/tblSales[[#This Row],[Transactions]]</f>
        <v>332</v>
      </c>
    </row>
    <row r="1533" spans="1:13" x14ac:dyDescent="0.25">
      <c r="A1533" s="1">
        <v>46099</v>
      </c>
      <c r="B1533" t="s">
        <v>21</v>
      </c>
      <c r="C1533" t="s">
        <v>7</v>
      </c>
      <c r="D1533" t="str">
        <f>_xlfn.XLOOKUP(tblSales[[#This Row],[Store ID]],tblStores[Store ID],tblStores[Store Name])</f>
        <v>Canal Walk</v>
      </c>
      <c r="E1533" t="str">
        <f>_xlfn.XLOOKUP(tblSales[[#This Row],[Store ID]],tblStores[Store ID],tblStores[Province])</f>
        <v>Western Cape</v>
      </c>
      <c r="F1533" t="str">
        <f>_xlfn.XLOOKUP(tblSales[[#This Row],[Store ID]],tblStores[Store ID],tblStores[Manager])</f>
        <v>Megan Scott</v>
      </c>
      <c r="G1533" t="str">
        <f>_xlfn.XLOOKUP(tblSales[[#This Row],[Category ID]],tblCategories[Category ID],tblCategories[Category])</f>
        <v>Menswear</v>
      </c>
      <c r="H1533">
        <v>11045</v>
      </c>
      <c r="I1533">
        <v>11091</v>
      </c>
      <c r="J1533">
        <v>47</v>
      </c>
      <c r="K1533">
        <f>tblSales[[#This Row],[Sales]]-tblSales[[#This Row],[Budget]]</f>
        <v>-46</v>
      </c>
      <c r="L1533" s="3">
        <f>(tblSales[[#This Row],[Sales]]-tblSales[[#This Row],[Budget]])/tblSales[[#This Row],[Budget]]</f>
        <v>-4.1475069876476421E-3</v>
      </c>
      <c r="M1533" s="2">
        <f>tblSales[[#This Row],[Sales]]/tblSales[[#This Row],[Transactions]]</f>
        <v>235</v>
      </c>
    </row>
    <row r="1534" spans="1:13" x14ac:dyDescent="0.25">
      <c r="A1534" s="1">
        <v>46099</v>
      </c>
      <c r="B1534" t="s">
        <v>23</v>
      </c>
      <c r="C1534" t="s">
        <v>9</v>
      </c>
      <c r="D1534" t="str">
        <f>_xlfn.XLOOKUP(tblSales[[#This Row],[Store ID]],tblStores[Store ID],tblStores[Store Name])</f>
        <v>Stellenbosch</v>
      </c>
      <c r="E1534" t="str">
        <f>_xlfn.XLOOKUP(tblSales[[#This Row],[Store ID]],tblStores[Store ID],tblStores[Province])</f>
        <v>Western Cape</v>
      </c>
      <c r="F1534" t="str">
        <f>_xlfn.XLOOKUP(tblSales[[#This Row],[Store ID]],tblStores[Store ID],tblStores[Manager])</f>
        <v>Jason King</v>
      </c>
      <c r="G1534" t="str">
        <f>_xlfn.XLOOKUP(tblSales[[#This Row],[Category ID]],tblCategories[Category ID],tblCategories[Category])</f>
        <v>Ladieswear</v>
      </c>
      <c r="H1534">
        <v>24700</v>
      </c>
      <c r="I1534">
        <v>26003</v>
      </c>
      <c r="J1534">
        <v>76</v>
      </c>
      <c r="K1534">
        <f>tblSales[[#This Row],[Sales]]-tblSales[[#This Row],[Budget]]</f>
        <v>-1303</v>
      </c>
      <c r="L1534" s="3">
        <f>(tblSales[[#This Row],[Sales]]-tblSales[[#This Row],[Budget]])/tblSales[[#This Row],[Budget]]</f>
        <v>-5.0109602738145596E-2</v>
      </c>
      <c r="M1534" s="2">
        <f>tblSales[[#This Row],[Sales]]/tblSales[[#This Row],[Transactions]]</f>
        <v>325</v>
      </c>
    </row>
    <row r="1535" spans="1:13" x14ac:dyDescent="0.25">
      <c r="A1535" s="1">
        <v>46099</v>
      </c>
      <c r="B1535" t="s">
        <v>24</v>
      </c>
      <c r="C1535" t="s">
        <v>19</v>
      </c>
      <c r="D1535" t="str">
        <f>_xlfn.XLOOKUP(tblSales[[#This Row],[Store ID]],tblStores[Store ID],tblStores[Store Name])</f>
        <v>George</v>
      </c>
      <c r="E1535" t="str">
        <f>_xlfn.XLOOKUP(tblSales[[#This Row],[Store ID]],tblStores[Store ID],tblStores[Province])</f>
        <v>Western Cape</v>
      </c>
      <c r="F1535" t="str">
        <f>_xlfn.XLOOKUP(tblSales[[#This Row],[Store ID]],tblStores[Store ID],tblStores[Manager])</f>
        <v>Chloe Hill</v>
      </c>
      <c r="G1535" t="str">
        <f>_xlfn.XLOOKUP(tblSales[[#This Row],[Category ID]],tblCategories[Category ID],tblCategories[Category])</f>
        <v>Accessories</v>
      </c>
      <c r="H1535">
        <v>84527</v>
      </c>
      <c r="I1535">
        <v>79823</v>
      </c>
      <c r="J1535">
        <v>181</v>
      </c>
      <c r="K1535">
        <f>tblSales[[#This Row],[Sales]]-tblSales[[#This Row],[Budget]]</f>
        <v>4704</v>
      </c>
      <c r="L1535" s="3">
        <f>(tblSales[[#This Row],[Sales]]-tblSales[[#This Row],[Budget]])/tblSales[[#This Row],[Budget]]</f>
        <v>5.8930383473434975E-2</v>
      </c>
      <c r="M1535" s="2">
        <f>tblSales[[#This Row],[Sales]]/tblSales[[#This Row],[Transactions]]</f>
        <v>467</v>
      </c>
    </row>
    <row r="1536" spans="1:13" x14ac:dyDescent="0.25">
      <c r="A1536" s="1">
        <v>46099</v>
      </c>
      <c r="B1536" t="s">
        <v>25</v>
      </c>
      <c r="C1536" t="s">
        <v>11</v>
      </c>
      <c r="D1536" t="str">
        <f>_xlfn.XLOOKUP(tblSales[[#This Row],[Store ID]],tblStores[Store ID],tblStores[Store Name])</f>
        <v>Paarl</v>
      </c>
      <c r="E1536" t="str">
        <f>_xlfn.XLOOKUP(tblSales[[#This Row],[Store ID]],tblStores[Store ID],tblStores[Province])</f>
        <v>Western Cape</v>
      </c>
      <c r="F1536" t="str">
        <f>_xlfn.XLOOKUP(tblSales[[#This Row],[Store ID]],tblStores[Store ID],tblStores[Manager])</f>
        <v>Andrew Lee</v>
      </c>
      <c r="G1536" t="str">
        <f>_xlfn.XLOOKUP(tblSales[[#This Row],[Category ID]],tblCategories[Category ID],tblCategories[Category])</f>
        <v>Footwear</v>
      </c>
      <c r="H1536">
        <v>66612</v>
      </c>
      <c r="I1536">
        <v>75462</v>
      </c>
      <c r="J1536">
        <v>183</v>
      </c>
      <c r="K1536">
        <f>tblSales[[#This Row],[Sales]]-tblSales[[#This Row],[Budget]]</f>
        <v>-8850</v>
      </c>
      <c r="L1536" s="3">
        <f>(tblSales[[#This Row],[Sales]]-tblSales[[#This Row],[Budget]])/tblSales[[#This Row],[Budget]]</f>
        <v>-0.11727757016776656</v>
      </c>
      <c r="M1536" s="2">
        <f>tblSales[[#This Row],[Sales]]/tblSales[[#This Row],[Transactions]]</f>
        <v>364</v>
      </c>
    </row>
    <row r="1537" spans="1:13" x14ac:dyDescent="0.25">
      <c r="A1537" s="1">
        <v>46099</v>
      </c>
      <c r="B1537" t="s">
        <v>26</v>
      </c>
      <c r="C1537" t="s">
        <v>7</v>
      </c>
      <c r="D1537" t="str">
        <f>_xlfn.XLOOKUP(tblSales[[#This Row],[Store ID]],tblStores[Store ID],tblStores[Store Name])</f>
        <v>Gqeberha</v>
      </c>
      <c r="E1537" t="str">
        <f>_xlfn.XLOOKUP(tblSales[[#This Row],[Store ID]],tblStores[Store ID],tblStores[Province])</f>
        <v>Eastern Cape</v>
      </c>
      <c r="F1537" t="str">
        <f>_xlfn.XLOOKUP(tblSales[[#This Row],[Store ID]],tblStores[Store ID],tblStores[Manager])</f>
        <v>Emma Baker</v>
      </c>
      <c r="G1537" t="str">
        <f>_xlfn.XLOOKUP(tblSales[[#This Row],[Category ID]],tblCategories[Category ID],tblCategories[Category])</f>
        <v>Menswear</v>
      </c>
      <c r="H1537">
        <v>38295</v>
      </c>
      <c r="I1537">
        <v>37994</v>
      </c>
      <c r="J1537">
        <v>111</v>
      </c>
      <c r="K1537">
        <f>tblSales[[#This Row],[Sales]]-tblSales[[#This Row],[Budget]]</f>
        <v>301</v>
      </c>
      <c r="L1537" s="3">
        <f>(tblSales[[#This Row],[Sales]]-tblSales[[#This Row],[Budget]])/tblSales[[#This Row],[Budget]]</f>
        <v>7.922303521608675E-3</v>
      </c>
      <c r="M1537" s="2">
        <f>tblSales[[#This Row],[Sales]]/tblSales[[#This Row],[Transactions]]</f>
        <v>345</v>
      </c>
    </row>
    <row r="1538" spans="1:13" x14ac:dyDescent="0.25">
      <c r="A1538" s="1">
        <v>46099</v>
      </c>
      <c r="B1538" t="s">
        <v>27</v>
      </c>
      <c r="C1538" t="s">
        <v>11</v>
      </c>
      <c r="D1538" t="str">
        <f>_xlfn.XLOOKUP(tblSales[[#This Row],[Store ID]],tblStores[Store ID],tblStores[Store Name])</f>
        <v>East London</v>
      </c>
      <c r="E1538" t="str">
        <f>_xlfn.XLOOKUP(tblSales[[#This Row],[Store ID]],tblStores[Store ID],tblStores[Province])</f>
        <v>Eastern Cape</v>
      </c>
      <c r="F1538" t="str">
        <f>_xlfn.XLOOKUP(tblSales[[#This Row],[Store ID]],tblStores[Store ID],tblStores[Manager])</f>
        <v>Daniel Evans</v>
      </c>
      <c r="G1538" t="str">
        <f>_xlfn.XLOOKUP(tblSales[[#This Row],[Category ID]],tblCategories[Category ID],tblCategories[Category])</f>
        <v>Footwear</v>
      </c>
      <c r="H1538">
        <v>20696</v>
      </c>
      <c r="I1538">
        <v>22989</v>
      </c>
      <c r="J1538">
        <v>52</v>
      </c>
      <c r="K1538">
        <f>tblSales[[#This Row],[Sales]]-tblSales[[#This Row],[Budget]]</f>
        <v>-2293</v>
      </c>
      <c r="L1538" s="3">
        <f>(tblSales[[#This Row],[Sales]]-tblSales[[#This Row],[Budget]])/tblSales[[#This Row],[Budget]]</f>
        <v>-9.9743355517856361E-2</v>
      </c>
      <c r="M1538" s="2">
        <f>tblSales[[#This Row],[Sales]]/tblSales[[#This Row],[Transactions]]</f>
        <v>398</v>
      </c>
    </row>
    <row r="1539" spans="1:13" x14ac:dyDescent="0.25">
      <c r="A1539" s="1">
        <v>46099</v>
      </c>
      <c r="B1539" t="s">
        <v>28</v>
      </c>
      <c r="C1539" t="s">
        <v>7</v>
      </c>
      <c r="D1539" t="str">
        <f>_xlfn.XLOOKUP(tblSales[[#This Row],[Store ID]],tblStores[Store ID],tblStores[Store Name])</f>
        <v>Bloemfontein</v>
      </c>
      <c r="E1539" t="str">
        <f>_xlfn.XLOOKUP(tblSales[[#This Row],[Store ID]],tblStores[Store ID],tblStores[Province])</f>
        <v>Free State</v>
      </c>
      <c r="F1539" t="str">
        <f>_xlfn.XLOOKUP(tblSales[[#This Row],[Store ID]],tblStores[Store ID],tblStores[Manager])</f>
        <v>Rachel Moore</v>
      </c>
      <c r="G1539" t="str">
        <f>_xlfn.XLOOKUP(tblSales[[#This Row],[Category ID]],tblCategories[Category ID],tblCategories[Category])</f>
        <v>Menswear</v>
      </c>
      <c r="H1539">
        <v>45889</v>
      </c>
      <c r="I1539">
        <v>42843</v>
      </c>
      <c r="J1539">
        <v>109</v>
      </c>
      <c r="K1539">
        <f>tblSales[[#This Row],[Sales]]-tblSales[[#This Row],[Budget]]</f>
        <v>3046</v>
      </c>
      <c r="L1539" s="3">
        <f>(tblSales[[#This Row],[Sales]]-tblSales[[#This Row],[Budget]])/tblSales[[#This Row],[Budget]]</f>
        <v>7.1096795275774338E-2</v>
      </c>
      <c r="M1539" s="2">
        <f>tblSales[[#This Row],[Sales]]/tblSales[[#This Row],[Transactions]]</f>
        <v>421</v>
      </c>
    </row>
    <row r="1540" spans="1:13" x14ac:dyDescent="0.25">
      <c r="A1540" s="1">
        <v>46099</v>
      </c>
      <c r="B1540" t="s">
        <v>29</v>
      </c>
      <c r="C1540" t="s">
        <v>22</v>
      </c>
      <c r="D1540" t="str">
        <f>_xlfn.XLOOKUP(tblSales[[#This Row],[Store ID]],tblStores[Store ID],tblStores[Store Name])</f>
        <v>Polokwane</v>
      </c>
      <c r="E1540" t="str">
        <f>_xlfn.XLOOKUP(tblSales[[#This Row],[Store ID]],tblStores[Store ID],tblStores[Province])</f>
        <v>Limpopo</v>
      </c>
      <c r="F1540" t="str">
        <f>_xlfn.XLOOKUP(tblSales[[#This Row],[Store ID]],tblStores[Store ID],tblStores[Manager])</f>
        <v>Kevin Harris</v>
      </c>
      <c r="G1540" t="str">
        <f>_xlfn.XLOOKUP(tblSales[[#This Row],[Category ID]],tblCategories[Category ID],tblCategories[Category])</f>
        <v>Kids</v>
      </c>
      <c r="H1540">
        <v>53431</v>
      </c>
      <c r="I1540">
        <v>53614</v>
      </c>
      <c r="J1540">
        <v>119</v>
      </c>
      <c r="K1540">
        <f>tblSales[[#This Row],[Sales]]-tblSales[[#This Row],[Budget]]</f>
        <v>-183</v>
      </c>
      <c r="L1540" s="3">
        <f>(tblSales[[#This Row],[Sales]]-tblSales[[#This Row],[Budget]])/tblSales[[#This Row],[Budget]]</f>
        <v>-3.4132875741410824E-3</v>
      </c>
      <c r="M1540" s="2">
        <f>tblSales[[#This Row],[Sales]]/tblSales[[#This Row],[Transactions]]</f>
        <v>449</v>
      </c>
    </row>
    <row r="1541" spans="1:13" x14ac:dyDescent="0.25">
      <c r="A1541" s="1">
        <v>46099</v>
      </c>
      <c r="B1541" t="s">
        <v>30</v>
      </c>
      <c r="C1541" t="s">
        <v>9</v>
      </c>
      <c r="D1541" t="str">
        <f>_xlfn.XLOOKUP(tblSales[[#This Row],[Store ID]],tblStores[Store ID],tblStores[Store Name])</f>
        <v>Nelspruit</v>
      </c>
      <c r="E1541" t="str">
        <f>_xlfn.XLOOKUP(tblSales[[#This Row],[Store ID]],tblStores[Store ID],tblStores[Province])</f>
        <v>Mpumalanga</v>
      </c>
      <c r="F1541" t="str">
        <f>_xlfn.XLOOKUP(tblSales[[#This Row],[Store ID]],tblStores[Store ID],tblStores[Manager])</f>
        <v>Olivia Turner</v>
      </c>
      <c r="G1541" t="str">
        <f>_xlfn.XLOOKUP(tblSales[[#This Row],[Category ID]],tblCategories[Category ID],tblCategories[Category])</f>
        <v>Ladieswear</v>
      </c>
      <c r="H1541">
        <v>61131</v>
      </c>
      <c r="I1541">
        <v>64371</v>
      </c>
      <c r="J1541">
        <v>213</v>
      </c>
      <c r="K1541">
        <f>tblSales[[#This Row],[Sales]]-tblSales[[#This Row],[Budget]]</f>
        <v>-3240</v>
      </c>
      <c r="L1541" s="3">
        <f>(tblSales[[#This Row],[Sales]]-tblSales[[#This Row],[Budget]])/tblSales[[#This Row],[Budget]]</f>
        <v>-5.0333224588712311E-2</v>
      </c>
      <c r="M1541" s="2">
        <f>tblSales[[#This Row],[Sales]]/tblSales[[#This Row],[Transactions]]</f>
        <v>287</v>
      </c>
    </row>
    <row r="1542" spans="1:13" x14ac:dyDescent="0.25">
      <c r="A1542" s="1">
        <v>46100</v>
      </c>
      <c r="B1542" t="s">
        <v>6</v>
      </c>
      <c r="C1542" t="s">
        <v>7</v>
      </c>
      <c r="D1542" t="str">
        <f>_xlfn.XLOOKUP(tblSales[[#This Row],[Store ID]],tblStores[Store ID],tblStores[Store Name])</f>
        <v>Durban CBD</v>
      </c>
      <c r="E1542" t="str">
        <f>_xlfn.XLOOKUP(tblSales[[#This Row],[Store ID]],tblStores[Store ID],tblStores[Province])</f>
        <v>KZN</v>
      </c>
      <c r="F1542" t="str">
        <f>_xlfn.XLOOKUP(tblSales[[#This Row],[Store ID]],tblStores[Store ID],tblStores[Manager])</f>
        <v>Sarah Adams</v>
      </c>
      <c r="G1542" t="str">
        <f>_xlfn.XLOOKUP(tblSales[[#This Row],[Category ID]],tblCategories[Category ID],tblCategories[Category])</f>
        <v>Menswear</v>
      </c>
      <c r="H1542">
        <v>90862</v>
      </c>
      <c r="I1542">
        <v>93791</v>
      </c>
      <c r="J1542">
        <v>181</v>
      </c>
      <c r="K1542">
        <f>tblSales[[#This Row],[Sales]]-tblSales[[#This Row],[Budget]]</f>
        <v>-2929</v>
      </c>
      <c r="L1542" s="3">
        <f>(tblSales[[#This Row],[Sales]]-tblSales[[#This Row],[Budget]])/tblSales[[#This Row],[Budget]]</f>
        <v>-3.1229009179985286E-2</v>
      </c>
      <c r="M1542" s="2">
        <f>tblSales[[#This Row],[Sales]]/tblSales[[#This Row],[Transactions]]</f>
        <v>502</v>
      </c>
    </row>
    <row r="1543" spans="1:13" x14ac:dyDescent="0.25">
      <c r="A1543" s="1">
        <v>46100</v>
      </c>
      <c r="B1543" t="s">
        <v>8</v>
      </c>
      <c r="C1543" t="s">
        <v>7</v>
      </c>
      <c r="D1543" t="str">
        <f>_xlfn.XLOOKUP(tblSales[[#This Row],[Store ID]],tblStores[Store ID],tblStores[Store Name])</f>
        <v>Gateway</v>
      </c>
      <c r="E1543" t="str">
        <f>_xlfn.XLOOKUP(tblSales[[#This Row],[Store ID]],tblStores[Store ID],tblStores[Province])</f>
        <v>KZN</v>
      </c>
      <c r="F1543" t="str">
        <f>_xlfn.XLOOKUP(tblSales[[#This Row],[Store ID]],tblStores[Store ID],tblStores[Manager])</f>
        <v>Michael Jones</v>
      </c>
      <c r="G1543" t="str">
        <f>_xlfn.XLOOKUP(tblSales[[#This Row],[Category ID]],tblCategories[Category ID],tblCategories[Category])</f>
        <v>Menswear</v>
      </c>
      <c r="H1543">
        <v>77262</v>
      </c>
      <c r="I1543">
        <v>87574</v>
      </c>
      <c r="J1543">
        <v>158</v>
      </c>
      <c r="K1543">
        <f>tblSales[[#This Row],[Sales]]-tblSales[[#This Row],[Budget]]</f>
        <v>-10312</v>
      </c>
      <c r="L1543" s="3">
        <f>(tblSales[[#This Row],[Sales]]-tblSales[[#This Row],[Budget]])/tblSales[[#This Row],[Budget]]</f>
        <v>-0.11775184415465778</v>
      </c>
      <c r="M1543" s="2">
        <f>tblSales[[#This Row],[Sales]]/tblSales[[#This Row],[Transactions]]</f>
        <v>489</v>
      </c>
    </row>
    <row r="1544" spans="1:13" x14ac:dyDescent="0.25">
      <c r="A1544" s="1">
        <v>46100</v>
      </c>
      <c r="B1544" t="s">
        <v>10</v>
      </c>
      <c r="C1544" t="s">
        <v>22</v>
      </c>
      <c r="D1544" t="str">
        <f>_xlfn.XLOOKUP(tblSales[[#This Row],[Store ID]],tblStores[Store ID],tblStores[Store Name])</f>
        <v>Ballito</v>
      </c>
      <c r="E1544" t="str">
        <f>_xlfn.XLOOKUP(tblSales[[#This Row],[Store ID]],tblStores[Store ID],tblStores[Province])</f>
        <v>KZN</v>
      </c>
      <c r="F1544" t="str">
        <f>_xlfn.XLOOKUP(tblSales[[#This Row],[Store ID]],tblStores[Store ID],tblStores[Manager])</f>
        <v>Linda Smith</v>
      </c>
      <c r="G1544" t="str">
        <f>_xlfn.XLOOKUP(tblSales[[#This Row],[Category ID]],tblCategories[Category ID],tblCategories[Category])</f>
        <v>Kids</v>
      </c>
      <c r="H1544">
        <v>70704</v>
      </c>
      <c r="I1544">
        <v>78619</v>
      </c>
      <c r="J1544">
        <v>144</v>
      </c>
      <c r="K1544">
        <f>tblSales[[#This Row],[Sales]]-tblSales[[#This Row],[Budget]]</f>
        <v>-7915</v>
      </c>
      <c r="L1544" s="3">
        <f>(tblSales[[#This Row],[Sales]]-tblSales[[#This Row],[Budget]])/tblSales[[#This Row],[Budget]]</f>
        <v>-0.10067540925221638</v>
      </c>
      <c r="M1544" s="2">
        <f>tblSales[[#This Row],[Sales]]/tblSales[[#This Row],[Transactions]]</f>
        <v>491</v>
      </c>
    </row>
    <row r="1545" spans="1:13" x14ac:dyDescent="0.25">
      <c r="A1545" s="1">
        <v>46100</v>
      </c>
      <c r="B1545" t="s">
        <v>12</v>
      </c>
      <c r="C1545" t="s">
        <v>22</v>
      </c>
      <c r="D1545" t="str">
        <f>_xlfn.XLOOKUP(tblSales[[#This Row],[Store ID]],tblStores[Store ID],tblStores[Store Name])</f>
        <v>Pietermaritzburg</v>
      </c>
      <c r="E1545" t="str">
        <f>_xlfn.XLOOKUP(tblSales[[#This Row],[Store ID]],tblStores[Store ID],tblStores[Province])</f>
        <v>KZN</v>
      </c>
      <c r="F1545" t="str">
        <f>_xlfn.XLOOKUP(tblSales[[#This Row],[Store ID]],tblStores[Store ID],tblStores[Manager])</f>
        <v>Peter Brown</v>
      </c>
      <c r="G1545" t="str">
        <f>_xlfn.XLOOKUP(tblSales[[#This Row],[Category ID]],tblCategories[Category ID],tblCategories[Category])</f>
        <v>Kids</v>
      </c>
      <c r="H1545">
        <v>80106</v>
      </c>
      <c r="I1545">
        <v>92022</v>
      </c>
      <c r="J1545">
        <v>169</v>
      </c>
      <c r="K1545">
        <f>tblSales[[#This Row],[Sales]]-tblSales[[#This Row],[Budget]]</f>
        <v>-11916</v>
      </c>
      <c r="L1545" s="3">
        <f>(tblSales[[#This Row],[Sales]]-tblSales[[#This Row],[Budget]])/tblSales[[#This Row],[Budget]]</f>
        <v>-0.1294907739453609</v>
      </c>
      <c r="M1545" s="2">
        <f>tblSales[[#This Row],[Sales]]/tblSales[[#This Row],[Transactions]]</f>
        <v>474</v>
      </c>
    </row>
    <row r="1546" spans="1:13" x14ac:dyDescent="0.25">
      <c r="A1546" s="1">
        <v>46100</v>
      </c>
      <c r="B1546" t="s">
        <v>13</v>
      </c>
      <c r="C1546" t="s">
        <v>22</v>
      </c>
      <c r="D1546" t="str">
        <f>_xlfn.XLOOKUP(tblSales[[#This Row],[Store ID]],tblStores[Store ID],tblStores[Store Name])</f>
        <v>Richards Bay</v>
      </c>
      <c r="E1546" t="str">
        <f>_xlfn.XLOOKUP(tblSales[[#This Row],[Store ID]],tblStores[Store ID],tblStores[Province])</f>
        <v>KZN</v>
      </c>
      <c r="F1546" t="str">
        <f>_xlfn.XLOOKUP(tblSales[[#This Row],[Store ID]],tblStores[Store ID],tblStores[Manager])</f>
        <v>David Green</v>
      </c>
      <c r="G1546" t="str">
        <f>_xlfn.XLOOKUP(tblSales[[#This Row],[Category ID]],tblCategories[Category ID],tblCategories[Category])</f>
        <v>Kids</v>
      </c>
      <c r="H1546">
        <v>33592</v>
      </c>
      <c r="I1546">
        <v>34957</v>
      </c>
      <c r="J1546">
        <v>68</v>
      </c>
      <c r="K1546">
        <f>tblSales[[#This Row],[Sales]]-tblSales[[#This Row],[Budget]]</f>
        <v>-1365</v>
      </c>
      <c r="L1546" s="3">
        <f>(tblSales[[#This Row],[Sales]]-tblSales[[#This Row],[Budget]])/tblSales[[#This Row],[Budget]]</f>
        <v>-3.9047973224246933E-2</v>
      </c>
      <c r="M1546" s="2">
        <f>tblSales[[#This Row],[Sales]]/tblSales[[#This Row],[Transactions]]</f>
        <v>494</v>
      </c>
    </row>
    <row r="1547" spans="1:13" x14ac:dyDescent="0.25">
      <c r="A1547" s="1">
        <v>46100</v>
      </c>
      <c r="B1547" t="s">
        <v>14</v>
      </c>
      <c r="C1547" t="s">
        <v>19</v>
      </c>
      <c r="D1547" t="str">
        <f>_xlfn.XLOOKUP(tblSales[[#This Row],[Store ID]],tblStores[Store ID],tblStores[Store Name])</f>
        <v>Sandton</v>
      </c>
      <c r="E1547" t="str">
        <f>_xlfn.XLOOKUP(tblSales[[#This Row],[Store ID]],tblStores[Store ID],tblStores[Province])</f>
        <v>Gauteng</v>
      </c>
      <c r="F1547" t="str">
        <f>_xlfn.XLOOKUP(tblSales[[#This Row],[Store ID]],tblStores[Store ID],tblStores[Manager])</f>
        <v>Karen White</v>
      </c>
      <c r="G1547" t="str">
        <f>_xlfn.XLOOKUP(tblSales[[#This Row],[Category ID]],tblCategories[Category ID],tblCategories[Category])</f>
        <v>Accessories</v>
      </c>
      <c r="H1547">
        <v>85064</v>
      </c>
      <c r="I1547">
        <v>87031</v>
      </c>
      <c r="J1547">
        <v>196</v>
      </c>
      <c r="K1547">
        <f>tblSales[[#This Row],[Sales]]-tblSales[[#This Row],[Budget]]</f>
        <v>-1967</v>
      </c>
      <c r="L1547" s="3">
        <f>(tblSales[[#This Row],[Sales]]-tblSales[[#This Row],[Budget]])/tblSales[[#This Row],[Budget]]</f>
        <v>-2.2601142121772701E-2</v>
      </c>
      <c r="M1547" s="2">
        <f>tblSales[[#This Row],[Sales]]/tblSales[[#This Row],[Transactions]]</f>
        <v>434</v>
      </c>
    </row>
    <row r="1548" spans="1:13" x14ac:dyDescent="0.25">
      <c r="A1548" s="1">
        <v>46100</v>
      </c>
      <c r="B1548" t="s">
        <v>15</v>
      </c>
      <c r="C1548" t="s">
        <v>9</v>
      </c>
      <c r="D1548" t="str">
        <f>_xlfn.XLOOKUP(tblSales[[#This Row],[Store ID]],tblStores[Store ID],tblStores[Store Name])</f>
        <v>Rosebank</v>
      </c>
      <c r="E1548" t="str">
        <f>_xlfn.XLOOKUP(tblSales[[#This Row],[Store ID]],tblStores[Store ID],tblStores[Province])</f>
        <v>Gauteng</v>
      </c>
      <c r="F1548" t="str">
        <f>_xlfn.XLOOKUP(tblSales[[#This Row],[Store ID]],tblStores[Store ID],tblStores[Manager])</f>
        <v>James Taylor</v>
      </c>
      <c r="G1548" t="str">
        <f>_xlfn.XLOOKUP(tblSales[[#This Row],[Category ID]],tblCategories[Category ID],tblCategories[Category])</f>
        <v>Ladieswear</v>
      </c>
      <c r="H1548">
        <v>57109</v>
      </c>
      <c r="I1548">
        <v>61514</v>
      </c>
      <c r="J1548">
        <v>191</v>
      </c>
      <c r="K1548">
        <f>tblSales[[#This Row],[Sales]]-tblSales[[#This Row],[Budget]]</f>
        <v>-4405</v>
      </c>
      <c r="L1548" s="3">
        <f>(tblSales[[#This Row],[Sales]]-tblSales[[#This Row],[Budget]])/tblSales[[#This Row],[Budget]]</f>
        <v>-7.1609714861657514E-2</v>
      </c>
      <c r="M1548" s="2">
        <f>tblSales[[#This Row],[Sales]]/tblSales[[#This Row],[Transactions]]</f>
        <v>299</v>
      </c>
    </row>
    <row r="1549" spans="1:13" x14ac:dyDescent="0.25">
      <c r="A1549" s="1">
        <v>46100</v>
      </c>
      <c r="B1549" t="s">
        <v>16</v>
      </c>
      <c r="C1549" t="s">
        <v>9</v>
      </c>
      <c r="D1549" t="str">
        <f>_xlfn.XLOOKUP(tblSales[[#This Row],[Store ID]],tblStores[Store ID],tblStores[Store Name])</f>
        <v>Pretoria</v>
      </c>
      <c r="E1549" t="str">
        <f>_xlfn.XLOOKUP(tblSales[[#This Row],[Store ID]],tblStores[Store ID],tblStores[Province])</f>
        <v>Gauteng</v>
      </c>
      <c r="F1549" t="str">
        <f>_xlfn.XLOOKUP(tblSales[[#This Row],[Store ID]],tblStores[Store ID],tblStores[Manager])</f>
        <v>Susan Clark</v>
      </c>
      <c r="G1549" t="str">
        <f>_xlfn.XLOOKUP(tblSales[[#This Row],[Category ID]],tblCategories[Category ID],tblCategories[Category])</f>
        <v>Ladieswear</v>
      </c>
      <c r="H1549">
        <v>8400</v>
      </c>
      <c r="I1549">
        <v>7610</v>
      </c>
      <c r="J1549">
        <v>35</v>
      </c>
      <c r="K1549">
        <f>tblSales[[#This Row],[Sales]]-tblSales[[#This Row],[Budget]]</f>
        <v>790</v>
      </c>
      <c r="L1549" s="3">
        <f>(tblSales[[#This Row],[Sales]]-tblSales[[#This Row],[Budget]])/tblSales[[#This Row],[Budget]]</f>
        <v>0.1038107752956636</v>
      </c>
      <c r="M1549" s="2">
        <f>tblSales[[#This Row],[Sales]]/tblSales[[#This Row],[Transactions]]</f>
        <v>240</v>
      </c>
    </row>
    <row r="1550" spans="1:13" x14ac:dyDescent="0.25">
      <c r="A1550" s="1">
        <v>46100</v>
      </c>
      <c r="B1550" t="s">
        <v>17</v>
      </c>
      <c r="C1550" t="s">
        <v>7</v>
      </c>
      <c r="D1550" t="str">
        <f>_xlfn.XLOOKUP(tblSales[[#This Row],[Store ID]],tblStores[Store ID],tblStores[Store Name])</f>
        <v>Centurion</v>
      </c>
      <c r="E1550" t="str">
        <f>_xlfn.XLOOKUP(tblSales[[#This Row],[Store ID]],tblStores[Store ID],tblStores[Province])</f>
        <v>Gauteng</v>
      </c>
      <c r="F1550" t="str">
        <f>_xlfn.XLOOKUP(tblSales[[#This Row],[Store ID]],tblStores[Store ID],tblStores[Manager])</f>
        <v>Mark Wilson</v>
      </c>
      <c r="G1550" t="str">
        <f>_xlfn.XLOOKUP(tblSales[[#This Row],[Category ID]],tblCategories[Category ID],tblCategories[Category])</f>
        <v>Menswear</v>
      </c>
      <c r="H1550">
        <v>43560</v>
      </c>
      <c r="I1550">
        <v>50082</v>
      </c>
      <c r="J1550">
        <v>88</v>
      </c>
      <c r="K1550">
        <f>tblSales[[#This Row],[Sales]]-tblSales[[#This Row],[Budget]]</f>
        <v>-6522</v>
      </c>
      <c r="L1550" s="3">
        <f>(tblSales[[#This Row],[Sales]]-tblSales[[#This Row],[Budget]])/tblSales[[#This Row],[Budget]]</f>
        <v>-0.13022642865700251</v>
      </c>
      <c r="M1550" s="2">
        <f>tblSales[[#This Row],[Sales]]/tblSales[[#This Row],[Transactions]]</f>
        <v>495</v>
      </c>
    </row>
    <row r="1551" spans="1:13" x14ac:dyDescent="0.25">
      <c r="A1551" s="1">
        <v>46100</v>
      </c>
      <c r="B1551" t="s">
        <v>18</v>
      </c>
      <c r="C1551" t="s">
        <v>11</v>
      </c>
      <c r="D1551" t="str">
        <f>_xlfn.XLOOKUP(tblSales[[#This Row],[Store ID]],tblStores[Store ID],tblStores[Store Name])</f>
        <v>East Rand</v>
      </c>
      <c r="E1551" t="str">
        <f>_xlfn.XLOOKUP(tblSales[[#This Row],[Store ID]],tblStores[Store ID],tblStores[Province])</f>
        <v>Gauteng</v>
      </c>
      <c r="F1551" t="str">
        <f>_xlfn.XLOOKUP(tblSales[[#This Row],[Store ID]],tblStores[Store ID],tblStores[Manager])</f>
        <v>Lisa Young</v>
      </c>
      <c r="G1551" t="str">
        <f>_xlfn.XLOOKUP(tblSales[[#This Row],[Category ID]],tblCategories[Category ID],tblCategories[Category])</f>
        <v>Footwear</v>
      </c>
      <c r="H1551">
        <v>16100</v>
      </c>
      <c r="I1551">
        <v>15897</v>
      </c>
      <c r="J1551">
        <v>46</v>
      </c>
      <c r="K1551">
        <f>tblSales[[#This Row],[Sales]]-tblSales[[#This Row],[Budget]]</f>
        <v>203</v>
      </c>
      <c r="L1551" s="3">
        <f>(tblSales[[#This Row],[Sales]]-tblSales[[#This Row],[Budget]])/tblSales[[#This Row],[Budget]]</f>
        <v>1.2769704975781594E-2</v>
      </c>
      <c r="M1551" s="2">
        <f>tblSales[[#This Row],[Sales]]/tblSales[[#This Row],[Transactions]]</f>
        <v>350</v>
      </c>
    </row>
    <row r="1552" spans="1:13" x14ac:dyDescent="0.25">
      <c r="A1552" s="1">
        <v>46100</v>
      </c>
      <c r="B1552" t="s">
        <v>20</v>
      </c>
      <c r="C1552" t="s">
        <v>9</v>
      </c>
      <c r="D1552" t="str">
        <f>_xlfn.XLOOKUP(tblSales[[#This Row],[Store ID]],tblStores[Store ID],tblStores[Store Name])</f>
        <v>Cape Town CBD</v>
      </c>
      <c r="E1552" t="str">
        <f>_xlfn.XLOOKUP(tblSales[[#This Row],[Store ID]],tblStores[Store ID],tblStores[Province])</f>
        <v>Western Cape</v>
      </c>
      <c r="F1552" t="str">
        <f>_xlfn.XLOOKUP(tblSales[[#This Row],[Store ID]],tblStores[Store ID],tblStores[Manager])</f>
        <v>Brian Hall</v>
      </c>
      <c r="G1552" t="str">
        <f>_xlfn.XLOOKUP(tblSales[[#This Row],[Category ID]],tblCategories[Category ID],tblCategories[Category])</f>
        <v>Ladieswear</v>
      </c>
      <c r="H1552">
        <v>18759</v>
      </c>
      <c r="I1552">
        <v>17826</v>
      </c>
      <c r="J1552">
        <v>37</v>
      </c>
      <c r="K1552">
        <f>tblSales[[#This Row],[Sales]]-tblSales[[#This Row],[Budget]]</f>
        <v>933</v>
      </c>
      <c r="L1552" s="3">
        <f>(tblSales[[#This Row],[Sales]]-tblSales[[#This Row],[Budget]])/tblSales[[#This Row],[Budget]]</f>
        <v>5.2339279703803435E-2</v>
      </c>
      <c r="M1552" s="2">
        <f>tblSales[[#This Row],[Sales]]/tblSales[[#This Row],[Transactions]]</f>
        <v>507</v>
      </c>
    </row>
    <row r="1553" spans="1:13" x14ac:dyDescent="0.25">
      <c r="A1553" s="1">
        <v>46100</v>
      </c>
      <c r="B1553" t="s">
        <v>21</v>
      </c>
      <c r="C1553" t="s">
        <v>22</v>
      </c>
      <c r="D1553" t="str">
        <f>_xlfn.XLOOKUP(tblSales[[#This Row],[Store ID]],tblStores[Store ID],tblStores[Store Name])</f>
        <v>Canal Walk</v>
      </c>
      <c r="E1553" t="str">
        <f>_xlfn.XLOOKUP(tblSales[[#This Row],[Store ID]],tblStores[Store ID],tblStores[Province])</f>
        <v>Western Cape</v>
      </c>
      <c r="F1553" t="str">
        <f>_xlfn.XLOOKUP(tblSales[[#This Row],[Store ID]],tblStores[Store ID],tblStores[Manager])</f>
        <v>Megan Scott</v>
      </c>
      <c r="G1553" t="str">
        <f>_xlfn.XLOOKUP(tblSales[[#This Row],[Category ID]],tblCategories[Category ID],tblCategories[Category])</f>
        <v>Kids</v>
      </c>
      <c r="H1553">
        <v>21400</v>
      </c>
      <c r="I1553">
        <v>20906</v>
      </c>
      <c r="J1553">
        <v>100</v>
      </c>
      <c r="K1553">
        <f>tblSales[[#This Row],[Sales]]-tblSales[[#This Row],[Budget]]</f>
        <v>494</v>
      </c>
      <c r="L1553" s="3">
        <f>(tblSales[[#This Row],[Sales]]-tblSales[[#This Row],[Budget]])/tblSales[[#This Row],[Budget]]</f>
        <v>2.3629580024873243E-2</v>
      </c>
      <c r="M1553" s="2">
        <f>tblSales[[#This Row],[Sales]]/tblSales[[#This Row],[Transactions]]</f>
        <v>214</v>
      </c>
    </row>
    <row r="1554" spans="1:13" x14ac:dyDescent="0.25">
      <c r="A1554" s="1">
        <v>46100</v>
      </c>
      <c r="B1554" t="s">
        <v>23</v>
      </c>
      <c r="C1554" t="s">
        <v>19</v>
      </c>
      <c r="D1554" t="str">
        <f>_xlfn.XLOOKUP(tblSales[[#This Row],[Store ID]],tblStores[Store ID],tblStores[Store Name])</f>
        <v>Stellenbosch</v>
      </c>
      <c r="E1554" t="str">
        <f>_xlfn.XLOOKUP(tblSales[[#This Row],[Store ID]],tblStores[Store ID],tblStores[Province])</f>
        <v>Western Cape</v>
      </c>
      <c r="F1554" t="str">
        <f>_xlfn.XLOOKUP(tblSales[[#This Row],[Store ID]],tblStores[Store ID],tblStores[Manager])</f>
        <v>Jason King</v>
      </c>
      <c r="G1554" t="str">
        <f>_xlfn.XLOOKUP(tblSales[[#This Row],[Category ID]],tblCategories[Category ID],tblCategories[Category])</f>
        <v>Accessories</v>
      </c>
      <c r="H1554">
        <v>60375</v>
      </c>
      <c r="I1554">
        <v>65914</v>
      </c>
      <c r="J1554">
        <v>175</v>
      </c>
      <c r="K1554">
        <f>tblSales[[#This Row],[Sales]]-tblSales[[#This Row],[Budget]]</f>
        <v>-5539</v>
      </c>
      <c r="L1554" s="3">
        <f>(tblSales[[#This Row],[Sales]]-tblSales[[#This Row],[Budget]])/tblSales[[#This Row],[Budget]]</f>
        <v>-8.4033740935157933E-2</v>
      </c>
      <c r="M1554" s="2">
        <f>tblSales[[#This Row],[Sales]]/tblSales[[#This Row],[Transactions]]</f>
        <v>345</v>
      </c>
    </row>
    <row r="1555" spans="1:13" x14ac:dyDescent="0.25">
      <c r="A1555" s="1">
        <v>46100</v>
      </c>
      <c r="B1555" t="s">
        <v>24</v>
      </c>
      <c r="C1555" t="s">
        <v>7</v>
      </c>
      <c r="D1555" t="str">
        <f>_xlfn.XLOOKUP(tblSales[[#This Row],[Store ID]],tblStores[Store ID],tblStores[Store Name])</f>
        <v>George</v>
      </c>
      <c r="E1555" t="str">
        <f>_xlfn.XLOOKUP(tblSales[[#This Row],[Store ID]],tblStores[Store ID],tblStores[Province])</f>
        <v>Western Cape</v>
      </c>
      <c r="F1555" t="str">
        <f>_xlfn.XLOOKUP(tblSales[[#This Row],[Store ID]],tblStores[Store ID],tblStores[Manager])</f>
        <v>Chloe Hill</v>
      </c>
      <c r="G1555" t="str">
        <f>_xlfn.XLOOKUP(tblSales[[#This Row],[Category ID]],tblCategories[Category ID],tblCategories[Category])</f>
        <v>Menswear</v>
      </c>
      <c r="H1555">
        <v>73500</v>
      </c>
      <c r="I1555">
        <v>72422</v>
      </c>
      <c r="J1555">
        <v>210</v>
      </c>
      <c r="K1555">
        <f>tblSales[[#This Row],[Sales]]-tblSales[[#This Row],[Budget]]</f>
        <v>1078</v>
      </c>
      <c r="L1555" s="3">
        <f>(tblSales[[#This Row],[Sales]]-tblSales[[#This Row],[Budget]])/tblSales[[#This Row],[Budget]]</f>
        <v>1.4884979702300407E-2</v>
      </c>
      <c r="M1555" s="2">
        <f>tblSales[[#This Row],[Sales]]/tblSales[[#This Row],[Transactions]]</f>
        <v>350</v>
      </c>
    </row>
    <row r="1556" spans="1:13" x14ac:dyDescent="0.25">
      <c r="A1556" s="1">
        <v>46100</v>
      </c>
      <c r="B1556" t="s">
        <v>25</v>
      </c>
      <c r="C1556" t="s">
        <v>19</v>
      </c>
      <c r="D1556" t="str">
        <f>_xlfn.XLOOKUP(tblSales[[#This Row],[Store ID]],tblStores[Store ID],tblStores[Store Name])</f>
        <v>Paarl</v>
      </c>
      <c r="E1556" t="str">
        <f>_xlfn.XLOOKUP(tblSales[[#This Row],[Store ID]],tblStores[Store ID],tblStores[Province])</f>
        <v>Western Cape</v>
      </c>
      <c r="F1556" t="str">
        <f>_xlfn.XLOOKUP(tblSales[[#This Row],[Store ID]],tblStores[Store ID],tblStores[Manager])</f>
        <v>Andrew Lee</v>
      </c>
      <c r="G1556" t="str">
        <f>_xlfn.XLOOKUP(tblSales[[#This Row],[Category ID]],tblCategories[Category ID],tblCategories[Category])</f>
        <v>Accessories</v>
      </c>
      <c r="H1556">
        <v>37248</v>
      </c>
      <c r="I1556">
        <v>41271</v>
      </c>
      <c r="J1556">
        <v>192</v>
      </c>
      <c r="K1556">
        <f>tblSales[[#This Row],[Sales]]-tblSales[[#This Row],[Budget]]</f>
        <v>-4023</v>
      </c>
      <c r="L1556" s="3">
        <f>(tblSales[[#This Row],[Sales]]-tblSales[[#This Row],[Budget]])/tblSales[[#This Row],[Budget]]</f>
        <v>-9.7477647742967216E-2</v>
      </c>
      <c r="M1556" s="2">
        <f>tblSales[[#This Row],[Sales]]/tblSales[[#This Row],[Transactions]]</f>
        <v>194</v>
      </c>
    </row>
    <row r="1557" spans="1:13" x14ac:dyDescent="0.25">
      <c r="A1557" s="1">
        <v>46100</v>
      </c>
      <c r="B1557" t="s">
        <v>26</v>
      </c>
      <c r="C1557" t="s">
        <v>9</v>
      </c>
      <c r="D1557" t="str">
        <f>_xlfn.XLOOKUP(tblSales[[#This Row],[Store ID]],tblStores[Store ID],tblStores[Store Name])</f>
        <v>Gqeberha</v>
      </c>
      <c r="E1557" t="str">
        <f>_xlfn.XLOOKUP(tblSales[[#This Row],[Store ID]],tblStores[Store ID],tblStores[Province])</f>
        <v>Eastern Cape</v>
      </c>
      <c r="F1557" t="str">
        <f>_xlfn.XLOOKUP(tblSales[[#This Row],[Store ID]],tblStores[Store ID],tblStores[Manager])</f>
        <v>Emma Baker</v>
      </c>
      <c r="G1557" t="str">
        <f>_xlfn.XLOOKUP(tblSales[[#This Row],[Category ID]],tblCategories[Category ID],tblCategories[Category])</f>
        <v>Ladieswear</v>
      </c>
      <c r="H1557">
        <v>42007</v>
      </c>
      <c r="I1557">
        <v>47491</v>
      </c>
      <c r="J1557">
        <v>119</v>
      </c>
      <c r="K1557">
        <f>tblSales[[#This Row],[Sales]]-tblSales[[#This Row],[Budget]]</f>
        <v>-5484</v>
      </c>
      <c r="L1557" s="3">
        <f>(tblSales[[#This Row],[Sales]]-tblSales[[#This Row],[Budget]])/tblSales[[#This Row],[Budget]]</f>
        <v>-0.11547451095997137</v>
      </c>
      <c r="M1557" s="2">
        <f>tblSales[[#This Row],[Sales]]/tblSales[[#This Row],[Transactions]]</f>
        <v>353</v>
      </c>
    </row>
    <row r="1558" spans="1:13" x14ac:dyDescent="0.25">
      <c r="A1558" s="1">
        <v>46100</v>
      </c>
      <c r="B1558" t="s">
        <v>27</v>
      </c>
      <c r="C1558" t="s">
        <v>11</v>
      </c>
      <c r="D1558" t="str">
        <f>_xlfn.XLOOKUP(tblSales[[#This Row],[Store ID]],tblStores[Store ID],tblStores[Store Name])</f>
        <v>East London</v>
      </c>
      <c r="E1558" t="str">
        <f>_xlfn.XLOOKUP(tblSales[[#This Row],[Store ID]],tblStores[Store ID],tblStores[Province])</f>
        <v>Eastern Cape</v>
      </c>
      <c r="F1558" t="str">
        <f>_xlfn.XLOOKUP(tblSales[[#This Row],[Store ID]],tblStores[Store ID],tblStores[Manager])</f>
        <v>Daniel Evans</v>
      </c>
      <c r="G1558" t="str">
        <f>_xlfn.XLOOKUP(tblSales[[#This Row],[Category ID]],tblCategories[Category ID],tblCategories[Category])</f>
        <v>Footwear</v>
      </c>
      <c r="H1558">
        <v>30888</v>
      </c>
      <c r="I1558">
        <v>32784</v>
      </c>
      <c r="J1558">
        <v>156</v>
      </c>
      <c r="K1558">
        <f>tblSales[[#This Row],[Sales]]-tblSales[[#This Row],[Budget]]</f>
        <v>-1896</v>
      </c>
      <c r="L1558" s="3">
        <f>(tblSales[[#This Row],[Sales]]-tblSales[[#This Row],[Budget]])/tblSales[[#This Row],[Budget]]</f>
        <v>-5.7833089311859445E-2</v>
      </c>
      <c r="M1558" s="2">
        <f>tblSales[[#This Row],[Sales]]/tblSales[[#This Row],[Transactions]]</f>
        <v>198</v>
      </c>
    </row>
    <row r="1559" spans="1:13" x14ac:dyDescent="0.25">
      <c r="A1559" s="1">
        <v>46100</v>
      </c>
      <c r="B1559" t="s">
        <v>28</v>
      </c>
      <c r="C1559" t="s">
        <v>11</v>
      </c>
      <c r="D1559" t="str">
        <f>_xlfn.XLOOKUP(tblSales[[#This Row],[Store ID]],tblStores[Store ID],tblStores[Store Name])</f>
        <v>Bloemfontein</v>
      </c>
      <c r="E1559" t="str">
        <f>_xlfn.XLOOKUP(tblSales[[#This Row],[Store ID]],tblStores[Store ID],tblStores[Province])</f>
        <v>Free State</v>
      </c>
      <c r="F1559" t="str">
        <f>_xlfn.XLOOKUP(tblSales[[#This Row],[Store ID]],tblStores[Store ID],tblStores[Manager])</f>
        <v>Rachel Moore</v>
      </c>
      <c r="G1559" t="str">
        <f>_xlfn.XLOOKUP(tblSales[[#This Row],[Category ID]],tblCategories[Category ID],tblCategories[Category])</f>
        <v>Footwear</v>
      </c>
      <c r="H1559">
        <v>37074</v>
      </c>
      <c r="I1559">
        <v>37635</v>
      </c>
      <c r="J1559">
        <v>74</v>
      </c>
      <c r="K1559">
        <f>tblSales[[#This Row],[Sales]]-tblSales[[#This Row],[Budget]]</f>
        <v>-561</v>
      </c>
      <c r="L1559" s="3">
        <f>(tblSales[[#This Row],[Sales]]-tblSales[[#This Row],[Budget]])/tblSales[[#This Row],[Budget]]</f>
        <v>-1.4906337186129933E-2</v>
      </c>
      <c r="M1559" s="2">
        <f>tblSales[[#This Row],[Sales]]/tblSales[[#This Row],[Transactions]]</f>
        <v>501</v>
      </c>
    </row>
    <row r="1560" spans="1:13" x14ac:dyDescent="0.25">
      <c r="A1560" s="1">
        <v>46100</v>
      </c>
      <c r="B1560" t="s">
        <v>29</v>
      </c>
      <c r="C1560" t="s">
        <v>19</v>
      </c>
      <c r="D1560" t="str">
        <f>_xlfn.XLOOKUP(tblSales[[#This Row],[Store ID]],tblStores[Store ID],tblStores[Store Name])</f>
        <v>Polokwane</v>
      </c>
      <c r="E1560" t="str">
        <f>_xlfn.XLOOKUP(tblSales[[#This Row],[Store ID]],tblStores[Store ID],tblStores[Province])</f>
        <v>Limpopo</v>
      </c>
      <c r="F1560" t="str">
        <f>_xlfn.XLOOKUP(tblSales[[#This Row],[Store ID]],tblStores[Store ID],tblStores[Manager])</f>
        <v>Kevin Harris</v>
      </c>
      <c r="G1560" t="str">
        <f>_xlfn.XLOOKUP(tblSales[[#This Row],[Category ID]],tblCategories[Category ID],tblCategories[Category])</f>
        <v>Accessories</v>
      </c>
      <c r="H1560">
        <v>49920</v>
      </c>
      <c r="I1560">
        <v>54712</v>
      </c>
      <c r="J1560">
        <v>120</v>
      </c>
      <c r="K1560">
        <f>tblSales[[#This Row],[Sales]]-tblSales[[#This Row],[Budget]]</f>
        <v>-4792</v>
      </c>
      <c r="L1560" s="3">
        <f>(tblSales[[#This Row],[Sales]]-tblSales[[#This Row],[Budget]])/tblSales[[#This Row],[Budget]]</f>
        <v>-8.7585904371984213E-2</v>
      </c>
      <c r="M1560" s="2">
        <f>tblSales[[#This Row],[Sales]]/tblSales[[#This Row],[Transactions]]</f>
        <v>416</v>
      </c>
    </row>
    <row r="1561" spans="1:13" x14ac:dyDescent="0.25">
      <c r="A1561" s="1">
        <v>46100</v>
      </c>
      <c r="B1561" t="s">
        <v>30</v>
      </c>
      <c r="C1561" t="s">
        <v>11</v>
      </c>
      <c r="D1561" t="str">
        <f>_xlfn.XLOOKUP(tblSales[[#This Row],[Store ID]],tblStores[Store ID],tblStores[Store Name])</f>
        <v>Nelspruit</v>
      </c>
      <c r="E1561" t="str">
        <f>_xlfn.XLOOKUP(tblSales[[#This Row],[Store ID]],tblStores[Store ID],tblStores[Province])</f>
        <v>Mpumalanga</v>
      </c>
      <c r="F1561" t="str">
        <f>_xlfn.XLOOKUP(tblSales[[#This Row],[Store ID]],tblStores[Store ID],tblStores[Manager])</f>
        <v>Olivia Turner</v>
      </c>
      <c r="G1561" t="str">
        <f>_xlfn.XLOOKUP(tblSales[[#This Row],[Category ID]],tblCategories[Category ID],tblCategories[Category])</f>
        <v>Footwear</v>
      </c>
      <c r="H1561">
        <v>21854</v>
      </c>
      <c r="I1561">
        <v>21304</v>
      </c>
      <c r="J1561">
        <v>49</v>
      </c>
      <c r="K1561">
        <f>tblSales[[#This Row],[Sales]]-tblSales[[#This Row],[Budget]]</f>
        <v>550</v>
      </c>
      <c r="L1561" s="3">
        <f>(tblSales[[#This Row],[Sales]]-tblSales[[#This Row],[Budget]])/tblSales[[#This Row],[Budget]]</f>
        <v>2.5816748028539241E-2</v>
      </c>
      <c r="M1561" s="2">
        <f>tblSales[[#This Row],[Sales]]/tblSales[[#This Row],[Transactions]]</f>
        <v>446</v>
      </c>
    </row>
    <row r="1562" spans="1:13" x14ac:dyDescent="0.25">
      <c r="A1562" s="1">
        <v>46101</v>
      </c>
      <c r="B1562" t="s">
        <v>6</v>
      </c>
      <c r="C1562" t="s">
        <v>22</v>
      </c>
      <c r="D1562" t="str">
        <f>_xlfn.XLOOKUP(tblSales[[#This Row],[Store ID]],tblStores[Store ID],tblStores[Store Name])</f>
        <v>Durban CBD</v>
      </c>
      <c r="E1562" t="str">
        <f>_xlfn.XLOOKUP(tblSales[[#This Row],[Store ID]],tblStores[Store ID],tblStores[Province])</f>
        <v>KZN</v>
      </c>
      <c r="F1562" t="str">
        <f>_xlfn.XLOOKUP(tblSales[[#This Row],[Store ID]],tblStores[Store ID],tblStores[Manager])</f>
        <v>Sarah Adams</v>
      </c>
      <c r="G1562" t="str">
        <f>_xlfn.XLOOKUP(tblSales[[#This Row],[Category ID]],tblCategories[Category ID],tblCategories[Category])</f>
        <v>Kids</v>
      </c>
      <c r="H1562">
        <v>80358</v>
      </c>
      <c r="I1562">
        <v>72698</v>
      </c>
      <c r="J1562">
        <v>177</v>
      </c>
      <c r="K1562">
        <f>tblSales[[#This Row],[Sales]]-tblSales[[#This Row],[Budget]]</f>
        <v>7660</v>
      </c>
      <c r="L1562" s="3">
        <f>(tblSales[[#This Row],[Sales]]-tblSales[[#This Row],[Budget]])/tblSales[[#This Row],[Budget]]</f>
        <v>0.10536741038267902</v>
      </c>
      <c r="M1562" s="2">
        <f>tblSales[[#This Row],[Sales]]/tblSales[[#This Row],[Transactions]]</f>
        <v>454</v>
      </c>
    </row>
    <row r="1563" spans="1:13" x14ac:dyDescent="0.25">
      <c r="A1563" s="1">
        <v>46101</v>
      </c>
      <c r="B1563" t="s">
        <v>8</v>
      </c>
      <c r="C1563" t="s">
        <v>19</v>
      </c>
      <c r="D1563" t="str">
        <f>_xlfn.XLOOKUP(tblSales[[#This Row],[Store ID]],tblStores[Store ID],tblStores[Store Name])</f>
        <v>Gateway</v>
      </c>
      <c r="E1563" t="str">
        <f>_xlfn.XLOOKUP(tblSales[[#This Row],[Store ID]],tblStores[Store ID],tblStores[Province])</f>
        <v>KZN</v>
      </c>
      <c r="F1563" t="str">
        <f>_xlfn.XLOOKUP(tblSales[[#This Row],[Store ID]],tblStores[Store ID],tblStores[Manager])</f>
        <v>Michael Jones</v>
      </c>
      <c r="G1563" t="str">
        <f>_xlfn.XLOOKUP(tblSales[[#This Row],[Category ID]],tblCategories[Category ID],tblCategories[Category])</f>
        <v>Accessories</v>
      </c>
      <c r="H1563">
        <v>73290</v>
      </c>
      <c r="I1563">
        <v>80610</v>
      </c>
      <c r="J1563">
        <v>210</v>
      </c>
      <c r="K1563">
        <f>tblSales[[#This Row],[Sales]]-tblSales[[#This Row],[Budget]]</f>
        <v>-7320</v>
      </c>
      <c r="L1563" s="3">
        <f>(tblSales[[#This Row],[Sales]]-tblSales[[#This Row],[Budget]])/tblSales[[#This Row],[Budget]]</f>
        <v>-9.0807592110160026E-2</v>
      </c>
      <c r="M1563" s="2">
        <f>tblSales[[#This Row],[Sales]]/tblSales[[#This Row],[Transactions]]</f>
        <v>349</v>
      </c>
    </row>
    <row r="1564" spans="1:13" x14ac:dyDescent="0.25">
      <c r="A1564" s="1">
        <v>46101</v>
      </c>
      <c r="B1564" t="s">
        <v>10</v>
      </c>
      <c r="C1564" t="s">
        <v>22</v>
      </c>
      <c r="D1564" t="str">
        <f>_xlfn.XLOOKUP(tblSales[[#This Row],[Store ID]],tblStores[Store ID],tblStores[Store Name])</f>
        <v>Ballito</v>
      </c>
      <c r="E1564" t="str">
        <f>_xlfn.XLOOKUP(tblSales[[#This Row],[Store ID]],tblStores[Store ID],tblStores[Province])</f>
        <v>KZN</v>
      </c>
      <c r="F1564" t="str">
        <f>_xlfn.XLOOKUP(tblSales[[#This Row],[Store ID]],tblStores[Store ID],tblStores[Manager])</f>
        <v>Linda Smith</v>
      </c>
      <c r="G1564" t="str">
        <f>_xlfn.XLOOKUP(tblSales[[#This Row],[Category ID]],tblCategories[Category ID],tblCategories[Category])</f>
        <v>Kids</v>
      </c>
      <c r="H1564">
        <v>13056</v>
      </c>
      <c r="I1564">
        <v>12665</v>
      </c>
      <c r="J1564">
        <v>51</v>
      </c>
      <c r="K1564">
        <f>tblSales[[#This Row],[Sales]]-tblSales[[#This Row],[Budget]]</f>
        <v>391</v>
      </c>
      <c r="L1564" s="3">
        <f>(tblSales[[#This Row],[Sales]]-tblSales[[#This Row],[Budget]])/tblSales[[#This Row],[Budget]]</f>
        <v>3.087248322147651E-2</v>
      </c>
      <c r="M1564" s="2">
        <f>tblSales[[#This Row],[Sales]]/tblSales[[#This Row],[Transactions]]</f>
        <v>256</v>
      </c>
    </row>
    <row r="1565" spans="1:13" x14ac:dyDescent="0.25">
      <c r="A1565" s="1">
        <v>46101</v>
      </c>
      <c r="B1565" t="s">
        <v>12</v>
      </c>
      <c r="C1565" t="s">
        <v>7</v>
      </c>
      <c r="D1565" t="str">
        <f>_xlfn.XLOOKUP(tblSales[[#This Row],[Store ID]],tblStores[Store ID],tblStores[Store Name])</f>
        <v>Pietermaritzburg</v>
      </c>
      <c r="E1565" t="str">
        <f>_xlfn.XLOOKUP(tblSales[[#This Row],[Store ID]],tblStores[Store ID],tblStores[Province])</f>
        <v>KZN</v>
      </c>
      <c r="F1565" t="str">
        <f>_xlfn.XLOOKUP(tblSales[[#This Row],[Store ID]],tblStores[Store ID],tblStores[Manager])</f>
        <v>Peter Brown</v>
      </c>
      <c r="G1565" t="str">
        <f>_xlfn.XLOOKUP(tblSales[[#This Row],[Category ID]],tblCategories[Category ID],tblCategories[Category])</f>
        <v>Menswear</v>
      </c>
      <c r="H1565">
        <v>45012</v>
      </c>
      <c r="I1565">
        <v>47560</v>
      </c>
      <c r="J1565">
        <v>121</v>
      </c>
      <c r="K1565">
        <f>tblSales[[#This Row],[Sales]]-tblSales[[#This Row],[Budget]]</f>
        <v>-2548</v>
      </c>
      <c r="L1565" s="3">
        <f>(tblSales[[#This Row],[Sales]]-tblSales[[#This Row],[Budget]])/tblSales[[#This Row],[Budget]]</f>
        <v>-5.3574432296047102E-2</v>
      </c>
      <c r="M1565" s="2">
        <f>tblSales[[#This Row],[Sales]]/tblSales[[#This Row],[Transactions]]</f>
        <v>372</v>
      </c>
    </row>
    <row r="1566" spans="1:13" x14ac:dyDescent="0.25">
      <c r="A1566" s="1">
        <v>46101</v>
      </c>
      <c r="B1566" t="s">
        <v>13</v>
      </c>
      <c r="C1566" t="s">
        <v>9</v>
      </c>
      <c r="D1566" t="str">
        <f>_xlfn.XLOOKUP(tblSales[[#This Row],[Store ID]],tblStores[Store ID],tblStores[Store Name])</f>
        <v>Richards Bay</v>
      </c>
      <c r="E1566" t="str">
        <f>_xlfn.XLOOKUP(tblSales[[#This Row],[Store ID]],tblStores[Store ID],tblStores[Province])</f>
        <v>KZN</v>
      </c>
      <c r="F1566" t="str">
        <f>_xlfn.XLOOKUP(tblSales[[#This Row],[Store ID]],tblStores[Store ID],tblStores[Manager])</f>
        <v>David Green</v>
      </c>
      <c r="G1566" t="str">
        <f>_xlfn.XLOOKUP(tblSales[[#This Row],[Category ID]],tblCategories[Category ID],tblCategories[Category])</f>
        <v>Ladieswear</v>
      </c>
      <c r="H1566">
        <v>88690</v>
      </c>
      <c r="I1566">
        <v>88458</v>
      </c>
      <c r="J1566">
        <v>181</v>
      </c>
      <c r="K1566">
        <f>tblSales[[#This Row],[Sales]]-tblSales[[#This Row],[Budget]]</f>
        <v>232</v>
      </c>
      <c r="L1566" s="3">
        <f>(tblSales[[#This Row],[Sales]]-tblSales[[#This Row],[Budget]])/tblSales[[#This Row],[Budget]]</f>
        <v>2.6227136041963419E-3</v>
      </c>
      <c r="M1566" s="2">
        <f>tblSales[[#This Row],[Sales]]/tblSales[[#This Row],[Transactions]]</f>
        <v>490</v>
      </c>
    </row>
    <row r="1567" spans="1:13" x14ac:dyDescent="0.25">
      <c r="A1567" s="1">
        <v>46101</v>
      </c>
      <c r="B1567" t="s">
        <v>14</v>
      </c>
      <c r="C1567" t="s">
        <v>19</v>
      </c>
      <c r="D1567" t="str">
        <f>_xlfn.XLOOKUP(tblSales[[#This Row],[Store ID]],tblStores[Store ID],tblStores[Store Name])</f>
        <v>Sandton</v>
      </c>
      <c r="E1567" t="str">
        <f>_xlfn.XLOOKUP(tblSales[[#This Row],[Store ID]],tblStores[Store ID],tblStores[Province])</f>
        <v>Gauteng</v>
      </c>
      <c r="F1567" t="str">
        <f>_xlfn.XLOOKUP(tblSales[[#This Row],[Store ID]],tblStores[Store ID],tblStores[Manager])</f>
        <v>Karen White</v>
      </c>
      <c r="G1567" t="str">
        <f>_xlfn.XLOOKUP(tblSales[[#This Row],[Category ID]],tblCategories[Category ID],tblCategories[Category])</f>
        <v>Accessories</v>
      </c>
      <c r="H1567">
        <v>21568</v>
      </c>
      <c r="I1567">
        <v>23213</v>
      </c>
      <c r="J1567">
        <v>64</v>
      </c>
      <c r="K1567">
        <f>tblSales[[#This Row],[Sales]]-tblSales[[#This Row],[Budget]]</f>
        <v>-1645</v>
      </c>
      <c r="L1567" s="3">
        <f>(tblSales[[#This Row],[Sales]]-tblSales[[#This Row],[Budget]])/tblSales[[#This Row],[Budget]]</f>
        <v>-7.0865463317968377E-2</v>
      </c>
      <c r="M1567" s="2">
        <f>tblSales[[#This Row],[Sales]]/tblSales[[#This Row],[Transactions]]</f>
        <v>337</v>
      </c>
    </row>
    <row r="1568" spans="1:13" x14ac:dyDescent="0.25">
      <c r="A1568" s="1">
        <v>46101</v>
      </c>
      <c r="B1568" t="s">
        <v>15</v>
      </c>
      <c r="C1568" t="s">
        <v>22</v>
      </c>
      <c r="D1568" t="str">
        <f>_xlfn.XLOOKUP(tblSales[[#This Row],[Store ID]],tblStores[Store ID],tblStores[Store Name])</f>
        <v>Rosebank</v>
      </c>
      <c r="E1568" t="str">
        <f>_xlfn.XLOOKUP(tblSales[[#This Row],[Store ID]],tblStores[Store ID],tblStores[Province])</f>
        <v>Gauteng</v>
      </c>
      <c r="F1568" t="str">
        <f>_xlfn.XLOOKUP(tblSales[[#This Row],[Store ID]],tblStores[Store ID],tblStores[Manager])</f>
        <v>James Taylor</v>
      </c>
      <c r="G1568" t="str">
        <f>_xlfn.XLOOKUP(tblSales[[#This Row],[Category ID]],tblCategories[Category ID],tblCategories[Category])</f>
        <v>Kids</v>
      </c>
      <c r="H1568">
        <v>42336</v>
      </c>
      <c r="I1568">
        <v>40975</v>
      </c>
      <c r="J1568">
        <v>216</v>
      </c>
      <c r="K1568">
        <f>tblSales[[#This Row],[Sales]]-tblSales[[#This Row],[Budget]]</f>
        <v>1361</v>
      </c>
      <c r="L1568" s="3">
        <f>(tblSales[[#This Row],[Sales]]-tblSales[[#This Row],[Budget]])/tblSales[[#This Row],[Budget]]</f>
        <v>3.3215375228798048E-2</v>
      </c>
      <c r="M1568" s="2">
        <f>tblSales[[#This Row],[Sales]]/tblSales[[#This Row],[Transactions]]</f>
        <v>196</v>
      </c>
    </row>
    <row r="1569" spans="1:13" x14ac:dyDescent="0.25">
      <c r="A1569" s="1">
        <v>46101</v>
      </c>
      <c r="B1569" t="s">
        <v>16</v>
      </c>
      <c r="C1569" t="s">
        <v>7</v>
      </c>
      <c r="D1569" t="str">
        <f>_xlfn.XLOOKUP(tblSales[[#This Row],[Store ID]],tblStores[Store ID],tblStores[Store Name])</f>
        <v>Pretoria</v>
      </c>
      <c r="E1569" t="str">
        <f>_xlfn.XLOOKUP(tblSales[[#This Row],[Store ID]],tblStores[Store ID],tblStores[Province])</f>
        <v>Gauteng</v>
      </c>
      <c r="F1569" t="str">
        <f>_xlfn.XLOOKUP(tblSales[[#This Row],[Store ID]],tblStores[Store ID],tblStores[Manager])</f>
        <v>Susan Clark</v>
      </c>
      <c r="G1569" t="str">
        <f>_xlfn.XLOOKUP(tblSales[[#This Row],[Category ID]],tblCategories[Category ID],tblCategories[Category])</f>
        <v>Menswear</v>
      </c>
      <c r="H1569">
        <v>48762</v>
      </c>
      <c r="I1569">
        <v>48415</v>
      </c>
      <c r="J1569">
        <v>162</v>
      </c>
      <c r="K1569">
        <f>tblSales[[#This Row],[Sales]]-tblSales[[#This Row],[Budget]]</f>
        <v>347</v>
      </c>
      <c r="L1569" s="3">
        <f>(tblSales[[#This Row],[Sales]]-tblSales[[#This Row],[Budget]])/tblSales[[#This Row],[Budget]]</f>
        <v>7.1672002478570694E-3</v>
      </c>
      <c r="M1569" s="2">
        <f>tblSales[[#This Row],[Sales]]/tblSales[[#This Row],[Transactions]]</f>
        <v>301</v>
      </c>
    </row>
    <row r="1570" spans="1:13" x14ac:dyDescent="0.25">
      <c r="A1570" s="1">
        <v>46101</v>
      </c>
      <c r="B1570" t="s">
        <v>17</v>
      </c>
      <c r="C1570" t="s">
        <v>22</v>
      </c>
      <c r="D1570" t="str">
        <f>_xlfn.XLOOKUP(tblSales[[#This Row],[Store ID]],tblStores[Store ID],tblStores[Store Name])</f>
        <v>Centurion</v>
      </c>
      <c r="E1570" t="str">
        <f>_xlfn.XLOOKUP(tblSales[[#This Row],[Store ID]],tblStores[Store ID],tblStores[Province])</f>
        <v>Gauteng</v>
      </c>
      <c r="F1570" t="str">
        <f>_xlfn.XLOOKUP(tblSales[[#This Row],[Store ID]],tblStores[Store ID],tblStores[Manager])</f>
        <v>Mark Wilson</v>
      </c>
      <c r="G1570" t="str">
        <f>_xlfn.XLOOKUP(tblSales[[#This Row],[Category ID]],tblCategories[Category ID],tblCategories[Category])</f>
        <v>Kids</v>
      </c>
      <c r="H1570">
        <v>40320</v>
      </c>
      <c r="I1570">
        <v>39335</v>
      </c>
      <c r="J1570">
        <v>90</v>
      </c>
      <c r="K1570">
        <f>tblSales[[#This Row],[Sales]]-tblSales[[#This Row],[Budget]]</f>
        <v>985</v>
      </c>
      <c r="L1570" s="3">
        <f>(tblSales[[#This Row],[Sales]]-tblSales[[#This Row],[Budget]])/tblSales[[#This Row],[Budget]]</f>
        <v>2.5041311808821659E-2</v>
      </c>
      <c r="M1570" s="2">
        <f>tblSales[[#This Row],[Sales]]/tblSales[[#This Row],[Transactions]]</f>
        <v>448</v>
      </c>
    </row>
    <row r="1571" spans="1:13" x14ac:dyDescent="0.25">
      <c r="A1571" s="1">
        <v>46101</v>
      </c>
      <c r="B1571" t="s">
        <v>18</v>
      </c>
      <c r="C1571" t="s">
        <v>7</v>
      </c>
      <c r="D1571" t="str">
        <f>_xlfn.XLOOKUP(tblSales[[#This Row],[Store ID]],tblStores[Store ID],tblStores[Store Name])</f>
        <v>East Rand</v>
      </c>
      <c r="E1571" t="str">
        <f>_xlfn.XLOOKUP(tblSales[[#This Row],[Store ID]],tblStores[Store ID],tblStores[Province])</f>
        <v>Gauteng</v>
      </c>
      <c r="F1571" t="str">
        <f>_xlfn.XLOOKUP(tblSales[[#This Row],[Store ID]],tblStores[Store ID],tblStores[Manager])</f>
        <v>Lisa Young</v>
      </c>
      <c r="G1571" t="str">
        <f>_xlfn.XLOOKUP(tblSales[[#This Row],[Category ID]],tblCategories[Category ID],tblCategories[Category])</f>
        <v>Menswear</v>
      </c>
      <c r="H1571">
        <v>25870</v>
      </c>
      <c r="I1571">
        <v>28313</v>
      </c>
      <c r="J1571">
        <v>130</v>
      </c>
      <c r="K1571">
        <f>tblSales[[#This Row],[Sales]]-tblSales[[#This Row],[Budget]]</f>
        <v>-2443</v>
      </c>
      <c r="L1571" s="3">
        <f>(tblSales[[#This Row],[Sales]]-tblSales[[#This Row],[Budget]])/tblSales[[#This Row],[Budget]]</f>
        <v>-8.6285451912549008E-2</v>
      </c>
      <c r="M1571" s="2">
        <f>tblSales[[#This Row],[Sales]]/tblSales[[#This Row],[Transactions]]</f>
        <v>199</v>
      </c>
    </row>
    <row r="1572" spans="1:13" x14ac:dyDescent="0.25">
      <c r="A1572" s="1">
        <v>46101</v>
      </c>
      <c r="B1572" t="s">
        <v>20</v>
      </c>
      <c r="C1572" t="s">
        <v>7</v>
      </c>
      <c r="D1572" t="str">
        <f>_xlfn.XLOOKUP(tblSales[[#This Row],[Store ID]],tblStores[Store ID],tblStores[Store Name])</f>
        <v>Cape Town CBD</v>
      </c>
      <c r="E1572" t="str">
        <f>_xlfn.XLOOKUP(tblSales[[#This Row],[Store ID]],tblStores[Store ID],tblStores[Province])</f>
        <v>Western Cape</v>
      </c>
      <c r="F1572" t="str">
        <f>_xlfn.XLOOKUP(tblSales[[#This Row],[Store ID]],tblStores[Store ID],tblStores[Manager])</f>
        <v>Brian Hall</v>
      </c>
      <c r="G1572" t="str">
        <f>_xlfn.XLOOKUP(tblSales[[#This Row],[Category ID]],tblCategories[Category ID],tblCategories[Category])</f>
        <v>Menswear</v>
      </c>
      <c r="H1572">
        <v>64972</v>
      </c>
      <c r="I1572">
        <v>58879</v>
      </c>
      <c r="J1572">
        <v>148</v>
      </c>
      <c r="K1572">
        <f>tblSales[[#This Row],[Sales]]-tblSales[[#This Row],[Budget]]</f>
        <v>6093</v>
      </c>
      <c r="L1572" s="3">
        <f>(tblSales[[#This Row],[Sales]]-tblSales[[#This Row],[Budget]])/tblSales[[#This Row],[Budget]]</f>
        <v>0.10348341513952343</v>
      </c>
      <c r="M1572" s="2">
        <f>tblSales[[#This Row],[Sales]]/tblSales[[#This Row],[Transactions]]</f>
        <v>439</v>
      </c>
    </row>
    <row r="1573" spans="1:13" x14ac:dyDescent="0.25">
      <c r="A1573" s="1">
        <v>46101</v>
      </c>
      <c r="B1573" t="s">
        <v>21</v>
      </c>
      <c r="C1573" t="s">
        <v>11</v>
      </c>
      <c r="D1573" t="str">
        <f>_xlfn.XLOOKUP(tblSales[[#This Row],[Store ID]],tblStores[Store ID],tblStores[Store Name])</f>
        <v>Canal Walk</v>
      </c>
      <c r="E1573" t="str">
        <f>_xlfn.XLOOKUP(tblSales[[#This Row],[Store ID]],tblStores[Store ID],tblStores[Province])</f>
        <v>Western Cape</v>
      </c>
      <c r="F1573" t="str">
        <f>_xlfn.XLOOKUP(tblSales[[#This Row],[Store ID]],tblStores[Store ID],tblStores[Manager])</f>
        <v>Megan Scott</v>
      </c>
      <c r="G1573" t="str">
        <f>_xlfn.XLOOKUP(tblSales[[#This Row],[Category ID]],tblCategories[Category ID],tblCategories[Category])</f>
        <v>Footwear</v>
      </c>
      <c r="H1573">
        <v>42054</v>
      </c>
      <c r="I1573">
        <v>39848</v>
      </c>
      <c r="J1573">
        <v>163</v>
      </c>
      <c r="K1573">
        <f>tblSales[[#This Row],[Sales]]-tblSales[[#This Row],[Budget]]</f>
        <v>2206</v>
      </c>
      <c r="L1573" s="3">
        <f>(tblSales[[#This Row],[Sales]]-tblSales[[#This Row],[Budget]])/tblSales[[#This Row],[Budget]]</f>
        <v>5.5360369403734191E-2</v>
      </c>
      <c r="M1573" s="2">
        <f>tblSales[[#This Row],[Sales]]/tblSales[[#This Row],[Transactions]]</f>
        <v>258</v>
      </c>
    </row>
    <row r="1574" spans="1:13" x14ac:dyDescent="0.25">
      <c r="A1574" s="1">
        <v>46101</v>
      </c>
      <c r="B1574" t="s">
        <v>23</v>
      </c>
      <c r="C1574" t="s">
        <v>11</v>
      </c>
      <c r="D1574" t="str">
        <f>_xlfn.XLOOKUP(tblSales[[#This Row],[Store ID]],tblStores[Store ID],tblStores[Store Name])</f>
        <v>Stellenbosch</v>
      </c>
      <c r="E1574" t="str">
        <f>_xlfn.XLOOKUP(tblSales[[#This Row],[Store ID]],tblStores[Store ID],tblStores[Province])</f>
        <v>Western Cape</v>
      </c>
      <c r="F1574" t="str">
        <f>_xlfn.XLOOKUP(tblSales[[#This Row],[Store ID]],tblStores[Store ID],tblStores[Manager])</f>
        <v>Jason King</v>
      </c>
      <c r="G1574" t="str">
        <f>_xlfn.XLOOKUP(tblSales[[#This Row],[Category ID]],tblCategories[Category ID],tblCategories[Category])</f>
        <v>Footwear</v>
      </c>
      <c r="H1574">
        <v>57122</v>
      </c>
      <c r="I1574">
        <v>62484</v>
      </c>
      <c r="J1574">
        <v>169</v>
      </c>
      <c r="K1574">
        <f>tblSales[[#This Row],[Sales]]-tblSales[[#This Row],[Budget]]</f>
        <v>-5362</v>
      </c>
      <c r="L1574" s="3">
        <f>(tblSales[[#This Row],[Sales]]-tblSales[[#This Row],[Budget]])/tblSales[[#This Row],[Budget]]</f>
        <v>-8.5813968375904229E-2</v>
      </c>
      <c r="M1574" s="2">
        <f>tblSales[[#This Row],[Sales]]/tblSales[[#This Row],[Transactions]]</f>
        <v>338</v>
      </c>
    </row>
    <row r="1575" spans="1:13" x14ac:dyDescent="0.25">
      <c r="A1575" s="1">
        <v>46101</v>
      </c>
      <c r="B1575" t="s">
        <v>24</v>
      </c>
      <c r="C1575" t="s">
        <v>9</v>
      </c>
      <c r="D1575" t="str">
        <f>_xlfn.XLOOKUP(tblSales[[#This Row],[Store ID]],tblStores[Store ID],tblStores[Store Name])</f>
        <v>George</v>
      </c>
      <c r="E1575" t="str">
        <f>_xlfn.XLOOKUP(tblSales[[#This Row],[Store ID]],tblStores[Store ID],tblStores[Province])</f>
        <v>Western Cape</v>
      </c>
      <c r="F1575" t="str">
        <f>_xlfn.XLOOKUP(tblSales[[#This Row],[Store ID]],tblStores[Store ID],tblStores[Manager])</f>
        <v>Chloe Hill</v>
      </c>
      <c r="G1575" t="str">
        <f>_xlfn.XLOOKUP(tblSales[[#This Row],[Category ID]],tblCategories[Category ID],tblCategories[Category])</f>
        <v>Ladieswear</v>
      </c>
      <c r="H1575">
        <v>26640</v>
      </c>
      <c r="I1575">
        <v>28482</v>
      </c>
      <c r="J1575">
        <v>60</v>
      </c>
      <c r="K1575">
        <f>tblSales[[#This Row],[Sales]]-tblSales[[#This Row],[Budget]]</f>
        <v>-1842</v>
      </c>
      <c r="L1575" s="3">
        <f>(tblSales[[#This Row],[Sales]]-tblSales[[#This Row],[Budget]])/tblSales[[#This Row],[Budget]]</f>
        <v>-6.4672424689277433E-2</v>
      </c>
      <c r="M1575" s="2">
        <f>tblSales[[#This Row],[Sales]]/tblSales[[#This Row],[Transactions]]</f>
        <v>444</v>
      </c>
    </row>
    <row r="1576" spans="1:13" x14ac:dyDescent="0.25">
      <c r="A1576" s="1">
        <v>46101</v>
      </c>
      <c r="B1576" t="s">
        <v>25</v>
      </c>
      <c r="C1576" t="s">
        <v>9</v>
      </c>
      <c r="D1576" t="str">
        <f>_xlfn.XLOOKUP(tblSales[[#This Row],[Store ID]],tblStores[Store ID],tblStores[Store Name])</f>
        <v>Paarl</v>
      </c>
      <c r="E1576" t="str">
        <f>_xlfn.XLOOKUP(tblSales[[#This Row],[Store ID]],tblStores[Store ID],tblStores[Province])</f>
        <v>Western Cape</v>
      </c>
      <c r="F1576" t="str">
        <f>_xlfn.XLOOKUP(tblSales[[#This Row],[Store ID]],tblStores[Store ID],tblStores[Manager])</f>
        <v>Andrew Lee</v>
      </c>
      <c r="G1576" t="str">
        <f>_xlfn.XLOOKUP(tblSales[[#This Row],[Category ID]],tblCategories[Category ID],tblCategories[Category])</f>
        <v>Ladieswear</v>
      </c>
      <c r="H1576">
        <v>17226</v>
      </c>
      <c r="I1576">
        <v>17481</v>
      </c>
      <c r="J1576">
        <v>87</v>
      </c>
      <c r="K1576">
        <f>tblSales[[#This Row],[Sales]]-tblSales[[#This Row],[Budget]]</f>
        <v>-255</v>
      </c>
      <c r="L1576" s="3">
        <f>(tblSales[[#This Row],[Sales]]-tblSales[[#This Row],[Budget]])/tblSales[[#This Row],[Budget]]</f>
        <v>-1.4587266174703965E-2</v>
      </c>
      <c r="M1576" s="2">
        <f>tblSales[[#This Row],[Sales]]/tblSales[[#This Row],[Transactions]]</f>
        <v>198</v>
      </c>
    </row>
    <row r="1577" spans="1:13" x14ac:dyDescent="0.25">
      <c r="A1577" s="1">
        <v>46101</v>
      </c>
      <c r="B1577" t="s">
        <v>26</v>
      </c>
      <c r="C1577" t="s">
        <v>19</v>
      </c>
      <c r="D1577" t="str">
        <f>_xlfn.XLOOKUP(tblSales[[#This Row],[Store ID]],tblStores[Store ID],tblStores[Store Name])</f>
        <v>Gqeberha</v>
      </c>
      <c r="E1577" t="str">
        <f>_xlfn.XLOOKUP(tblSales[[#This Row],[Store ID]],tblStores[Store ID],tblStores[Province])</f>
        <v>Eastern Cape</v>
      </c>
      <c r="F1577" t="str">
        <f>_xlfn.XLOOKUP(tblSales[[#This Row],[Store ID]],tblStores[Store ID],tblStores[Manager])</f>
        <v>Emma Baker</v>
      </c>
      <c r="G1577" t="str">
        <f>_xlfn.XLOOKUP(tblSales[[#This Row],[Category ID]],tblCategories[Category ID],tblCategories[Category])</f>
        <v>Accessories</v>
      </c>
      <c r="H1577">
        <v>11648</v>
      </c>
      <c r="I1577">
        <v>11388</v>
      </c>
      <c r="J1577">
        <v>64</v>
      </c>
      <c r="K1577">
        <f>tblSales[[#This Row],[Sales]]-tblSales[[#This Row],[Budget]]</f>
        <v>260</v>
      </c>
      <c r="L1577" s="3">
        <f>(tblSales[[#This Row],[Sales]]-tblSales[[#This Row],[Budget]])/tblSales[[#This Row],[Budget]]</f>
        <v>2.2831050228310501E-2</v>
      </c>
      <c r="M1577" s="2">
        <f>tblSales[[#This Row],[Sales]]/tblSales[[#This Row],[Transactions]]</f>
        <v>182</v>
      </c>
    </row>
    <row r="1578" spans="1:13" x14ac:dyDescent="0.25">
      <c r="A1578" s="1">
        <v>46101</v>
      </c>
      <c r="B1578" t="s">
        <v>27</v>
      </c>
      <c r="C1578" t="s">
        <v>7</v>
      </c>
      <c r="D1578" t="str">
        <f>_xlfn.XLOOKUP(tblSales[[#This Row],[Store ID]],tblStores[Store ID],tblStores[Store Name])</f>
        <v>East London</v>
      </c>
      <c r="E1578" t="str">
        <f>_xlfn.XLOOKUP(tblSales[[#This Row],[Store ID]],tblStores[Store ID],tblStores[Province])</f>
        <v>Eastern Cape</v>
      </c>
      <c r="F1578" t="str">
        <f>_xlfn.XLOOKUP(tblSales[[#This Row],[Store ID]],tblStores[Store ID],tblStores[Manager])</f>
        <v>Daniel Evans</v>
      </c>
      <c r="G1578" t="str">
        <f>_xlfn.XLOOKUP(tblSales[[#This Row],[Category ID]],tblCategories[Category ID],tblCategories[Category])</f>
        <v>Menswear</v>
      </c>
      <c r="H1578">
        <v>101640</v>
      </c>
      <c r="I1578">
        <v>113630</v>
      </c>
      <c r="J1578">
        <v>210</v>
      </c>
      <c r="K1578">
        <f>tblSales[[#This Row],[Sales]]-tblSales[[#This Row],[Budget]]</f>
        <v>-11990</v>
      </c>
      <c r="L1578" s="3">
        <f>(tblSales[[#This Row],[Sales]]-tblSales[[#This Row],[Budget]])/tblSales[[#This Row],[Budget]]</f>
        <v>-0.10551790900290416</v>
      </c>
      <c r="M1578" s="2">
        <f>tblSales[[#This Row],[Sales]]/tblSales[[#This Row],[Transactions]]</f>
        <v>484</v>
      </c>
    </row>
    <row r="1579" spans="1:13" x14ac:dyDescent="0.25">
      <c r="A1579" s="1">
        <v>46101</v>
      </c>
      <c r="B1579" t="s">
        <v>28</v>
      </c>
      <c r="C1579" t="s">
        <v>22</v>
      </c>
      <c r="D1579" t="str">
        <f>_xlfn.XLOOKUP(tblSales[[#This Row],[Store ID]],tblStores[Store ID],tblStores[Store Name])</f>
        <v>Bloemfontein</v>
      </c>
      <c r="E1579" t="str">
        <f>_xlfn.XLOOKUP(tblSales[[#This Row],[Store ID]],tblStores[Store ID],tblStores[Province])</f>
        <v>Free State</v>
      </c>
      <c r="F1579" t="str">
        <f>_xlfn.XLOOKUP(tblSales[[#This Row],[Store ID]],tblStores[Store ID],tblStores[Manager])</f>
        <v>Rachel Moore</v>
      </c>
      <c r="G1579" t="str">
        <f>_xlfn.XLOOKUP(tblSales[[#This Row],[Category ID]],tblCategories[Category ID],tblCategories[Category])</f>
        <v>Kids</v>
      </c>
      <c r="H1579">
        <v>31262</v>
      </c>
      <c r="I1579">
        <v>28941</v>
      </c>
      <c r="J1579">
        <v>154</v>
      </c>
      <c r="K1579">
        <f>tblSales[[#This Row],[Sales]]-tblSales[[#This Row],[Budget]]</f>
        <v>2321</v>
      </c>
      <c r="L1579" s="3">
        <f>(tblSales[[#This Row],[Sales]]-tblSales[[#This Row],[Budget]])/tblSales[[#This Row],[Budget]]</f>
        <v>8.0197643481565939E-2</v>
      </c>
      <c r="M1579" s="2">
        <f>tblSales[[#This Row],[Sales]]/tblSales[[#This Row],[Transactions]]</f>
        <v>203</v>
      </c>
    </row>
    <row r="1580" spans="1:13" x14ac:dyDescent="0.25">
      <c r="A1580" s="1">
        <v>46101</v>
      </c>
      <c r="B1580" t="s">
        <v>29</v>
      </c>
      <c r="C1580" t="s">
        <v>22</v>
      </c>
      <c r="D1580" t="str">
        <f>_xlfn.XLOOKUP(tblSales[[#This Row],[Store ID]],tblStores[Store ID],tblStores[Store Name])</f>
        <v>Polokwane</v>
      </c>
      <c r="E1580" t="str">
        <f>_xlfn.XLOOKUP(tblSales[[#This Row],[Store ID]],tblStores[Store ID],tblStores[Province])</f>
        <v>Limpopo</v>
      </c>
      <c r="F1580" t="str">
        <f>_xlfn.XLOOKUP(tblSales[[#This Row],[Store ID]],tblStores[Store ID],tblStores[Manager])</f>
        <v>Kevin Harris</v>
      </c>
      <c r="G1580" t="str">
        <f>_xlfn.XLOOKUP(tblSales[[#This Row],[Category ID]],tblCategories[Category ID],tblCategories[Category])</f>
        <v>Kids</v>
      </c>
      <c r="H1580">
        <v>19000</v>
      </c>
      <c r="I1580">
        <v>20702</v>
      </c>
      <c r="J1580">
        <v>40</v>
      </c>
      <c r="K1580">
        <f>tblSales[[#This Row],[Sales]]-tblSales[[#This Row],[Budget]]</f>
        <v>-1702</v>
      </c>
      <c r="L1580" s="3">
        <f>(tblSales[[#This Row],[Sales]]-tblSales[[#This Row],[Budget]])/tblSales[[#This Row],[Budget]]</f>
        <v>-8.2214278813641198E-2</v>
      </c>
      <c r="M1580" s="2">
        <f>tblSales[[#This Row],[Sales]]/tblSales[[#This Row],[Transactions]]</f>
        <v>475</v>
      </c>
    </row>
    <row r="1581" spans="1:13" x14ac:dyDescent="0.25">
      <c r="A1581" s="1">
        <v>46101</v>
      </c>
      <c r="B1581" t="s">
        <v>30</v>
      </c>
      <c r="C1581" t="s">
        <v>9</v>
      </c>
      <c r="D1581" t="str">
        <f>_xlfn.XLOOKUP(tblSales[[#This Row],[Store ID]],tblStores[Store ID],tblStores[Store Name])</f>
        <v>Nelspruit</v>
      </c>
      <c r="E1581" t="str">
        <f>_xlfn.XLOOKUP(tblSales[[#This Row],[Store ID]],tblStores[Store ID],tblStores[Province])</f>
        <v>Mpumalanga</v>
      </c>
      <c r="F1581" t="str">
        <f>_xlfn.XLOOKUP(tblSales[[#This Row],[Store ID]],tblStores[Store ID],tblStores[Manager])</f>
        <v>Olivia Turner</v>
      </c>
      <c r="G1581" t="str">
        <f>_xlfn.XLOOKUP(tblSales[[#This Row],[Category ID]],tblCategories[Category ID],tblCategories[Category])</f>
        <v>Ladieswear</v>
      </c>
      <c r="H1581">
        <v>32994</v>
      </c>
      <c r="I1581">
        <v>31282</v>
      </c>
      <c r="J1581">
        <v>117</v>
      </c>
      <c r="K1581">
        <f>tblSales[[#This Row],[Sales]]-tblSales[[#This Row],[Budget]]</f>
        <v>1712</v>
      </c>
      <c r="L1581" s="3">
        <f>(tblSales[[#This Row],[Sales]]-tblSales[[#This Row],[Budget]])/tblSales[[#This Row],[Budget]]</f>
        <v>5.4727958570423889E-2</v>
      </c>
      <c r="M1581" s="2">
        <f>tblSales[[#This Row],[Sales]]/tblSales[[#This Row],[Transactions]]</f>
        <v>282</v>
      </c>
    </row>
    <row r="1582" spans="1:13" x14ac:dyDescent="0.25">
      <c r="A1582" s="1">
        <v>46102</v>
      </c>
      <c r="B1582" t="s">
        <v>6</v>
      </c>
      <c r="C1582" t="s">
        <v>22</v>
      </c>
      <c r="D1582" t="str">
        <f>_xlfn.XLOOKUP(tblSales[[#This Row],[Store ID]],tblStores[Store ID],tblStores[Store Name])</f>
        <v>Durban CBD</v>
      </c>
      <c r="E1582" t="str">
        <f>_xlfn.XLOOKUP(tblSales[[#This Row],[Store ID]],tblStores[Store ID],tblStores[Province])</f>
        <v>KZN</v>
      </c>
      <c r="F1582" t="str">
        <f>_xlfn.XLOOKUP(tblSales[[#This Row],[Store ID]],tblStores[Store ID],tblStores[Manager])</f>
        <v>Sarah Adams</v>
      </c>
      <c r="G1582" t="str">
        <f>_xlfn.XLOOKUP(tblSales[[#This Row],[Category ID]],tblCategories[Category ID],tblCategories[Category])</f>
        <v>Kids</v>
      </c>
      <c r="H1582">
        <v>58653</v>
      </c>
      <c r="I1582">
        <v>64119</v>
      </c>
      <c r="J1582">
        <v>171</v>
      </c>
      <c r="K1582">
        <f>tblSales[[#This Row],[Sales]]-tblSales[[#This Row],[Budget]]</f>
        <v>-5466</v>
      </c>
      <c r="L1582" s="3">
        <f>(tblSales[[#This Row],[Sales]]-tblSales[[#This Row],[Budget]])/tblSales[[#This Row],[Budget]]</f>
        <v>-8.5247742478828423E-2</v>
      </c>
      <c r="M1582" s="2">
        <f>tblSales[[#This Row],[Sales]]/tblSales[[#This Row],[Transactions]]</f>
        <v>343</v>
      </c>
    </row>
    <row r="1583" spans="1:13" x14ac:dyDescent="0.25">
      <c r="A1583" s="1">
        <v>46102</v>
      </c>
      <c r="B1583" t="s">
        <v>8</v>
      </c>
      <c r="C1583" t="s">
        <v>7</v>
      </c>
      <c r="D1583" t="str">
        <f>_xlfn.XLOOKUP(tblSales[[#This Row],[Store ID]],tblStores[Store ID],tblStores[Store Name])</f>
        <v>Gateway</v>
      </c>
      <c r="E1583" t="str">
        <f>_xlfn.XLOOKUP(tblSales[[#This Row],[Store ID]],tblStores[Store ID],tblStores[Province])</f>
        <v>KZN</v>
      </c>
      <c r="F1583" t="str">
        <f>_xlfn.XLOOKUP(tblSales[[#This Row],[Store ID]],tblStores[Store ID],tblStores[Manager])</f>
        <v>Michael Jones</v>
      </c>
      <c r="G1583" t="str">
        <f>_xlfn.XLOOKUP(tblSales[[#This Row],[Category ID]],tblCategories[Category ID],tblCategories[Category])</f>
        <v>Menswear</v>
      </c>
      <c r="H1583">
        <v>26624</v>
      </c>
      <c r="I1583">
        <v>25009</v>
      </c>
      <c r="J1583">
        <v>104</v>
      </c>
      <c r="K1583">
        <f>tblSales[[#This Row],[Sales]]-tblSales[[#This Row],[Budget]]</f>
        <v>1615</v>
      </c>
      <c r="L1583" s="3">
        <f>(tblSales[[#This Row],[Sales]]-tblSales[[#This Row],[Budget]])/tblSales[[#This Row],[Budget]]</f>
        <v>6.4576752369147103E-2</v>
      </c>
      <c r="M1583" s="2">
        <f>tblSales[[#This Row],[Sales]]/tblSales[[#This Row],[Transactions]]</f>
        <v>256</v>
      </c>
    </row>
    <row r="1584" spans="1:13" x14ac:dyDescent="0.25">
      <c r="A1584" s="1">
        <v>46102</v>
      </c>
      <c r="B1584" t="s">
        <v>10</v>
      </c>
      <c r="C1584" t="s">
        <v>7</v>
      </c>
      <c r="D1584" t="str">
        <f>_xlfn.XLOOKUP(tblSales[[#This Row],[Store ID]],tblStores[Store ID],tblStores[Store Name])</f>
        <v>Ballito</v>
      </c>
      <c r="E1584" t="str">
        <f>_xlfn.XLOOKUP(tblSales[[#This Row],[Store ID]],tblStores[Store ID],tblStores[Province])</f>
        <v>KZN</v>
      </c>
      <c r="F1584" t="str">
        <f>_xlfn.XLOOKUP(tblSales[[#This Row],[Store ID]],tblStores[Store ID],tblStores[Manager])</f>
        <v>Linda Smith</v>
      </c>
      <c r="G1584" t="str">
        <f>_xlfn.XLOOKUP(tblSales[[#This Row],[Category ID]],tblCategories[Category ID],tblCategories[Category])</f>
        <v>Menswear</v>
      </c>
      <c r="H1584">
        <v>18924</v>
      </c>
      <c r="I1584">
        <v>19679</v>
      </c>
      <c r="J1584">
        <v>38</v>
      </c>
      <c r="K1584">
        <f>tblSales[[#This Row],[Sales]]-tblSales[[#This Row],[Budget]]</f>
        <v>-755</v>
      </c>
      <c r="L1584" s="3">
        <f>(tblSales[[#This Row],[Sales]]-tblSales[[#This Row],[Budget]])/tblSales[[#This Row],[Budget]]</f>
        <v>-3.8365770618425735E-2</v>
      </c>
      <c r="M1584" s="2">
        <f>tblSales[[#This Row],[Sales]]/tblSales[[#This Row],[Transactions]]</f>
        <v>498</v>
      </c>
    </row>
    <row r="1585" spans="1:13" x14ac:dyDescent="0.25">
      <c r="A1585" s="1">
        <v>46102</v>
      </c>
      <c r="B1585" t="s">
        <v>12</v>
      </c>
      <c r="C1585" t="s">
        <v>7</v>
      </c>
      <c r="D1585" t="str">
        <f>_xlfn.XLOOKUP(tblSales[[#This Row],[Store ID]],tblStores[Store ID],tblStores[Store Name])</f>
        <v>Pietermaritzburg</v>
      </c>
      <c r="E1585" t="str">
        <f>_xlfn.XLOOKUP(tblSales[[#This Row],[Store ID]],tblStores[Store ID],tblStores[Province])</f>
        <v>KZN</v>
      </c>
      <c r="F1585" t="str">
        <f>_xlfn.XLOOKUP(tblSales[[#This Row],[Store ID]],tblStores[Store ID],tblStores[Manager])</f>
        <v>Peter Brown</v>
      </c>
      <c r="G1585" t="str">
        <f>_xlfn.XLOOKUP(tblSales[[#This Row],[Category ID]],tblCategories[Category ID],tblCategories[Category])</f>
        <v>Menswear</v>
      </c>
      <c r="H1585">
        <v>39759</v>
      </c>
      <c r="I1585">
        <v>39265</v>
      </c>
      <c r="J1585">
        <v>87</v>
      </c>
      <c r="K1585">
        <f>tblSales[[#This Row],[Sales]]-tblSales[[#This Row],[Budget]]</f>
        <v>494</v>
      </c>
      <c r="L1585" s="3">
        <f>(tblSales[[#This Row],[Sales]]-tblSales[[#This Row],[Budget]])/tblSales[[#This Row],[Budget]]</f>
        <v>1.2581179167197249E-2</v>
      </c>
      <c r="M1585" s="2">
        <f>tblSales[[#This Row],[Sales]]/tblSales[[#This Row],[Transactions]]</f>
        <v>457</v>
      </c>
    </row>
    <row r="1586" spans="1:13" x14ac:dyDescent="0.25">
      <c r="A1586" s="1">
        <v>46102</v>
      </c>
      <c r="B1586" t="s">
        <v>13</v>
      </c>
      <c r="C1586" t="s">
        <v>22</v>
      </c>
      <c r="D1586" t="str">
        <f>_xlfn.XLOOKUP(tblSales[[#This Row],[Store ID]],tblStores[Store ID],tblStores[Store Name])</f>
        <v>Richards Bay</v>
      </c>
      <c r="E1586" t="str">
        <f>_xlfn.XLOOKUP(tblSales[[#This Row],[Store ID]],tblStores[Store ID],tblStores[Province])</f>
        <v>KZN</v>
      </c>
      <c r="F1586" t="str">
        <f>_xlfn.XLOOKUP(tblSales[[#This Row],[Store ID]],tblStores[Store ID],tblStores[Manager])</f>
        <v>David Green</v>
      </c>
      <c r="G1586" t="str">
        <f>_xlfn.XLOOKUP(tblSales[[#This Row],[Category ID]],tblCategories[Category ID],tblCategories[Category])</f>
        <v>Kids</v>
      </c>
      <c r="H1586">
        <v>26208</v>
      </c>
      <c r="I1586">
        <v>29767</v>
      </c>
      <c r="J1586">
        <v>104</v>
      </c>
      <c r="K1586">
        <f>tblSales[[#This Row],[Sales]]-tblSales[[#This Row],[Budget]]</f>
        <v>-3559</v>
      </c>
      <c r="L1586" s="3">
        <f>(tblSales[[#This Row],[Sales]]-tblSales[[#This Row],[Budget]])/tblSales[[#This Row],[Budget]]</f>
        <v>-0.11956193099741325</v>
      </c>
      <c r="M1586" s="2">
        <f>tblSales[[#This Row],[Sales]]/tblSales[[#This Row],[Transactions]]</f>
        <v>252</v>
      </c>
    </row>
    <row r="1587" spans="1:13" x14ac:dyDescent="0.25">
      <c r="A1587" s="1">
        <v>46102</v>
      </c>
      <c r="B1587" t="s">
        <v>14</v>
      </c>
      <c r="C1587" t="s">
        <v>22</v>
      </c>
      <c r="D1587" t="str">
        <f>_xlfn.XLOOKUP(tblSales[[#This Row],[Store ID]],tblStores[Store ID],tblStores[Store Name])</f>
        <v>Sandton</v>
      </c>
      <c r="E1587" t="str">
        <f>_xlfn.XLOOKUP(tblSales[[#This Row],[Store ID]],tblStores[Store ID],tblStores[Province])</f>
        <v>Gauteng</v>
      </c>
      <c r="F1587" t="str">
        <f>_xlfn.XLOOKUP(tblSales[[#This Row],[Store ID]],tblStores[Store ID],tblStores[Manager])</f>
        <v>Karen White</v>
      </c>
      <c r="G1587" t="str">
        <f>_xlfn.XLOOKUP(tblSales[[#This Row],[Category ID]],tblCategories[Category ID],tblCategories[Category])</f>
        <v>Kids</v>
      </c>
      <c r="H1587">
        <v>55205</v>
      </c>
      <c r="I1587">
        <v>52048</v>
      </c>
      <c r="J1587">
        <v>181</v>
      </c>
      <c r="K1587">
        <f>tblSales[[#This Row],[Sales]]-tblSales[[#This Row],[Budget]]</f>
        <v>3157</v>
      </c>
      <c r="L1587" s="3">
        <f>(tblSales[[#This Row],[Sales]]-tblSales[[#This Row],[Budget]])/tblSales[[#This Row],[Budget]]</f>
        <v>6.0655548724254535E-2</v>
      </c>
      <c r="M1587" s="2">
        <f>tblSales[[#This Row],[Sales]]/tblSales[[#This Row],[Transactions]]</f>
        <v>305</v>
      </c>
    </row>
    <row r="1588" spans="1:13" x14ac:dyDescent="0.25">
      <c r="A1588" s="1">
        <v>46102</v>
      </c>
      <c r="B1588" t="s">
        <v>15</v>
      </c>
      <c r="C1588" t="s">
        <v>22</v>
      </c>
      <c r="D1588" t="str">
        <f>_xlfn.XLOOKUP(tblSales[[#This Row],[Store ID]],tblStores[Store ID],tblStores[Store Name])</f>
        <v>Rosebank</v>
      </c>
      <c r="E1588" t="str">
        <f>_xlfn.XLOOKUP(tblSales[[#This Row],[Store ID]],tblStores[Store ID],tblStores[Province])</f>
        <v>Gauteng</v>
      </c>
      <c r="F1588" t="str">
        <f>_xlfn.XLOOKUP(tblSales[[#This Row],[Store ID]],tblStores[Store ID],tblStores[Manager])</f>
        <v>James Taylor</v>
      </c>
      <c r="G1588" t="str">
        <f>_xlfn.XLOOKUP(tblSales[[#This Row],[Category ID]],tblCategories[Category ID],tblCategories[Category])</f>
        <v>Kids</v>
      </c>
      <c r="H1588">
        <v>67423</v>
      </c>
      <c r="I1588">
        <v>69792</v>
      </c>
      <c r="J1588">
        <v>191</v>
      </c>
      <c r="K1588">
        <f>tblSales[[#This Row],[Sales]]-tblSales[[#This Row],[Budget]]</f>
        <v>-2369</v>
      </c>
      <c r="L1588" s="3">
        <f>(tblSales[[#This Row],[Sales]]-tblSales[[#This Row],[Budget]])/tblSales[[#This Row],[Budget]]</f>
        <v>-3.3943718477762494E-2</v>
      </c>
      <c r="M1588" s="2">
        <f>tblSales[[#This Row],[Sales]]/tblSales[[#This Row],[Transactions]]</f>
        <v>353</v>
      </c>
    </row>
    <row r="1589" spans="1:13" x14ac:dyDescent="0.25">
      <c r="A1589" s="1">
        <v>46102</v>
      </c>
      <c r="B1589" t="s">
        <v>16</v>
      </c>
      <c r="C1589" t="s">
        <v>7</v>
      </c>
      <c r="D1589" t="str">
        <f>_xlfn.XLOOKUP(tblSales[[#This Row],[Store ID]],tblStores[Store ID],tblStores[Store Name])</f>
        <v>Pretoria</v>
      </c>
      <c r="E1589" t="str">
        <f>_xlfn.XLOOKUP(tblSales[[#This Row],[Store ID]],tblStores[Store ID],tblStores[Province])</f>
        <v>Gauteng</v>
      </c>
      <c r="F1589" t="str">
        <f>_xlfn.XLOOKUP(tblSales[[#This Row],[Store ID]],tblStores[Store ID],tblStores[Manager])</f>
        <v>Susan Clark</v>
      </c>
      <c r="G1589" t="str">
        <f>_xlfn.XLOOKUP(tblSales[[#This Row],[Category ID]],tblCategories[Category ID],tblCategories[Category])</f>
        <v>Menswear</v>
      </c>
      <c r="H1589">
        <v>13192</v>
      </c>
      <c r="I1589">
        <v>13425</v>
      </c>
      <c r="J1589">
        <v>68</v>
      </c>
      <c r="K1589">
        <f>tblSales[[#This Row],[Sales]]-tblSales[[#This Row],[Budget]]</f>
        <v>-233</v>
      </c>
      <c r="L1589" s="3">
        <f>(tblSales[[#This Row],[Sales]]-tblSales[[#This Row],[Budget]])/tblSales[[#This Row],[Budget]]</f>
        <v>-1.7355679702048418E-2</v>
      </c>
      <c r="M1589" s="2">
        <f>tblSales[[#This Row],[Sales]]/tblSales[[#This Row],[Transactions]]</f>
        <v>194</v>
      </c>
    </row>
    <row r="1590" spans="1:13" x14ac:dyDescent="0.25">
      <c r="A1590" s="1">
        <v>46102</v>
      </c>
      <c r="B1590" t="s">
        <v>17</v>
      </c>
      <c r="C1590" t="s">
        <v>7</v>
      </c>
      <c r="D1590" t="str">
        <f>_xlfn.XLOOKUP(tblSales[[#This Row],[Store ID]],tblStores[Store ID],tblStores[Store Name])</f>
        <v>Centurion</v>
      </c>
      <c r="E1590" t="str">
        <f>_xlfn.XLOOKUP(tblSales[[#This Row],[Store ID]],tblStores[Store ID],tblStores[Province])</f>
        <v>Gauteng</v>
      </c>
      <c r="F1590" t="str">
        <f>_xlfn.XLOOKUP(tblSales[[#This Row],[Store ID]],tblStores[Store ID],tblStores[Manager])</f>
        <v>Mark Wilson</v>
      </c>
      <c r="G1590" t="str">
        <f>_xlfn.XLOOKUP(tblSales[[#This Row],[Category ID]],tblCategories[Category ID],tblCategories[Category])</f>
        <v>Menswear</v>
      </c>
      <c r="H1590">
        <v>23312</v>
      </c>
      <c r="I1590">
        <v>21294</v>
      </c>
      <c r="J1590">
        <v>62</v>
      </c>
      <c r="K1590">
        <f>tblSales[[#This Row],[Sales]]-tblSales[[#This Row],[Budget]]</f>
        <v>2018</v>
      </c>
      <c r="L1590" s="3">
        <f>(tblSales[[#This Row],[Sales]]-tblSales[[#This Row],[Budget]])/tblSales[[#This Row],[Budget]]</f>
        <v>9.4768479383863999E-2</v>
      </c>
      <c r="M1590" s="2">
        <f>tblSales[[#This Row],[Sales]]/tblSales[[#This Row],[Transactions]]</f>
        <v>376</v>
      </c>
    </row>
    <row r="1591" spans="1:13" x14ac:dyDescent="0.25">
      <c r="A1591" s="1">
        <v>46102</v>
      </c>
      <c r="B1591" t="s">
        <v>18</v>
      </c>
      <c r="C1591" t="s">
        <v>11</v>
      </c>
      <c r="D1591" t="str">
        <f>_xlfn.XLOOKUP(tblSales[[#This Row],[Store ID]],tblStores[Store ID],tblStores[Store Name])</f>
        <v>East Rand</v>
      </c>
      <c r="E1591" t="str">
        <f>_xlfn.XLOOKUP(tblSales[[#This Row],[Store ID]],tblStores[Store ID],tblStores[Province])</f>
        <v>Gauteng</v>
      </c>
      <c r="F1591" t="str">
        <f>_xlfn.XLOOKUP(tblSales[[#This Row],[Store ID]],tblStores[Store ID],tblStores[Manager])</f>
        <v>Lisa Young</v>
      </c>
      <c r="G1591" t="str">
        <f>_xlfn.XLOOKUP(tblSales[[#This Row],[Category ID]],tblCategories[Category ID],tblCategories[Category])</f>
        <v>Footwear</v>
      </c>
      <c r="H1591">
        <v>36585</v>
      </c>
      <c r="I1591">
        <v>39371</v>
      </c>
      <c r="J1591">
        <v>135</v>
      </c>
      <c r="K1591">
        <f>tblSales[[#This Row],[Sales]]-tblSales[[#This Row],[Budget]]</f>
        <v>-2786</v>
      </c>
      <c r="L1591" s="3">
        <f>(tblSales[[#This Row],[Sales]]-tblSales[[#This Row],[Budget]])/tblSales[[#This Row],[Budget]]</f>
        <v>-7.0762744151786849E-2</v>
      </c>
      <c r="M1591" s="2">
        <f>tblSales[[#This Row],[Sales]]/tblSales[[#This Row],[Transactions]]</f>
        <v>271</v>
      </c>
    </row>
    <row r="1592" spans="1:13" x14ac:dyDescent="0.25">
      <c r="A1592" s="1">
        <v>46102</v>
      </c>
      <c r="B1592" t="s">
        <v>20</v>
      </c>
      <c r="C1592" t="s">
        <v>19</v>
      </c>
      <c r="D1592" t="str">
        <f>_xlfn.XLOOKUP(tblSales[[#This Row],[Store ID]],tblStores[Store ID],tblStores[Store Name])</f>
        <v>Cape Town CBD</v>
      </c>
      <c r="E1592" t="str">
        <f>_xlfn.XLOOKUP(tblSales[[#This Row],[Store ID]],tblStores[Store ID],tblStores[Province])</f>
        <v>Western Cape</v>
      </c>
      <c r="F1592" t="str">
        <f>_xlfn.XLOOKUP(tblSales[[#This Row],[Store ID]],tblStores[Store ID],tblStores[Manager])</f>
        <v>Brian Hall</v>
      </c>
      <c r="G1592" t="str">
        <f>_xlfn.XLOOKUP(tblSales[[#This Row],[Category ID]],tblCategories[Category ID],tblCategories[Category])</f>
        <v>Accessories</v>
      </c>
      <c r="H1592">
        <v>79968</v>
      </c>
      <c r="I1592">
        <v>84292</v>
      </c>
      <c r="J1592">
        <v>196</v>
      </c>
      <c r="K1592">
        <f>tblSales[[#This Row],[Sales]]-tblSales[[#This Row],[Budget]]</f>
        <v>-4324</v>
      </c>
      <c r="L1592" s="3">
        <f>(tblSales[[#This Row],[Sales]]-tblSales[[#This Row],[Budget]])/tblSales[[#This Row],[Budget]]</f>
        <v>-5.1297869311441181E-2</v>
      </c>
      <c r="M1592" s="2">
        <f>tblSales[[#This Row],[Sales]]/tblSales[[#This Row],[Transactions]]</f>
        <v>408</v>
      </c>
    </row>
    <row r="1593" spans="1:13" x14ac:dyDescent="0.25">
      <c r="A1593" s="1">
        <v>46102</v>
      </c>
      <c r="B1593" t="s">
        <v>21</v>
      </c>
      <c r="C1593" t="s">
        <v>22</v>
      </c>
      <c r="D1593" t="str">
        <f>_xlfn.XLOOKUP(tblSales[[#This Row],[Store ID]],tblStores[Store ID],tblStores[Store Name])</f>
        <v>Canal Walk</v>
      </c>
      <c r="E1593" t="str">
        <f>_xlfn.XLOOKUP(tblSales[[#This Row],[Store ID]],tblStores[Store ID],tblStores[Province])</f>
        <v>Western Cape</v>
      </c>
      <c r="F1593" t="str">
        <f>_xlfn.XLOOKUP(tblSales[[#This Row],[Store ID]],tblStores[Store ID],tblStores[Manager])</f>
        <v>Megan Scott</v>
      </c>
      <c r="G1593" t="str">
        <f>_xlfn.XLOOKUP(tblSales[[#This Row],[Category ID]],tblCategories[Category ID],tblCategories[Category])</f>
        <v>Kids</v>
      </c>
      <c r="H1593">
        <v>33720</v>
      </c>
      <c r="I1593">
        <v>36357</v>
      </c>
      <c r="J1593">
        <v>120</v>
      </c>
      <c r="K1593">
        <f>tblSales[[#This Row],[Sales]]-tblSales[[#This Row],[Budget]]</f>
        <v>-2637</v>
      </c>
      <c r="L1593" s="3">
        <f>(tblSales[[#This Row],[Sales]]-tblSales[[#This Row],[Budget]])/tblSales[[#This Row],[Budget]]</f>
        <v>-7.2530736859476849E-2</v>
      </c>
      <c r="M1593" s="2">
        <f>tblSales[[#This Row],[Sales]]/tblSales[[#This Row],[Transactions]]</f>
        <v>281</v>
      </c>
    </row>
    <row r="1594" spans="1:13" x14ac:dyDescent="0.25">
      <c r="A1594" s="1">
        <v>46102</v>
      </c>
      <c r="B1594" t="s">
        <v>23</v>
      </c>
      <c r="C1594" t="s">
        <v>19</v>
      </c>
      <c r="D1594" t="str">
        <f>_xlfn.XLOOKUP(tblSales[[#This Row],[Store ID]],tblStores[Store ID],tblStores[Store Name])</f>
        <v>Stellenbosch</v>
      </c>
      <c r="E1594" t="str">
        <f>_xlfn.XLOOKUP(tblSales[[#This Row],[Store ID]],tblStores[Store ID],tblStores[Province])</f>
        <v>Western Cape</v>
      </c>
      <c r="F1594" t="str">
        <f>_xlfn.XLOOKUP(tblSales[[#This Row],[Store ID]],tblStores[Store ID],tblStores[Manager])</f>
        <v>Jason King</v>
      </c>
      <c r="G1594" t="str">
        <f>_xlfn.XLOOKUP(tblSales[[#This Row],[Category ID]],tblCategories[Category ID],tblCategories[Category])</f>
        <v>Accessories</v>
      </c>
      <c r="H1594">
        <v>22990</v>
      </c>
      <c r="I1594">
        <v>23954</v>
      </c>
      <c r="J1594">
        <v>55</v>
      </c>
      <c r="K1594">
        <f>tblSales[[#This Row],[Sales]]-tblSales[[#This Row],[Budget]]</f>
        <v>-964</v>
      </c>
      <c r="L1594" s="3">
        <f>(tblSales[[#This Row],[Sales]]-tblSales[[#This Row],[Budget]])/tblSales[[#This Row],[Budget]]</f>
        <v>-4.0243800617850878E-2</v>
      </c>
      <c r="M1594" s="2">
        <f>tblSales[[#This Row],[Sales]]/tblSales[[#This Row],[Transactions]]</f>
        <v>418</v>
      </c>
    </row>
    <row r="1595" spans="1:13" x14ac:dyDescent="0.25">
      <c r="A1595" s="1">
        <v>46102</v>
      </c>
      <c r="B1595" t="s">
        <v>24</v>
      </c>
      <c r="C1595" t="s">
        <v>7</v>
      </c>
      <c r="D1595" t="str">
        <f>_xlfn.XLOOKUP(tblSales[[#This Row],[Store ID]],tblStores[Store ID],tblStores[Store Name])</f>
        <v>George</v>
      </c>
      <c r="E1595" t="str">
        <f>_xlfn.XLOOKUP(tblSales[[#This Row],[Store ID]],tblStores[Store ID],tblStores[Province])</f>
        <v>Western Cape</v>
      </c>
      <c r="F1595" t="str">
        <f>_xlfn.XLOOKUP(tblSales[[#This Row],[Store ID]],tblStores[Store ID],tblStores[Manager])</f>
        <v>Chloe Hill</v>
      </c>
      <c r="G1595" t="str">
        <f>_xlfn.XLOOKUP(tblSales[[#This Row],[Category ID]],tblCategories[Category ID],tblCategories[Category])</f>
        <v>Menswear</v>
      </c>
      <c r="H1595">
        <v>89247</v>
      </c>
      <c r="I1595">
        <v>82492</v>
      </c>
      <c r="J1595">
        <v>213</v>
      </c>
      <c r="K1595">
        <f>tblSales[[#This Row],[Sales]]-tblSales[[#This Row],[Budget]]</f>
        <v>6755</v>
      </c>
      <c r="L1595" s="3">
        <f>(tblSales[[#This Row],[Sales]]-tblSales[[#This Row],[Budget]])/tblSales[[#This Row],[Budget]]</f>
        <v>8.1886728410027643E-2</v>
      </c>
      <c r="M1595" s="2">
        <f>tblSales[[#This Row],[Sales]]/tblSales[[#This Row],[Transactions]]</f>
        <v>419</v>
      </c>
    </row>
    <row r="1596" spans="1:13" x14ac:dyDescent="0.25">
      <c r="A1596" s="1">
        <v>46102</v>
      </c>
      <c r="B1596" t="s">
        <v>25</v>
      </c>
      <c r="C1596" t="s">
        <v>22</v>
      </c>
      <c r="D1596" t="str">
        <f>_xlfn.XLOOKUP(tblSales[[#This Row],[Store ID]],tblStores[Store ID],tblStores[Store Name])</f>
        <v>Paarl</v>
      </c>
      <c r="E1596" t="str">
        <f>_xlfn.XLOOKUP(tblSales[[#This Row],[Store ID]],tblStores[Store ID],tblStores[Province])</f>
        <v>Western Cape</v>
      </c>
      <c r="F1596" t="str">
        <f>_xlfn.XLOOKUP(tblSales[[#This Row],[Store ID]],tblStores[Store ID],tblStores[Manager])</f>
        <v>Andrew Lee</v>
      </c>
      <c r="G1596" t="str">
        <f>_xlfn.XLOOKUP(tblSales[[#This Row],[Category ID]],tblCategories[Category ID],tblCategories[Category])</f>
        <v>Kids</v>
      </c>
      <c r="H1596">
        <v>106890</v>
      </c>
      <c r="I1596">
        <v>115179</v>
      </c>
      <c r="J1596">
        <v>210</v>
      </c>
      <c r="K1596">
        <f>tblSales[[#This Row],[Sales]]-tblSales[[#This Row],[Budget]]</f>
        <v>-8289</v>
      </c>
      <c r="L1596" s="3">
        <f>(tblSales[[#This Row],[Sales]]-tblSales[[#This Row],[Budget]])/tblSales[[#This Row],[Budget]]</f>
        <v>-7.1966243846534522E-2</v>
      </c>
      <c r="M1596" s="2">
        <f>tblSales[[#This Row],[Sales]]/tblSales[[#This Row],[Transactions]]</f>
        <v>509</v>
      </c>
    </row>
    <row r="1597" spans="1:13" x14ac:dyDescent="0.25">
      <c r="A1597" s="1">
        <v>46102</v>
      </c>
      <c r="B1597" t="s">
        <v>26</v>
      </c>
      <c r="C1597" t="s">
        <v>11</v>
      </c>
      <c r="D1597" t="str">
        <f>_xlfn.XLOOKUP(tblSales[[#This Row],[Store ID]],tblStores[Store ID],tblStores[Store Name])</f>
        <v>Gqeberha</v>
      </c>
      <c r="E1597" t="str">
        <f>_xlfn.XLOOKUP(tblSales[[#This Row],[Store ID]],tblStores[Store ID],tblStores[Province])</f>
        <v>Eastern Cape</v>
      </c>
      <c r="F1597" t="str">
        <f>_xlfn.XLOOKUP(tblSales[[#This Row],[Store ID]],tblStores[Store ID],tblStores[Manager])</f>
        <v>Emma Baker</v>
      </c>
      <c r="G1597" t="str">
        <f>_xlfn.XLOOKUP(tblSales[[#This Row],[Category ID]],tblCategories[Category ID],tblCategories[Category])</f>
        <v>Footwear</v>
      </c>
      <c r="H1597">
        <v>46190</v>
      </c>
      <c r="I1597">
        <v>52511</v>
      </c>
      <c r="J1597">
        <v>155</v>
      </c>
      <c r="K1597">
        <f>tblSales[[#This Row],[Sales]]-tblSales[[#This Row],[Budget]]</f>
        <v>-6321</v>
      </c>
      <c r="L1597" s="3">
        <f>(tblSales[[#This Row],[Sales]]-tblSales[[#This Row],[Budget]])/tblSales[[#This Row],[Budget]]</f>
        <v>-0.12037477861781341</v>
      </c>
      <c r="M1597" s="2">
        <f>tblSales[[#This Row],[Sales]]/tblSales[[#This Row],[Transactions]]</f>
        <v>298</v>
      </c>
    </row>
    <row r="1598" spans="1:13" x14ac:dyDescent="0.25">
      <c r="A1598" s="1">
        <v>46102</v>
      </c>
      <c r="B1598" t="s">
        <v>27</v>
      </c>
      <c r="C1598" t="s">
        <v>9</v>
      </c>
      <c r="D1598" t="str">
        <f>_xlfn.XLOOKUP(tblSales[[#This Row],[Store ID]],tblStores[Store ID],tblStores[Store Name])</f>
        <v>East London</v>
      </c>
      <c r="E1598" t="str">
        <f>_xlfn.XLOOKUP(tblSales[[#This Row],[Store ID]],tblStores[Store ID],tblStores[Province])</f>
        <v>Eastern Cape</v>
      </c>
      <c r="F1598" t="str">
        <f>_xlfn.XLOOKUP(tblSales[[#This Row],[Store ID]],tblStores[Store ID],tblStores[Manager])</f>
        <v>Daniel Evans</v>
      </c>
      <c r="G1598" t="str">
        <f>_xlfn.XLOOKUP(tblSales[[#This Row],[Category ID]],tblCategories[Category ID],tblCategories[Category])</f>
        <v>Ladieswear</v>
      </c>
      <c r="H1598">
        <v>59904</v>
      </c>
      <c r="I1598">
        <v>67584</v>
      </c>
      <c r="J1598">
        <v>192</v>
      </c>
      <c r="K1598">
        <f>tblSales[[#This Row],[Sales]]-tblSales[[#This Row],[Budget]]</f>
        <v>-7680</v>
      </c>
      <c r="L1598" s="3">
        <f>(tblSales[[#This Row],[Sales]]-tblSales[[#This Row],[Budget]])/tblSales[[#This Row],[Budget]]</f>
        <v>-0.11363636363636363</v>
      </c>
      <c r="M1598" s="2">
        <f>tblSales[[#This Row],[Sales]]/tblSales[[#This Row],[Transactions]]</f>
        <v>312</v>
      </c>
    </row>
    <row r="1599" spans="1:13" x14ac:dyDescent="0.25">
      <c r="A1599" s="1">
        <v>46102</v>
      </c>
      <c r="B1599" t="s">
        <v>28</v>
      </c>
      <c r="C1599" t="s">
        <v>11</v>
      </c>
      <c r="D1599" t="str">
        <f>_xlfn.XLOOKUP(tblSales[[#This Row],[Store ID]],tblStores[Store ID],tblStores[Store Name])</f>
        <v>Bloemfontein</v>
      </c>
      <c r="E1599" t="str">
        <f>_xlfn.XLOOKUP(tblSales[[#This Row],[Store ID]],tblStores[Store ID],tblStores[Province])</f>
        <v>Free State</v>
      </c>
      <c r="F1599" t="str">
        <f>_xlfn.XLOOKUP(tblSales[[#This Row],[Store ID]],tblStores[Store ID],tblStores[Manager])</f>
        <v>Rachel Moore</v>
      </c>
      <c r="G1599" t="str">
        <f>_xlfn.XLOOKUP(tblSales[[#This Row],[Category ID]],tblCategories[Category ID],tblCategories[Category])</f>
        <v>Footwear</v>
      </c>
      <c r="H1599">
        <v>42120</v>
      </c>
      <c r="I1599">
        <v>41386</v>
      </c>
      <c r="J1599">
        <v>81</v>
      </c>
      <c r="K1599">
        <f>tblSales[[#This Row],[Sales]]-tblSales[[#This Row],[Budget]]</f>
        <v>734</v>
      </c>
      <c r="L1599" s="3">
        <f>(tblSales[[#This Row],[Sales]]-tblSales[[#This Row],[Budget]])/tblSales[[#This Row],[Budget]]</f>
        <v>1.7735466099647223E-2</v>
      </c>
      <c r="M1599" s="2">
        <f>tblSales[[#This Row],[Sales]]/tblSales[[#This Row],[Transactions]]</f>
        <v>520</v>
      </c>
    </row>
    <row r="1600" spans="1:13" x14ac:dyDescent="0.25">
      <c r="A1600" s="1">
        <v>46102</v>
      </c>
      <c r="B1600" t="s">
        <v>29</v>
      </c>
      <c r="C1600" t="s">
        <v>22</v>
      </c>
      <c r="D1600" t="str">
        <f>_xlfn.XLOOKUP(tblSales[[#This Row],[Store ID]],tblStores[Store ID],tblStores[Store Name])</f>
        <v>Polokwane</v>
      </c>
      <c r="E1600" t="str">
        <f>_xlfn.XLOOKUP(tblSales[[#This Row],[Store ID]],tblStores[Store ID],tblStores[Province])</f>
        <v>Limpopo</v>
      </c>
      <c r="F1600" t="str">
        <f>_xlfn.XLOOKUP(tblSales[[#This Row],[Store ID]],tblStores[Store ID],tblStores[Manager])</f>
        <v>Kevin Harris</v>
      </c>
      <c r="G1600" t="str">
        <f>_xlfn.XLOOKUP(tblSales[[#This Row],[Category ID]],tblCategories[Category ID],tblCategories[Category])</f>
        <v>Kids</v>
      </c>
      <c r="H1600">
        <v>64779</v>
      </c>
      <c r="I1600">
        <v>58791</v>
      </c>
      <c r="J1600">
        <v>151</v>
      </c>
      <c r="K1600">
        <f>tblSales[[#This Row],[Sales]]-tblSales[[#This Row],[Budget]]</f>
        <v>5988</v>
      </c>
      <c r="L1600" s="3">
        <f>(tblSales[[#This Row],[Sales]]-tblSales[[#This Row],[Budget]])/tblSales[[#This Row],[Budget]]</f>
        <v>0.10185232433535746</v>
      </c>
      <c r="M1600" s="2">
        <f>tblSales[[#This Row],[Sales]]/tblSales[[#This Row],[Transactions]]</f>
        <v>429</v>
      </c>
    </row>
    <row r="1601" spans="1:13" x14ac:dyDescent="0.25">
      <c r="A1601" s="1">
        <v>46102</v>
      </c>
      <c r="B1601" t="s">
        <v>30</v>
      </c>
      <c r="C1601" t="s">
        <v>11</v>
      </c>
      <c r="D1601" t="str">
        <f>_xlfn.XLOOKUP(tblSales[[#This Row],[Store ID]],tblStores[Store ID],tblStores[Store Name])</f>
        <v>Nelspruit</v>
      </c>
      <c r="E1601" t="str">
        <f>_xlfn.XLOOKUP(tblSales[[#This Row],[Store ID]],tblStores[Store ID],tblStores[Province])</f>
        <v>Mpumalanga</v>
      </c>
      <c r="F1601" t="str">
        <f>_xlfn.XLOOKUP(tblSales[[#This Row],[Store ID]],tblStores[Store ID],tblStores[Manager])</f>
        <v>Olivia Turner</v>
      </c>
      <c r="G1601" t="str">
        <f>_xlfn.XLOOKUP(tblSales[[#This Row],[Category ID]],tblCategories[Category ID],tblCategories[Category])</f>
        <v>Footwear</v>
      </c>
      <c r="H1601">
        <v>22617</v>
      </c>
      <c r="I1601">
        <v>23061</v>
      </c>
      <c r="J1601">
        <v>63</v>
      </c>
      <c r="K1601">
        <f>tblSales[[#This Row],[Sales]]-tblSales[[#This Row],[Budget]]</f>
        <v>-444</v>
      </c>
      <c r="L1601" s="3">
        <f>(tblSales[[#This Row],[Sales]]-tblSales[[#This Row],[Budget]])/tblSales[[#This Row],[Budget]]</f>
        <v>-1.9253284766488878E-2</v>
      </c>
      <c r="M1601" s="2">
        <f>tblSales[[#This Row],[Sales]]/tblSales[[#This Row],[Transactions]]</f>
        <v>359</v>
      </c>
    </row>
    <row r="1602" spans="1:13" x14ac:dyDescent="0.25">
      <c r="A1602" s="1">
        <v>46103</v>
      </c>
      <c r="B1602" t="s">
        <v>6</v>
      </c>
      <c r="C1602" t="s">
        <v>9</v>
      </c>
      <c r="D1602" t="str">
        <f>_xlfn.XLOOKUP(tblSales[[#This Row],[Store ID]],tblStores[Store ID],tblStores[Store Name])</f>
        <v>Durban CBD</v>
      </c>
      <c r="E1602" t="str">
        <f>_xlfn.XLOOKUP(tblSales[[#This Row],[Store ID]],tblStores[Store ID],tblStores[Province])</f>
        <v>KZN</v>
      </c>
      <c r="F1602" t="str">
        <f>_xlfn.XLOOKUP(tblSales[[#This Row],[Store ID]],tblStores[Store ID],tblStores[Manager])</f>
        <v>Sarah Adams</v>
      </c>
      <c r="G1602" t="str">
        <f>_xlfn.XLOOKUP(tblSales[[#This Row],[Category ID]],tblCategories[Category ID],tblCategories[Category])</f>
        <v>Ladieswear</v>
      </c>
      <c r="H1602">
        <v>38306</v>
      </c>
      <c r="I1602">
        <v>40263</v>
      </c>
      <c r="J1602">
        <v>107</v>
      </c>
      <c r="K1602">
        <f>tblSales[[#This Row],[Sales]]-tblSales[[#This Row],[Budget]]</f>
        <v>-1957</v>
      </c>
      <c r="L1602" s="3">
        <f>(tblSales[[#This Row],[Sales]]-tblSales[[#This Row],[Budget]])/tblSales[[#This Row],[Budget]]</f>
        <v>-4.8605419367657651E-2</v>
      </c>
      <c r="M1602" s="2">
        <f>tblSales[[#This Row],[Sales]]/tblSales[[#This Row],[Transactions]]</f>
        <v>358</v>
      </c>
    </row>
    <row r="1603" spans="1:13" x14ac:dyDescent="0.25">
      <c r="A1603" s="1">
        <v>46103</v>
      </c>
      <c r="B1603" t="s">
        <v>8</v>
      </c>
      <c r="C1603" t="s">
        <v>9</v>
      </c>
      <c r="D1603" t="str">
        <f>_xlfn.XLOOKUP(tblSales[[#This Row],[Store ID]],tblStores[Store ID],tblStores[Store Name])</f>
        <v>Gateway</v>
      </c>
      <c r="E1603" t="str">
        <f>_xlfn.XLOOKUP(tblSales[[#This Row],[Store ID]],tblStores[Store ID],tblStores[Province])</f>
        <v>KZN</v>
      </c>
      <c r="F1603" t="str">
        <f>_xlfn.XLOOKUP(tblSales[[#This Row],[Store ID]],tblStores[Store ID],tblStores[Manager])</f>
        <v>Michael Jones</v>
      </c>
      <c r="G1603" t="str">
        <f>_xlfn.XLOOKUP(tblSales[[#This Row],[Category ID]],tblCategories[Category ID],tblCategories[Category])</f>
        <v>Ladieswear</v>
      </c>
      <c r="H1603">
        <v>38280</v>
      </c>
      <c r="I1603">
        <v>38334</v>
      </c>
      <c r="J1603">
        <v>165</v>
      </c>
      <c r="K1603">
        <f>tblSales[[#This Row],[Sales]]-tblSales[[#This Row],[Budget]]</f>
        <v>-54</v>
      </c>
      <c r="L1603" s="3">
        <f>(tblSales[[#This Row],[Sales]]-tblSales[[#This Row],[Budget]])/tblSales[[#This Row],[Budget]]</f>
        <v>-1.4086711535451558E-3</v>
      </c>
      <c r="M1603" s="2">
        <f>tblSales[[#This Row],[Sales]]/tblSales[[#This Row],[Transactions]]</f>
        <v>232</v>
      </c>
    </row>
    <row r="1604" spans="1:13" x14ac:dyDescent="0.25">
      <c r="A1604" s="1">
        <v>46103</v>
      </c>
      <c r="B1604" t="s">
        <v>10</v>
      </c>
      <c r="C1604" t="s">
        <v>7</v>
      </c>
      <c r="D1604" t="str">
        <f>_xlfn.XLOOKUP(tblSales[[#This Row],[Store ID]],tblStores[Store ID],tblStores[Store Name])</f>
        <v>Ballito</v>
      </c>
      <c r="E1604" t="str">
        <f>_xlfn.XLOOKUP(tblSales[[#This Row],[Store ID]],tblStores[Store ID],tblStores[Province])</f>
        <v>KZN</v>
      </c>
      <c r="F1604" t="str">
        <f>_xlfn.XLOOKUP(tblSales[[#This Row],[Store ID]],tblStores[Store ID],tblStores[Manager])</f>
        <v>Linda Smith</v>
      </c>
      <c r="G1604" t="str">
        <f>_xlfn.XLOOKUP(tblSales[[#This Row],[Category ID]],tblCategories[Category ID],tblCategories[Category])</f>
        <v>Menswear</v>
      </c>
      <c r="H1604">
        <v>54752</v>
      </c>
      <c r="I1604">
        <v>58166</v>
      </c>
      <c r="J1604">
        <v>118</v>
      </c>
      <c r="K1604">
        <f>tblSales[[#This Row],[Sales]]-tblSales[[#This Row],[Budget]]</f>
        <v>-3414</v>
      </c>
      <c r="L1604" s="3">
        <f>(tblSales[[#This Row],[Sales]]-tblSales[[#This Row],[Budget]])/tblSales[[#This Row],[Budget]]</f>
        <v>-5.8694082453667092E-2</v>
      </c>
      <c r="M1604" s="2">
        <f>tblSales[[#This Row],[Sales]]/tblSales[[#This Row],[Transactions]]</f>
        <v>464</v>
      </c>
    </row>
    <row r="1605" spans="1:13" x14ac:dyDescent="0.25">
      <c r="A1605" s="1">
        <v>46103</v>
      </c>
      <c r="B1605" t="s">
        <v>12</v>
      </c>
      <c r="C1605" t="s">
        <v>22</v>
      </c>
      <c r="D1605" t="str">
        <f>_xlfn.XLOOKUP(tblSales[[#This Row],[Store ID]],tblStores[Store ID],tblStores[Store Name])</f>
        <v>Pietermaritzburg</v>
      </c>
      <c r="E1605" t="str">
        <f>_xlfn.XLOOKUP(tblSales[[#This Row],[Store ID]],tblStores[Store ID],tblStores[Province])</f>
        <v>KZN</v>
      </c>
      <c r="F1605" t="str">
        <f>_xlfn.XLOOKUP(tblSales[[#This Row],[Store ID]],tblStores[Store ID],tblStores[Manager])</f>
        <v>Peter Brown</v>
      </c>
      <c r="G1605" t="str">
        <f>_xlfn.XLOOKUP(tblSales[[#This Row],[Category ID]],tblCategories[Category ID],tblCategories[Category])</f>
        <v>Kids</v>
      </c>
      <c r="H1605">
        <v>71136</v>
      </c>
      <c r="I1605">
        <v>71150</v>
      </c>
      <c r="J1605">
        <v>171</v>
      </c>
      <c r="K1605">
        <f>tblSales[[#This Row],[Sales]]-tblSales[[#This Row],[Budget]]</f>
        <v>-14</v>
      </c>
      <c r="L1605" s="3">
        <f>(tblSales[[#This Row],[Sales]]-tblSales[[#This Row],[Budget]])/tblSales[[#This Row],[Budget]]</f>
        <v>-1.9676739283204498E-4</v>
      </c>
      <c r="M1605" s="2">
        <f>tblSales[[#This Row],[Sales]]/tblSales[[#This Row],[Transactions]]</f>
        <v>416</v>
      </c>
    </row>
    <row r="1606" spans="1:13" x14ac:dyDescent="0.25">
      <c r="A1606" s="1">
        <v>46103</v>
      </c>
      <c r="B1606" t="s">
        <v>13</v>
      </c>
      <c r="C1606" t="s">
        <v>11</v>
      </c>
      <c r="D1606" t="str">
        <f>_xlfn.XLOOKUP(tblSales[[#This Row],[Store ID]],tblStores[Store ID],tblStores[Store Name])</f>
        <v>Richards Bay</v>
      </c>
      <c r="E1606" t="str">
        <f>_xlfn.XLOOKUP(tblSales[[#This Row],[Store ID]],tblStores[Store ID],tblStores[Province])</f>
        <v>KZN</v>
      </c>
      <c r="F1606" t="str">
        <f>_xlfn.XLOOKUP(tblSales[[#This Row],[Store ID]],tblStores[Store ID],tblStores[Manager])</f>
        <v>David Green</v>
      </c>
      <c r="G1606" t="str">
        <f>_xlfn.XLOOKUP(tblSales[[#This Row],[Category ID]],tblCategories[Category ID],tblCategories[Category])</f>
        <v>Footwear</v>
      </c>
      <c r="H1606">
        <v>47712</v>
      </c>
      <c r="I1606">
        <v>45847</v>
      </c>
      <c r="J1606">
        <v>96</v>
      </c>
      <c r="K1606">
        <f>tblSales[[#This Row],[Sales]]-tblSales[[#This Row],[Budget]]</f>
        <v>1865</v>
      </c>
      <c r="L1606" s="3">
        <f>(tblSales[[#This Row],[Sales]]-tblSales[[#This Row],[Budget]])/tblSales[[#This Row],[Budget]]</f>
        <v>4.0678779418500663E-2</v>
      </c>
      <c r="M1606" s="2">
        <f>tblSales[[#This Row],[Sales]]/tblSales[[#This Row],[Transactions]]</f>
        <v>497</v>
      </c>
    </row>
    <row r="1607" spans="1:13" x14ac:dyDescent="0.25">
      <c r="A1607" s="1">
        <v>46103</v>
      </c>
      <c r="B1607" t="s">
        <v>14</v>
      </c>
      <c r="C1607" t="s">
        <v>9</v>
      </c>
      <c r="D1607" t="str">
        <f>_xlfn.XLOOKUP(tblSales[[#This Row],[Store ID]],tblStores[Store ID],tblStores[Store Name])</f>
        <v>Sandton</v>
      </c>
      <c r="E1607" t="str">
        <f>_xlfn.XLOOKUP(tblSales[[#This Row],[Store ID]],tblStores[Store ID],tblStores[Province])</f>
        <v>Gauteng</v>
      </c>
      <c r="F1607" t="str">
        <f>_xlfn.XLOOKUP(tblSales[[#This Row],[Store ID]],tblStores[Store ID],tblStores[Manager])</f>
        <v>Karen White</v>
      </c>
      <c r="G1607" t="str">
        <f>_xlfn.XLOOKUP(tblSales[[#This Row],[Category ID]],tblCategories[Category ID],tblCategories[Category])</f>
        <v>Ladieswear</v>
      </c>
      <c r="H1607">
        <v>59408</v>
      </c>
      <c r="I1607">
        <v>54448</v>
      </c>
      <c r="J1607">
        <v>158</v>
      </c>
      <c r="K1607">
        <f>tblSales[[#This Row],[Sales]]-tblSales[[#This Row],[Budget]]</f>
        <v>4960</v>
      </c>
      <c r="L1607" s="3">
        <f>(tblSales[[#This Row],[Sales]]-tblSales[[#This Row],[Budget]])/tblSales[[#This Row],[Budget]]</f>
        <v>9.1096091683808403E-2</v>
      </c>
      <c r="M1607" s="2">
        <f>tblSales[[#This Row],[Sales]]/tblSales[[#This Row],[Transactions]]</f>
        <v>376</v>
      </c>
    </row>
    <row r="1608" spans="1:13" x14ac:dyDescent="0.25">
      <c r="A1608" s="1">
        <v>46103</v>
      </c>
      <c r="B1608" t="s">
        <v>15</v>
      </c>
      <c r="C1608" t="s">
        <v>9</v>
      </c>
      <c r="D1608" t="str">
        <f>_xlfn.XLOOKUP(tblSales[[#This Row],[Store ID]],tblStores[Store ID],tblStores[Store Name])</f>
        <v>Rosebank</v>
      </c>
      <c r="E1608" t="str">
        <f>_xlfn.XLOOKUP(tblSales[[#This Row],[Store ID]],tblStores[Store ID],tblStores[Province])</f>
        <v>Gauteng</v>
      </c>
      <c r="F1608" t="str">
        <f>_xlfn.XLOOKUP(tblSales[[#This Row],[Store ID]],tblStores[Store ID],tblStores[Manager])</f>
        <v>James Taylor</v>
      </c>
      <c r="G1608" t="str">
        <f>_xlfn.XLOOKUP(tblSales[[#This Row],[Category ID]],tblCategories[Category ID],tblCategories[Category])</f>
        <v>Ladieswear</v>
      </c>
      <c r="H1608">
        <v>102184</v>
      </c>
      <c r="I1608">
        <v>102979</v>
      </c>
      <c r="J1608">
        <v>212</v>
      </c>
      <c r="K1608">
        <f>tblSales[[#This Row],[Sales]]-tblSales[[#This Row],[Budget]]</f>
        <v>-795</v>
      </c>
      <c r="L1608" s="3">
        <f>(tblSales[[#This Row],[Sales]]-tblSales[[#This Row],[Budget]])/tblSales[[#This Row],[Budget]]</f>
        <v>-7.7200205867215647E-3</v>
      </c>
      <c r="M1608" s="2">
        <f>tblSales[[#This Row],[Sales]]/tblSales[[#This Row],[Transactions]]</f>
        <v>482</v>
      </c>
    </row>
    <row r="1609" spans="1:13" x14ac:dyDescent="0.25">
      <c r="A1609" s="1">
        <v>46103</v>
      </c>
      <c r="B1609" t="s">
        <v>16</v>
      </c>
      <c r="C1609" t="s">
        <v>11</v>
      </c>
      <c r="D1609" t="str">
        <f>_xlfn.XLOOKUP(tblSales[[#This Row],[Store ID]],tblStores[Store ID],tblStores[Store Name])</f>
        <v>Pretoria</v>
      </c>
      <c r="E1609" t="str">
        <f>_xlfn.XLOOKUP(tblSales[[#This Row],[Store ID]],tblStores[Store ID],tblStores[Province])</f>
        <v>Gauteng</v>
      </c>
      <c r="F1609" t="str">
        <f>_xlfn.XLOOKUP(tblSales[[#This Row],[Store ID]],tblStores[Store ID],tblStores[Manager])</f>
        <v>Susan Clark</v>
      </c>
      <c r="G1609" t="str">
        <f>_xlfn.XLOOKUP(tblSales[[#This Row],[Category ID]],tblCategories[Category ID],tblCategories[Category])</f>
        <v>Footwear</v>
      </c>
      <c r="H1609">
        <v>63900</v>
      </c>
      <c r="I1609">
        <v>66208</v>
      </c>
      <c r="J1609">
        <v>180</v>
      </c>
      <c r="K1609">
        <f>tblSales[[#This Row],[Sales]]-tblSales[[#This Row],[Budget]]</f>
        <v>-2308</v>
      </c>
      <c r="L1609" s="3">
        <f>(tblSales[[#This Row],[Sales]]-tblSales[[#This Row],[Budget]])/tblSales[[#This Row],[Budget]]</f>
        <v>-3.4859835669405509E-2</v>
      </c>
      <c r="M1609" s="2">
        <f>tblSales[[#This Row],[Sales]]/tblSales[[#This Row],[Transactions]]</f>
        <v>355</v>
      </c>
    </row>
    <row r="1610" spans="1:13" x14ac:dyDescent="0.25">
      <c r="A1610" s="1">
        <v>46103</v>
      </c>
      <c r="B1610" t="s">
        <v>17</v>
      </c>
      <c r="C1610" t="s">
        <v>9</v>
      </c>
      <c r="D1610" t="str">
        <f>_xlfn.XLOOKUP(tblSales[[#This Row],[Store ID]],tblStores[Store ID],tblStores[Store Name])</f>
        <v>Centurion</v>
      </c>
      <c r="E1610" t="str">
        <f>_xlfn.XLOOKUP(tblSales[[#This Row],[Store ID]],tblStores[Store ID],tblStores[Province])</f>
        <v>Gauteng</v>
      </c>
      <c r="F1610" t="str">
        <f>_xlfn.XLOOKUP(tblSales[[#This Row],[Store ID]],tblStores[Store ID],tblStores[Manager])</f>
        <v>Mark Wilson</v>
      </c>
      <c r="G1610" t="str">
        <f>_xlfn.XLOOKUP(tblSales[[#This Row],[Category ID]],tblCategories[Category ID],tblCategories[Category])</f>
        <v>Ladieswear</v>
      </c>
      <c r="H1610">
        <v>41001</v>
      </c>
      <c r="I1610">
        <v>43764</v>
      </c>
      <c r="J1610">
        <v>79</v>
      </c>
      <c r="K1610">
        <f>tblSales[[#This Row],[Sales]]-tblSales[[#This Row],[Budget]]</f>
        <v>-2763</v>
      </c>
      <c r="L1610" s="3">
        <f>(tblSales[[#This Row],[Sales]]-tblSales[[#This Row],[Budget]])/tblSales[[#This Row],[Budget]]</f>
        <v>-6.313408280778722E-2</v>
      </c>
      <c r="M1610" s="2">
        <f>tblSales[[#This Row],[Sales]]/tblSales[[#This Row],[Transactions]]</f>
        <v>519</v>
      </c>
    </row>
    <row r="1611" spans="1:13" x14ac:dyDescent="0.25">
      <c r="A1611" s="1">
        <v>46103</v>
      </c>
      <c r="B1611" t="s">
        <v>18</v>
      </c>
      <c r="C1611" t="s">
        <v>19</v>
      </c>
      <c r="D1611" t="str">
        <f>_xlfn.XLOOKUP(tblSales[[#This Row],[Store ID]],tblStores[Store ID],tblStores[Store Name])</f>
        <v>East Rand</v>
      </c>
      <c r="E1611" t="str">
        <f>_xlfn.XLOOKUP(tblSales[[#This Row],[Store ID]],tblStores[Store ID],tblStores[Province])</f>
        <v>Gauteng</v>
      </c>
      <c r="F1611" t="str">
        <f>_xlfn.XLOOKUP(tblSales[[#This Row],[Store ID]],tblStores[Store ID],tblStores[Manager])</f>
        <v>Lisa Young</v>
      </c>
      <c r="G1611" t="str">
        <f>_xlfn.XLOOKUP(tblSales[[#This Row],[Category ID]],tblCategories[Category ID],tblCategories[Category])</f>
        <v>Accessories</v>
      </c>
      <c r="H1611">
        <v>37842</v>
      </c>
      <c r="I1611">
        <v>39659</v>
      </c>
      <c r="J1611">
        <v>159</v>
      </c>
      <c r="K1611">
        <f>tblSales[[#This Row],[Sales]]-tblSales[[#This Row],[Budget]]</f>
        <v>-1817</v>
      </c>
      <c r="L1611" s="3">
        <f>(tblSales[[#This Row],[Sales]]-tblSales[[#This Row],[Budget]])/tblSales[[#This Row],[Budget]]</f>
        <v>-4.5815577800751406E-2</v>
      </c>
      <c r="M1611" s="2">
        <f>tblSales[[#This Row],[Sales]]/tblSales[[#This Row],[Transactions]]</f>
        <v>238</v>
      </c>
    </row>
    <row r="1612" spans="1:13" x14ac:dyDescent="0.25">
      <c r="A1612" s="1">
        <v>46103</v>
      </c>
      <c r="B1612" t="s">
        <v>20</v>
      </c>
      <c r="C1612" t="s">
        <v>11</v>
      </c>
      <c r="D1612" t="str">
        <f>_xlfn.XLOOKUP(tblSales[[#This Row],[Store ID]],tblStores[Store ID],tblStores[Store Name])</f>
        <v>Cape Town CBD</v>
      </c>
      <c r="E1612" t="str">
        <f>_xlfn.XLOOKUP(tblSales[[#This Row],[Store ID]],tblStores[Store ID],tblStores[Province])</f>
        <v>Western Cape</v>
      </c>
      <c r="F1612" t="str">
        <f>_xlfn.XLOOKUP(tblSales[[#This Row],[Store ID]],tblStores[Store ID],tblStores[Manager])</f>
        <v>Brian Hall</v>
      </c>
      <c r="G1612" t="str">
        <f>_xlfn.XLOOKUP(tblSales[[#This Row],[Category ID]],tblCategories[Category ID],tblCategories[Category])</f>
        <v>Footwear</v>
      </c>
      <c r="H1612">
        <v>54752</v>
      </c>
      <c r="I1612">
        <v>50613</v>
      </c>
      <c r="J1612">
        <v>118</v>
      </c>
      <c r="K1612">
        <f>tblSales[[#This Row],[Sales]]-tblSales[[#This Row],[Budget]]</f>
        <v>4139</v>
      </c>
      <c r="L1612" s="3">
        <f>(tblSales[[#This Row],[Sales]]-tblSales[[#This Row],[Budget]])/tblSales[[#This Row],[Budget]]</f>
        <v>8.177740896607591E-2</v>
      </c>
      <c r="M1612" s="2">
        <f>tblSales[[#This Row],[Sales]]/tblSales[[#This Row],[Transactions]]</f>
        <v>464</v>
      </c>
    </row>
    <row r="1613" spans="1:13" x14ac:dyDescent="0.25">
      <c r="A1613" s="1">
        <v>46103</v>
      </c>
      <c r="B1613" t="s">
        <v>21</v>
      </c>
      <c r="C1613" t="s">
        <v>11</v>
      </c>
      <c r="D1613" t="str">
        <f>_xlfn.XLOOKUP(tblSales[[#This Row],[Store ID]],tblStores[Store ID],tblStores[Store Name])</f>
        <v>Canal Walk</v>
      </c>
      <c r="E1613" t="str">
        <f>_xlfn.XLOOKUP(tblSales[[#This Row],[Store ID]],tblStores[Store ID],tblStores[Province])</f>
        <v>Western Cape</v>
      </c>
      <c r="F1613" t="str">
        <f>_xlfn.XLOOKUP(tblSales[[#This Row],[Store ID]],tblStores[Store ID],tblStores[Manager])</f>
        <v>Megan Scott</v>
      </c>
      <c r="G1613" t="str">
        <f>_xlfn.XLOOKUP(tblSales[[#This Row],[Category ID]],tblCategories[Category ID],tblCategories[Category])</f>
        <v>Footwear</v>
      </c>
      <c r="H1613">
        <v>26960</v>
      </c>
      <c r="I1613">
        <v>30706</v>
      </c>
      <c r="J1613">
        <v>80</v>
      </c>
      <c r="K1613">
        <f>tblSales[[#This Row],[Sales]]-tblSales[[#This Row],[Budget]]</f>
        <v>-3746</v>
      </c>
      <c r="L1613" s="3">
        <f>(tblSales[[#This Row],[Sales]]-tblSales[[#This Row],[Budget]])/tblSales[[#This Row],[Budget]]</f>
        <v>-0.12199570116589592</v>
      </c>
      <c r="M1613" s="2">
        <f>tblSales[[#This Row],[Sales]]/tblSales[[#This Row],[Transactions]]</f>
        <v>337</v>
      </c>
    </row>
    <row r="1614" spans="1:13" x14ac:dyDescent="0.25">
      <c r="A1614" s="1">
        <v>46103</v>
      </c>
      <c r="B1614" t="s">
        <v>23</v>
      </c>
      <c r="C1614" t="s">
        <v>7</v>
      </c>
      <c r="D1614" t="str">
        <f>_xlfn.XLOOKUP(tblSales[[#This Row],[Store ID]],tblStores[Store ID],tblStores[Store Name])</f>
        <v>Stellenbosch</v>
      </c>
      <c r="E1614" t="str">
        <f>_xlfn.XLOOKUP(tblSales[[#This Row],[Store ID]],tblStores[Store ID],tblStores[Province])</f>
        <v>Western Cape</v>
      </c>
      <c r="F1614" t="str">
        <f>_xlfn.XLOOKUP(tblSales[[#This Row],[Store ID]],tblStores[Store ID],tblStores[Manager])</f>
        <v>Jason King</v>
      </c>
      <c r="G1614" t="str">
        <f>_xlfn.XLOOKUP(tblSales[[#This Row],[Category ID]],tblCategories[Category ID],tblCategories[Category])</f>
        <v>Menswear</v>
      </c>
      <c r="H1614">
        <v>44180</v>
      </c>
      <c r="I1614">
        <v>47333</v>
      </c>
      <c r="J1614">
        <v>188</v>
      </c>
      <c r="K1614">
        <f>tblSales[[#This Row],[Sales]]-tblSales[[#This Row],[Budget]]</f>
        <v>-3153</v>
      </c>
      <c r="L1614" s="3">
        <f>(tblSales[[#This Row],[Sales]]-tblSales[[#This Row],[Budget]])/tblSales[[#This Row],[Budget]]</f>
        <v>-6.6613145162994103E-2</v>
      </c>
      <c r="M1614" s="2">
        <f>tblSales[[#This Row],[Sales]]/tblSales[[#This Row],[Transactions]]</f>
        <v>235</v>
      </c>
    </row>
    <row r="1615" spans="1:13" x14ac:dyDescent="0.25">
      <c r="A1615" s="1">
        <v>46103</v>
      </c>
      <c r="B1615" t="s">
        <v>24</v>
      </c>
      <c r="C1615" t="s">
        <v>19</v>
      </c>
      <c r="D1615" t="str">
        <f>_xlfn.XLOOKUP(tblSales[[#This Row],[Store ID]],tblStores[Store ID],tblStores[Store Name])</f>
        <v>George</v>
      </c>
      <c r="E1615" t="str">
        <f>_xlfn.XLOOKUP(tblSales[[#This Row],[Store ID]],tblStores[Store ID],tblStores[Province])</f>
        <v>Western Cape</v>
      </c>
      <c r="F1615" t="str">
        <f>_xlfn.XLOOKUP(tblSales[[#This Row],[Store ID]],tblStores[Store ID],tblStores[Manager])</f>
        <v>Chloe Hill</v>
      </c>
      <c r="G1615" t="str">
        <f>_xlfn.XLOOKUP(tblSales[[#This Row],[Category ID]],tblCategories[Category ID],tblCategories[Category])</f>
        <v>Accessories</v>
      </c>
      <c r="H1615">
        <v>45804</v>
      </c>
      <c r="I1615">
        <v>46883</v>
      </c>
      <c r="J1615">
        <v>132</v>
      </c>
      <c r="K1615">
        <f>tblSales[[#This Row],[Sales]]-tblSales[[#This Row],[Budget]]</f>
        <v>-1079</v>
      </c>
      <c r="L1615" s="3">
        <f>(tblSales[[#This Row],[Sales]]-tblSales[[#This Row],[Budget]])/tblSales[[#This Row],[Budget]]</f>
        <v>-2.3014738817908411E-2</v>
      </c>
      <c r="M1615" s="2">
        <f>tblSales[[#This Row],[Sales]]/tblSales[[#This Row],[Transactions]]</f>
        <v>347</v>
      </c>
    </row>
    <row r="1616" spans="1:13" x14ac:dyDescent="0.25">
      <c r="A1616" s="1">
        <v>46103</v>
      </c>
      <c r="B1616" t="s">
        <v>25</v>
      </c>
      <c r="C1616" t="s">
        <v>7</v>
      </c>
      <c r="D1616" t="str">
        <f>_xlfn.XLOOKUP(tblSales[[#This Row],[Store ID]],tblStores[Store ID],tblStores[Store Name])</f>
        <v>Paarl</v>
      </c>
      <c r="E1616" t="str">
        <f>_xlfn.XLOOKUP(tblSales[[#This Row],[Store ID]],tblStores[Store ID],tblStores[Province])</f>
        <v>Western Cape</v>
      </c>
      <c r="F1616" t="str">
        <f>_xlfn.XLOOKUP(tblSales[[#This Row],[Store ID]],tblStores[Store ID],tblStores[Manager])</f>
        <v>Andrew Lee</v>
      </c>
      <c r="G1616" t="str">
        <f>_xlfn.XLOOKUP(tblSales[[#This Row],[Category ID]],tblCategories[Category ID],tblCategories[Category])</f>
        <v>Menswear</v>
      </c>
      <c r="H1616">
        <v>16878</v>
      </c>
      <c r="I1616">
        <v>18637</v>
      </c>
      <c r="J1616">
        <v>58</v>
      </c>
      <c r="K1616">
        <f>tblSales[[#This Row],[Sales]]-tblSales[[#This Row],[Budget]]</f>
        <v>-1759</v>
      </c>
      <c r="L1616" s="3">
        <f>(tblSales[[#This Row],[Sales]]-tblSales[[#This Row],[Budget]])/tblSales[[#This Row],[Budget]]</f>
        <v>-9.4382143048773945E-2</v>
      </c>
      <c r="M1616" s="2">
        <f>tblSales[[#This Row],[Sales]]/tblSales[[#This Row],[Transactions]]</f>
        <v>291</v>
      </c>
    </row>
    <row r="1617" spans="1:13" x14ac:dyDescent="0.25">
      <c r="A1617" s="1">
        <v>46103</v>
      </c>
      <c r="B1617" t="s">
        <v>26</v>
      </c>
      <c r="C1617" t="s">
        <v>19</v>
      </c>
      <c r="D1617" t="str">
        <f>_xlfn.XLOOKUP(tblSales[[#This Row],[Store ID]],tblStores[Store ID],tblStores[Store Name])</f>
        <v>Gqeberha</v>
      </c>
      <c r="E1617" t="str">
        <f>_xlfn.XLOOKUP(tblSales[[#This Row],[Store ID]],tblStores[Store ID],tblStores[Province])</f>
        <v>Eastern Cape</v>
      </c>
      <c r="F1617" t="str">
        <f>_xlfn.XLOOKUP(tblSales[[#This Row],[Store ID]],tblStores[Store ID],tblStores[Manager])</f>
        <v>Emma Baker</v>
      </c>
      <c r="G1617" t="str">
        <f>_xlfn.XLOOKUP(tblSales[[#This Row],[Category ID]],tblCategories[Category ID],tblCategories[Category])</f>
        <v>Accessories</v>
      </c>
      <c r="H1617">
        <v>35460</v>
      </c>
      <c r="I1617">
        <v>38625</v>
      </c>
      <c r="J1617">
        <v>197</v>
      </c>
      <c r="K1617">
        <f>tblSales[[#This Row],[Sales]]-tblSales[[#This Row],[Budget]]</f>
        <v>-3165</v>
      </c>
      <c r="L1617" s="3">
        <f>(tblSales[[#This Row],[Sales]]-tblSales[[#This Row],[Budget]])/tblSales[[#This Row],[Budget]]</f>
        <v>-8.194174757281554E-2</v>
      </c>
      <c r="M1617" s="2">
        <f>tblSales[[#This Row],[Sales]]/tblSales[[#This Row],[Transactions]]</f>
        <v>180</v>
      </c>
    </row>
    <row r="1618" spans="1:13" x14ac:dyDescent="0.25">
      <c r="A1618" s="1">
        <v>46103</v>
      </c>
      <c r="B1618" t="s">
        <v>27</v>
      </c>
      <c r="C1618" t="s">
        <v>9</v>
      </c>
      <c r="D1618" t="str">
        <f>_xlfn.XLOOKUP(tblSales[[#This Row],[Store ID]],tblStores[Store ID],tblStores[Store Name])</f>
        <v>East London</v>
      </c>
      <c r="E1618" t="str">
        <f>_xlfn.XLOOKUP(tblSales[[#This Row],[Store ID]],tblStores[Store ID],tblStores[Province])</f>
        <v>Eastern Cape</v>
      </c>
      <c r="F1618" t="str">
        <f>_xlfn.XLOOKUP(tblSales[[#This Row],[Store ID]],tblStores[Store ID],tblStores[Manager])</f>
        <v>Daniel Evans</v>
      </c>
      <c r="G1618" t="str">
        <f>_xlfn.XLOOKUP(tblSales[[#This Row],[Category ID]],tblCategories[Category ID],tblCategories[Category])</f>
        <v>Ladieswear</v>
      </c>
      <c r="H1618">
        <v>67800</v>
      </c>
      <c r="I1618">
        <v>65960</v>
      </c>
      <c r="J1618">
        <v>150</v>
      </c>
      <c r="K1618">
        <f>tblSales[[#This Row],[Sales]]-tblSales[[#This Row],[Budget]]</f>
        <v>1840</v>
      </c>
      <c r="L1618" s="3">
        <f>(tblSales[[#This Row],[Sales]]-tblSales[[#This Row],[Budget]])/tblSales[[#This Row],[Budget]]</f>
        <v>2.7895694360218316E-2</v>
      </c>
      <c r="M1618" s="2">
        <f>tblSales[[#This Row],[Sales]]/tblSales[[#This Row],[Transactions]]</f>
        <v>452</v>
      </c>
    </row>
    <row r="1619" spans="1:13" x14ac:dyDescent="0.25">
      <c r="A1619" s="1">
        <v>46103</v>
      </c>
      <c r="B1619" t="s">
        <v>28</v>
      </c>
      <c r="C1619" t="s">
        <v>19</v>
      </c>
      <c r="D1619" t="str">
        <f>_xlfn.XLOOKUP(tblSales[[#This Row],[Store ID]],tblStores[Store ID],tblStores[Store Name])</f>
        <v>Bloemfontein</v>
      </c>
      <c r="E1619" t="str">
        <f>_xlfn.XLOOKUP(tblSales[[#This Row],[Store ID]],tblStores[Store ID],tblStores[Province])</f>
        <v>Free State</v>
      </c>
      <c r="F1619" t="str">
        <f>_xlfn.XLOOKUP(tblSales[[#This Row],[Store ID]],tblStores[Store ID],tblStores[Manager])</f>
        <v>Rachel Moore</v>
      </c>
      <c r="G1619" t="str">
        <f>_xlfn.XLOOKUP(tblSales[[#This Row],[Category ID]],tblCategories[Category ID],tblCategories[Category])</f>
        <v>Accessories</v>
      </c>
      <c r="H1619">
        <v>74256</v>
      </c>
      <c r="I1619">
        <v>70462</v>
      </c>
      <c r="J1619">
        <v>182</v>
      </c>
      <c r="K1619">
        <f>tblSales[[#This Row],[Sales]]-tblSales[[#This Row],[Budget]]</f>
        <v>3794</v>
      </c>
      <c r="L1619" s="3">
        <f>(tblSales[[#This Row],[Sales]]-tblSales[[#This Row],[Budget]])/tblSales[[#This Row],[Budget]]</f>
        <v>5.3844625471885559E-2</v>
      </c>
      <c r="M1619" s="2">
        <f>tblSales[[#This Row],[Sales]]/tblSales[[#This Row],[Transactions]]</f>
        <v>408</v>
      </c>
    </row>
    <row r="1620" spans="1:13" x14ac:dyDescent="0.25">
      <c r="A1620" s="1">
        <v>46103</v>
      </c>
      <c r="B1620" t="s">
        <v>29</v>
      </c>
      <c r="C1620" t="s">
        <v>22</v>
      </c>
      <c r="D1620" t="str">
        <f>_xlfn.XLOOKUP(tblSales[[#This Row],[Store ID]],tblStores[Store ID],tblStores[Store Name])</f>
        <v>Polokwane</v>
      </c>
      <c r="E1620" t="str">
        <f>_xlfn.XLOOKUP(tblSales[[#This Row],[Store ID]],tblStores[Store ID],tblStores[Province])</f>
        <v>Limpopo</v>
      </c>
      <c r="F1620" t="str">
        <f>_xlfn.XLOOKUP(tblSales[[#This Row],[Store ID]],tblStores[Store ID],tblStores[Manager])</f>
        <v>Kevin Harris</v>
      </c>
      <c r="G1620" t="str">
        <f>_xlfn.XLOOKUP(tblSales[[#This Row],[Category ID]],tblCategories[Category ID],tblCategories[Category])</f>
        <v>Kids</v>
      </c>
      <c r="H1620">
        <v>52281</v>
      </c>
      <c r="I1620">
        <v>57435</v>
      </c>
      <c r="J1620">
        <v>111</v>
      </c>
      <c r="K1620">
        <f>tblSales[[#This Row],[Sales]]-tblSales[[#This Row],[Budget]]</f>
        <v>-5154</v>
      </c>
      <c r="L1620" s="3">
        <f>(tblSales[[#This Row],[Sales]]-tblSales[[#This Row],[Budget]])/tblSales[[#This Row],[Budget]]</f>
        <v>-8.9736223557064509E-2</v>
      </c>
      <c r="M1620" s="2">
        <f>tblSales[[#This Row],[Sales]]/tblSales[[#This Row],[Transactions]]</f>
        <v>471</v>
      </c>
    </row>
    <row r="1621" spans="1:13" x14ac:dyDescent="0.25">
      <c r="A1621" s="1">
        <v>46103</v>
      </c>
      <c r="B1621" t="s">
        <v>30</v>
      </c>
      <c r="C1621" t="s">
        <v>22</v>
      </c>
      <c r="D1621" t="str">
        <f>_xlfn.XLOOKUP(tblSales[[#This Row],[Store ID]],tblStores[Store ID],tblStores[Store Name])</f>
        <v>Nelspruit</v>
      </c>
      <c r="E1621" t="str">
        <f>_xlfn.XLOOKUP(tblSales[[#This Row],[Store ID]],tblStores[Store ID],tblStores[Province])</f>
        <v>Mpumalanga</v>
      </c>
      <c r="F1621" t="str">
        <f>_xlfn.XLOOKUP(tblSales[[#This Row],[Store ID]],tblStores[Store ID],tblStores[Manager])</f>
        <v>Olivia Turner</v>
      </c>
      <c r="G1621" t="str">
        <f>_xlfn.XLOOKUP(tblSales[[#This Row],[Category ID]],tblCategories[Category ID],tblCategories[Category])</f>
        <v>Kids</v>
      </c>
      <c r="H1621">
        <v>51976</v>
      </c>
      <c r="I1621">
        <v>59646</v>
      </c>
      <c r="J1621">
        <v>146</v>
      </c>
      <c r="K1621">
        <f>tblSales[[#This Row],[Sales]]-tblSales[[#This Row],[Budget]]</f>
        <v>-7670</v>
      </c>
      <c r="L1621" s="3">
        <f>(tblSales[[#This Row],[Sales]]-tblSales[[#This Row],[Budget]])/tblSales[[#This Row],[Budget]]</f>
        <v>-0.12859202628843511</v>
      </c>
      <c r="M1621" s="2">
        <f>tblSales[[#This Row],[Sales]]/tblSales[[#This Row],[Transactions]]</f>
        <v>356</v>
      </c>
    </row>
    <row r="1622" spans="1:13" x14ac:dyDescent="0.25">
      <c r="A1622" s="1">
        <v>46104</v>
      </c>
      <c r="B1622" t="s">
        <v>6</v>
      </c>
      <c r="C1622" t="s">
        <v>19</v>
      </c>
      <c r="D1622" t="str">
        <f>_xlfn.XLOOKUP(tblSales[[#This Row],[Store ID]],tblStores[Store ID],tblStores[Store Name])</f>
        <v>Durban CBD</v>
      </c>
      <c r="E1622" t="str">
        <f>_xlfn.XLOOKUP(tblSales[[#This Row],[Store ID]],tblStores[Store ID],tblStores[Province])</f>
        <v>KZN</v>
      </c>
      <c r="F1622" t="str">
        <f>_xlfn.XLOOKUP(tblSales[[#This Row],[Store ID]],tblStores[Store ID],tblStores[Manager])</f>
        <v>Sarah Adams</v>
      </c>
      <c r="G1622" t="str">
        <f>_xlfn.XLOOKUP(tblSales[[#This Row],[Category ID]],tblCategories[Category ID],tblCategories[Category])</f>
        <v>Accessories</v>
      </c>
      <c r="H1622">
        <v>18241</v>
      </c>
      <c r="I1622">
        <v>20915</v>
      </c>
      <c r="J1622">
        <v>37</v>
      </c>
      <c r="K1622">
        <f>tblSales[[#This Row],[Sales]]-tblSales[[#This Row],[Budget]]</f>
        <v>-2674</v>
      </c>
      <c r="L1622" s="3">
        <f>(tblSales[[#This Row],[Sales]]-tblSales[[#This Row],[Budget]])/tblSales[[#This Row],[Budget]]</f>
        <v>-0.1278508247669137</v>
      </c>
      <c r="M1622" s="2">
        <f>tblSales[[#This Row],[Sales]]/tblSales[[#This Row],[Transactions]]</f>
        <v>493</v>
      </c>
    </row>
    <row r="1623" spans="1:13" x14ac:dyDescent="0.25">
      <c r="A1623" s="1">
        <v>46104</v>
      </c>
      <c r="B1623" t="s">
        <v>8</v>
      </c>
      <c r="C1623" t="s">
        <v>11</v>
      </c>
      <c r="D1623" t="str">
        <f>_xlfn.XLOOKUP(tblSales[[#This Row],[Store ID]],tblStores[Store ID],tblStores[Store Name])</f>
        <v>Gateway</v>
      </c>
      <c r="E1623" t="str">
        <f>_xlfn.XLOOKUP(tblSales[[#This Row],[Store ID]],tblStores[Store ID],tblStores[Province])</f>
        <v>KZN</v>
      </c>
      <c r="F1623" t="str">
        <f>_xlfn.XLOOKUP(tblSales[[#This Row],[Store ID]],tblStores[Store ID],tblStores[Manager])</f>
        <v>Michael Jones</v>
      </c>
      <c r="G1623" t="str">
        <f>_xlfn.XLOOKUP(tblSales[[#This Row],[Category ID]],tblCategories[Category ID],tblCategories[Category])</f>
        <v>Footwear</v>
      </c>
      <c r="H1623">
        <v>22110</v>
      </c>
      <c r="I1623">
        <v>20243</v>
      </c>
      <c r="J1623">
        <v>67</v>
      </c>
      <c r="K1623">
        <f>tblSales[[#This Row],[Sales]]-tblSales[[#This Row],[Budget]]</f>
        <v>1867</v>
      </c>
      <c r="L1623" s="3">
        <f>(tblSales[[#This Row],[Sales]]-tblSales[[#This Row],[Budget]])/tblSales[[#This Row],[Budget]]</f>
        <v>9.2229412636466931E-2</v>
      </c>
      <c r="M1623" s="2">
        <f>tblSales[[#This Row],[Sales]]/tblSales[[#This Row],[Transactions]]</f>
        <v>330</v>
      </c>
    </row>
    <row r="1624" spans="1:13" x14ac:dyDescent="0.25">
      <c r="A1624" s="1">
        <v>46104</v>
      </c>
      <c r="B1624" t="s">
        <v>10</v>
      </c>
      <c r="C1624" t="s">
        <v>19</v>
      </c>
      <c r="D1624" t="str">
        <f>_xlfn.XLOOKUP(tblSales[[#This Row],[Store ID]],tblStores[Store ID],tblStores[Store Name])</f>
        <v>Ballito</v>
      </c>
      <c r="E1624" t="str">
        <f>_xlfn.XLOOKUP(tblSales[[#This Row],[Store ID]],tblStores[Store ID],tblStores[Province])</f>
        <v>KZN</v>
      </c>
      <c r="F1624" t="str">
        <f>_xlfn.XLOOKUP(tblSales[[#This Row],[Store ID]],tblStores[Store ID],tblStores[Manager])</f>
        <v>Linda Smith</v>
      </c>
      <c r="G1624" t="str">
        <f>_xlfn.XLOOKUP(tblSales[[#This Row],[Category ID]],tblCategories[Category ID],tblCategories[Category])</f>
        <v>Accessories</v>
      </c>
      <c r="H1624">
        <v>8640</v>
      </c>
      <c r="I1624">
        <v>9295</v>
      </c>
      <c r="J1624">
        <v>48</v>
      </c>
      <c r="K1624">
        <f>tblSales[[#This Row],[Sales]]-tblSales[[#This Row],[Budget]]</f>
        <v>-655</v>
      </c>
      <c r="L1624" s="3">
        <f>(tblSales[[#This Row],[Sales]]-tblSales[[#This Row],[Budget]])/tblSales[[#This Row],[Budget]]</f>
        <v>-7.0467993544916618E-2</v>
      </c>
      <c r="M1624" s="2">
        <f>tblSales[[#This Row],[Sales]]/tblSales[[#This Row],[Transactions]]</f>
        <v>180</v>
      </c>
    </row>
    <row r="1625" spans="1:13" x14ac:dyDescent="0.25">
      <c r="A1625" s="1">
        <v>46104</v>
      </c>
      <c r="B1625" t="s">
        <v>12</v>
      </c>
      <c r="C1625" t="s">
        <v>22</v>
      </c>
      <c r="D1625" t="str">
        <f>_xlfn.XLOOKUP(tblSales[[#This Row],[Store ID]],tblStores[Store ID],tblStores[Store Name])</f>
        <v>Pietermaritzburg</v>
      </c>
      <c r="E1625" t="str">
        <f>_xlfn.XLOOKUP(tblSales[[#This Row],[Store ID]],tblStores[Store ID],tblStores[Province])</f>
        <v>KZN</v>
      </c>
      <c r="F1625" t="str">
        <f>_xlfn.XLOOKUP(tblSales[[#This Row],[Store ID]],tblStores[Store ID],tblStores[Manager])</f>
        <v>Peter Brown</v>
      </c>
      <c r="G1625" t="str">
        <f>_xlfn.XLOOKUP(tblSales[[#This Row],[Category ID]],tblCategories[Category ID],tblCategories[Category])</f>
        <v>Kids</v>
      </c>
      <c r="H1625">
        <v>20412</v>
      </c>
      <c r="I1625">
        <v>22788</v>
      </c>
      <c r="J1625">
        <v>63</v>
      </c>
      <c r="K1625">
        <f>tblSales[[#This Row],[Sales]]-tblSales[[#This Row],[Budget]]</f>
        <v>-2376</v>
      </c>
      <c r="L1625" s="3">
        <f>(tblSales[[#This Row],[Sales]]-tblSales[[#This Row],[Budget]])/tblSales[[#This Row],[Budget]]</f>
        <v>-0.10426540284360189</v>
      </c>
      <c r="M1625" s="2">
        <f>tblSales[[#This Row],[Sales]]/tblSales[[#This Row],[Transactions]]</f>
        <v>324</v>
      </c>
    </row>
    <row r="1626" spans="1:13" x14ac:dyDescent="0.25">
      <c r="A1626" s="1">
        <v>46104</v>
      </c>
      <c r="B1626" t="s">
        <v>13</v>
      </c>
      <c r="C1626" t="s">
        <v>9</v>
      </c>
      <c r="D1626" t="str">
        <f>_xlfn.XLOOKUP(tblSales[[#This Row],[Store ID]],tblStores[Store ID],tblStores[Store Name])</f>
        <v>Richards Bay</v>
      </c>
      <c r="E1626" t="str">
        <f>_xlfn.XLOOKUP(tblSales[[#This Row],[Store ID]],tblStores[Store ID],tblStores[Province])</f>
        <v>KZN</v>
      </c>
      <c r="F1626" t="str">
        <f>_xlfn.XLOOKUP(tblSales[[#This Row],[Store ID]],tblStores[Store ID],tblStores[Manager])</f>
        <v>David Green</v>
      </c>
      <c r="G1626" t="str">
        <f>_xlfn.XLOOKUP(tblSales[[#This Row],[Category ID]],tblCategories[Category ID],tblCategories[Category])</f>
        <v>Ladieswear</v>
      </c>
      <c r="H1626">
        <v>69890</v>
      </c>
      <c r="I1626">
        <v>69789</v>
      </c>
      <c r="J1626">
        <v>145</v>
      </c>
      <c r="K1626">
        <f>tblSales[[#This Row],[Sales]]-tblSales[[#This Row],[Budget]]</f>
        <v>101</v>
      </c>
      <c r="L1626" s="3">
        <f>(tblSales[[#This Row],[Sales]]-tblSales[[#This Row],[Budget]])/tblSales[[#This Row],[Budget]]</f>
        <v>1.4472194758486294E-3</v>
      </c>
      <c r="M1626" s="2">
        <f>tblSales[[#This Row],[Sales]]/tblSales[[#This Row],[Transactions]]</f>
        <v>482</v>
      </c>
    </row>
    <row r="1627" spans="1:13" x14ac:dyDescent="0.25">
      <c r="A1627" s="1">
        <v>46104</v>
      </c>
      <c r="B1627" t="s">
        <v>14</v>
      </c>
      <c r="C1627" t="s">
        <v>22</v>
      </c>
      <c r="D1627" t="str">
        <f>_xlfn.XLOOKUP(tblSales[[#This Row],[Store ID]],tblStores[Store ID],tblStores[Store Name])</f>
        <v>Sandton</v>
      </c>
      <c r="E1627" t="str">
        <f>_xlfn.XLOOKUP(tblSales[[#This Row],[Store ID]],tblStores[Store ID],tblStores[Province])</f>
        <v>Gauteng</v>
      </c>
      <c r="F1627" t="str">
        <f>_xlfn.XLOOKUP(tblSales[[#This Row],[Store ID]],tblStores[Store ID],tblStores[Manager])</f>
        <v>Karen White</v>
      </c>
      <c r="G1627" t="str">
        <f>_xlfn.XLOOKUP(tblSales[[#This Row],[Category ID]],tblCategories[Category ID],tblCategories[Category])</f>
        <v>Kids</v>
      </c>
      <c r="H1627">
        <v>81375</v>
      </c>
      <c r="I1627">
        <v>81497</v>
      </c>
      <c r="J1627">
        <v>217</v>
      </c>
      <c r="K1627">
        <f>tblSales[[#This Row],[Sales]]-tblSales[[#This Row],[Budget]]</f>
        <v>-122</v>
      </c>
      <c r="L1627" s="3">
        <f>(tblSales[[#This Row],[Sales]]-tblSales[[#This Row],[Budget]])/tblSales[[#This Row],[Budget]]</f>
        <v>-1.496987619176166E-3</v>
      </c>
      <c r="M1627" s="2">
        <f>tblSales[[#This Row],[Sales]]/tblSales[[#This Row],[Transactions]]</f>
        <v>375</v>
      </c>
    </row>
    <row r="1628" spans="1:13" x14ac:dyDescent="0.25">
      <c r="A1628" s="1">
        <v>46104</v>
      </c>
      <c r="B1628" t="s">
        <v>15</v>
      </c>
      <c r="C1628" t="s">
        <v>11</v>
      </c>
      <c r="D1628" t="str">
        <f>_xlfn.XLOOKUP(tblSales[[#This Row],[Store ID]],tblStores[Store ID],tblStores[Store Name])</f>
        <v>Rosebank</v>
      </c>
      <c r="E1628" t="str">
        <f>_xlfn.XLOOKUP(tblSales[[#This Row],[Store ID]],tblStores[Store ID],tblStores[Province])</f>
        <v>Gauteng</v>
      </c>
      <c r="F1628" t="str">
        <f>_xlfn.XLOOKUP(tblSales[[#This Row],[Store ID]],tblStores[Store ID],tblStores[Manager])</f>
        <v>James Taylor</v>
      </c>
      <c r="G1628" t="str">
        <f>_xlfn.XLOOKUP(tblSales[[#This Row],[Category ID]],tblCategories[Category ID],tblCategories[Category])</f>
        <v>Footwear</v>
      </c>
      <c r="H1628">
        <v>50112</v>
      </c>
      <c r="I1628">
        <v>53400</v>
      </c>
      <c r="J1628">
        <v>174</v>
      </c>
      <c r="K1628">
        <f>tblSales[[#This Row],[Sales]]-tblSales[[#This Row],[Budget]]</f>
        <v>-3288</v>
      </c>
      <c r="L1628" s="3">
        <f>(tblSales[[#This Row],[Sales]]-tblSales[[#This Row],[Budget]])/tblSales[[#This Row],[Budget]]</f>
        <v>-6.1573033707865168E-2</v>
      </c>
      <c r="M1628" s="2">
        <f>tblSales[[#This Row],[Sales]]/tblSales[[#This Row],[Transactions]]</f>
        <v>288</v>
      </c>
    </row>
    <row r="1629" spans="1:13" x14ac:dyDescent="0.25">
      <c r="A1629" s="1">
        <v>46104</v>
      </c>
      <c r="B1629" t="s">
        <v>16</v>
      </c>
      <c r="C1629" t="s">
        <v>11</v>
      </c>
      <c r="D1629" t="str">
        <f>_xlfn.XLOOKUP(tblSales[[#This Row],[Store ID]],tblStores[Store ID],tblStores[Store Name])</f>
        <v>Pretoria</v>
      </c>
      <c r="E1629" t="str">
        <f>_xlfn.XLOOKUP(tblSales[[#This Row],[Store ID]],tblStores[Store ID],tblStores[Province])</f>
        <v>Gauteng</v>
      </c>
      <c r="F1629" t="str">
        <f>_xlfn.XLOOKUP(tblSales[[#This Row],[Store ID]],tblStores[Store ID],tblStores[Manager])</f>
        <v>Susan Clark</v>
      </c>
      <c r="G1629" t="str">
        <f>_xlfn.XLOOKUP(tblSales[[#This Row],[Category ID]],tblCategories[Category ID],tblCategories[Category])</f>
        <v>Footwear</v>
      </c>
      <c r="H1629">
        <v>19320</v>
      </c>
      <c r="I1629">
        <v>20070</v>
      </c>
      <c r="J1629">
        <v>70</v>
      </c>
      <c r="K1629">
        <f>tblSales[[#This Row],[Sales]]-tblSales[[#This Row],[Budget]]</f>
        <v>-750</v>
      </c>
      <c r="L1629" s="3">
        <f>(tblSales[[#This Row],[Sales]]-tblSales[[#This Row],[Budget]])/tblSales[[#This Row],[Budget]]</f>
        <v>-3.7369207772795218E-2</v>
      </c>
      <c r="M1629" s="2">
        <f>tblSales[[#This Row],[Sales]]/tblSales[[#This Row],[Transactions]]</f>
        <v>276</v>
      </c>
    </row>
    <row r="1630" spans="1:13" x14ac:dyDescent="0.25">
      <c r="A1630" s="1">
        <v>46104</v>
      </c>
      <c r="B1630" t="s">
        <v>17</v>
      </c>
      <c r="C1630" t="s">
        <v>22</v>
      </c>
      <c r="D1630" t="str">
        <f>_xlfn.XLOOKUP(tblSales[[#This Row],[Store ID]],tblStores[Store ID],tblStores[Store Name])</f>
        <v>Centurion</v>
      </c>
      <c r="E1630" t="str">
        <f>_xlfn.XLOOKUP(tblSales[[#This Row],[Store ID]],tblStores[Store ID],tblStores[Province])</f>
        <v>Gauteng</v>
      </c>
      <c r="F1630" t="str">
        <f>_xlfn.XLOOKUP(tblSales[[#This Row],[Store ID]],tblStores[Store ID],tblStores[Manager])</f>
        <v>Mark Wilson</v>
      </c>
      <c r="G1630" t="str">
        <f>_xlfn.XLOOKUP(tblSales[[#This Row],[Category ID]],tblCategories[Category ID],tblCategories[Category])</f>
        <v>Kids</v>
      </c>
      <c r="H1630">
        <v>36378</v>
      </c>
      <c r="I1630">
        <v>35363</v>
      </c>
      <c r="J1630">
        <v>141</v>
      </c>
      <c r="K1630">
        <f>tblSales[[#This Row],[Sales]]-tblSales[[#This Row],[Budget]]</f>
        <v>1015</v>
      </c>
      <c r="L1630" s="3">
        <f>(tblSales[[#This Row],[Sales]]-tblSales[[#This Row],[Budget]])/tblSales[[#This Row],[Budget]]</f>
        <v>2.8702315979979073E-2</v>
      </c>
      <c r="M1630" s="2">
        <f>tblSales[[#This Row],[Sales]]/tblSales[[#This Row],[Transactions]]</f>
        <v>258</v>
      </c>
    </row>
    <row r="1631" spans="1:13" x14ac:dyDescent="0.25">
      <c r="A1631" s="1">
        <v>46104</v>
      </c>
      <c r="B1631" t="s">
        <v>18</v>
      </c>
      <c r="C1631" t="s">
        <v>9</v>
      </c>
      <c r="D1631" t="str">
        <f>_xlfn.XLOOKUP(tblSales[[#This Row],[Store ID]],tblStores[Store ID],tblStores[Store Name])</f>
        <v>East Rand</v>
      </c>
      <c r="E1631" t="str">
        <f>_xlfn.XLOOKUP(tblSales[[#This Row],[Store ID]],tblStores[Store ID],tblStores[Province])</f>
        <v>Gauteng</v>
      </c>
      <c r="F1631" t="str">
        <f>_xlfn.XLOOKUP(tblSales[[#This Row],[Store ID]],tblStores[Store ID],tblStores[Manager])</f>
        <v>Lisa Young</v>
      </c>
      <c r="G1631" t="str">
        <f>_xlfn.XLOOKUP(tblSales[[#This Row],[Category ID]],tblCategories[Category ID],tblCategories[Category])</f>
        <v>Ladieswear</v>
      </c>
      <c r="H1631">
        <v>12765</v>
      </c>
      <c r="I1631">
        <v>11717</v>
      </c>
      <c r="J1631">
        <v>69</v>
      </c>
      <c r="K1631">
        <f>tblSales[[#This Row],[Sales]]-tblSales[[#This Row],[Budget]]</f>
        <v>1048</v>
      </c>
      <c r="L1631" s="3">
        <f>(tblSales[[#This Row],[Sales]]-tblSales[[#This Row],[Budget]])/tblSales[[#This Row],[Budget]]</f>
        <v>8.9442690108389525E-2</v>
      </c>
      <c r="M1631" s="2">
        <f>tblSales[[#This Row],[Sales]]/tblSales[[#This Row],[Transactions]]</f>
        <v>185</v>
      </c>
    </row>
    <row r="1632" spans="1:13" x14ac:dyDescent="0.25">
      <c r="A1632" s="1">
        <v>46104</v>
      </c>
      <c r="B1632" t="s">
        <v>20</v>
      </c>
      <c r="C1632" t="s">
        <v>7</v>
      </c>
      <c r="D1632" t="str">
        <f>_xlfn.XLOOKUP(tblSales[[#This Row],[Store ID]],tblStores[Store ID],tblStores[Store Name])</f>
        <v>Cape Town CBD</v>
      </c>
      <c r="E1632" t="str">
        <f>_xlfn.XLOOKUP(tblSales[[#This Row],[Store ID]],tblStores[Store ID],tblStores[Province])</f>
        <v>Western Cape</v>
      </c>
      <c r="F1632" t="str">
        <f>_xlfn.XLOOKUP(tblSales[[#This Row],[Store ID]],tblStores[Store ID],tblStores[Manager])</f>
        <v>Brian Hall</v>
      </c>
      <c r="G1632" t="str">
        <f>_xlfn.XLOOKUP(tblSales[[#This Row],[Category ID]],tblCategories[Category ID],tblCategories[Category])</f>
        <v>Menswear</v>
      </c>
      <c r="H1632">
        <v>30459</v>
      </c>
      <c r="I1632">
        <v>32423</v>
      </c>
      <c r="J1632">
        <v>71</v>
      </c>
      <c r="K1632">
        <f>tblSales[[#This Row],[Sales]]-tblSales[[#This Row],[Budget]]</f>
        <v>-1964</v>
      </c>
      <c r="L1632" s="3">
        <f>(tblSales[[#This Row],[Sales]]-tblSales[[#This Row],[Budget]])/tblSales[[#This Row],[Budget]]</f>
        <v>-6.0574283687505781E-2</v>
      </c>
      <c r="M1632" s="2">
        <f>tblSales[[#This Row],[Sales]]/tblSales[[#This Row],[Transactions]]</f>
        <v>429</v>
      </c>
    </row>
    <row r="1633" spans="1:13" x14ac:dyDescent="0.25">
      <c r="A1633" s="1">
        <v>46104</v>
      </c>
      <c r="B1633" t="s">
        <v>21</v>
      </c>
      <c r="C1633" t="s">
        <v>9</v>
      </c>
      <c r="D1633" t="str">
        <f>_xlfn.XLOOKUP(tblSales[[#This Row],[Store ID]],tblStores[Store ID],tblStores[Store Name])</f>
        <v>Canal Walk</v>
      </c>
      <c r="E1633" t="str">
        <f>_xlfn.XLOOKUP(tblSales[[#This Row],[Store ID]],tblStores[Store ID],tblStores[Province])</f>
        <v>Western Cape</v>
      </c>
      <c r="F1633" t="str">
        <f>_xlfn.XLOOKUP(tblSales[[#This Row],[Store ID]],tblStores[Store ID],tblStores[Manager])</f>
        <v>Megan Scott</v>
      </c>
      <c r="G1633" t="str">
        <f>_xlfn.XLOOKUP(tblSales[[#This Row],[Category ID]],tblCategories[Category ID],tblCategories[Category])</f>
        <v>Ladieswear</v>
      </c>
      <c r="H1633">
        <v>14000</v>
      </c>
      <c r="I1633">
        <v>14847</v>
      </c>
      <c r="J1633">
        <v>56</v>
      </c>
      <c r="K1633">
        <f>tblSales[[#This Row],[Sales]]-tblSales[[#This Row],[Budget]]</f>
        <v>-847</v>
      </c>
      <c r="L1633" s="3">
        <f>(tblSales[[#This Row],[Sales]]-tblSales[[#This Row],[Budget]])/tblSales[[#This Row],[Budget]]</f>
        <v>-5.704856199905705E-2</v>
      </c>
      <c r="M1633" s="2">
        <f>tblSales[[#This Row],[Sales]]/tblSales[[#This Row],[Transactions]]</f>
        <v>250</v>
      </c>
    </row>
    <row r="1634" spans="1:13" x14ac:dyDescent="0.25">
      <c r="A1634" s="1">
        <v>46104</v>
      </c>
      <c r="B1634" t="s">
        <v>23</v>
      </c>
      <c r="C1634" t="s">
        <v>11</v>
      </c>
      <c r="D1634" t="str">
        <f>_xlfn.XLOOKUP(tblSales[[#This Row],[Store ID]],tblStores[Store ID],tblStores[Store Name])</f>
        <v>Stellenbosch</v>
      </c>
      <c r="E1634" t="str">
        <f>_xlfn.XLOOKUP(tblSales[[#This Row],[Store ID]],tblStores[Store ID],tblStores[Province])</f>
        <v>Western Cape</v>
      </c>
      <c r="F1634" t="str">
        <f>_xlfn.XLOOKUP(tblSales[[#This Row],[Store ID]],tblStores[Store ID],tblStores[Manager])</f>
        <v>Jason King</v>
      </c>
      <c r="G1634" t="str">
        <f>_xlfn.XLOOKUP(tblSales[[#This Row],[Category ID]],tblCategories[Category ID],tblCategories[Category])</f>
        <v>Footwear</v>
      </c>
      <c r="H1634">
        <v>73839</v>
      </c>
      <c r="I1634">
        <v>83628</v>
      </c>
      <c r="J1634">
        <v>151</v>
      </c>
      <c r="K1634">
        <f>tblSales[[#This Row],[Sales]]-tblSales[[#This Row],[Budget]]</f>
        <v>-9789</v>
      </c>
      <c r="L1634" s="3">
        <f>(tblSales[[#This Row],[Sales]]-tblSales[[#This Row],[Budget]])/tblSales[[#This Row],[Budget]]</f>
        <v>-0.11705409671401923</v>
      </c>
      <c r="M1634" s="2">
        <f>tblSales[[#This Row],[Sales]]/tblSales[[#This Row],[Transactions]]</f>
        <v>489</v>
      </c>
    </row>
    <row r="1635" spans="1:13" x14ac:dyDescent="0.25">
      <c r="A1635" s="1">
        <v>46104</v>
      </c>
      <c r="B1635" t="s">
        <v>24</v>
      </c>
      <c r="C1635" t="s">
        <v>19</v>
      </c>
      <c r="D1635" t="str">
        <f>_xlfn.XLOOKUP(tblSales[[#This Row],[Store ID]],tblStores[Store ID],tblStores[Store Name])</f>
        <v>George</v>
      </c>
      <c r="E1635" t="str">
        <f>_xlfn.XLOOKUP(tblSales[[#This Row],[Store ID]],tblStores[Store ID],tblStores[Province])</f>
        <v>Western Cape</v>
      </c>
      <c r="F1635" t="str">
        <f>_xlfn.XLOOKUP(tblSales[[#This Row],[Store ID]],tblStores[Store ID],tblStores[Manager])</f>
        <v>Chloe Hill</v>
      </c>
      <c r="G1635" t="str">
        <f>_xlfn.XLOOKUP(tblSales[[#This Row],[Category ID]],tblCategories[Category ID],tblCategories[Category])</f>
        <v>Accessories</v>
      </c>
      <c r="H1635">
        <v>33372</v>
      </c>
      <c r="I1635">
        <v>34284</v>
      </c>
      <c r="J1635">
        <v>81</v>
      </c>
      <c r="K1635">
        <f>tblSales[[#This Row],[Sales]]-tblSales[[#This Row],[Budget]]</f>
        <v>-912</v>
      </c>
      <c r="L1635" s="3">
        <f>(tblSales[[#This Row],[Sales]]-tblSales[[#This Row],[Budget]])/tblSales[[#This Row],[Budget]]</f>
        <v>-2.6601330066503327E-2</v>
      </c>
      <c r="M1635" s="2">
        <f>tblSales[[#This Row],[Sales]]/tblSales[[#This Row],[Transactions]]</f>
        <v>412</v>
      </c>
    </row>
    <row r="1636" spans="1:13" x14ac:dyDescent="0.25">
      <c r="A1636" s="1">
        <v>46104</v>
      </c>
      <c r="B1636" t="s">
        <v>25</v>
      </c>
      <c r="C1636" t="s">
        <v>19</v>
      </c>
      <c r="D1636" t="str">
        <f>_xlfn.XLOOKUP(tblSales[[#This Row],[Store ID]],tblStores[Store ID],tblStores[Store Name])</f>
        <v>Paarl</v>
      </c>
      <c r="E1636" t="str">
        <f>_xlfn.XLOOKUP(tblSales[[#This Row],[Store ID]],tblStores[Store ID],tblStores[Province])</f>
        <v>Western Cape</v>
      </c>
      <c r="F1636" t="str">
        <f>_xlfn.XLOOKUP(tblSales[[#This Row],[Store ID]],tblStores[Store ID],tblStores[Manager])</f>
        <v>Andrew Lee</v>
      </c>
      <c r="G1636" t="str">
        <f>_xlfn.XLOOKUP(tblSales[[#This Row],[Category ID]],tblCategories[Category ID],tblCategories[Category])</f>
        <v>Accessories</v>
      </c>
      <c r="H1636">
        <v>56400</v>
      </c>
      <c r="I1636">
        <v>55769</v>
      </c>
      <c r="J1636">
        <v>150</v>
      </c>
      <c r="K1636">
        <f>tblSales[[#This Row],[Sales]]-tblSales[[#This Row],[Budget]]</f>
        <v>631</v>
      </c>
      <c r="L1636" s="3">
        <f>(tblSales[[#This Row],[Sales]]-tblSales[[#This Row],[Budget]])/tblSales[[#This Row],[Budget]]</f>
        <v>1.1314529577363768E-2</v>
      </c>
      <c r="M1636" s="2">
        <f>tblSales[[#This Row],[Sales]]/tblSales[[#This Row],[Transactions]]</f>
        <v>376</v>
      </c>
    </row>
    <row r="1637" spans="1:13" x14ac:dyDescent="0.25">
      <c r="A1637" s="1">
        <v>46104</v>
      </c>
      <c r="B1637" t="s">
        <v>26</v>
      </c>
      <c r="C1637" t="s">
        <v>9</v>
      </c>
      <c r="D1637" t="str">
        <f>_xlfn.XLOOKUP(tblSales[[#This Row],[Store ID]],tblStores[Store ID],tblStores[Store Name])</f>
        <v>Gqeberha</v>
      </c>
      <c r="E1637" t="str">
        <f>_xlfn.XLOOKUP(tblSales[[#This Row],[Store ID]],tblStores[Store ID],tblStores[Province])</f>
        <v>Eastern Cape</v>
      </c>
      <c r="F1637" t="str">
        <f>_xlfn.XLOOKUP(tblSales[[#This Row],[Store ID]],tblStores[Store ID],tblStores[Manager])</f>
        <v>Emma Baker</v>
      </c>
      <c r="G1637" t="str">
        <f>_xlfn.XLOOKUP(tblSales[[#This Row],[Category ID]],tblCategories[Category ID],tblCategories[Category])</f>
        <v>Ladieswear</v>
      </c>
      <c r="H1637">
        <v>69927</v>
      </c>
      <c r="I1637">
        <v>63064</v>
      </c>
      <c r="J1637">
        <v>143</v>
      </c>
      <c r="K1637">
        <f>tblSales[[#This Row],[Sales]]-tblSales[[#This Row],[Budget]]</f>
        <v>6863</v>
      </c>
      <c r="L1637" s="3">
        <f>(tblSales[[#This Row],[Sales]]-tblSales[[#This Row],[Budget]])/tblSales[[#This Row],[Budget]]</f>
        <v>0.10882595458581758</v>
      </c>
      <c r="M1637" s="2">
        <f>tblSales[[#This Row],[Sales]]/tblSales[[#This Row],[Transactions]]</f>
        <v>489</v>
      </c>
    </row>
    <row r="1638" spans="1:13" x14ac:dyDescent="0.25">
      <c r="A1638" s="1">
        <v>46104</v>
      </c>
      <c r="B1638" t="s">
        <v>27</v>
      </c>
      <c r="C1638" t="s">
        <v>11</v>
      </c>
      <c r="D1638" t="str">
        <f>_xlfn.XLOOKUP(tblSales[[#This Row],[Store ID]],tblStores[Store ID],tblStores[Store Name])</f>
        <v>East London</v>
      </c>
      <c r="E1638" t="str">
        <f>_xlfn.XLOOKUP(tblSales[[#This Row],[Store ID]],tblStores[Store ID],tblStores[Province])</f>
        <v>Eastern Cape</v>
      </c>
      <c r="F1638" t="str">
        <f>_xlfn.XLOOKUP(tblSales[[#This Row],[Store ID]],tblStores[Store ID],tblStores[Manager])</f>
        <v>Daniel Evans</v>
      </c>
      <c r="G1638" t="str">
        <f>_xlfn.XLOOKUP(tblSales[[#This Row],[Category ID]],tblCategories[Category ID],tblCategories[Category])</f>
        <v>Footwear</v>
      </c>
      <c r="H1638">
        <v>41420</v>
      </c>
      <c r="I1638">
        <v>40066</v>
      </c>
      <c r="J1638">
        <v>95</v>
      </c>
      <c r="K1638">
        <f>tblSales[[#This Row],[Sales]]-tblSales[[#This Row],[Budget]]</f>
        <v>1354</v>
      </c>
      <c r="L1638" s="3">
        <f>(tblSales[[#This Row],[Sales]]-tblSales[[#This Row],[Budget]])/tblSales[[#This Row],[Budget]]</f>
        <v>3.3794239504817053E-2</v>
      </c>
      <c r="M1638" s="2">
        <f>tblSales[[#This Row],[Sales]]/tblSales[[#This Row],[Transactions]]</f>
        <v>436</v>
      </c>
    </row>
    <row r="1639" spans="1:13" x14ac:dyDescent="0.25">
      <c r="A1639" s="1">
        <v>46104</v>
      </c>
      <c r="B1639" t="s">
        <v>28</v>
      </c>
      <c r="C1639" t="s">
        <v>19</v>
      </c>
      <c r="D1639" t="str">
        <f>_xlfn.XLOOKUP(tblSales[[#This Row],[Store ID]],tblStores[Store ID],tblStores[Store Name])</f>
        <v>Bloemfontein</v>
      </c>
      <c r="E1639" t="str">
        <f>_xlfn.XLOOKUP(tblSales[[#This Row],[Store ID]],tblStores[Store ID],tblStores[Province])</f>
        <v>Free State</v>
      </c>
      <c r="F1639" t="str">
        <f>_xlfn.XLOOKUP(tblSales[[#This Row],[Store ID]],tblStores[Store ID],tblStores[Manager])</f>
        <v>Rachel Moore</v>
      </c>
      <c r="G1639" t="str">
        <f>_xlfn.XLOOKUP(tblSales[[#This Row],[Category ID]],tblCategories[Category ID],tblCategories[Category])</f>
        <v>Accessories</v>
      </c>
      <c r="H1639">
        <v>66794</v>
      </c>
      <c r="I1639">
        <v>60673</v>
      </c>
      <c r="J1639">
        <v>182</v>
      </c>
      <c r="K1639">
        <f>tblSales[[#This Row],[Sales]]-tblSales[[#This Row],[Budget]]</f>
        <v>6121</v>
      </c>
      <c r="L1639" s="3">
        <f>(tblSales[[#This Row],[Sales]]-tblSales[[#This Row],[Budget]])/tblSales[[#This Row],[Budget]]</f>
        <v>0.10088507243749278</v>
      </c>
      <c r="M1639" s="2">
        <f>tblSales[[#This Row],[Sales]]/tblSales[[#This Row],[Transactions]]</f>
        <v>367</v>
      </c>
    </row>
    <row r="1640" spans="1:13" x14ac:dyDescent="0.25">
      <c r="A1640" s="1">
        <v>46104</v>
      </c>
      <c r="B1640" t="s">
        <v>29</v>
      </c>
      <c r="C1640" t="s">
        <v>7</v>
      </c>
      <c r="D1640" t="str">
        <f>_xlfn.XLOOKUP(tblSales[[#This Row],[Store ID]],tblStores[Store ID],tblStores[Store Name])</f>
        <v>Polokwane</v>
      </c>
      <c r="E1640" t="str">
        <f>_xlfn.XLOOKUP(tblSales[[#This Row],[Store ID]],tblStores[Store ID],tblStores[Province])</f>
        <v>Limpopo</v>
      </c>
      <c r="F1640" t="str">
        <f>_xlfn.XLOOKUP(tblSales[[#This Row],[Store ID]],tblStores[Store ID],tblStores[Manager])</f>
        <v>Kevin Harris</v>
      </c>
      <c r="G1640" t="str">
        <f>_xlfn.XLOOKUP(tblSales[[#This Row],[Category ID]],tblCategories[Category ID],tblCategories[Category])</f>
        <v>Menswear</v>
      </c>
      <c r="H1640">
        <v>76860</v>
      </c>
      <c r="I1640">
        <v>82718</v>
      </c>
      <c r="J1640">
        <v>180</v>
      </c>
      <c r="K1640">
        <f>tblSales[[#This Row],[Sales]]-tblSales[[#This Row],[Budget]]</f>
        <v>-5858</v>
      </c>
      <c r="L1640" s="3">
        <f>(tblSales[[#This Row],[Sales]]-tblSales[[#This Row],[Budget]])/tblSales[[#This Row],[Budget]]</f>
        <v>-7.081892695664789E-2</v>
      </c>
      <c r="M1640" s="2">
        <f>tblSales[[#This Row],[Sales]]/tblSales[[#This Row],[Transactions]]</f>
        <v>427</v>
      </c>
    </row>
    <row r="1641" spans="1:13" x14ac:dyDescent="0.25">
      <c r="A1641" s="1">
        <v>46104</v>
      </c>
      <c r="B1641" t="s">
        <v>30</v>
      </c>
      <c r="C1641" t="s">
        <v>7</v>
      </c>
      <c r="D1641" t="str">
        <f>_xlfn.XLOOKUP(tblSales[[#This Row],[Store ID]],tblStores[Store ID],tblStores[Store Name])</f>
        <v>Nelspruit</v>
      </c>
      <c r="E1641" t="str">
        <f>_xlfn.XLOOKUP(tblSales[[#This Row],[Store ID]],tblStores[Store ID],tblStores[Province])</f>
        <v>Mpumalanga</v>
      </c>
      <c r="F1641" t="str">
        <f>_xlfn.XLOOKUP(tblSales[[#This Row],[Store ID]],tblStores[Store ID],tblStores[Manager])</f>
        <v>Olivia Turner</v>
      </c>
      <c r="G1641" t="str">
        <f>_xlfn.XLOOKUP(tblSales[[#This Row],[Category ID]],tblCategories[Category ID],tblCategories[Category])</f>
        <v>Menswear</v>
      </c>
      <c r="H1641">
        <v>77958</v>
      </c>
      <c r="I1641">
        <v>88905</v>
      </c>
      <c r="J1641">
        <v>183</v>
      </c>
      <c r="K1641">
        <f>tblSales[[#This Row],[Sales]]-tblSales[[#This Row],[Budget]]</f>
        <v>-10947</v>
      </c>
      <c r="L1641" s="3">
        <f>(tblSales[[#This Row],[Sales]]-tblSales[[#This Row],[Budget]])/tblSales[[#This Row],[Budget]]</f>
        <v>-0.12313143242787244</v>
      </c>
      <c r="M1641" s="2">
        <f>tblSales[[#This Row],[Sales]]/tblSales[[#This Row],[Transactions]]</f>
        <v>426</v>
      </c>
    </row>
    <row r="1642" spans="1:13" x14ac:dyDescent="0.25">
      <c r="A1642" s="1">
        <v>46105</v>
      </c>
      <c r="B1642" t="s">
        <v>6</v>
      </c>
      <c r="C1642" t="s">
        <v>7</v>
      </c>
      <c r="D1642" t="str">
        <f>_xlfn.XLOOKUP(tblSales[[#This Row],[Store ID]],tblStores[Store ID],tblStores[Store Name])</f>
        <v>Durban CBD</v>
      </c>
      <c r="E1642" t="str">
        <f>_xlfn.XLOOKUP(tblSales[[#This Row],[Store ID]],tblStores[Store ID],tblStores[Province])</f>
        <v>KZN</v>
      </c>
      <c r="F1642" t="str">
        <f>_xlfn.XLOOKUP(tblSales[[#This Row],[Store ID]],tblStores[Store ID],tblStores[Manager])</f>
        <v>Sarah Adams</v>
      </c>
      <c r="G1642" t="str">
        <f>_xlfn.XLOOKUP(tblSales[[#This Row],[Category ID]],tblCategories[Category ID],tblCategories[Category])</f>
        <v>Menswear</v>
      </c>
      <c r="H1642">
        <v>31879</v>
      </c>
      <c r="I1642">
        <v>36529</v>
      </c>
      <c r="J1642">
        <v>71</v>
      </c>
      <c r="K1642">
        <f>tblSales[[#This Row],[Sales]]-tblSales[[#This Row],[Budget]]</f>
        <v>-4650</v>
      </c>
      <c r="L1642" s="3">
        <f>(tblSales[[#This Row],[Sales]]-tblSales[[#This Row],[Budget]])/tblSales[[#This Row],[Budget]]</f>
        <v>-0.12729612089025158</v>
      </c>
      <c r="M1642" s="2">
        <f>tblSales[[#This Row],[Sales]]/tblSales[[#This Row],[Transactions]]</f>
        <v>449</v>
      </c>
    </row>
    <row r="1643" spans="1:13" x14ac:dyDescent="0.25">
      <c r="A1643" s="1">
        <v>46105</v>
      </c>
      <c r="B1643" t="s">
        <v>8</v>
      </c>
      <c r="C1643" t="s">
        <v>22</v>
      </c>
      <c r="D1643" t="str">
        <f>_xlfn.XLOOKUP(tblSales[[#This Row],[Store ID]],tblStores[Store ID],tblStores[Store Name])</f>
        <v>Gateway</v>
      </c>
      <c r="E1643" t="str">
        <f>_xlfn.XLOOKUP(tblSales[[#This Row],[Store ID]],tblStores[Store ID],tblStores[Province])</f>
        <v>KZN</v>
      </c>
      <c r="F1643" t="str">
        <f>_xlfn.XLOOKUP(tblSales[[#This Row],[Store ID]],tblStores[Store ID],tblStores[Manager])</f>
        <v>Michael Jones</v>
      </c>
      <c r="G1643" t="str">
        <f>_xlfn.XLOOKUP(tblSales[[#This Row],[Category ID]],tblCategories[Category ID],tblCategories[Category])</f>
        <v>Kids</v>
      </c>
      <c r="H1643">
        <v>68376</v>
      </c>
      <c r="I1643">
        <v>62875</v>
      </c>
      <c r="J1643">
        <v>154</v>
      </c>
      <c r="K1643">
        <f>tblSales[[#This Row],[Sales]]-tblSales[[#This Row],[Budget]]</f>
        <v>5501</v>
      </c>
      <c r="L1643" s="3">
        <f>(tblSales[[#This Row],[Sales]]-tblSales[[#This Row],[Budget]])/tblSales[[#This Row],[Budget]]</f>
        <v>8.7491053677932404E-2</v>
      </c>
      <c r="M1643" s="2">
        <f>tblSales[[#This Row],[Sales]]/tblSales[[#This Row],[Transactions]]</f>
        <v>444</v>
      </c>
    </row>
    <row r="1644" spans="1:13" x14ac:dyDescent="0.25">
      <c r="A1644" s="1">
        <v>46105</v>
      </c>
      <c r="B1644" t="s">
        <v>10</v>
      </c>
      <c r="C1644" t="s">
        <v>19</v>
      </c>
      <c r="D1644" t="str">
        <f>_xlfn.XLOOKUP(tblSales[[#This Row],[Store ID]],tblStores[Store ID],tblStores[Store Name])</f>
        <v>Ballito</v>
      </c>
      <c r="E1644" t="str">
        <f>_xlfn.XLOOKUP(tblSales[[#This Row],[Store ID]],tblStores[Store ID],tblStores[Province])</f>
        <v>KZN</v>
      </c>
      <c r="F1644" t="str">
        <f>_xlfn.XLOOKUP(tblSales[[#This Row],[Store ID]],tblStores[Store ID],tblStores[Manager])</f>
        <v>Linda Smith</v>
      </c>
      <c r="G1644" t="str">
        <f>_xlfn.XLOOKUP(tblSales[[#This Row],[Category ID]],tblCategories[Category ID],tblCategories[Category])</f>
        <v>Accessories</v>
      </c>
      <c r="H1644">
        <v>17385</v>
      </c>
      <c r="I1644">
        <v>17699</v>
      </c>
      <c r="J1644">
        <v>57</v>
      </c>
      <c r="K1644">
        <f>tblSales[[#This Row],[Sales]]-tblSales[[#This Row],[Budget]]</f>
        <v>-314</v>
      </c>
      <c r="L1644" s="3">
        <f>(tblSales[[#This Row],[Sales]]-tblSales[[#This Row],[Budget]])/tblSales[[#This Row],[Budget]]</f>
        <v>-1.7741115317249562E-2</v>
      </c>
      <c r="M1644" s="2">
        <f>tblSales[[#This Row],[Sales]]/tblSales[[#This Row],[Transactions]]</f>
        <v>305</v>
      </c>
    </row>
    <row r="1645" spans="1:13" x14ac:dyDescent="0.25">
      <c r="A1645" s="1">
        <v>46105</v>
      </c>
      <c r="B1645" t="s">
        <v>12</v>
      </c>
      <c r="C1645" t="s">
        <v>7</v>
      </c>
      <c r="D1645" t="str">
        <f>_xlfn.XLOOKUP(tblSales[[#This Row],[Store ID]],tblStores[Store ID],tblStores[Store Name])</f>
        <v>Pietermaritzburg</v>
      </c>
      <c r="E1645" t="str">
        <f>_xlfn.XLOOKUP(tblSales[[#This Row],[Store ID]],tblStores[Store ID],tblStores[Province])</f>
        <v>KZN</v>
      </c>
      <c r="F1645" t="str">
        <f>_xlfn.XLOOKUP(tblSales[[#This Row],[Store ID]],tblStores[Store ID],tblStores[Manager])</f>
        <v>Peter Brown</v>
      </c>
      <c r="G1645" t="str">
        <f>_xlfn.XLOOKUP(tblSales[[#This Row],[Category ID]],tblCategories[Category ID],tblCategories[Category])</f>
        <v>Menswear</v>
      </c>
      <c r="H1645">
        <v>105840</v>
      </c>
      <c r="I1645">
        <v>109523</v>
      </c>
      <c r="J1645">
        <v>210</v>
      </c>
      <c r="K1645">
        <f>tblSales[[#This Row],[Sales]]-tblSales[[#This Row],[Budget]]</f>
        <v>-3683</v>
      </c>
      <c r="L1645" s="3">
        <f>(tblSales[[#This Row],[Sales]]-tblSales[[#This Row],[Budget]])/tblSales[[#This Row],[Budget]]</f>
        <v>-3.3627639856468501E-2</v>
      </c>
      <c r="M1645" s="2">
        <f>tblSales[[#This Row],[Sales]]/tblSales[[#This Row],[Transactions]]</f>
        <v>504</v>
      </c>
    </row>
    <row r="1646" spans="1:13" x14ac:dyDescent="0.25">
      <c r="A1646" s="1">
        <v>46105</v>
      </c>
      <c r="B1646" t="s">
        <v>13</v>
      </c>
      <c r="C1646" t="s">
        <v>19</v>
      </c>
      <c r="D1646" t="str">
        <f>_xlfn.XLOOKUP(tblSales[[#This Row],[Store ID]],tblStores[Store ID],tblStores[Store Name])</f>
        <v>Richards Bay</v>
      </c>
      <c r="E1646" t="str">
        <f>_xlfn.XLOOKUP(tblSales[[#This Row],[Store ID]],tblStores[Store ID],tblStores[Province])</f>
        <v>KZN</v>
      </c>
      <c r="F1646" t="str">
        <f>_xlfn.XLOOKUP(tblSales[[#This Row],[Store ID]],tblStores[Store ID],tblStores[Manager])</f>
        <v>David Green</v>
      </c>
      <c r="G1646" t="str">
        <f>_xlfn.XLOOKUP(tblSales[[#This Row],[Category ID]],tblCategories[Category ID],tblCategories[Category])</f>
        <v>Accessories</v>
      </c>
      <c r="H1646">
        <v>56202</v>
      </c>
      <c r="I1646">
        <v>51323</v>
      </c>
      <c r="J1646">
        <v>114</v>
      </c>
      <c r="K1646">
        <f>tblSales[[#This Row],[Sales]]-tblSales[[#This Row],[Budget]]</f>
        <v>4879</v>
      </c>
      <c r="L1646" s="3">
        <f>(tblSales[[#This Row],[Sales]]-tblSales[[#This Row],[Budget]])/tblSales[[#This Row],[Budget]]</f>
        <v>9.5064590924147069E-2</v>
      </c>
      <c r="M1646" s="2">
        <f>tblSales[[#This Row],[Sales]]/tblSales[[#This Row],[Transactions]]</f>
        <v>493</v>
      </c>
    </row>
    <row r="1647" spans="1:13" x14ac:dyDescent="0.25">
      <c r="A1647" s="1">
        <v>46105</v>
      </c>
      <c r="B1647" t="s">
        <v>14</v>
      </c>
      <c r="C1647" t="s">
        <v>22</v>
      </c>
      <c r="D1647" t="str">
        <f>_xlfn.XLOOKUP(tblSales[[#This Row],[Store ID]],tblStores[Store ID],tblStores[Store Name])</f>
        <v>Sandton</v>
      </c>
      <c r="E1647" t="str">
        <f>_xlfn.XLOOKUP(tblSales[[#This Row],[Store ID]],tblStores[Store ID],tblStores[Province])</f>
        <v>Gauteng</v>
      </c>
      <c r="F1647" t="str">
        <f>_xlfn.XLOOKUP(tblSales[[#This Row],[Store ID]],tblStores[Store ID],tblStores[Manager])</f>
        <v>Karen White</v>
      </c>
      <c r="G1647" t="str">
        <f>_xlfn.XLOOKUP(tblSales[[#This Row],[Category ID]],tblCategories[Category ID],tblCategories[Category])</f>
        <v>Kids</v>
      </c>
      <c r="H1647">
        <v>31635</v>
      </c>
      <c r="I1647">
        <v>32179</v>
      </c>
      <c r="J1647">
        <v>171</v>
      </c>
      <c r="K1647">
        <f>tblSales[[#This Row],[Sales]]-tblSales[[#This Row],[Budget]]</f>
        <v>-544</v>
      </c>
      <c r="L1647" s="3">
        <f>(tblSales[[#This Row],[Sales]]-tblSales[[#This Row],[Budget]])/tblSales[[#This Row],[Budget]]</f>
        <v>-1.6905435221728455E-2</v>
      </c>
      <c r="M1647" s="2">
        <f>tblSales[[#This Row],[Sales]]/tblSales[[#This Row],[Transactions]]</f>
        <v>185</v>
      </c>
    </row>
    <row r="1648" spans="1:13" x14ac:dyDescent="0.25">
      <c r="A1648" s="1">
        <v>46105</v>
      </c>
      <c r="B1648" t="s">
        <v>15</v>
      </c>
      <c r="C1648" t="s">
        <v>19</v>
      </c>
      <c r="D1648" t="str">
        <f>_xlfn.XLOOKUP(tblSales[[#This Row],[Store ID]],tblStores[Store ID],tblStores[Store Name])</f>
        <v>Rosebank</v>
      </c>
      <c r="E1648" t="str">
        <f>_xlfn.XLOOKUP(tblSales[[#This Row],[Store ID]],tblStores[Store ID],tblStores[Province])</f>
        <v>Gauteng</v>
      </c>
      <c r="F1648" t="str">
        <f>_xlfn.XLOOKUP(tblSales[[#This Row],[Store ID]],tblStores[Store ID],tblStores[Manager])</f>
        <v>James Taylor</v>
      </c>
      <c r="G1648" t="str">
        <f>_xlfn.XLOOKUP(tblSales[[#This Row],[Category ID]],tblCategories[Category ID],tblCategories[Category])</f>
        <v>Accessories</v>
      </c>
      <c r="H1648">
        <v>73315</v>
      </c>
      <c r="I1648">
        <v>79433</v>
      </c>
      <c r="J1648">
        <v>155</v>
      </c>
      <c r="K1648">
        <f>tblSales[[#This Row],[Sales]]-tblSales[[#This Row],[Budget]]</f>
        <v>-6118</v>
      </c>
      <c r="L1648" s="3">
        <f>(tblSales[[#This Row],[Sales]]-tblSales[[#This Row],[Budget]])/tblSales[[#This Row],[Budget]]</f>
        <v>-7.7020885526166705E-2</v>
      </c>
      <c r="M1648" s="2">
        <f>tblSales[[#This Row],[Sales]]/tblSales[[#This Row],[Transactions]]</f>
        <v>473</v>
      </c>
    </row>
    <row r="1649" spans="1:13" x14ac:dyDescent="0.25">
      <c r="A1649" s="1">
        <v>46105</v>
      </c>
      <c r="B1649" t="s">
        <v>16</v>
      </c>
      <c r="C1649" t="s">
        <v>11</v>
      </c>
      <c r="D1649" t="str">
        <f>_xlfn.XLOOKUP(tblSales[[#This Row],[Store ID]],tblStores[Store ID],tblStores[Store Name])</f>
        <v>Pretoria</v>
      </c>
      <c r="E1649" t="str">
        <f>_xlfn.XLOOKUP(tblSales[[#This Row],[Store ID]],tblStores[Store ID],tblStores[Province])</f>
        <v>Gauteng</v>
      </c>
      <c r="F1649" t="str">
        <f>_xlfn.XLOOKUP(tblSales[[#This Row],[Store ID]],tblStores[Store ID],tblStores[Manager])</f>
        <v>Susan Clark</v>
      </c>
      <c r="G1649" t="str">
        <f>_xlfn.XLOOKUP(tblSales[[#This Row],[Category ID]],tblCategories[Category ID],tblCategories[Category])</f>
        <v>Footwear</v>
      </c>
      <c r="H1649">
        <v>41250</v>
      </c>
      <c r="I1649">
        <v>40107</v>
      </c>
      <c r="J1649">
        <v>125</v>
      </c>
      <c r="K1649">
        <f>tblSales[[#This Row],[Sales]]-tblSales[[#This Row],[Budget]]</f>
        <v>1143</v>
      </c>
      <c r="L1649" s="3">
        <f>(tblSales[[#This Row],[Sales]]-tblSales[[#This Row],[Budget]])/tblSales[[#This Row],[Budget]]</f>
        <v>2.8498765801481037E-2</v>
      </c>
      <c r="M1649" s="2">
        <f>tblSales[[#This Row],[Sales]]/tblSales[[#This Row],[Transactions]]</f>
        <v>330</v>
      </c>
    </row>
    <row r="1650" spans="1:13" x14ac:dyDescent="0.25">
      <c r="A1650" s="1">
        <v>46105</v>
      </c>
      <c r="B1650" t="s">
        <v>17</v>
      </c>
      <c r="C1650" t="s">
        <v>7</v>
      </c>
      <c r="D1650" t="str">
        <f>_xlfn.XLOOKUP(tblSales[[#This Row],[Store ID]],tblStores[Store ID],tblStores[Store Name])</f>
        <v>Centurion</v>
      </c>
      <c r="E1650" t="str">
        <f>_xlfn.XLOOKUP(tblSales[[#This Row],[Store ID]],tblStores[Store ID],tblStores[Province])</f>
        <v>Gauteng</v>
      </c>
      <c r="F1650" t="str">
        <f>_xlfn.XLOOKUP(tblSales[[#This Row],[Store ID]],tblStores[Store ID],tblStores[Manager])</f>
        <v>Mark Wilson</v>
      </c>
      <c r="G1650" t="str">
        <f>_xlfn.XLOOKUP(tblSales[[#This Row],[Category ID]],tblCategories[Category ID],tblCategories[Category])</f>
        <v>Menswear</v>
      </c>
      <c r="H1650">
        <v>102820</v>
      </c>
      <c r="I1650">
        <v>111801</v>
      </c>
      <c r="J1650">
        <v>212</v>
      </c>
      <c r="K1650">
        <f>tblSales[[#This Row],[Sales]]-tblSales[[#This Row],[Budget]]</f>
        <v>-8981</v>
      </c>
      <c r="L1650" s="3">
        <f>(tblSales[[#This Row],[Sales]]-tblSales[[#This Row],[Budget]])/tblSales[[#This Row],[Budget]]</f>
        <v>-8.0330229604386363E-2</v>
      </c>
      <c r="M1650" s="2">
        <f>tblSales[[#This Row],[Sales]]/tblSales[[#This Row],[Transactions]]</f>
        <v>485</v>
      </c>
    </row>
    <row r="1651" spans="1:13" x14ac:dyDescent="0.25">
      <c r="A1651" s="1">
        <v>46105</v>
      </c>
      <c r="B1651" t="s">
        <v>18</v>
      </c>
      <c r="C1651" t="s">
        <v>19</v>
      </c>
      <c r="D1651" t="str">
        <f>_xlfn.XLOOKUP(tblSales[[#This Row],[Store ID]],tblStores[Store ID],tblStores[Store Name])</f>
        <v>East Rand</v>
      </c>
      <c r="E1651" t="str">
        <f>_xlfn.XLOOKUP(tblSales[[#This Row],[Store ID]],tblStores[Store ID],tblStores[Province])</f>
        <v>Gauteng</v>
      </c>
      <c r="F1651" t="str">
        <f>_xlfn.XLOOKUP(tblSales[[#This Row],[Store ID]],tblStores[Store ID],tblStores[Manager])</f>
        <v>Lisa Young</v>
      </c>
      <c r="G1651" t="str">
        <f>_xlfn.XLOOKUP(tblSales[[#This Row],[Category ID]],tblCategories[Category ID],tblCategories[Category])</f>
        <v>Accessories</v>
      </c>
      <c r="H1651">
        <v>21311</v>
      </c>
      <c r="I1651">
        <v>22532</v>
      </c>
      <c r="J1651">
        <v>101</v>
      </c>
      <c r="K1651">
        <f>tblSales[[#This Row],[Sales]]-tblSales[[#This Row],[Budget]]</f>
        <v>-1221</v>
      </c>
      <c r="L1651" s="3">
        <f>(tblSales[[#This Row],[Sales]]-tblSales[[#This Row],[Budget]])/tblSales[[#This Row],[Budget]]</f>
        <v>-5.4189597017575003E-2</v>
      </c>
      <c r="M1651" s="2">
        <f>tblSales[[#This Row],[Sales]]/tblSales[[#This Row],[Transactions]]</f>
        <v>211</v>
      </c>
    </row>
    <row r="1652" spans="1:13" x14ac:dyDescent="0.25">
      <c r="A1652" s="1">
        <v>46105</v>
      </c>
      <c r="B1652" t="s">
        <v>20</v>
      </c>
      <c r="C1652" t="s">
        <v>19</v>
      </c>
      <c r="D1652" t="str">
        <f>_xlfn.XLOOKUP(tblSales[[#This Row],[Store ID]],tblStores[Store ID],tblStores[Store Name])</f>
        <v>Cape Town CBD</v>
      </c>
      <c r="E1652" t="str">
        <f>_xlfn.XLOOKUP(tblSales[[#This Row],[Store ID]],tblStores[Store ID],tblStores[Province])</f>
        <v>Western Cape</v>
      </c>
      <c r="F1652" t="str">
        <f>_xlfn.XLOOKUP(tblSales[[#This Row],[Store ID]],tblStores[Store ID],tblStores[Manager])</f>
        <v>Brian Hall</v>
      </c>
      <c r="G1652" t="str">
        <f>_xlfn.XLOOKUP(tblSales[[#This Row],[Category ID]],tblCategories[Category ID],tblCategories[Category])</f>
        <v>Accessories</v>
      </c>
      <c r="H1652">
        <v>36894</v>
      </c>
      <c r="I1652">
        <v>33680</v>
      </c>
      <c r="J1652">
        <v>78</v>
      </c>
      <c r="K1652">
        <f>tblSales[[#This Row],[Sales]]-tblSales[[#This Row],[Budget]]</f>
        <v>3214</v>
      </c>
      <c r="L1652" s="3">
        <f>(tblSales[[#This Row],[Sales]]-tblSales[[#This Row],[Budget]])/tblSales[[#This Row],[Budget]]</f>
        <v>9.5427553444180524E-2</v>
      </c>
      <c r="M1652" s="2">
        <f>tblSales[[#This Row],[Sales]]/tblSales[[#This Row],[Transactions]]</f>
        <v>473</v>
      </c>
    </row>
    <row r="1653" spans="1:13" x14ac:dyDescent="0.25">
      <c r="A1653" s="1">
        <v>46105</v>
      </c>
      <c r="B1653" t="s">
        <v>21</v>
      </c>
      <c r="C1653" t="s">
        <v>22</v>
      </c>
      <c r="D1653" t="str">
        <f>_xlfn.XLOOKUP(tblSales[[#This Row],[Store ID]],tblStores[Store ID],tblStores[Store Name])</f>
        <v>Canal Walk</v>
      </c>
      <c r="E1653" t="str">
        <f>_xlfn.XLOOKUP(tblSales[[#This Row],[Store ID]],tblStores[Store ID],tblStores[Province])</f>
        <v>Western Cape</v>
      </c>
      <c r="F1653" t="str">
        <f>_xlfn.XLOOKUP(tblSales[[#This Row],[Store ID]],tblStores[Store ID],tblStores[Manager])</f>
        <v>Megan Scott</v>
      </c>
      <c r="G1653" t="str">
        <f>_xlfn.XLOOKUP(tblSales[[#This Row],[Category ID]],tblCategories[Category ID],tblCategories[Category])</f>
        <v>Kids</v>
      </c>
      <c r="H1653">
        <v>37442</v>
      </c>
      <c r="I1653">
        <v>36382</v>
      </c>
      <c r="J1653">
        <v>194</v>
      </c>
      <c r="K1653">
        <f>tblSales[[#This Row],[Sales]]-tblSales[[#This Row],[Budget]]</f>
        <v>1060</v>
      </c>
      <c r="L1653" s="3">
        <f>(tblSales[[#This Row],[Sales]]-tblSales[[#This Row],[Budget]])/tblSales[[#This Row],[Budget]]</f>
        <v>2.9135286680226486E-2</v>
      </c>
      <c r="M1653" s="2">
        <f>tblSales[[#This Row],[Sales]]/tblSales[[#This Row],[Transactions]]</f>
        <v>193</v>
      </c>
    </row>
    <row r="1654" spans="1:13" x14ac:dyDescent="0.25">
      <c r="A1654" s="1">
        <v>46105</v>
      </c>
      <c r="B1654" t="s">
        <v>23</v>
      </c>
      <c r="C1654" t="s">
        <v>7</v>
      </c>
      <c r="D1654" t="str">
        <f>_xlfn.XLOOKUP(tblSales[[#This Row],[Store ID]],tblStores[Store ID],tblStores[Store Name])</f>
        <v>Stellenbosch</v>
      </c>
      <c r="E1654" t="str">
        <f>_xlfn.XLOOKUP(tblSales[[#This Row],[Store ID]],tblStores[Store ID],tblStores[Province])</f>
        <v>Western Cape</v>
      </c>
      <c r="F1654" t="str">
        <f>_xlfn.XLOOKUP(tblSales[[#This Row],[Store ID]],tblStores[Store ID],tblStores[Manager])</f>
        <v>Jason King</v>
      </c>
      <c r="G1654" t="str">
        <f>_xlfn.XLOOKUP(tblSales[[#This Row],[Category ID]],tblCategories[Category ID],tblCategories[Category])</f>
        <v>Menswear</v>
      </c>
      <c r="H1654">
        <v>29346</v>
      </c>
      <c r="I1654">
        <v>26975</v>
      </c>
      <c r="J1654">
        <v>67</v>
      </c>
      <c r="K1654">
        <f>tblSales[[#This Row],[Sales]]-tblSales[[#This Row],[Budget]]</f>
        <v>2371</v>
      </c>
      <c r="L1654" s="3">
        <f>(tblSales[[#This Row],[Sales]]-tblSales[[#This Row],[Budget]])/tblSales[[#This Row],[Budget]]</f>
        <v>8.7896200185356807E-2</v>
      </c>
      <c r="M1654" s="2">
        <f>tblSales[[#This Row],[Sales]]/tblSales[[#This Row],[Transactions]]</f>
        <v>438</v>
      </c>
    </row>
    <row r="1655" spans="1:13" x14ac:dyDescent="0.25">
      <c r="A1655" s="1">
        <v>46105</v>
      </c>
      <c r="B1655" t="s">
        <v>24</v>
      </c>
      <c r="C1655" t="s">
        <v>22</v>
      </c>
      <c r="D1655" t="str">
        <f>_xlfn.XLOOKUP(tblSales[[#This Row],[Store ID]],tblStores[Store ID],tblStores[Store Name])</f>
        <v>George</v>
      </c>
      <c r="E1655" t="str">
        <f>_xlfn.XLOOKUP(tblSales[[#This Row],[Store ID]],tblStores[Store ID],tblStores[Province])</f>
        <v>Western Cape</v>
      </c>
      <c r="F1655" t="str">
        <f>_xlfn.XLOOKUP(tblSales[[#This Row],[Store ID]],tblStores[Store ID],tblStores[Manager])</f>
        <v>Chloe Hill</v>
      </c>
      <c r="G1655" t="str">
        <f>_xlfn.XLOOKUP(tblSales[[#This Row],[Category ID]],tblCategories[Category ID],tblCategories[Category])</f>
        <v>Kids</v>
      </c>
      <c r="H1655">
        <v>24453</v>
      </c>
      <c r="I1655">
        <v>25772</v>
      </c>
      <c r="J1655">
        <v>99</v>
      </c>
      <c r="K1655">
        <f>tblSales[[#This Row],[Sales]]-tblSales[[#This Row],[Budget]]</f>
        <v>-1319</v>
      </c>
      <c r="L1655" s="3">
        <f>(tblSales[[#This Row],[Sales]]-tblSales[[#This Row],[Budget]])/tblSales[[#This Row],[Budget]]</f>
        <v>-5.1179574732267578E-2</v>
      </c>
      <c r="M1655" s="2">
        <f>tblSales[[#This Row],[Sales]]/tblSales[[#This Row],[Transactions]]</f>
        <v>247</v>
      </c>
    </row>
    <row r="1656" spans="1:13" x14ac:dyDescent="0.25">
      <c r="A1656" s="1">
        <v>46105</v>
      </c>
      <c r="B1656" t="s">
        <v>25</v>
      </c>
      <c r="C1656" t="s">
        <v>22</v>
      </c>
      <c r="D1656" t="str">
        <f>_xlfn.XLOOKUP(tblSales[[#This Row],[Store ID]],tblStores[Store ID],tblStores[Store Name])</f>
        <v>Paarl</v>
      </c>
      <c r="E1656" t="str">
        <f>_xlfn.XLOOKUP(tblSales[[#This Row],[Store ID]],tblStores[Store ID],tblStores[Province])</f>
        <v>Western Cape</v>
      </c>
      <c r="F1656" t="str">
        <f>_xlfn.XLOOKUP(tblSales[[#This Row],[Store ID]],tblStores[Store ID],tblStores[Manager])</f>
        <v>Andrew Lee</v>
      </c>
      <c r="G1656" t="str">
        <f>_xlfn.XLOOKUP(tblSales[[#This Row],[Category ID]],tblCategories[Category ID],tblCategories[Category])</f>
        <v>Kids</v>
      </c>
      <c r="H1656">
        <v>18700</v>
      </c>
      <c r="I1656">
        <v>20296</v>
      </c>
      <c r="J1656">
        <v>100</v>
      </c>
      <c r="K1656">
        <f>tblSales[[#This Row],[Sales]]-tblSales[[#This Row],[Budget]]</f>
        <v>-1596</v>
      </c>
      <c r="L1656" s="3">
        <f>(tblSales[[#This Row],[Sales]]-tblSales[[#This Row],[Budget]])/tblSales[[#This Row],[Budget]]</f>
        <v>-7.8636184469846271E-2</v>
      </c>
      <c r="M1656" s="2">
        <f>tblSales[[#This Row],[Sales]]/tblSales[[#This Row],[Transactions]]</f>
        <v>187</v>
      </c>
    </row>
    <row r="1657" spans="1:13" x14ac:dyDescent="0.25">
      <c r="A1657" s="1">
        <v>46105</v>
      </c>
      <c r="B1657" t="s">
        <v>26</v>
      </c>
      <c r="C1657" t="s">
        <v>19</v>
      </c>
      <c r="D1657" t="str">
        <f>_xlfn.XLOOKUP(tblSales[[#This Row],[Store ID]],tblStores[Store ID],tblStores[Store Name])</f>
        <v>Gqeberha</v>
      </c>
      <c r="E1657" t="str">
        <f>_xlfn.XLOOKUP(tblSales[[#This Row],[Store ID]],tblStores[Store ID],tblStores[Province])</f>
        <v>Eastern Cape</v>
      </c>
      <c r="F1657" t="str">
        <f>_xlfn.XLOOKUP(tblSales[[#This Row],[Store ID]],tblStores[Store ID],tblStores[Manager])</f>
        <v>Emma Baker</v>
      </c>
      <c r="G1657" t="str">
        <f>_xlfn.XLOOKUP(tblSales[[#This Row],[Category ID]],tblCategories[Category ID],tblCategories[Category])</f>
        <v>Accessories</v>
      </c>
      <c r="H1657">
        <v>38078</v>
      </c>
      <c r="I1657">
        <v>41304</v>
      </c>
      <c r="J1657">
        <v>79</v>
      </c>
      <c r="K1657">
        <f>tblSales[[#This Row],[Sales]]-tblSales[[#This Row],[Budget]]</f>
        <v>-3226</v>
      </c>
      <c r="L1657" s="3">
        <f>(tblSales[[#This Row],[Sales]]-tblSales[[#This Row],[Budget]])/tblSales[[#This Row],[Budget]]</f>
        <v>-7.8103815611078833E-2</v>
      </c>
      <c r="M1657" s="2">
        <f>tblSales[[#This Row],[Sales]]/tblSales[[#This Row],[Transactions]]</f>
        <v>482</v>
      </c>
    </row>
    <row r="1658" spans="1:13" x14ac:dyDescent="0.25">
      <c r="A1658" s="1">
        <v>46105</v>
      </c>
      <c r="B1658" t="s">
        <v>27</v>
      </c>
      <c r="C1658" t="s">
        <v>11</v>
      </c>
      <c r="D1658" t="str">
        <f>_xlfn.XLOOKUP(tblSales[[#This Row],[Store ID]],tblStores[Store ID],tblStores[Store Name])</f>
        <v>East London</v>
      </c>
      <c r="E1658" t="str">
        <f>_xlfn.XLOOKUP(tblSales[[#This Row],[Store ID]],tblStores[Store ID],tblStores[Province])</f>
        <v>Eastern Cape</v>
      </c>
      <c r="F1658" t="str">
        <f>_xlfn.XLOOKUP(tblSales[[#This Row],[Store ID]],tblStores[Store ID],tblStores[Manager])</f>
        <v>Daniel Evans</v>
      </c>
      <c r="G1658" t="str">
        <f>_xlfn.XLOOKUP(tblSales[[#This Row],[Category ID]],tblCategories[Category ID],tblCategories[Category])</f>
        <v>Footwear</v>
      </c>
      <c r="H1658">
        <v>34701</v>
      </c>
      <c r="I1658">
        <v>33497</v>
      </c>
      <c r="J1658">
        <v>129</v>
      </c>
      <c r="K1658">
        <f>tblSales[[#This Row],[Sales]]-tblSales[[#This Row],[Budget]]</f>
        <v>1204</v>
      </c>
      <c r="L1658" s="3">
        <f>(tblSales[[#This Row],[Sales]]-tblSales[[#This Row],[Budget]])/tblSales[[#This Row],[Budget]]</f>
        <v>3.5943517329910142E-2</v>
      </c>
      <c r="M1658" s="2">
        <f>tblSales[[#This Row],[Sales]]/tblSales[[#This Row],[Transactions]]</f>
        <v>269</v>
      </c>
    </row>
    <row r="1659" spans="1:13" x14ac:dyDescent="0.25">
      <c r="A1659" s="1">
        <v>46105</v>
      </c>
      <c r="B1659" t="s">
        <v>28</v>
      </c>
      <c r="C1659" t="s">
        <v>9</v>
      </c>
      <c r="D1659" t="str">
        <f>_xlfn.XLOOKUP(tblSales[[#This Row],[Store ID]],tblStores[Store ID],tblStores[Store Name])</f>
        <v>Bloemfontein</v>
      </c>
      <c r="E1659" t="str">
        <f>_xlfn.XLOOKUP(tblSales[[#This Row],[Store ID]],tblStores[Store ID],tblStores[Province])</f>
        <v>Free State</v>
      </c>
      <c r="F1659" t="str">
        <f>_xlfn.XLOOKUP(tblSales[[#This Row],[Store ID]],tblStores[Store ID],tblStores[Manager])</f>
        <v>Rachel Moore</v>
      </c>
      <c r="G1659" t="str">
        <f>_xlfn.XLOOKUP(tblSales[[#This Row],[Category ID]],tblCategories[Category ID],tblCategories[Category])</f>
        <v>Ladieswear</v>
      </c>
      <c r="H1659">
        <v>43248</v>
      </c>
      <c r="I1659">
        <v>47566</v>
      </c>
      <c r="J1659">
        <v>159</v>
      </c>
      <c r="K1659">
        <f>tblSales[[#This Row],[Sales]]-tblSales[[#This Row],[Budget]]</f>
        <v>-4318</v>
      </c>
      <c r="L1659" s="3">
        <f>(tblSales[[#This Row],[Sales]]-tblSales[[#This Row],[Budget]])/tblSales[[#This Row],[Budget]]</f>
        <v>-9.0779127948534669E-2</v>
      </c>
      <c r="M1659" s="2">
        <f>tblSales[[#This Row],[Sales]]/tblSales[[#This Row],[Transactions]]</f>
        <v>272</v>
      </c>
    </row>
    <row r="1660" spans="1:13" x14ac:dyDescent="0.25">
      <c r="A1660" s="1">
        <v>46105</v>
      </c>
      <c r="B1660" t="s">
        <v>29</v>
      </c>
      <c r="C1660" t="s">
        <v>7</v>
      </c>
      <c r="D1660" t="str">
        <f>_xlfn.XLOOKUP(tblSales[[#This Row],[Store ID]],tblStores[Store ID],tblStores[Store Name])</f>
        <v>Polokwane</v>
      </c>
      <c r="E1660" t="str">
        <f>_xlfn.XLOOKUP(tblSales[[#This Row],[Store ID]],tblStores[Store ID],tblStores[Province])</f>
        <v>Limpopo</v>
      </c>
      <c r="F1660" t="str">
        <f>_xlfn.XLOOKUP(tblSales[[#This Row],[Store ID]],tblStores[Store ID],tblStores[Manager])</f>
        <v>Kevin Harris</v>
      </c>
      <c r="G1660" t="str">
        <f>_xlfn.XLOOKUP(tblSales[[#This Row],[Category ID]],tblCategories[Category ID],tblCategories[Category])</f>
        <v>Menswear</v>
      </c>
      <c r="H1660">
        <v>27206</v>
      </c>
      <c r="I1660">
        <v>31064</v>
      </c>
      <c r="J1660">
        <v>122</v>
      </c>
      <c r="K1660">
        <f>tblSales[[#This Row],[Sales]]-tblSales[[#This Row],[Budget]]</f>
        <v>-3858</v>
      </c>
      <c r="L1660" s="3">
        <f>(tblSales[[#This Row],[Sales]]-tblSales[[#This Row],[Budget]])/tblSales[[#This Row],[Budget]]</f>
        <v>-0.12419520988926087</v>
      </c>
      <c r="M1660" s="2">
        <f>tblSales[[#This Row],[Sales]]/tblSales[[#This Row],[Transactions]]</f>
        <v>223</v>
      </c>
    </row>
    <row r="1661" spans="1:13" x14ac:dyDescent="0.25">
      <c r="A1661" s="1">
        <v>46105</v>
      </c>
      <c r="B1661" t="s">
        <v>30</v>
      </c>
      <c r="C1661" t="s">
        <v>19</v>
      </c>
      <c r="D1661" t="str">
        <f>_xlfn.XLOOKUP(tblSales[[#This Row],[Store ID]],tblStores[Store ID],tblStores[Store Name])</f>
        <v>Nelspruit</v>
      </c>
      <c r="E1661" t="str">
        <f>_xlfn.XLOOKUP(tblSales[[#This Row],[Store ID]],tblStores[Store ID],tblStores[Province])</f>
        <v>Mpumalanga</v>
      </c>
      <c r="F1661" t="str">
        <f>_xlfn.XLOOKUP(tblSales[[#This Row],[Store ID]],tblStores[Store ID],tblStores[Manager])</f>
        <v>Olivia Turner</v>
      </c>
      <c r="G1661" t="str">
        <f>_xlfn.XLOOKUP(tblSales[[#This Row],[Category ID]],tblCategories[Category ID],tblCategories[Category])</f>
        <v>Accessories</v>
      </c>
      <c r="H1661">
        <v>32042</v>
      </c>
      <c r="I1661">
        <v>34867</v>
      </c>
      <c r="J1661">
        <v>74</v>
      </c>
      <c r="K1661">
        <f>tblSales[[#This Row],[Sales]]-tblSales[[#This Row],[Budget]]</f>
        <v>-2825</v>
      </c>
      <c r="L1661" s="3">
        <f>(tblSales[[#This Row],[Sales]]-tblSales[[#This Row],[Budget]])/tblSales[[#This Row],[Budget]]</f>
        <v>-8.1022169960134227E-2</v>
      </c>
      <c r="M1661" s="2">
        <f>tblSales[[#This Row],[Sales]]/tblSales[[#This Row],[Transactions]]</f>
        <v>433</v>
      </c>
    </row>
    <row r="1662" spans="1:13" x14ac:dyDescent="0.25">
      <c r="A1662" s="1">
        <v>46106</v>
      </c>
      <c r="B1662" t="s">
        <v>6</v>
      </c>
      <c r="C1662" t="s">
        <v>11</v>
      </c>
      <c r="D1662" t="str">
        <f>_xlfn.XLOOKUP(tblSales[[#This Row],[Store ID]],tblStores[Store ID],tblStores[Store Name])</f>
        <v>Durban CBD</v>
      </c>
      <c r="E1662" t="str">
        <f>_xlfn.XLOOKUP(tblSales[[#This Row],[Store ID]],tblStores[Store ID],tblStores[Province])</f>
        <v>KZN</v>
      </c>
      <c r="F1662" t="str">
        <f>_xlfn.XLOOKUP(tblSales[[#This Row],[Store ID]],tblStores[Store ID],tblStores[Manager])</f>
        <v>Sarah Adams</v>
      </c>
      <c r="G1662" t="str">
        <f>_xlfn.XLOOKUP(tblSales[[#This Row],[Category ID]],tblCategories[Category ID],tblCategories[Category])</f>
        <v>Footwear</v>
      </c>
      <c r="H1662">
        <v>40033</v>
      </c>
      <c r="I1662">
        <v>42641</v>
      </c>
      <c r="J1662">
        <v>133</v>
      </c>
      <c r="K1662">
        <f>tblSales[[#This Row],[Sales]]-tblSales[[#This Row],[Budget]]</f>
        <v>-2608</v>
      </c>
      <c r="L1662" s="3">
        <f>(tblSales[[#This Row],[Sales]]-tblSales[[#This Row],[Budget]])/tblSales[[#This Row],[Budget]]</f>
        <v>-6.1161792640885532E-2</v>
      </c>
      <c r="M1662" s="2">
        <f>tblSales[[#This Row],[Sales]]/tblSales[[#This Row],[Transactions]]</f>
        <v>301</v>
      </c>
    </row>
    <row r="1663" spans="1:13" x14ac:dyDescent="0.25">
      <c r="A1663" s="1">
        <v>46106</v>
      </c>
      <c r="B1663" t="s">
        <v>8</v>
      </c>
      <c r="C1663" t="s">
        <v>9</v>
      </c>
      <c r="D1663" t="str">
        <f>_xlfn.XLOOKUP(tblSales[[#This Row],[Store ID]],tblStores[Store ID],tblStores[Store Name])</f>
        <v>Gateway</v>
      </c>
      <c r="E1663" t="str">
        <f>_xlfn.XLOOKUP(tblSales[[#This Row],[Store ID]],tblStores[Store ID],tblStores[Province])</f>
        <v>KZN</v>
      </c>
      <c r="F1663" t="str">
        <f>_xlfn.XLOOKUP(tblSales[[#This Row],[Store ID]],tblStores[Store ID],tblStores[Manager])</f>
        <v>Michael Jones</v>
      </c>
      <c r="G1663" t="str">
        <f>_xlfn.XLOOKUP(tblSales[[#This Row],[Category ID]],tblCategories[Category ID],tblCategories[Category])</f>
        <v>Ladieswear</v>
      </c>
      <c r="H1663">
        <v>41800</v>
      </c>
      <c r="I1663">
        <v>45294</v>
      </c>
      <c r="J1663">
        <v>88</v>
      </c>
      <c r="K1663">
        <f>tblSales[[#This Row],[Sales]]-tblSales[[#This Row],[Budget]]</f>
        <v>-3494</v>
      </c>
      <c r="L1663" s="3">
        <f>(tblSales[[#This Row],[Sales]]-tblSales[[#This Row],[Budget]])/tblSales[[#This Row],[Budget]]</f>
        <v>-7.714046010509118E-2</v>
      </c>
      <c r="M1663" s="2">
        <f>tblSales[[#This Row],[Sales]]/tblSales[[#This Row],[Transactions]]</f>
        <v>475</v>
      </c>
    </row>
    <row r="1664" spans="1:13" x14ac:dyDescent="0.25">
      <c r="A1664" s="1">
        <v>46106</v>
      </c>
      <c r="B1664" t="s">
        <v>10</v>
      </c>
      <c r="C1664" t="s">
        <v>22</v>
      </c>
      <c r="D1664" t="str">
        <f>_xlfn.XLOOKUP(tblSales[[#This Row],[Store ID]],tblStores[Store ID],tblStores[Store Name])</f>
        <v>Ballito</v>
      </c>
      <c r="E1664" t="str">
        <f>_xlfn.XLOOKUP(tblSales[[#This Row],[Store ID]],tblStores[Store ID],tblStores[Province])</f>
        <v>KZN</v>
      </c>
      <c r="F1664" t="str">
        <f>_xlfn.XLOOKUP(tblSales[[#This Row],[Store ID]],tblStores[Store ID],tblStores[Manager])</f>
        <v>Linda Smith</v>
      </c>
      <c r="G1664" t="str">
        <f>_xlfn.XLOOKUP(tblSales[[#This Row],[Category ID]],tblCategories[Category ID],tblCategories[Category])</f>
        <v>Kids</v>
      </c>
      <c r="H1664">
        <v>24384</v>
      </c>
      <c r="I1664">
        <v>23557</v>
      </c>
      <c r="J1664">
        <v>48</v>
      </c>
      <c r="K1664">
        <f>tblSales[[#This Row],[Sales]]-tblSales[[#This Row],[Budget]]</f>
        <v>827</v>
      </c>
      <c r="L1664" s="3">
        <f>(tblSales[[#This Row],[Sales]]-tblSales[[#This Row],[Budget]])/tblSales[[#This Row],[Budget]]</f>
        <v>3.5106337818907332E-2</v>
      </c>
      <c r="M1664" s="2">
        <f>tblSales[[#This Row],[Sales]]/tblSales[[#This Row],[Transactions]]</f>
        <v>508</v>
      </c>
    </row>
    <row r="1665" spans="1:13" x14ac:dyDescent="0.25">
      <c r="A1665" s="1">
        <v>46106</v>
      </c>
      <c r="B1665" t="s">
        <v>12</v>
      </c>
      <c r="C1665" t="s">
        <v>7</v>
      </c>
      <c r="D1665" t="str">
        <f>_xlfn.XLOOKUP(tblSales[[#This Row],[Store ID]],tblStores[Store ID],tblStores[Store Name])</f>
        <v>Pietermaritzburg</v>
      </c>
      <c r="E1665" t="str">
        <f>_xlfn.XLOOKUP(tblSales[[#This Row],[Store ID]],tblStores[Store ID],tblStores[Province])</f>
        <v>KZN</v>
      </c>
      <c r="F1665" t="str">
        <f>_xlfn.XLOOKUP(tblSales[[#This Row],[Store ID]],tblStores[Store ID],tblStores[Manager])</f>
        <v>Peter Brown</v>
      </c>
      <c r="G1665" t="str">
        <f>_xlfn.XLOOKUP(tblSales[[#This Row],[Category ID]],tblCategories[Category ID],tblCategories[Category])</f>
        <v>Menswear</v>
      </c>
      <c r="H1665">
        <v>12720</v>
      </c>
      <c r="I1665">
        <v>12923</v>
      </c>
      <c r="J1665">
        <v>48</v>
      </c>
      <c r="K1665">
        <f>tblSales[[#This Row],[Sales]]-tblSales[[#This Row],[Budget]]</f>
        <v>-203</v>
      </c>
      <c r="L1665" s="3">
        <f>(tblSales[[#This Row],[Sales]]-tblSales[[#This Row],[Budget]])/tblSales[[#This Row],[Budget]]</f>
        <v>-1.5708426835874024E-2</v>
      </c>
      <c r="M1665" s="2">
        <f>tblSales[[#This Row],[Sales]]/tblSales[[#This Row],[Transactions]]</f>
        <v>265</v>
      </c>
    </row>
    <row r="1666" spans="1:13" x14ac:dyDescent="0.25">
      <c r="A1666" s="1">
        <v>46106</v>
      </c>
      <c r="B1666" t="s">
        <v>13</v>
      </c>
      <c r="C1666" t="s">
        <v>11</v>
      </c>
      <c r="D1666" t="str">
        <f>_xlfn.XLOOKUP(tblSales[[#This Row],[Store ID]],tblStores[Store ID],tblStores[Store Name])</f>
        <v>Richards Bay</v>
      </c>
      <c r="E1666" t="str">
        <f>_xlfn.XLOOKUP(tblSales[[#This Row],[Store ID]],tblStores[Store ID],tblStores[Province])</f>
        <v>KZN</v>
      </c>
      <c r="F1666" t="str">
        <f>_xlfn.XLOOKUP(tblSales[[#This Row],[Store ID]],tblStores[Store ID],tblStores[Manager])</f>
        <v>David Green</v>
      </c>
      <c r="G1666" t="str">
        <f>_xlfn.XLOOKUP(tblSales[[#This Row],[Category ID]],tblCategories[Category ID],tblCategories[Category])</f>
        <v>Footwear</v>
      </c>
      <c r="H1666">
        <v>47376</v>
      </c>
      <c r="I1666">
        <v>51475</v>
      </c>
      <c r="J1666">
        <v>112</v>
      </c>
      <c r="K1666">
        <f>tblSales[[#This Row],[Sales]]-tblSales[[#This Row],[Budget]]</f>
        <v>-4099</v>
      </c>
      <c r="L1666" s="3">
        <f>(tblSales[[#This Row],[Sales]]-tblSales[[#This Row],[Budget]])/tblSales[[#This Row],[Budget]]</f>
        <v>-7.9630888780961626E-2</v>
      </c>
      <c r="M1666" s="2">
        <f>tblSales[[#This Row],[Sales]]/tblSales[[#This Row],[Transactions]]</f>
        <v>423</v>
      </c>
    </row>
    <row r="1667" spans="1:13" x14ac:dyDescent="0.25">
      <c r="A1667" s="1">
        <v>46106</v>
      </c>
      <c r="B1667" t="s">
        <v>14</v>
      </c>
      <c r="C1667" t="s">
        <v>19</v>
      </c>
      <c r="D1667" t="str">
        <f>_xlfn.XLOOKUP(tblSales[[#This Row],[Store ID]],tblStores[Store ID],tblStores[Store Name])</f>
        <v>Sandton</v>
      </c>
      <c r="E1667" t="str">
        <f>_xlfn.XLOOKUP(tblSales[[#This Row],[Store ID]],tblStores[Store ID],tblStores[Province])</f>
        <v>Gauteng</v>
      </c>
      <c r="F1667" t="str">
        <f>_xlfn.XLOOKUP(tblSales[[#This Row],[Store ID]],tblStores[Store ID],tblStores[Manager])</f>
        <v>Karen White</v>
      </c>
      <c r="G1667" t="str">
        <f>_xlfn.XLOOKUP(tblSales[[#This Row],[Category ID]],tblCategories[Category ID],tblCategories[Category])</f>
        <v>Accessories</v>
      </c>
      <c r="H1667">
        <v>35156</v>
      </c>
      <c r="I1667">
        <v>37647</v>
      </c>
      <c r="J1667">
        <v>94</v>
      </c>
      <c r="K1667">
        <f>tblSales[[#This Row],[Sales]]-tblSales[[#This Row],[Budget]]</f>
        <v>-2491</v>
      </c>
      <c r="L1667" s="3">
        <f>(tblSales[[#This Row],[Sales]]-tblSales[[#This Row],[Budget]])/tblSales[[#This Row],[Budget]]</f>
        <v>-6.6167290886392005E-2</v>
      </c>
      <c r="M1667" s="2">
        <f>tblSales[[#This Row],[Sales]]/tblSales[[#This Row],[Transactions]]</f>
        <v>374</v>
      </c>
    </row>
    <row r="1668" spans="1:13" x14ac:dyDescent="0.25">
      <c r="A1668" s="1">
        <v>46106</v>
      </c>
      <c r="B1668" t="s">
        <v>15</v>
      </c>
      <c r="C1668" t="s">
        <v>11</v>
      </c>
      <c r="D1668" t="str">
        <f>_xlfn.XLOOKUP(tblSales[[#This Row],[Store ID]],tblStores[Store ID],tblStores[Store Name])</f>
        <v>Rosebank</v>
      </c>
      <c r="E1668" t="str">
        <f>_xlfn.XLOOKUP(tblSales[[#This Row],[Store ID]],tblStores[Store ID],tblStores[Province])</f>
        <v>Gauteng</v>
      </c>
      <c r="F1668" t="str">
        <f>_xlfn.XLOOKUP(tblSales[[#This Row],[Store ID]],tblStores[Store ID],tblStores[Manager])</f>
        <v>James Taylor</v>
      </c>
      <c r="G1668" t="str">
        <f>_xlfn.XLOOKUP(tblSales[[#This Row],[Category ID]],tblCategories[Category ID],tblCategories[Category])</f>
        <v>Footwear</v>
      </c>
      <c r="H1668">
        <v>48984</v>
      </c>
      <c r="I1668">
        <v>45863</v>
      </c>
      <c r="J1668">
        <v>156</v>
      </c>
      <c r="K1668">
        <f>tblSales[[#This Row],[Sales]]-tblSales[[#This Row],[Budget]]</f>
        <v>3121</v>
      </c>
      <c r="L1668" s="3">
        <f>(tblSales[[#This Row],[Sales]]-tblSales[[#This Row],[Budget]])/tblSales[[#This Row],[Budget]]</f>
        <v>6.8050498222968409E-2</v>
      </c>
      <c r="M1668" s="2">
        <f>tblSales[[#This Row],[Sales]]/tblSales[[#This Row],[Transactions]]</f>
        <v>314</v>
      </c>
    </row>
    <row r="1669" spans="1:13" x14ac:dyDescent="0.25">
      <c r="A1669" s="1">
        <v>46106</v>
      </c>
      <c r="B1669" t="s">
        <v>16</v>
      </c>
      <c r="C1669" t="s">
        <v>11</v>
      </c>
      <c r="D1669" t="str">
        <f>_xlfn.XLOOKUP(tblSales[[#This Row],[Store ID]],tblStores[Store ID],tblStores[Store Name])</f>
        <v>Pretoria</v>
      </c>
      <c r="E1669" t="str">
        <f>_xlfn.XLOOKUP(tblSales[[#This Row],[Store ID]],tblStores[Store ID],tblStores[Province])</f>
        <v>Gauteng</v>
      </c>
      <c r="F1669" t="str">
        <f>_xlfn.XLOOKUP(tblSales[[#This Row],[Store ID]],tblStores[Store ID],tblStores[Manager])</f>
        <v>Susan Clark</v>
      </c>
      <c r="G1669" t="str">
        <f>_xlfn.XLOOKUP(tblSales[[#This Row],[Category ID]],tblCategories[Category ID],tblCategories[Category])</f>
        <v>Footwear</v>
      </c>
      <c r="H1669">
        <v>12426</v>
      </c>
      <c r="I1669">
        <v>14063</v>
      </c>
      <c r="J1669">
        <v>38</v>
      </c>
      <c r="K1669">
        <f>tblSales[[#This Row],[Sales]]-tblSales[[#This Row],[Budget]]</f>
        <v>-1637</v>
      </c>
      <c r="L1669" s="3">
        <f>(tblSales[[#This Row],[Sales]]-tblSales[[#This Row],[Budget]])/tblSales[[#This Row],[Budget]]</f>
        <v>-0.11640475005333144</v>
      </c>
      <c r="M1669" s="2">
        <f>tblSales[[#This Row],[Sales]]/tblSales[[#This Row],[Transactions]]</f>
        <v>327</v>
      </c>
    </row>
    <row r="1670" spans="1:13" x14ac:dyDescent="0.25">
      <c r="A1670" s="1">
        <v>46106</v>
      </c>
      <c r="B1670" t="s">
        <v>17</v>
      </c>
      <c r="C1670" t="s">
        <v>11</v>
      </c>
      <c r="D1670" t="str">
        <f>_xlfn.XLOOKUP(tblSales[[#This Row],[Store ID]],tblStores[Store ID],tblStores[Store Name])</f>
        <v>Centurion</v>
      </c>
      <c r="E1670" t="str">
        <f>_xlfn.XLOOKUP(tblSales[[#This Row],[Store ID]],tblStores[Store ID],tblStores[Province])</f>
        <v>Gauteng</v>
      </c>
      <c r="F1670" t="str">
        <f>_xlfn.XLOOKUP(tblSales[[#This Row],[Store ID]],tblStores[Store ID],tblStores[Manager])</f>
        <v>Mark Wilson</v>
      </c>
      <c r="G1670" t="str">
        <f>_xlfn.XLOOKUP(tblSales[[#This Row],[Category ID]],tblCategories[Category ID],tblCategories[Category])</f>
        <v>Footwear</v>
      </c>
      <c r="H1670">
        <v>45012</v>
      </c>
      <c r="I1670">
        <v>51333</v>
      </c>
      <c r="J1670">
        <v>132</v>
      </c>
      <c r="K1670">
        <f>tblSales[[#This Row],[Sales]]-tblSales[[#This Row],[Budget]]</f>
        <v>-6321</v>
      </c>
      <c r="L1670" s="3">
        <f>(tblSales[[#This Row],[Sales]]-tblSales[[#This Row],[Budget]])/tblSales[[#This Row],[Budget]]</f>
        <v>-0.12313716322833265</v>
      </c>
      <c r="M1670" s="2">
        <f>tblSales[[#This Row],[Sales]]/tblSales[[#This Row],[Transactions]]</f>
        <v>341</v>
      </c>
    </row>
    <row r="1671" spans="1:13" x14ac:dyDescent="0.25">
      <c r="A1671" s="1">
        <v>46106</v>
      </c>
      <c r="B1671" t="s">
        <v>18</v>
      </c>
      <c r="C1671" t="s">
        <v>7</v>
      </c>
      <c r="D1671" t="str">
        <f>_xlfn.XLOOKUP(tblSales[[#This Row],[Store ID]],tblStores[Store ID],tblStores[Store Name])</f>
        <v>East Rand</v>
      </c>
      <c r="E1671" t="str">
        <f>_xlfn.XLOOKUP(tblSales[[#This Row],[Store ID]],tblStores[Store ID],tblStores[Province])</f>
        <v>Gauteng</v>
      </c>
      <c r="F1671" t="str">
        <f>_xlfn.XLOOKUP(tblSales[[#This Row],[Store ID]],tblStores[Store ID],tblStores[Manager])</f>
        <v>Lisa Young</v>
      </c>
      <c r="G1671" t="str">
        <f>_xlfn.XLOOKUP(tblSales[[#This Row],[Category ID]],tblCategories[Category ID],tblCategories[Category])</f>
        <v>Menswear</v>
      </c>
      <c r="H1671">
        <v>26668</v>
      </c>
      <c r="I1671">
        <v>28250</v>
      </c>
      <c r="J1671">
        <v>59</v>
      </c>
      <c r="K1671">
        <f>tblSales[[#This Row],[Sales]]-tblSales[[#This Row],[Budget]]</f>
        <v>-1582</v>
      </c>
      <c r="L1671" s="3">
        <f>(tblSales[[#This Row],[Sales]]-tblSales[[#This Row],[Budget]])/tblSales[[#This Row],[Budget]]</f>
        <v>-5.6000000000000001E-2</v>
      </c>
      <c r="M1671" s="2">
        <f>tblSales[[#This Row],[Sales]]/tblSales[[#This Row],[Transactions]]</f>
        <v>452</v>
      </c>
    </row>
    <row r="1672" spans="1:13" x14ac:dyDescent="0.25">
      <c r="A1672" s="1">
        <v>46106</v>
      </c>
      <c r="B1672" t="s">
        <v>20</v>
      </c>
      <c r="C1672" t="s">
        <v>11</v>
      </c>
      <c r="D1672" t="str">
        <f>_xlfn.XLOOKUP(tblSales[[#This Row],[Store ID]],tblStores[Store ID],tblStores[Store Name])</f>
        <v>Cape Town CBD</v>
      </c>
      <c r="E1672" t="str">
        <f>_xlfn.XLOOKUP(tblSales[[#This Row],[Store ID]],tblStores[Store ID],tblStores[Province])</f>
        <v>Western Cape</v>
      </c>
      <c r="F1672" t="str">
        <f>_xlfn.XLOOKUP(tblSales[[#This Row],[Store ID]],tblStores[Store ID],tblStores[Manager])</f>
        <v>Brian Hall</v>
      </c>
      <c r="G1672" t="str">
        <f>_xlfn.XLOOKUP(tblSales[[#This Row],[Category ID]],tblCategories[Category ID],tblCategories[Category])</f>
        <v>Footwear</v>
      </c>
      <c r="H1672">
        <v>97983</v>
      </c>
      <c r="I1672">
        <v>109210</v>
      </c>
      <c r="J1672">
        <v>191</v>
      </c>
      <c r="K1672">
        <f>tblSales[[#This Row],[Sales]]-tblSales[[#This Row],[Budget]]</f>
        <v>-11227</v>
      </c>
      <c r="L1672" s="3">
        <f>(tblSales[[#This Row],[Sales]]-tblSales[[#This Row],[Budget]])/tblSales[[#This Row],[Budget]]</f>
        <v>-0.10280194121417452</v>
      </c>
      <c r="M1672" s="2">
        <f>tblSales[[#This Row],[Sales]]/tblSales[[#This Row],[Transactions]]</f>
        <v>513</v>
      </c>
    </row>
    <row r="1673" spans="1:13" x14ac:dyDescent="0.25">
      <c r="A1673" s="1">
        <v>46106</v>
      </c>
      <c r="B1673" t="s">
        <v>21</v>
      </c>
      <c r="C1673" t="s">
        <v>22</v>
      </c>
      <c r="D1673" t="str">
        <f>_xlfn.XLOOKUP(tblSales[[#This Row],[Store ID]],tblStores[Store ID],tblStores[Store Name])</f>
        <v>Canal Walk</v>
      </c>
      <c r="E1673" t="str">
        <f>_xlfn.XLOOKUP(tblSales[[#This Row],[Store ID]],tblStores[Store ID],tblStores[Province])</f>
        <v>Western Cape</v>
      </c>
      <c r="F1673" t="str">
        <f>_xlfn.XLOOKUP(tblSales[[#This Row],[Store ID]],tblStores[Store ID],tblStores[Manager])</f>
        <v>Megan Scott</v>
      </c>
      <c r="G1673" t="str">
        <f>_xlfn.XLOOKUP(tblSales[[#This Row],[Category ID]],tblCategories[Category ID],tblCategories[Category])</f>
        <v>Kids</v>
      </c>
      <c r="H1673">
        <v>32864</v>
      </c>
      <c r="I1673">
        <v>36169</v>
      </c>
      <c r="J1673">
        <v>104</v>
      </c>
      <c r="K1673">
        <f>tblSales[[#This Row],[Sales]]-tblSales[[#This Row],[Budget]]</f>
        <v>-3305</v>
      </c>
      <c r="L1673" s="3">
        <f>(tblSales[[#This Row],[Sales]]-tblSales[[#This Row],[Budget]])/tblSales[[#This Row],[Budget]]</f>
        <v>-9.1376593215184279E-2</v>
      </c>
      <c r="M1673" s="2">
        <f>tblSales[[#This Row],[Sales]]/tblSales[[#This Row],[Transactions]]</f>
        <v>316</v>
      </c>
    </row>
    <row r="1674" spans="1:13" x14ac:dyDescent="0.25">
      <c r="A1674" s="1">
        <v>46106</v>
      </c>
      <c r="B1674" t="s">
        <v>23</v>
      </c>
      <c r="C1674" t="s">
        <v>22</v>
      </c>
      <c r="D1674" t="str">
        <f>_xlfn.XLOOKUP(tblSales[[#This Row],[Store ID]],tblStores[Store ID],tblStores[Store Name])</f>
        <v>Stellenbosch</v>
      </c>
      <c r="E1674" t="str">
        <f>_xlfn.XLOOKUP(tblSales[[#This Row],[Store ID]],tblStores[Store ID],tblStores[Province])</f>
        <v>Western Cape</v>
      </c>
      <c r="F1674" t="str">
        <f>_xlfn.XLOOKUP(tblSales[[#This Row],[Store ID]],tblStores[Store ID],tblStores[Manager])</f>
        <v>Jason King</v>
      </c>
      <c r="G1674" t="str">
        <f>_xlfn.XLOOKUP(tblSales[[#This Row],[Category ID]],tblCategories[Category ID],tblCategories[Category])</f>
        <v>Kids</v>
      </c>
      <c r="H1674">
        <v>96758</v>
      </c>
      <c r="I1674">
        <v>96544</v>
      </c>
      <c r="J1674">
        <v>202</v>
      </c>
      <c r="K1674">
        <f>tblSales[[#This Row],[Sales]]-tblSales[[#This Row],[Budget]]</f>
        <v>214</v>
      </c>
      <c r="L1674" s="3">
        <f>(tblSales[[#This Row],[Sales]]-tblSales[[#This Row],[Budget]])/tblSales[[#This Row],[Budget]]</f>
        <v>2.2166058999005633E-3</v>
      </c>
      <c r="M1674" s="2">
        <f>tblSales[[#This Row],[Sales]]/tblSales[[#This Row],[Transactions]]</f>
        <v>479</v>
      </c>
    </row>
    <row r="1675" spans="1:13" x14ac:dyDescent="0.25">
      <c r="A1675" s="1">
        <v>46106</v>
      </c>
      <c r="B1675" t="s">
        <v>24</v>
      </c>
      <c r="C1675" t="s">
        <v>9</v>
      </c>
      <c r="D1675" t="str">
        <f>_xlfn.XLOOKUP(tblSales[[#This Row],[Store ID]],tblStores[Store ID],tblStores[Store Name])</f>
        <v>George</v>
      </c>
      <c r="E1675" t="str">
        <f>_xlfn.XLOOKUP(tblSales[[#This Row],[Store ID]],tblStores[Store ID],tblStores[Province])</f>
        <v>Western Cape</v>
      </c>
      <c r="F1675" t="str">
        <f>_xlfn.XLOOKUP(tblSales[[#This Row],[Store ID]],tblStores[Store ID],tblStores[Manager])</f>
        <v>Chloe Hill</v>
      </c>
      <c r="G1675" t="str">
        <f>_xlfn.XLOOKUP(tblSales[[#This Row],[Category ID]],tblCategories[Category ID],tblCategories[Category])</f>
        <v>Ladieswear</v>
      </c>
      <c r="H1675">
        <v>99567</v>
      </c>
      <c r="I1675">
        <v>108789</v>
      </c>
      <c r="J1675">
        <v>207</v>
      </c>
      <c r="K1675">
        <f>tblSales[[#This Row],[Sales]]-tblSales[[#This Row],[Budget]]</f>
        <v>-9222</v>
      </c>
      <c r="L1675" s="3">
        <f>(tblSales[[#This Row],[Sales]]-tblSales[[#This Row],[Budget]])/tblSales[[#This Row],[Budget]]</f>
        <v>-8.4769599867633674E-2</v>
      </c>
      <c r="M1675" s="2">
        <f>tblSales[[#This Row],[Sales]]/tblSales[[#This Row],[Transactions]]</f>
        <v>481</v>
      </c>
    </row>
    <row r="1676" spans="1:13" x14ac:dyDescent="0.25">
      <c r="A1676" s="1">
        <v>46106</v>
      </c>
      <c r="B1676" t="s">
        <v>25</v>
      </c>
      <c r="C1676" t="s">
        <v>19</v>
      </c>
      <c r="D1676" t="str">
        <f>_xlfn.XLOOKUP(tblSales[[#This Row],[Store ID]],tblStores[Store ID],tblStores[Store Name])</f>
        <v>Paarl</v>
      </c>
      <c r="E1676" t="str">
        <f>_xlfn.XLOOKUP(tblSales[[#This Row],[Store ID]],tblStores[Store ID],tblStores[Province])</f>
        <v>Western Cape</v>
      </c>
      <c r="F1676" t="str">
        <f>_xlfn.XLOOKUP(tblSales[[#This Row],[Store ID]],tblStores[Store ID],tblStores[Manager])</f>
        <v>Andrew Lee</v>
      </c>
      <c r="G1676" t="str">
        <f>_xlfn.XLOOKUP(tblSales[[#This Row],[Category ID]],tblCategories[Category ID],tblCategories[Category])</f>
        <v>Accessories</v>
      </c>
      <c r="H1676">
        <v>32912</v>
      </c>
      <c r="I1676">
        <v>32198</v>
      </c>
      <c r="J1676">
        <v>121</v>
      </c>
      <c r="K1676">
        <f>tblSales[[#This Row],[Sales]]-tblSales[[#This Row],[Budget]]</f>
        <v>714</v>
      </c>
      <c r="L1676" s="3">
        <f>(tblSales[[#This Row],[Sales]]-tblSales[[#This Row],[Budget]])/tblSales[[#This Row],[Budget]]</f>
        <v>2.2175290390707498E-2</v>
      </c>
      <c r="M1676" s="2">
        <f>tblSales[[#This Row],[Sales]]/tblSales[[#This Row],[Transactions]]</f>
        <v>272</v>
      </c>
    </row>
    <row r="1677" spans="1:13" x14ac:dyDescent="0.25">
      <c r="A1677" s="1">
        <v>46106</v>
      </c>
      <c r="B1677" t="s">
        <v>26</v>
      </c>
      <c r="C1677" t="s">
        <v>7</v>
      </c>
      <c r="D1677" t="str">
        <f>_xlfn.XLOOKUP(tblSales[[#This Row],[Store ID]],tblStores[Store ID],tblStores[Store Name])</f>
        <v>Gqeberha</v>
      </c>
      <c r="E1677" t="str">
        <f>_xlfn.XLOOKUP(tblSales[[#This Row],[Store ID]],tblStores[Store ID],tblStores[Province])</f>
        <v>Eastern Cape</v>
      </c>
      <c r="F1677" t="str">
        <f>_xlfn.XLOOKUP(tblSales[[#This Row],[Store ID]],tblStores[Store ID],tblStores[Manager])</f>
        <v>Emma Baker</v>
      </c>
      <c r="G1677" t="str">
        <f>_xlfn.XLOOKUP(tblSales[[#This Row],[Category ID]],tblCategories[Category ID],tblCategories[Category])</f>
        <v>Menswear</v>
      </c>
      <c r="H1677">
        <v>38088</v>
      </c>
      <c r="I1677">
        <v>42198</v>
      </c>
      <c r="J1677">
        <v>207</v>
      </c>
      <c r="K1677">
        <f>tblSales[[#This Row],[Sales]]-tblSales[[#This Row],[Budget]]</f>
        <v>-4110</v>
      </c>
      <c r="L1677" s="3">
        <f>(tblSales[[#This Row],[Sales]]-tblSales[[#This Row],[Budget]])/tblSales[[#This Row],[Budget]]</f>
        <v>-9.7397980946964308E-2</v>
      </c>
      <c r="M1677" s="2">
        <f>tblSales[[#This Row],[Sales]]/tblSales[[#This Row],[Transactions]]</f>
        <v>184</v>
      </c>
    </row>
    <row r="1678" spans="1:13" x14ac:dyDescent="0.25">
      <c r="A1678" s="1">
        <v>46106</v>
      </c>
      <c r="B1678" t="s">
        <v>27</v>
      </c>
      <c r="C1678" t="s">
        <v>7</v>
      </c>
      <c r="D1678" t="str">
        <f>_xlfn.XLOOKUP(tblSales[[#This Row],[Store ID]],tblStores[Store ID],tblStores[Store Name])</f>
        <v>East London</v>
      </c>
      <c r="E1678" t="str">
        <f>_xlfn.XLOOKUP(tblSales[[#This Row],[Store ID]],tblStores[Store ID],tblStores[Province])</f>
        <v>Eastern Cape</v>
      </c>
      <c r="F1678" t="str">
        <f>_xlfn.XLOOKUP(tblSales[[#This Row],[Store ID]],tblStores[Store ID],tblStores[Manager])</f>
        <v>Daniel Evans</v>
      </c>
      <c r="G1678" t="str">
        <f>_xlfn.XLOOKUP(tblSales[[#This Row],[Category ID]],tblCategories[Category ID],tblCategories[Category])</f>
        <v>Menswear</v>
      </c>
      <c r="H1678">
        <v>32200</v>
      </c>
      <c r="I1678">
        <v>33208</v>
      </c>
      <c r="J1678">
        <v>140</v>
      </c>
      <c r="K1678">
        <f>tblSales[[#This Row],[Sales]]-tblSales[[#This Row],[Budget]]</f>
        <v>-1008</v>
      </c>
      <c r="L1678" s="3">
        <f>(tblSales[[#This Row],[Sales]]-tblSales[[#This Row],[Budget]])/tblSales[[#This Row],[Budget]]</f>
        <v>-3.0354131534569982E-2</v>
      </c>
      <c r="M1678" s="2">
        <f>tblSales[[#This Row],[Sales]]/tblSales[[#This Row],[Transactions]]</f>
        <v>230</v>
      </c>
    </row>
    <row r="1679" spans="1:13" x14ac:dyDescent="0.25">
      <c r="A1679" s="1">
        <v>46106</v>
      </c>
      <c r="B1679" t="s">
        <v>28</v>
      </c>
      <c r="C1679" t="s">
        <v>11</v>
      </c>
      <c r="D1679" t="str">
        <f>_xlfn.XLOOKUP(tblSales[[#This Row],[Store ID]],tblStores[Store ID],tblStores[Store Name])</f>
        <v>Bloemfontein</v>
      </c>
      <c r="E1679" t="str">
        <f>_xlfn.XLOOKUP(tblSales[[#This Row],[Store ID]],tblStores[Store ID],tblStores[Province])</f>
        <v>Free State</v>
      </c>
      <c r="F1679" t="str">
        <f>_xlfn.XLOOKUP(tblSales[[#This Row],[Store ID]],tblStores[Store ID],tblStores[Manager])</f>
        <v>Rachel Moore</v>
      </c>
      <c r="G1679" t="str">
        <f>_xlfn.XLOOKUP(tblSales[[#This Row],[Category ID]],tblCategories[Category ID],tblCategories[Category])</f>
        <v>Footwear</v>
      </c>
      <c r="H1679">
        <v>36208</v>
      </c>
      <c r="I1679">
        <v>39152</v>
      </c>
      <c r="J1679">
        <v>124</v>
      </c>
      <c r="K1679">
        <f>tblSales[[#This Row],[Sales]]-tblSales[[#This Row],[Budget]]</f>
        <v>-2944</v>
      </c>
      <c r="L1679" s="3">
        <f>(tblSales[[#This Row],[Sales]]-tblSales[[#This Row],[Budget]])/tblSales[[#This Row],[Budget]]</f>
        <v>-7.5194115243154877E-2</v>
      </c>
      <c r="M1679" s="2">
        <f>tblSales[[#This Row],[Sales]]/tblSales[[#This Row],[Transactions]]</f>
        <v>292</v>
      </c>
    </row>
    <row r="1680" spans="1:13" x14ac:dyDescent="0.25">
      <c r="A1680" s="1">
        <v>46106</v>
      </c>
      <c r="B1680" t="s">
        <v>29</v>
      </c>
      <c r="C1680" t="s">
        <v>22</v>
      </c>
      <c r="D1680" t="str">
        <f>_xlfn.XLOOKUP(tblSales[[#This Row],[Store ID]],tblStores[Store ID],tblStores[Store Name])</f>
        <v>Polokwane</v>
      </c>
      <c r="E1680" t="str">
        <f>_xlfn.XLOOKUP(tblSales[[#This Row],[Store ID]],tblStores[Store ID],tblStores[Province])</f>
        <v>Limpopo</v>
      </c>
      <c r="F1680" t="str">
        <f>_xlfn.XLOOKUP(tblSales[[#This Row],[Store ID]],tblStores[Store ID],tblStores[Manager])</f>
        <v>Kevin Harris</v>
      </c>
      <c r="G1680" t="str">
        <f>_xlfn.XLOOKUP(tblSales[[#This Row],[Category ID]],tblCategories[Category ID],tblCategories[Category])</f>
        <v>Kids</v>
      </c>
      <c r="H1680">
        <v>16548</v>
      </c>
      <c r="I1680">
        <v>14991</v>
      </c>
      <c r="J1680">
        <v>84</v>
      </c>
      <c r="K1680">
        <f>tblSales[[#This Row],[Sales]]-tblSales[[#This Row],[Budget]]</f>
        <v>1557</v>
      </c>
      <c r="L1680" s="3">
        <f>(tblSales[[#This Row],[Sales]]-tblSales[[#This Row],[Budget]])/tblSales[[#This Row],[Budget]]</f>
        <v>0.10386231739043426</v>
      </c>
      <c r="M1680" s="2">
        <f>tblSales[[#This Row],[Sales]]/tblSales[[#This Row],[Transactions]]</f>
        <v>197</v>
      </c>
    </row>
    <row r="1681" spans="1:13" x14ac:dyDescent="0.25">
      <c r="A1681" s="1">
        <v>46106</v>
      </c>
      <c r="B1681" t="s">
        <v>30</v>
      </c>
      <c r="C1681" t="s">
        <v>7</v>
      </c>
      <c r="D1681" t="str">
        <f>_xlfn.XLOOKUP(tblSales[[#This Row],[Store ID]],tblStores[Store ID],tblStores[Store Name])</f>
        <v>Nelspruit</v>
      </c>
      <c r="E1681" t="str">
        <f>_xlfn.XLOOKUP(tblSales[[#This Row],[Store ID]],tblStores[Store ID],tblStores[Province])</f>
        <v>Mpumalanga</v>
      </c>
      <c r="F1681" t="str">
        <f>_xlfn.XLOOKUP(tblSales[[#This Row],[Store ID]],tblStores[Store ID],tblStores[Manager])</f>
        <v>Olivia Turner</v>
      </c>
      <c r="G1681" t="str">
        <f>_xlfn.XLOOKUP(tblSales[[#This Row],[Category ID]],tblCategories[Category ID],tblCategories[Category])</f>
        <v>Menswear</v>
      </c>
      <c r="H1681">
        <v>23716</v>
      </c>
      <c r="I1681">
        <v>25237</v>
      </c>
      <c r="J1681">
        <v>49</v>
      </c>
      <c r="K1681">
        <f>tblSales[[#This Row],[Sales]]-tblSales[[#This Row],[Budget]]</f>
        <v>-1521</v>
      </c>
      <c r="L1681" s="3">
        <f>(tblSales[[#This Row],[Sales]]-tblSales[[#This Row],[Budget]])/tblSales[[#This Row],[Budget]]</f>
        <v>-6.0268653167967666E-2</v>
      </c>
      <c r="M1681" s="2">
        <f>tblSales[[#This Row],[Sales]]/tblSales[[#This Row],[Transactions]]</f>
        <v>484</v>
      </c>
    </row>
    <row r="1682" spans="1:13" x14ac:dyDescent="0.25">
      <c r="A1682" s="1">
        <v>46107</v>
      </c>
      <c r="B1682" t="s">
        <v>6</v>
      </c>
      <c r="C1682" t="s">
        <v>9</v>
      </c>
      <c r="D1682" t="str">
        <f>_xlfn.XLOOKUP(tblSales[[#This Row],[Store ID]],tblStores[Store ID],tblStores[Store Name])</f>
        <v>Durban CBD</v>
      </c>
      <c r="E1682" t="str">
        <f>_xlfn.XLOOKUP(tblSales[[#This Row],[Store ID]],tblStores[Store ID],tblStores[Province])</f>
        <v>KZN</v>
      </c>
      <c r="F1682" t="str">
        <f>_xlfn.XLOOKUP(tblSales[[#This Row],[Store ID]],tblStores[Store ID],tblStores[Manager])</f>
        <v>Sarah Adams</v>
      </c>
      <c r="G1682" t="str">
        <f>_xlfn.XLOOKUP(tblSales[[#This Row],[Category ID]],tblCategories[Category ID],tblCategories[Category])</f>
        <v>Ladieswear</v>
      </c>
      <c r="H1682">
        <v>95128</v>
      </c>
      <c r="I1682">
        <v>88511</v>
      </c>
      <c r="J1682">
        <v>188</v>
      </c>
      <c r="K1682">
        <f>tblSales[[#This Row],[Sales]]-tblSales[[#This Row],[Budget]]</f>
        <v>6617</v>
      </c>
      <c r="L1682" s="3">
        <f>(tblSales[[#This Row],[Sales]]-tblSales[[#This Row],[Budget]])/tblSales[[#This Row],[Budget]]</f>
        <v>7.4759069494187161E-2</v>
      </c>
      <c r="M1682" s="2">
        <f>tblSales[[#This Row],[Sales]]/tblSales[[#This Row],[Transactions]]</f>
        <v>506</v>
      </c>
    </row>
    <row r="1683" spans="1:13" x14ac:dyDescent="0.25">
      <c r="A1683" s="1">
        <v>46107</v>
      </c>
      <c r="B1683" t="s">
        <v>8</v>
      </c>
      <c r="C1683" t="s">
        <v>7</v>
      </c>
      <c r="D1683" t="str">
        <f>_xlfn.XLOOKUP(tblSales[[#This Row],[Store ID]],tblStores[Store ID],tblStores[Store Name])</f>
        <v>Gateway</v>
      </c>
      <c r="E1683" t="str">
        <f>_xlfn.XLOOKUP(tblSales[[#This Row],[Store ID]],tblStores[Store ID],tblStores[Province])</f>
        <v>KZN</v>
      </c>
      <c r="F1683" t="str">
        <f>_xlfn.XLOOKUP(tblSales[[#This Row],[Store ID]],tblStores[Store ID],tblStores[Manager])</f>
        <v>Michael Jones</v>
      </c>
      <c r="G1683" t="str">
        <f>_xlfn.XLOOKUP(tblSales[[#This Row],[Category ID]],tblCategories[Category ID],tblCategories[Category])</f>
        <v>Menswear</v>
      </c>
      <c r="H1683">
        <v>27873</v>
      </c>
      <c r="I1683">
        <v>25990</v>
      </c>
      <c r="J1683">
        <v>57</v>
      </c>
      <c r="K1683">
        <f>tblSales[[#This Row],[Sales]]-tblSales[[#This Row],[Budget]]</f>
        <v>1883</v>
      </c>
      <c r="L1683" s="3">
        <f>(tblSales[[#This Row],[Sales]]-tblSales[[#This Row],[Budget]])/tblSales[[#This Row],[Budget]]</f>
        <v>7.2450942670257798E-2</v>
      </c>
      <c r="M1683" s="2">
        <f>tblSales[[#This Row],[Sales]]/tblSales[[#This Row],[Transactions]]</f>
        <v>489</v>
      </c>
    </row>
    <row r="1684" spans="1:13" x14ac:dyDescent="0.25">
      <c r="A1684" s="1">
        <v>46107</v>
      </c>
      <c r="B1684" t="s">
        <v>10</v>
      </c>
      <c r="C1684" t="s">
        <v>19</v>
      </c>
      <c r="D1684" t="str">
        <f>_xlfn.XLOOKUP(tblSales[[#This Row],[Store ID]],tblStores[Store ID],tblStores[Store Name])</f>
        <v>Ballito</v>
      </c>
      <c r="E1684" t="str">
        <f>_xlfn.XLOOKUP(tblSales[[#This Row],[Store ID]],tblStores[Store ID],tblStores[Province])</f>
        <v>KZN</v>
      </c>
      <c r="F1684" t="str">
        <f>_xlfn.XLOOKUP(tblSales[[#This Row],[Store ID]],tblStores[Store ID],tblStores[Manager])</f>
        <v>Linda Smith</v>
      </c>
      <c r="G1684" t="str">
        <f>_xlfn.XLOOKUP(tblSales[[#This Row],[Category ID]],tblCategories[Category ID],tblCategories[Category])</f>
        <v>Accessories</v>
      </c>
      <c r="H1684">
        <v>19352</v>
      </c>
      <c r="I1684">
        <v>20782</v>
      </c>
      <c r="J1684">
        <v>82</v>
      </c>
      <c r="K1684">
        <f>tblSales[[#This Row],[Sales]]-tblSales[[#This Row],[Budget]]</f>
        <v>-1430</v>
      </c>
      <c r="L1684" s="3">
        <f>(tblSales[[#This Row],[Sales]]-tblSales[[#This Row],[Budget]])/tblSales[[#This Row],[Budget]]</f>
        <v>-6.8809546723125781E-2</v>
      </c>
      <c r="M1684" s="2">
        <f>tblSales[[#This Row],[Sales]]/tblSales[[#This Row],[Transactions]]</f>
        <v>236</v>
      </c>
    </row>
    <row r="1685" spans="1:13" x14ac:dyDescent="0.25">
      <c r="A1685" s="1">
        <v>46107</v>
      </c>
      <c r="B1685" t="s">
        <v>12</v>
      </c>
      <c r="C1685" t="s">
        <v>22</v>
      </c>
      <c r="D1685" t="str">
        <f>_xlfn.XLOOKUP(tblSales[[#This Row],[Store ID]],tblStores[Store ID],tblStores[Store Name])</f>
        <v>Pietermaritzburg</v>
      </c>
      <c r="E1685" t="str">
        <f>_xlfn.XLOOKUP(tblSales[[#This Row],[Store ID]],tblStores[Store ID],tblStores[Province])</f>
        <v>KZN</v>
      </c>
      <c r="F1685" t="str">
        <f>_xlfn.XLOOKUP(tblSales[[#This Row],[Store ID]],tblStores[Store ID],tblStores[Manager])</f>
        <v>Peter Brown</v>
      </c>
      <c r="G1685" t="str">
        <f>_xlfn.XLOOKUP(tblSales[[#This Row],[Category ID]],tblCategories[Category ID],tblCategories[Category])</f>
        <v>Kids</v>
      </c>
      <c r="H1685">
        <v>46090</v>
      </c>
      <c r="I1685">
        <v>49091</v>
      </c>
      <c r="J1685">
        <v>110</v>
      </c>
      <c r="K1685">
        <f>tblSales[[#This Row],[Sales]]-tblSales[[#This Row],[Budget]]</f>
        <v>-3001</v>
      </c>
      <c r="L1685" s="3">
        <f>(tblSales[[#This Row],[Sales]]-tblSales[[#This Row],[Budget]])/tblSales[[#This Row],[Budget]]</f>
        <v>-6.1131368275243937E-2</v>
      </c>
      <c r="M1685" s="2">
        <f>tblSales[[#This Row],[Sales]]/tblSales[[#This Row],[Transactions]]</f>
        <v>419</v>
      </c>
    </row>
    <row r="1686" spans="1:13" x14ac:dyDescent="0.25">
      <c r="A1686" s="1">
        <v>46107</v>
      </c>
      <c r="B1686" t="s">
        <v>13</v>
      </c>
      <c r="C1686" t="s">
        <v>7</v>
      </c>
      <c r="D1686" t="str">
        <f>_xlfn.XLOOKUP(tblSales[[#This Row],[Store ID]],tblStores[Store ID],tblStores[Store Name])</f>
        <v>Richards Bay</v>
      </c>
      <c r="E1686" t="str">
        <f>_xlfn.XLOOKUP(tblSales[[#This Row],[Store ID]],tblStores[Store ID],tblStores[Province])</f>
        <v>KZN</v>
      </c>
      <c r="F1686" t="str">
        <f>_xlfn.XLOOKUP(tblSales[[#This Row],[Store ID]],tblStores[Store ID],tblStores[Manager])</f>
        <v>David Green</v>
      </c>
      <c r="G1686" t="str">
        <f>_xlfn.XLOOKUP(tblSales[[#This Row],[Category ID]],tblCategories[Category ID],tblCategories[Category])</f>
        <v>Menswear</v>
      </c>
      <c r="H1686">
        <v>81576</v>
      </c>
      <c r="I1686">
        <v>92235</v>
      </c>
      <c r="J1686">
        <v>198</v>
      </c>
      <c r="K1686">
        <f>tblSales[[#This Row],[Sales]]-tblSales[[#This Row],[Budget]]</f>
        <v>-10659</v>
      </c>
      <c r="L1686" s="3">
        <f>(tblSales[[#This Row],[Sales]]-tblSales[[#This Row],[Budget]])/tblSales[[#This Row],[Budget]]</f>
        <v>-0.11556350626118068</v>
      </c>
      <c r="M1686" s="2">
        <f>tblSales[[#This Row],[Sales]]/tblSales[[#This Row],[Transactions]]</f>
        <v>412</v>
      </c>
    </row>
    <row r="1687" spans="1:13" x14ac:dyDescent="0.25">
      <c r="A1687" s="1">
        <v>46107</v>
      </c>
      <c r="B1687" t="s">
        <v>14</v>
      </c>
      <c r="C1687" t="s">
        <v>22</v>
      </c>
      <c r="D1687" t="str">
        <f>_xlfn.XLOOKUP(tblSales[[#This Row],[Store ID]],tblStores[Store ID],tblStores[Store Name])</f>
        <v>Sandton</v>
      </c>
      <c r="E1687" t="str">
        <f>_xlfn.XLOOKUP(tblSales[[#This Row],[Store ID]],tblStores[Store ID],tblStores[Province])</f>
        <v>Gauteng</v>
      </c>
      <c r="F1687" t="str">
        <f>_xlfn.XLOOKUP(tblSales[[#This Row],[Store ID]],tblStores[Store ID],tblStores[Manager])</f>
        <v>Karen White</v>
      </c>
      <c r="G1687" t="str">
        <f>_xlfn.XLOOKUP(tblSales[[#This Row],[Category ID]],tblCategories[Category ID],tblCategories[Category])</f>
        <v>Kids</v>
      </c>
      <c r="H1687">
        <v>49680</v>
      </c>
      <c r="I1687">
        <v>47908</v>
      </c>
      <c r="J1687">
        <v>144</v>
      </c>
      <c r="K1687">
        <f>tblSales[[#This Row],[Sales]]-tblSales[[#This Row],[Budget]]</f>
        <v>1772</v>
      </c>
      <c r="L1687" s="3">
        <f>(tblSales[[#This Row],[Sales]]-tblSales[[#This Row],[Budget]])/tblSales[[#This Row],[Budget]]</f>
        <v>3.6987559489020626E-2</v>
      </c>
      <c r="M1687" s="2">
        <f>tblSales[[#This Row],[Sales]]/tblSales[[#This Row],[Transactions]]</f>
        <v>345</v>
      </c>
    </row>
    <row r="1688" spans="1:13" x14ac:dyDescent="0.25">
      <c r="A1688" s="1">
        <v>46107</v>
      </c>
      <c r="B1688" t="s">
        <v>15</v>
      </c>
      <c r="C1688" t="s">
        <v>7</v>
      </c>
      <c r="D1688" t="str">
        <f>_xlfn.XLOOKUP(tblSales[[#This Row],[Store ID]],tblStores[Store ID],tblStores[Store Name])</f>
        <v>Rosebank</v>
      </c>
      <c r="E1688" t="str">
        <f>_xlfn.XLOOKUP(tblSales[[#This Row],[Store ID]],tblStores[Store ID],tblStores[Province])</f>
        <v>Gauteng</v>
      </c>
      <c r="F1688" t="str">
        <f>_xlfn.XLOOKUP(tblSales[[#This Row],[Store ID]],tblStores[Store ID],tblStores[Manager])</f>
        <v>James Taylor</v>
      </c>
      <c r="G1688" t="str">
        <f>_xlfn.XLOOKUP(tblSales[[#This Row],[Category ID]],tblCategories[Category ID],tblCategories[Category])</f>
        <v>Menswear</v>
      </c>
      <c r="H1688">
        <v>22155</v>
      </c>
      <c r="I1688">
        <v>22059</v>
      </c>
      <c r="J1688">
        <v>105</v>
      </c>
      <c r="K1688">
        <f>tblSales[[#This Row],[Sales]]-tblSales[[#This Row],[Budget]]</f>
        <v>96</v>
      </c>
      <c r="L1688" s="3">
        <f>(tblSales[[#This Row],[Sales]]-tblSales[[#This Row],[Budget]])/tblSales[[#This Row],[Budget]]</f>
        <v>4.3519651842785258E-3</v>
      </c>
      <c r="M1688" s="2">
        <f>tblSales[[#This Row],[Sales]]/tblSales[[#This Row],[Transactions]]</f>
        <v>211</v>
      </c>
    </row>
    <row r="1689" spans="1:13" x14ac:dyDescent="0.25">
      <c r="A1689" s="1">
        <v>46107</v>
      </c>
      <c r="B1689" t="s">
        <v>16</v>
      </c>
      <c r="C1689" t="s">
        <v>22</v>
      </c>
      <c r="D1689" t="str">
        <f>_xlfn.XLOOKUP(tblSales[[#This Row],[Store ID]],tblStores[Store ID],tblStores[Store Name])</f>
        <v>Pretoria</v>
      </c>
      <c r="E1689" t="str">
        <f>_xlfn.XLOOKUP(tblSales[[#This Row],[Store ID]],tblStores[Store ID],tblStores[Province])</f>
        <v>Gauteng</v>
      </c>
      <c r="F1689" t="str">
        <f>_xlfn.XLOOKUP(tblSales[[#This Row],[Store ID]],tblStores[Store ID],tblStores[Manager])</f>
        <v>Susan Clark</v>
      </c>
      <c r="G1689" t="str">
        <f>_xlfn.XLOOKUP(tblSales[[#This Row],[Category ID]],tblCategories[Category ID],tblCategories[Category])</f>
        <v>Kids</v>
      </c>
      <c r="H1689">
        <v>15600</v>
      </c>
      <c r="I1689">
        <v>17766</v>
      </c>
      <c r="J1689">
        <v>50</v>
      </c>
      <c r="K1689">
        <f>tblSales[[#This Row],[Sales]]-tblSales[[#This Row],[Budget]]</f>
        <v>-2166</v>
      </c>
      <c r="L1689" s="3">
        <f>(tblSales[[#This Row],[Sales]]-tblSales[[#This Row],[Budget]])/tblSales[[#This Row],[Budget]]</f>
        <v>-0.12191827085444107</v>
      </c>
      <c r="M1689" s="2">
        <f>tblSales[[#This Row],[Sales]]/tblSales[[#This Row],[Transactions]]</f>
        <v>312</v>
      </c>
    </row>
    <row r="1690" spans="1:13" x14ac:dyDescent="0.25">
      <c r="A1690" s="1">
        <v>46107</v>
      </c>
      <c r="B1690" t="s">
        <v>17</v>
      </c>
      <c r="C1690" t="s">
        <v>22</v>
      </c>
      <c r="D1690" t="str">
        <f>_xlfn.XLOOKUP(tblSales[[#This Row],[Store ID]],tblStores[Store ID],tblStores[Store Name])</f>
        <v>Centurion</v>
      </c>
      <c r="E1690" t="str">
        <f>_xlfn.XLOOKUP(tblSales[[#This Row],[Store ID]],tblStores[Store ID],tblStores[Province])</f>
        <v>Gauteng</v>
      </c>
      <c r="F1690" t="str">
        <f>_xlfn.XLOOKUP(tblSales[[#This Row],[Store ID]],tblStores[Store ID],tblStores[Manager])</f>
        <v>Mark Wilson</v>
      </c>
      <c r="G1690" t="str">
        <f>_xlfn.XLOOKUP(tblSales[[#This Row],[Category ID]],tblCategories[Category ID],tblCategories[Category])</f>
        <v>Kids</v>
      </c>
      <c r="H1690">
        <v>32400</v>
      </c>
      <c r="I1690">
        <v>29722</v>
      </c>
      <c r="J1690">
        <v>80</v>
      </c>
      <c r="K1690">
        <f>tblSales[[#This Row],[Sales]]-tblSales[[#This Row],[Budget]]</f>
        <v>2678</v>
      </c>
      <c r="L1690" s="3">
        <f>(tblSales[[#This Row],[Sales]]-tblSales[[#This Row],[Budget]])/tblSales[[#This Row],[Budget]]</f>
        <v>9.0101608236323266E-2</v>
      </c>
      <c r="M1690" s="2">
        <f>tblSales[[#This Row],[Sales]]/tblSales[[#This Row],[Transactions]]</f>
        <v>405</v>
      </c>
    </row>
    <row r="1691" spans="1:13" x14ac:dyDescent="0.25">
      <c r="A1691" s="1">
        <v>46107</v>
      </c>
      <c r="B1691" t="s">
        <v>18</v>
      </c>
      <c r="C1691" t="s">
        <v>9</v>
      </c>
      <c r="D1691" t="str">
        <f>_xlfn.XLOOKUP(tblSales[[#This Row],[Store ID]],tblStores[Store ID],tblStores[Store Name])</f>
        <v>East Rand</v>
      </c>
      <c r="E1691" t="str">
        <f>_xlfn.XLOOKUP(tblSales[[#This Row],[Store ID]],tblStores[Store ID],tblStores[Province])</f>
        <v>Gauteng</v>
      </c>
      <c r="F1691" t="str">
        <f>_xlfn.XLOOKUP(tblSales[[#This Row],[Store ID]],tblStores[Store ID],tblStores[Manager])</f>
        <v>Lisa Young</v>
      </c>
      <c r="G1691" t="str">
        <f>_xlfn.XLOOKUP(tblSales[[#This Row],[Category ID]],tblCategories[Category ID],tblCategories[Category])</f>
        <v>Ladieswear</v>
      </c>
      <c r="H1691">
        <v>72771</v>
      </c>
      <c r="I1691">
        <v>68740</v>
      </c>
      <c r="J1691">
        <v>191</v>
      </c>
      <c r="K1691">
        <f>tblSales[[#This Row],[Sales]]-tblSales[[#This Row],[Budget]]</f>
        <v>4031</v>
      </c>
      <c r="L1691" s="3">
        <f>(tblSales[[#This Row],[Sales]]-tblSales[[#This Row],[Budget]])/tblSales[[#This Row],[Budget]]</f>
        <v>5.8641256910096015E-2</v>
      </c>
      <c r="M1691" s="2">
        <f>tblSales[[#This Row],[Sales]]/tblSales[[#This Row],[Transactions]]</f>
        <v>381</v>
      </c>
    </row>
    <row r="1692" spans="1:13" x14ac:dyDescent="0.25">
      <c r="A1692" s="1">
        <v>46107</v>
      </c>
      <c r="B1692" t="s">
        <v>20</v>
      </c>
      <c r="C1692" t="s">
        <v>11</v>
      </c>
      <c r="D1692" t="str">
        <f>_xlfn.XLOOKUP(tblSales[[#This Row],[Store ID]],tblStores[Store ID],tblStores[Store Name])</f>
        <v>Cape Town CBD</v>
      </c>
      <c r="E1692" t="str">
        <f>_xlfn.XLOOKUP(tblSales[[#This Row],[Store ID]],tblStores[Store ID],tblStores[Province])</f>
        <v>Western Cape</v>
      </c>
      <c r="F1692" t="str">
        <f>_xlfn.XLOOKUP(tblSales[[#This Row],[Store ID]],tblStores[Store ID],tblStores[Manager])</f>
        <v>Brian Hall</v>
      </c>
      <c r="G1692" t="str">
        <f>_xlfn.XLOOKUP(tblSales[[#This Row],[Category ID]],tblCategories[Category ID],tblCategories[Category])</f>
        <v>Footwear</v>
      </c>
      <c r="H1692">
        <v>15686</v>
      </c>
      <c r="I1692">
        <v>16237</v>
      </c>
      <c r="J1692">
        <v>62</v>
      </c>
      <c r="K1692">
        <f>tblSales[[#This Row],[Sales]]-tblSales[[#This Row],[Budget]]</f>
        <v>-551</v>
      </c>
      <c r="L1692" s="3">
        <f>(tblSales[[#This Row],[Sales]]-tblSales[[#This Row],[Budget]])/tblSales[[#This Row],[Budget]]</f>
        <v>-3.3934840179836175E-2</v>
      </c>
      <c r="M1692" s="2">
        <f>tblSales[[#This Row],[Sales]]/tblSales[[#This Row],[Transactions]]</f>
        <v>253</v>
      </c>
    </row>
    <row r="1693" spans="1:13" x14ac:dyDescent="0.25">
      <c r="A1693" s="1">
        <v>46107</v>
      </c>
      <c r="B1693" t="s">
        <v>21</v>
      </c>
      <c r="C1693" t="s">
        <v>11</v>
      </c>
      <c r="D1693" t="str">
        <f>_xlfn.XLOOKUP(tblSales[[#This Row],[Store ID]],tblStores[Store ID],tblStores[Store Name])</f>
        <v>Canal Walk</v>
      </c>
      <c r="E1693" t="str">
        <f>_xlfn.XLOOKUP(tblSales[[#This Row],[Store ID]],tblStores[Store ID],tblStores[Province])</f>
        <v>Western Cape</v>
      </c>
      <c r="F1693" t="str">
        <f>_xlfn.XLOOKUP(tblSales[[#This Row],[Store ID]],tblStores[Store ID],tblStores[Manager])</f>
        <v>Megan Scott</v>
      </c>
      <c r="G1693" t="str">
        <f>_xlfn.XLOOKUP(tblSales[[#This Row],[Category ID]],tblCategories[Category ID],tblCategories[Category])</f>
        <v>Footwear</v>
      </c>
      <c r="H1693">
        <v>44460</v>
      </c>
      <c r="I1693">
        <v>47164</v>
      </c>
      <c r="J1693">
        <v>90</v>
      </c>
      <c r="K1693">
        <f>tblSales[[#This Row],[Sales]]-tblSales[[#This Row],[Budget]]</f>
        <v>-2704</v>
      </c>
      <c r="L1693" s="3">
        <f>(tblSales[[#This Row],[Sales]]-tblSales[[#This Row],[Budget]])/tblSales[[#This Row],[Budget]]</f>
        <v>-5.7331863285556783E-2</v>
      </c>
      <c r="M1693" s="2">
        <f>tblSales[[#This Row],[Sales]]/tblSales[[#This Row],[Transactions]]</f>
        <v>494</v>
      </c>
    </row>
    <row r="1694" spans="1:13" x14ac:dyDescent="0.25">
      <c r="A1694" s="1">
        <v>46107</v>
      </c>
      <c r="B1694" t="s">
        <v>23</v>
      </c>
      <c r="C1694" t="s">
        <v>11</v>
      </c>
      <c r="D1694" t="str">
        <f>_xlfn.XLOOKUP(tblSales[[#This Row],[Store ID]],tblStores[Store ID],tblStores[Store Name])</f>
        <v>Stellenbosch</v>
      </c>
      <c r="E1694" t="str">
        <f>_xlfn.XLOOKUP(tblSales[[#This Row],[Store ID]],tblStores[Store ID],tblStores[Province])</f>
        <v>Western Cape</v>
      </c>
      <c r="F1694" t="str">
        <f>_xlfn.XLOOKUP(tblSales[[#This Row],[Store ID]],tblStores[Store ID],tblStores[Manager])</f>
        <v>Jason King</v>
      </c>
      <c r="G1694" t="str">
        <f>_xlfn.XLOOKUP(tblSales[[#This Row],[Category ID]],tblCategories[Category ID],tblCategories[Category])</f>
        <v>Footwear</v>
      </c>
      <c r="H1694">
        <v>68016</v>
      </c>
      <c r="I1694">
        <v>62970</v>
      </c>
      <c r="J1694">
        <v>218</v>
      </c>
      <c r="K1694">
        <f>tblSales[[#This Row],[Sales]]-tblSales[[#This Row],[Budget]]</f>
        <v>5046</v>
      </c>
      <c r="L1694" s="3">
        <f>(tblSales[[#This Row],[Sales]]-tblSales[[#This Row],[Budget]])/tblSales[[#This Row],[Budget]]</f>
        <v>8.013339685564555E-2</v>
      </c>
      <c r="M1694" s="2">
        <f>tblSales[[#This Row],[Sales]]/tblSales[[#This Row],[Transactions]]</f>
        <v>312</v>
      </c>
    </row>
    <row r="1695" spans="1:13" x14ac:dyDescent="0.25">
      <c r="A1695" s="1">
        <v>46107</v>
      </c>
      <c r="B1695" t="s">
        <v>24</v>
      </c>
      <c r="C1695" t="s">
        <v>7</v>
      </c>
      <c r="D1695" t="str">
        <f>_xlfn.XLOOKUP(tblSales[[#This Row],[Store ID]],tblStores[Store ID],tblStores[Store Name])</f>
        <v>George</v>
      </c>
      <c r="E1695" t="str">
        <f>_xlfn.XLOOKUP(tblSales[[#This Row],[Store ID]],tblStores[Store ID],tblStores[Province])</f>
        <v>Western Cape</v>
      </c>
      <c r="F1695" t="str">
        <f>_xlfn.XLOOKUP(tblSales[[#This Row],[Store ID]],tblStores[Store ID],tblStores[Manager])</f>
        <v>Chloe Hill</v>
      </c>
      <c r="G1695" t="str">
        <f>_xlfn.XLOOKUP(tblSales[[#This Row],[Category ID]],tblCategories[Category ID],tblCategories[Category])</f>
        <v>Menswear</v>
      </c>
      <c r="H1695">
        <v>25016</v>
      </c>
      <c r="I1695">
        <v>27064</v>
      </c>
      <c r="J1695">
        <v>53</v>
      </c>
      <c r="K1695">
        <f>tblSales[[#This Row],[Sales]]-tblSales[[#This Row],[Budget]]</f>
        <v>-2048</v>
      </c>
      <c r="L1695" s="3">
        <f>(tblSales[[#This Row],[Sales]]-tblSales[[#This Row],[Budget]])/tblSales[[#This Row],[Budget]]</f>
        <v>-7.5672480047295307E-2</v>
      </c>
      <c r="M1695" s="2">
        <f>tblSales[[#This Row],[Sales]]/tblSales[[#This Row],[Transactions]]</f>
        <v>472</v>
      </c>
    </row>
    <row r="1696" spans="1:13" x14ac:dyDescent="0.25">
      <c r="A1696" s="1">
        <v>46107</v>
      </c>
      <c r="B1696" t="s">
        <v>25</v>
      </c>
      <c r="C1696" t="s">
        <v>11</v>
      </c>
      <c r="D1696" t="str">
        <f>_xlfn.XLOOKUP(tblSales[[#This Row],[Store ID]],tblStores[Store ID],tblStores[Store Name])</f>
        <v>Paarl</v>
      </c>
      <c r="E1696" t="str">
        <f>_xlfn.XLOOKUP(tblSales[[#This Row],[Store ID]],tblStores[Store ID],tblStores[Province])</f>
        <v>Western Cape</v>
      </c>
      <c r="F1696" t="str">
        <f>_xlfn.XLOOKUP(tblSales[[#This Row],[Store ID]],tblStores[Store ID],tblStores[Manager])</f>
        <v>Andrew Lee</v>
      </c>
      <c r="G1696" t="str">
        <f>_xlfn.XLOOKUP(tblSales[[#This Row],[Category ID]],tblCategories[Category ID],tblCategories[Category])</f>
        <v>Footwear</v>
      </c>
      <c r="H1696">
        <v>16926</v>
      </c>
      <c r="I1696">
        <v>15863</v>
      </c>
      <c r="J1696">
        <v>39</v>
      </c>
      <c r="K1696">
        <f>tblSales[[#This Row],[Sales]]-tblSales[[#This Row],[Budget]]</f>
        <v>1063</v>
      </c>
      <c r="L1696" s="3">
        <f>(tblSales[[#This Row],[Sales]]-tblSales[[#This Row],[Budget]])/tblSales[[#This Row],[Budget]]</f>
        <v>6.7011284120279901E-2</v>
      </c>
      <c r="M1696" s="2">
        <f>tblSales[[#This Row],[Sales]]/tblSales[[#This Row],[Transactions]]</f>
        <v>434</v>
      </c>
    </row>
    <row r="1697" spans="1:13" x14ac:dyDescent="0.25">
      <c r="A1697" s="1">
        <v>46107</v>
      </c>
      <c r="B1697" t="s">
        <v>26</v>
      </c>
      <c r="C1697" t="s">
        <v>7</v>
      </c>
      <c r="D1697" t="str">
        <f>_xlfn.XLOOKUP(tblSales[[#This Row],[Store ID]],tblStores[Store ID],tblStores[Store Name])</f>
        <v>Gqeberha</v>
      </c>
      <c r="E1697" t="str">
        <f>_xlfn.XLOOKUP(tblSales[[#This Row],[Store ID]],tblStores[Store ID],tblStores[Province])</f>
        <v>Eastern Cape</v>
      </c>
      <c r="F1697" t="str">
        <f>_xlfn.XLOOKUP(tblSales[[#This Row],[Store ID]],tblStores[Store ID],tblStores[Manager])</f>
        <v>Emma Baker</v>
      </c>
      <c r="G1697" t="str">
        <f>_xlfn.XLOOKUP(tblSales[[#This Row],[Category ID]],tblCategories[Category ID],tblCategories[Category])</f>
        <v>Menswear</v>
      </c>
      <c r="H1697">
        <v>22880</v>
      </c>
      <c r="I1697">
        <v>22825</v>
      </c>
      <c r="J1697">
        <v>44</v>
      </c>
      <c r="K1697">
        <f>tblSales[[#This Row],[Sales]]-tblSales[[#This Row],[Budget]]</f>
        <v>55</v>
      </c>
      <c r="L1697" s="3">
        <f>(tblSales[[#This Row],[Sales]]-tblSales[[#This Row],[Budget]])/tblSales[[#This Row],[Budget]]</f>
        <v>2.4096385542168677E-3</v>
      </c>
      <c r="M1697" s="2">
        <f>tblSales[[#This Row],[Sales]]/tblSales[[#This Row],[Transactions]]</f>
        <v>520</v>
      </c>
    </row>
    <row r="1698" spans="1:13" x14ac:dyDescent="0.25">
      <c r="A1698" s="1">
        <v>46107</v>
      </c>
      <c r="B1698" t="s">
        <v>27</v>
      </c>
      <c r="C1698" t="s">
        <v>9</v>
      </c>
      <c r="D1698" t="str">
        <f>_xlfn.XLOOKUP(tblSales[[#This Row],[Store ID]],tblStores[Store ID],tblStores[Store Name])</f>
        <v>East London</v>
      </c>
      <c r="E1698" t="str">
        <f>_xlfn.XLOOKUP(tblSales[[#This Row],[Store ID]],tblStores[Store ID],tblStores[Province])</f>
        <v>Eastern Cape</v>
      </c>
      <c r="F1698" t="str">
        <f>_xlfn.XLOOKUP(tblSales[[#This Row],[Store ID]],tblStores[Store ID],tblStores[Manager])</f>
        <v>Daniel Evans</v>
      </c>
      <c r="G1698" t="str">
        <f>_xlfn.XLOOKUP(tblSales[[#This Row],[Category ID]],tblCategories[Category ID],tblCategories[Category])</f>
        <v>Ladieswear</v>
      </c>
      <c r="H1698">
        <v>74472</v>
      </c>
      <c r="I1698">
        <v>83866</v>
      </c>
      <c r="J1698">
        <v>214</v>
      </c>
      <c r="K1698">
        <f>tblSales[[#This Row],[Sales]]-tblSales[[#This Row],[Budget]]</f>
        <v>-9394</v>
      </c>
      <c r="L1698" s="3">
        <f>(tblSales[[#This Row],[Sales]]-tblSales[[#This Row],[Budget]])/tblSales[[#This Row],[Budget]]</f>
        <v>-0.11201201917344335</v>
      </c>
      <c r="M1698" s="2">
        <f>tblSales[[#This Row],[Sales]]/tblSales[[#This Row],[Transactions]]</f>
        <v>348</v>
      </c>
    </row>
    <row r="1699" spans="1:13" x14ac:dyDescent="0.25">
      <c r="A1699" s="1">
        <v>46107</v>
      </c>
      <c r="B1699" t="s">
        <v>28</v>
      </c>
      <c r="C1699" t="s">
        <v>19</v>
      </c>
      <c r="D1699" t="str">
        <f>_xlfn.XLOOKUP(tblSales[[#This Row],[Store ID]],tblStores[Store ID],tblStores[Store Name])</f>
        <v>Bloemfontein</v>
      </c>
      <c r="E1699" t="str">
        <f>_xlfn.XLOOKUP(tblSales[[#This Row],[Store ID]],tblStores[Store ID],tblStores[Province])</f>
        <v>Free State</v>
      </c>
      <c r="F1699" t="str">
        <f>_xlfn.XLOOKUP(tblSales[[#This Row],[Store ID]],tblStores[Store ID],tblStores[Manager])</f>
        <v>Rachel Moore</v>
      </c>
      <c r="G1699" t="str">
        <f>_xlfn.XLOOKUP(tblSales[[#This Row],[Category ID]],tblCategories[Category ID],tblCategories[Category])</f>
        <v>Accessories</v>
      </c>
      <c r="H1699">
        <v>15505</v>
      </c>
      <c r="I1699">
        <v>16697</v>
      </c>
      <c r="J1699">
        <v>35</v>
      </c>
      <c r="K1699">
        <f>tblSales[[#This Row],[Sales]]-tblSales[[#This Row],[Budget]]</f>
        <v>-1192</v>
      </c>
      <c r="L1699" s="3">
        <f>(tblSales[[#This Row],[Sales]]-tblSales[[#This Row],[Budget]])/tblSales[[#This Row],[Budget]]</f>
        <v>-7.1390070072468115E-2</v>
      </c>
      <c r="M1699" s="2">
        <f>tblSales[[#This Row],[Sales]]/tblSales[[#This Row],[Transactions]]</f>
        <v>443</v>
      </c>
    </row>
    <row r="1700" spans="1:13" x14ac:dyDescent="0.25">
      <c r="A1700" s="1">
        <v>46107</v>
      </c>
      <c r="B1700" t="s">
        <v>29</v>
      </c>
      <c r="C1700" t="s">
        <v>11</v>
      </c>
      <c r="D1700" t="str">
        <f>_xlfn.XLOOKUP(tblSales[[#This Row],[Store ID]],tblStores[Store ID],tblStores[Store Name])</f>
        <v>Polokwane</v>
      </c>
      <c r="E1700" t="str">
        <f>_xlfn.XLOOKUP(tblSales[[#This Row],[Store ID]],tblStores[Store ID],tblStores[Province])</f>
        <v>Limpopo</v>
      </c>
      <c r="F1700" t="str">
        <f>_xlfn.XLOOKUP(tblSales[[#This Row],[Store ID]],tblStores[Store ID],tblStores[Manager])</f>
        <v>Kevin Harris</v>
      </c>
      <c r="G1700" t="str">
        <f>_xlfn.XLOOKUP(tblSales[[#This Row],[Category ID]],tblCategories[Category ID],tblCategories[Category])</f>
        <v>Footwear</v>
      </c>
      <c r="H1700">
        <v>63271</v>
      </c>
      <c r="I1700">
        <v>63332</v>
      </c>
      <c r="J1700">
        <v>157</v>
      </c>
      <c r="K1700">
        <f>tblSales[[#This Row],[Sales]]-tblSales[[#This Row],[Budget]]</f>
        <v>-61</v>
      </c>
      <c r="L1700" s="3">
        <f>(tblSales[[#This Row],[Sales]]-tblSales[[#This Row],[Budget]])/tblSales[[#This Row],[Budget]]</f>
        <v>-9.6317817217204569E-4</v>
      </c>
      <c r="M1700" s="2">
        <f>tblSales[[#This Row],[Sales]]/tblSales[[#This Row],[Transactions]]</f>
        <v>403</v>
      </c>
    </row>
    <row r="1701" spans="1:13" x14ac:dyDescent="0.25">
      <c r="A1701" s="1">
        <v>46107</v>
      </c>
      <c r="B1701" t="s">
        <v>30</v>
      </c>
      <c r="C1701" t="s">
        <v>7</v>
      </c>
      <c r="D1701" t="str">
        <f>_xlfn.XLOOKUP(tblSales[[#This Row],[Store ID]],tblStores[Store ID],tblStores[Store Name])</f>
        <v>Nelspruit</v>
      </c>
      <c r="E1701" t="str">
        <f>_xlfn.XLOOKUP(tblSales[[#This Row],[Store ID]],tblStores[Store ID],tblStores[Province])</f>
        <v>Mpumalanga</v>
      </c>
      <c r="F1701" t="str">
        <f>_xlfn.XLOOKUP(tblSales[[#This Row],[Store ID]],tblStores[Store ID],tblStores[Manager])</f>
        <v>Olivia Turner</v>
      </c>
      <c r="G1701" t="str">
        <f>_xlfn.XLOOKUP(tblSales[[#This Row],[Category ID]],tblCategories[Category ID],tblCategories[Category])</f>
        <v>Menswear</v>
      </c>
      <c r="H1701">
        <v>51035</v>
      </c>
      <c r="I1701">
        <v>45973</v>
      </c>
      <c r="J1701">
        <v>173</v>
      </c>
      <c r="K1701">
        <f>tblSales[[#This Row],[Sales]]-tblSales[[#This Row],[Budget]]</f>
        <v>5062</v>
      </c>
      <c r="L1701" s="3">
        <f>(tblSales[[#This Row],[Sales]]-tblSales[[#This Row],[Budget]])/tblSales[[#This Row],[Budget]]</f>
        <v>0.11010810693232985</v>
      </c>
      <c r="M1701" s="2">
        <f>tblSales[[#This Row],[Sales]]/tblSales[[#This Row],[Transactions]]</f>
        <v>295</v>
      </c>
    </row>
    <row r="1702" spans="1:13" x14ac:dyDescent="0.25">
      <c r="A1702" s="1">
        <v>46108</v>
      </c>
      <c r="B1702" t="s">
        <v>6</v>
      </c>
      <c r="C1702" t="s">
        <v>11</v>
      </c>
      <c r="D1702" t="str">
        <f>_xlfn.XLOOKUP(tblSales[[#This Row],[Store ID]],tblStores[Store ID],tblStores[Store Name])</f>
        <v>Durban CBD</v>
      </c>
      <c r="E1702" t="str">
        <f>_xlfn.XLOOKUP(tblSales[[#This Row],[Store ID]],tblStores[Store ID],tblStores[Province])</f>
        <v>KZN</v>
      </c>
      <c r="F1702" t="str">
        <f>_xlfn.XLOOKUP(tblSales[[#This Row],[Store ID]],tblStores[Store ID],tblStores[Manager])</f>
        <v>Sarah Adams</v>
      </c>
      <c r="G1702" t="str">
        <f>_xlfn.XLOOKUP(tblSales[[#This Row],[Category ID]],tblCategories[Category ID],tblCategories[Category])</f>
        <v>Footwear</v>
      </c>
      <c r="H1702">
        <v>31020</v>
      </c>
      <c r="I1702">
        <v>32069</v>
      </c>
      <c r="J1702">
        <v>66</v>
      </c>
      <c r="K1702">
        <f>tblSales[[#This Row],[Sales]]-tblSales[[#This Row],[Budget]]</f>
        <v>-1049</v>
      </c>
      <c r="L1702" s="3">
        <f>(tblSales[[#This Row],[Sales]]-tblSales[[#This Row],[Budget]])/tblSales[[#This Row],[Budget]]</f>
        <v>-3.2710717515357507E-2</v>
      </c>
      <c r="M1702" s="2">
        <f>tblSales[[#This Row],[Sales]]/tblSales[[#This Row],[Transactions]]</f>
        <v>470</v>
      </c>
    </row>
    <row r="1703" spans="1:13" x14ac:dyDescent="0.25">
      <c r="A1703" s="1">
        <v>46108</v>
      </c>
      <c r="B1703" t="s">
        <v>8</v>
      </c>
      <c r="C1703" t="s">
        <v>22</v>
      </c>
      <c r="D1703" t="str">
        <f>_xlfn.XLOOKUP(tblSales[[#This Row],[Store ID]],tblStores[Store ID],tblStores[Store Name])</f>
        <v>Gateway</v>
      </c>
      <c r="E1703" t="str">
        <f>_xlfn.XLOOKUP(tblSales[[#This Row],[Store ID]],tblStores[Store ID],tblStores[Province])</f>
        <v>KZN</v>
      </c>
      <c r="F1703" t="str">
        <f>_xlfn.XLOOKUP(tblSales[[#This Row],[Store ID]],tblStores[Store ID],tblStores[Manager])</f>
        <v>Michael Jones</v>
      </c>
      <c r="G1703" t="str">
        <f>_xlfn.XLOOKUP(tblSales[[#This Row],[Category ID]],tblCategories[Category ID],tblCategories[Category])</f>
        <v>Kids</v>
      </c>
      <c r="H1703">
        <v>40200</v>
      </c>
      <c r="I1703">
        <v>40206</v>
      </c>
      <c r="J1703">
        <v>120</v>
      </c>
      <c r="K1703">
        <f>tblSales[[#This Row],[Sales]]-tblSales[[#This Row],[Budget]]</f>
        <v>-6</v>
      </c>
      <c r="L1703" s="3">
        <f>(tblSales[[#This Row],[Sales]]-tblSales[[#This Row],[Budget]])/tblSales[[#This Row],[Budget]]</f>
        <v>-1.4923145799134458E-4</v>
      </c>
      <c r="M1703" s="2">
        <f>tblSales[[#This Row],[Sales]]/tblSales[[#This Row],[Transactions]]</f>
        <v>335</v>
      </c>
    </row>
    <row r="1704" spans="1:13" x14ac:dyDescent="0.25">
      <c r="A1704" s="1">
        <v>46108</v>
      </c>
      <c r="B1704" t="s">
        <v>10</v>
      </c>
      <c r="C1704" t="s">
        <v>7</v>
      </c>
      <c r="D1704" t="str">
        <f>_xlfn.XLOOKUP(tblSales[[#This Row],[Store ID]],tblStores[Store ID],tblStores[Store Name])</f>
        <v>Ballito</v>
      </c>
      <c r="E1704" t="str">
        <f>_xlfn.XLOOKUP(tblSales[[#This Row],[Store ID]],tblStores[Store ID],tblStores[Province])</f>
        <v>KZN</v>
      </c>
      <c r="F1704" t="str">
        <f>_xlfn.XLOOKUP(tblSales[[#This Row],[Store ID]],tblStores[Store ID],tblStores[Manager])</f>
        <v>Linda Smith</v>
      </c>
      <c r="G1704" t="str">
        <f>_xlfn.XLOOKUP(tblSales[[#This Row],[Category ID]],tblCategories[Category ID],tblCategories[Category])</f>
        <v>Menswear</v>
      </c>
      <c r="H1704">
        <v>57984</v>
      </c>
      <c r="I1704">
        <v>64555</v>
      </c>
      <c r="J1704">
        <v>128</v>
      </c>
      <c r="K1704">
        <f>tblSales[[#This Row],[Sales]]-tblSales[[#This Row],[Budget]]</f>
        <v>-6571</v>
      </c>
      <c r="L1704" s="3">
        <f>(tblSales[[#This Row],[Sales]]-tblSales[[#This Row],[Budget]])/tblSales[[#This Row],[Budget]]</f>
        <v>-0.10178917202385562</v>
      </c>
      <c r="M1704" s="2">
        <f>tblSales[[#This Row],[Sales]]/tblSales[[#This Row],[Transactions]]</f>
        <v>453</v>
      </c>
    </row>
    <row r="1705" spans="1:13" x14ac:dyDescent="0.25">
      <c r="A1705" s="1">
        <v>46108</v>
      </c>
      <c r="B1705" t="s">
        <v>12</v>
      </c>
      <c r="C1705" t="s">
        <v>22</v>
      </c>
      <c r="D1705" t="str">
        <f>_xlfn.XLOOKUP(tblSales[[#This Row],[Store ID]],tblStores[Store ID],tblStores[Store Name])</f>
        <v>Pietermaritzburg</v>
      </c>
      <c r="E1705" t="str">
        <f>_xlfn.XLOOKUP(tblSales[[#This Row],[Store ID]],tblStores[Store ID],tblStores[Province])</f>
        <v>KZN</v>
      </c>
      <c r="F1705" t="str">
        <f>_xlfn.XLOOKUP(tblSales[[#This Row],[Store ID]],tblStores[Store ID],tblStores[Manager])</f>
        <v>Peter Brown</v>
      </c>
      <c r="G1705" t="str">
        <f>_xlfn.XLOOKUP(tblSales[[#This Row],[Category ID]],tblCategories[Category ID],tblCategories[Category])</f>
        <v>Kids</v>
      </c>
      <c r="H1705">
        <v>22825</v>
      </c>
      <c r="I1705">
        <v>24881</v>
      </c>
      <c r="J1705">
        <v>55</v>
      </c>
      <c r="K1705">
        <f>tblSales[[#This Row],[Sales]]-tblSales[[#This Row],[Budget]]</f>
        <v>-2056</v>
      </c>
      <c r="L1705" s="3">
        <f>(tblSales[[#This Row],[Sales]]-tblSales[[#This Row],[Budget]])/tblSales[[#This Row],[Budget]]</f>
        <v>-8.2633334673043693E-2</v>
      </c>
      <c r="M1705" s="2">
        <f>tblSales[[#This Row],[Sales]]/tblSales[[#This Row],[Transactions]]</f>
        <v>415</v>
      </c>
    </row>
    <row r="1706" spans="1:13" x14ac:dyDescent="0.25">
      <c r="A1706" s="1">
        <v>46108</v>
      </c>
      <c r="B1706" t="s">
        <v>13</v>
      </c>
      <c r="C1706" t="s">
        <v>22</v>
      </c>
      <c r="D1706" t="str">
        <f>_xlfn.XLOOKUP(tblSales[[#This Row],[Store ID]],tblStores[Store ID],tblStores[Store Name])</f>
        <v>Richards Bay</v>
      </c>
      <c r="E1706" t="str">
        <f>_xlfn.XLOOKUP(tblSales[[#This Row],[Store ID]],tblStores[Store ID],tblStores[Province])</f>
        <v>KZN</v>
      </c>
      <c r="F1706" t="str">
        <f>_xlfn.XLOOKUP(tblSales[[#This Row],[Store ID]],tblStores[Store ID],tblStores[Manager])</f>
        <v>David Green</v>
      </c>
      <c r="G1706" t="str">
        <f>_xlfn.XLOOKUP(tblSales[[#This Row],[Category ID]],tblCategories[Category ID],tblCategories[Category])</f>
        <v>Kids</v>
      </c>
      <c r="H1706">
        <v>56600</v>
      </c>
      <c r="I1706">
        <v>53439</v>
      </c>
      <c r="J1706">
        <v>200</v>
      </c>
      <c r="K1706">
        <f>tblSales[[#This Row],[Sales]]-tblSales[[#This Row],[Budget]]</f>
        <v>3161</v>
      </c>
      <c r="L1706" s="3">
        <f>(tblSales[[#This Row],[Sales]]-tblSales[[#This Row],[Budget]])/tblSales[[#This Row],[Budget]]</f>
        <v>5.9151555979715192E-2</v>
      </c>
      <c r="M1706" s="2">
        <f>tblSales[[#This Row],[Sales]]/tblSales[[#This Row],[Transactions]]</f>
        <v>283</v>
      </c>
    </row>
    <row r="1707" spans="1:13" x14ac:dyDescent="0.25">
      <c r="A1707" s="1">
        <v>46108</v>
      </c>
      <c r="B1707" t="s">
        <v>14</v>
      </c>
      <c r="C1707" t="s">
        <v>7</v>
      </c>
      <c r="D1707" t="str">
        <f>_xlfn.XLOOKUP(tblSales[[#This Row],[Store ID]],tblStores[Store ID],tblStores[Store Name])</f>
        <v>Sandton</v>
      </c>
      <c r="E1707" t="str">
        <f>_xlfn.XLOOKUP(tblSales[[#This Row],[Store ID]],tblStores[Store ID],tblStores[Province])</f>
        <v>Gauteng</v>
      </c>
      <c r="F1707" t="str">
        <f>_xlfn.XLOOKUP(tblSales[[#This Row],[Store ID]],tblStores[Store ID],tblStores[Manager])</f>
        <v>Karen White</v>
      </c>
      <c r="G1707" t="str">
        <f>_xlfn.XLOOKUP(tblSales[[#This Row],[Category ID]],tblCategories[Category ID],tblCategories[Category])</f>
        <v>Menswear</v>
      </c>
      <c r="H1707">
        <v>68894</v>
      </c>
      <c r="I1707">
        <v>65294</v>
      </c>
      <c r="J1707">
        <v>133</v>
      </c>
      <c r="K1707">
        <f>tblSales[[#This Row],[Sales]]-tblSales[[#This Row],[Budget]]</f>
        <v>3600</v>
      </c>
      <c r="L1707" s="3">
        <f>(tblSales[[#This Row],[Sales]]-tblSales[[#This Row],[Budget]])/tblSales[[#This Row],[Budget]]</f>
        <v>5.5135234477899961E-2</v>
      </c>
      <c r="M1707" s="2">
        <f>tblSales[[#This Row],[Sales]]/tblSales[[#This Row],[Transactions]]</f>
        <v>518</v>
      </c>
    </row>
    <row r="1708" spans="1:13" x14ac:dyDescent="0.25">
      <c r="A1708" s="1">
        <v>46108</v>
      </c>
      <c r="B1708" t="s">
        <v>15</v>
      </c>
      <c r="C1708" t="s">
        <v>11</v>
      </c>
      <c r="D1708" t="str">
        <f>_xlfn.XLOOKUP(tblSales[[#This Row],[Store ID]],tblStores[Store ID],tblStores[Store Name])</f>
        <v>Rosebank</v>
      </c>
      <c r="E1708" t="str">
        <f>_xlfn.XLOOKUP(tblSales[[#This Row],[Store ID]],tblStores[Store ID],tblStores[Province])</f>
        <v>Gauteng</v>
      </c>
      <c r="F1708" t="str">
        <f>_xlfn.XLOOKUP(tblSales[[#This Row],[Store ID]],tblStores[Store ID],tblStores[Manager])</f>
        <v>James Taylor</v>
      </c>
      <c r="G1708" t="str">
        <f>_xlfn.XLOOKUP(tblSales[[#This Row],[Category ID]],tblCategories[Category ID],tblCategories[Category])</f>
        <v>Footwear</v>
      </c>
      <c r="H1708">
        <v>31124</v>
      </c>
      <c r="I1708">
        <v>33371</v>
      </c>
      <c r="J1708">
        <v>62</v>
      </c>
      <c r="K1708">
        <f>tblSales[[#This Row],[Sales]]-tblSales[[#This Row],[Budget]]</f>
        <v>-2247</v>
      </c>
      <c r="L1708" s="3">
        <f>(tblSales[[#This Row],[Sales]]-tblSales[[#This Row],[Budget]])/tblSales[[#This Row],[Budget]]</f>
        <v>-6.73339126786731E-2</v>
      </c>
      <c r="M1708" s="2">
        <f>tblSales[[#This Row],[Sales]]/tblSales[[#This Row],[Transactions]]</f>
        <v>502</v>
      </c>
    </row>
    <row r="1709" spans="1:13" x14ac:dyDescent="0.25">
      <c r="A1709" s="1">
        <v>46108</v>
      </c>
      <c r="B1709" t="s">
        <v>16</v>
      </c>
      <c r="C1709" t="s">
        <v>11</v>
      </c>
      <c r="D1709" t="str">
        <f>_xlfn.XLOOKUP(tblSales[[#This Row],[Store ID]],tblStores[Store ID],tblStores[Store Name])</f>
        <v>Pretoria</v>
      </c>
      <c r="E1709" t="str">
        <f>_xlfn.XLOOKUP(tblSales[[#This Row],[Store ID]],tblStores[Store ID],tblStores[Province])</f>
        <v>Gauteng</v>
      </c>
      <c r="F1709" t="str">
        <f>_xlfn.XLOOKUP(tblSales[[#This Row],[Store ID]],tblStores[Store ID],tblStores[Manager])</f>
        <v>Susan Clark</v>
      </c>
      <c r="G1709" t="str">
        <f>_xlfn.XLOOKUP(tblSales[[#This Row],[Category ID]],tblCategories[Category ID],tblCategories[Category])</f>
        <v>Footwear</v>
      </c>
      <c r="H1709">
        <v>28168</v>
      </c>
      <c r="I1709">
        <v>28435</v>
      </c>
      <c r="J1709">
        <v>56</v>
      </c>
      <c r="K1709">
        <f>tblSales[[#This Row],[Sales]]-tblSales[[#This Row],[Budget]]</f>
        <v>-267</v>
      </c>
      <c r="L1709" s="3">
        <f>(tblSales[[#This Row],[Sales]]-tblSales[[#This Row],[Budget]])/tblSales[[#This Row],[Budget]]</f>
        <v>-9.3898364691401438E-3</v>
      </c>
      <c r="M1709" s="2">
        <f>tblSales[[#This Row],[Sales]]/tblSales[[#This Row],[Transactions]]</f>
        <v>503</v>
      </c>
    </row>
    <row r="1710" spans="1:13" x14ac:dyDescent="0.25">
      <c r="A1710" s="1">
        <v>46108</v>
      </c>
      <c r="B1710" t="s">
        <v>17</v>
      </c>
      <c r="C1710" t="s">
        <v>9</v>
      </c>
      <c r="D1710" t="str">
        <f>_xlfn.XLOOKUP(tblSales[[#This Row],[Store ID]],tblStores[Store ID],tblStores[Store Name])</f>
        <v>Centurion</v>
      </c>
      <c r="E1710" t="str">
        <f>_xlfn.XLOOKUP(tblSales[[#This Row],[Store ID]],tblStores[Store ID],tblStores[Province])</f>
        <v>Gauteng</v>
      </c>
      <c r="F1710" t="str">
        <f>_xlfn.XLOOKUP(tblSales[[#This Row],[Store ID]],tblStores[Store ID],tblStores[Manager])</f>
        <v>Mark Wilson</v>
      </c>
      <c r="G1710" t="str">
        <f>_xlfn.XLOOKUP(tblSales[[#This Row],[Category ID]],tblCategories[Category ID],tblCategories[Category])</f>
        <v>Ladieswear</v>
      </c>
      <c r="H1710">
        <v>13860</v>
      </c>
      <c r="I1710">
        <v>13143</v>
      </c>
      <c r="J1710">
        <v>70</v>
      </c>
      <c r="K1710">
        <f>tblSales[[#This Row],[Sales]]-tblSales[[#This Row],[Budget]]</f>
        <v>717</v>
      </c>
      <c r="L1710" s="3">
        <f>(tblSales[[#This Row],[Sales]]-tblSales[[#This Row],[Budget]])/tblSales[[#This Row],[Budget]]</f>
        <v>5.4553754850490757E-2</v>
      </c>
      <c r="M1710" s="2">
        <f>tblSales[[#This Row],[Sales]]/tblSales[[#This Row],[Transactions]]</f>
        <v>198</v>
      </c>
    </row>
    <row r="1711" spans="1:13" x14ac:dyDescent="0.25">
      <c r="A1711" s="1">
        <v>46108</v>
      </c>
      <c r="B1711" t="s">
        <v>18</v>
      </c>
      <c r="C1711" t="s">
        <v>19</v>
      </c>
      <c r="D1711" t="str">
        <f>_xlfn.XLOOKUP(tblSales[[#This Row],[Store ID]],tblStores[Store ID],tblStores[Store Name])</f>
        <v>East Rand</v>
      </c>
      <c r="E1711" t="str">
        <f>_xlfn.XLOOKUP(tblSales[[#This Row],[Store ID]],tblStores[Store ID],tblStores[Province])</f>
        <v>Gauteng</v>
      </c>
      <c r="F1711" t="str">
        <f>_xlfn.XLOOKUP(tblSales[[#This Row],[Store ID]],tblStores[Store ID],tblStores[Manager])</f>
        <v>Lisa Young</v>
      </c>
      <c r="G1711" t="str">
        <f>_xlfn.XLOOKUP(tblSales[[#This Row],[Category ID]],tblCategories[Category ID],tblCategories[Category])</f>
        <v>Accessories</v>
      </c>
      <c r="H1711">
        <v>41280</v>
      </c>
      <c r="I1711">
        <v>41164</v>
      </c>
      <c r="J1711">
        <v>96</v>
      </c>
      <c r="K1711">
        <f>tblSales[[#This Row],[Sales]]-tblSales[[#This Row],[Budget]]</f>
        <v>116</v>
      </c>
      <c r="L1711" s="3">
        <f>(tblSales[[#This Row],[Sales]]-tblSales[[#This Row],[Budget]])/tblSales[[#This Row],[Budget]]</f>
        <v>2.8179963074531143E-3</v>
      </c>
      <c r="M1711" s="2">
        <f>tblSales[[#This Row],[Sales]]/tblSales[[#This Row],[Transactions]]</f>
        <v>430</v>
      </c>
    </row>
    <row r="1712" spans="1:13" x14ac:dyDescent="0.25">
      <c r="A1712" s="1">
        <v>46108</v>
      </c>
      <c r="B1712" t="s">
        <v>20</v>
      </c>
      <c r="C1712" t="s">
        <v>19</v>
      </c>
      <c r="D1712" t="str">
        <f>_xlfn.XLOOKUP(tblSales[[#This Row],[Store ID]],tblStores[Store ID],tblStores[Store Name])</f>
        <v>Cape Town CBD</v>
      </c>
      <c r="E1712" t="str">
        <f>_xlfn.XLOOKUP(tblSales[[#This Row],[Store ID]],tblStores[Store ID],tblStores[Province])</f>
        <v>Western Cape</v>
      </c>
      <c r="F1712" t="str">
        <f>_xlfn.XLOOKUP(tblSales[[#This Row],[Store ID]],tblStores[Store ID],tblStores[Manager])</f>
        <v>Brian Hall</v>
      </c>
      <c r="G1712" t="str">
        <f>_xlfn.XLOOKUP(tblSales[[#This Row],[Category ID]],tblCategories[Category ID],tblCategories[Category])</f>
        <v>Accessories</v>
      </c>
      <c r="H1712">
        <v>67063</v>
      </c>
      <c r="I1712">
        <v>68734</v>
      </c>
      <c r="J1712">
        <v>199</v>
      </c>
      <c r="K1712">
        <f>tblSales[[#This Row],[Sales]]-tblSales[[#This Row],[Budget]]</f>
        <v>-1671</v>
      </c>
      <c r="L1712" s="3">
        <f>(tblSales[[#This Row],[Sales]]-tblSales[[#This Row],[Budget]])/tblSales[[#This Row],[Budget]]</f>
        <v>-2.4311112404341376E-2</v>
      </c>
      <c r="M1712" s="2">
        <f>tblSales[[#This Row],[Sales]]/tblSales[[#This Row],[Transactions]]</f>
        <v>337</v>
      </c>
    </row>
    <row r="1713" spans="1:13" x14ac:dyDescent="0.25">
      <c r="A1713" s="1">
        <v>46108</v>
      </c>
      <c r="B1713" t="s">
        <v>21</v>
      </c>
      <c r="C1713" t="s">
        <v>11</v>
      </c>
      <c r="D1713" t="str">
        <f>_xlfn.XLOOKUP(tblSales[[#This Row],[Store ID]],tblStores[Store ID],tblStores[Store Name])</f>
        <v>Canal Walk</v>
      </c>
      <c r="E1713" t="str">
        <f>_xlfn.XLOOKUP(tblSales[[#This Row],[Store ID]],tblStores[Store ID],tblStores[Province])</f>
        <v>Western Cape</v>
      </c>
      <c r="F1713" t="str">
        <f>_xlfn.XLOOKUP(tblSales[[#This Row],[Store ID]],tblStores[Store ID],tblStores[Manager])</f>
        <v>Megan Scott</v>
      </c>
      <c r="G1713" t="str">
        <f>_xlfn.XLOOKUP(tblSales[[#This Row],[Category ID]],tblCategories[Category ID],tblCategories[Category])</f>
        <v>Footwear</v>
      </c>
      <c r="H1713">
        <v>7722</v>
      </c>
      <c r="I1713">
        <v>7604</v>
      </c>
      <c r="J1713">
        <v>39</v>
      </c>
      <c r="K1713">
        <f>tblSales[[#This Row],[Sales]]-tblSales[[#This Row],[Budget]]</f>
        <v>118</v>
      </c>
      <c r="L1713" s="3">
        <f>(tblSales[[#This Row],[Sales]]-tblSales[[#This Row],[Budget]])/tblSales[[#This Row],[Budget]]</f>
        <v>1.551814834297738E-2</v>
      </c>
      <c r="M1713" s="2">
        <f>tblSales[[#This Row],[Sales]]/tblSales[[#This Row],[Transactions]]</f>
        <v>198</v>
      </c>
    </row>
    <row r="1714" spans="1:13" x14ac:dyDescent="0.25">
      <c r="A1714" s="1">
        <v>46108</v>
      </c>
      <c r="B1714" t="s">
        <v>23</v>
      </c>
      <c r="C1714" t="s">
        <v>22</v>
      </c>
      <c r="D1714" t="str">
        <f>_xlfn.XLOOKUP(tblSales[[#This Row],[Store ID]],tblStores[Store ID],tblStores[Store Name])</f>
        <v>Stellenbosch</v>
      </c>
      <c r="E1714" t="str">
        <f>_xlfn.XLOOKUP(tblSales[[#This Row],[Store ID]],tblStores[Store ID],tblStores[Province])</f>
        <v>Western Cape</v>
      </c>
      <c r="F1714" t="str">
        <f>_xlfn.XLOOKUP(tblSales[[#This Row],[Store ID]],tblStores[Store ID],tblStores[Manager])</f>
        <v>Jason King</v>
      </c>
      <c r="G1714" t="str">
        <f>_xlfn.XLOOKUP(tblSales[[#This Row],[Category ID]],tblCategories[Category ID],tblCategories[Category])</f>
        <v>Kids</v>
      </c>
      <c r="H1714">
        <v>44019</v>
      </c>
      <c r="I1714">
        <v>44079</v>
      </c>
      <c r="J1714">
        <v>219</v>
      </c>
      <c r="K1714">
        <f>tblSales[[#This Row],[Sales]]-tblSales[[#This Row],[Budget]]</f>
        <v>-60</v>
      </c>
      <c r="L1714" s="3">
        <f>(tblSales[[#This Row],[Sales]]-tblSales[[#This Row],[Budget]])/tblSales[[#This Row],[Budget]]</f>
        <v>-1.3611924045463827E-3</v>
      </c>
      <c r="M1714" s="2">
        <f>tblSales[[#This Row],[Sales]]/tblSales[[#This Row],[Transactions]]</f>
        <v>201</v>
      </c>
    </row>
    <row r="1715" spans="1:13" x14ac:dyDescent="0.25">
      <c r="A1715" s="1">
        <v>46108</v>
      </c>
      <c r="B1715" t="s">
        <v>24</v>
      </c>
      <c r="C1715" t="s">
        <v>9</v>
      </c>
      <c r="D1715" t="str">
        <f>_xlfn.XLOOKUP(tblSales[[#This Row],[Store ID]],tblStores[Store ID],tblStores[Store Name])</f>
        <v>George</v>
      </c>
      <c r="E1715" t="str">
        <f>_xlfn.XLOOKUP(tblSales[[#This Row],[Store ID]],tblStores[Store ID],tblStores[Province])</f>
        <v>Western Cape</v>
      </c>
      <c r="F1715" t="str">
        <f>_xlfn.XLOOKUP(tblSales[[#This Row],[Store ID]],tblStores[Store ID],tblStores[Manager])</f>
        <v>Chloe Hill</v>
      </c>
      <c r="G1715" t="str">
        <f>_xlfn.XLOOKUP(tblSales[[#This Row],[Category ID]],tblCategories[Category ID],tblCategories[Category])</f>
        <v>Ladieswear</v>
      </c>
      <c r="H1715">
        <v>90294</v>
      </c>
      <c r="I1715">
        <v>91611</v>
      </c>
      <c r="J1715">
        <v>202</v>
      </c>
      <c r="K1715">
        <f>tblSales[[#This Row],[Sales]]-tblSales[[#This Row],[Budget]]</f>
        <v>-1317</v>
      </c>
      <c r="L1715" s="3">
        <f>(tblSales[[#This Row],[Sales]]-tblSales[[#This Row],[Budget]])/tblSales[[#This Row],[Budget]]</f>
        <v>-1.4376002881750009E-2</v>
      </c>
      <c r="M1715" s="2">
        <f>tblSales[[#This Row],[Sales]]/tblSales[[#This Row],[Transactions]]</f>
        <v>447</v>
      </c>
    </row>
    <row r="1716" spans="1:13" x14ac:dyDescent="0.25">
      <c r="A1716" s="1">
        <v>46108</v>
      </c>
      <c r="B1716" t="s">
        <v>25</v>
      </c>
      <c r="C1716" t="s">
        <v>19</v>
      </c>
      <c r="D1716" t="str">
        <f>_xlfn.XLOOKUP(tblSales[[#This Row],[Store ID]],tblStores[Store ID],tblStores[Store Name])</f>
        <v>Paarl</v>
      </c>
      <c r="E1716" t="str">
        <f>_xlfn.XLOOKUP(tblSales[[#This Row],[Store ID]],tblStores[Store ID],tblStores[Province])</f>
        <v>Western Cape</v>
      </c>
      <c r="F1716" t="str">
        <f>_xlfn.XLOOKUP(tblSales[[#This Row],[Store ID]],tblStores[Store ID],tblStores[Manager])</f>
        <v>Andrew Lee</v>
      </c>
      <c r="G1716" t="str">
        <f>_xlfn.XLOOKUP(tblSales[[#This Row],[Category ID]],tblCategories[Category ID],tblCategories[Category])</f>
        <v>Accessories</v>
      </c>
      <c r="H1716">
        <v>34748</v>
      </c>
      <c r="I1716">
        <v>33297</v>
      </c>
      <c r="J1716">
        <v>73</v>
      </c>
      <c r="K1716">
        <f>tblSales[[#This Row],[Sales]]-tblSales[[#This Row],[Budget]]</f>
        <v>1451</v>
      </c>
      <c r="L1716" s="3">
        <f>(tblSales[[#This Row],[Sales]]-tblSales[[#This Row],[Budget]])/tblSales[[#This Row],[Budget]]</f>
        <v>4.3577499474427128E-2</v>
      </c>
      <c r="M1716" s="2">
        <f>tblSales[[#This Row],[Sales]]/tblSales[[#This Row],[Transactions]]</f>
        <v>476</v>
      </c>
    </row>
    <row r="1717" spans="1:13" x14ac:dyDescent="0.25">
      <c r="A1717" s="1">
        <v>46108</v>
      </c>
      <c r="B1717" t="s">
        <v>26</v>
      </c>
      <c r="C1717" t="s">
        <v>7</v>
      </c>
      <c r="D1717" t="str">
        <f>_xlfn.XLOOKUP(tblSales[[#This Row],[Store ID]],tblStores[Store ID],tblStores[Store Name])</f>
        <v>Gqeberha</v>
      </c>
      <c r="E1717" t="str">
        <f>_xlfn.XLOOKUP(tblSales[[#This Row],[Store ID]],tblStores[Store ID],tblStores[Province])</f>
        <v>Eastern Cape</v>
      </c>
      <c r="F1717" t="str">
        <f>_xlfn.XLOOKUP(tblSales[[#This Row],[Store ID]],tblStores[Store ID],tblStores[Manager])</f>
        <v>Emma Baker</v>
      </c>
      <c r="G1717" t="str">
        <f>_xlfn.XLOOKUP(tblSales[[#This Row],[Category ID]],tblCategories[Category ID],tblCategories[Category])</f>
        <v>Menswear</v>
      </c>
      <c r="H1717">
        <v>11088</v>
      </c>
      <c r="I1717">
        <v>11334</v>
      </c>
      <c r="J1717">
        <v>44</v>
      </c>
      <c r="K1717">
        <f>tblSales[[#This Row],[Sales]]-tblSales[[#This Row],[Budget]]</f>
        <v>-246</v>
      </c>
      <c r="L1717" s="3">
        <f>(tblSales[[#This Row],[Sales]]-tblSales[[#This Row],[Budget]])/tblSales[[#This Row],[Budget]]</f>
        <v>-2.170460561143462E-2</v>
      </c>
      <c r="M1717" s="2">
        <f>tblSales[[#This Row],[Sales]]/tblSales[[#This Row],[Transactions]]</f>
        <v>252</v>
      </c>
    </row>
    <row r="1718" spans="1:13" x14ac:dyDescent="0.25">
      <c r="A1718" s="1">
        <v>46108</v>
      </c>
      <c r="B1718" t="s">
        <v>27</v>
      </c>
      <c r="C1718" t="s">
        <v>7</v>
      </c>
      <c r="D1718" t="str">
        <f>_xlfn.XLOOKUP(tblSales[[#This Row],[Store ID]],tblStores[Store ID],tblStores[Store Name])</f>
        <v>East London</v>
      </c>
      <c r="E1718" t="str">
        <f>_xlfn.XLOOKUP(tblSales[[#This Row],[Store ID]],tblStores[Store ID],tblStores[Province])</f>
        <v>Eastern Cape</v>
      </c>
      <c r="F1718" t="str">
        <f>_xlfn.XLOOKUP(tblSales[[#This Row],[Store ID]],tblStores[Store ID],tblStores[Manager])</f>
        <v>Daniel Evans</v>
      </c>
      <c r="G1718" t="str">
        <f>_xlfn.XLOOKUP(tblSales[[#This Row],[Category ID]],tblCategories[Category ID],tblCategories[Category])</f>
        <v>Menswear</v>
      </c>
      <c r="H1718">
        <v>76880</v>
      </c>
      <c r="I1718">
        <v>70072</v>
      </c>
      <c r="J1718">
        <v>155</v>
      </c>
      <c r="K1718">
        <f>tblSales[[#This Row],[Sales]]-tblSales[[#This Row],[Budget]]</f>
        <v>6808</v>
      </c>
      <c r="L1718" s="3">
        <f>(tblSales[[#This Row],[Sales]]-tblSales[[#This Row],[Budget]])/tblSales[[#This Row],[Budget]]</f>
        <v>9.7157209727137803E-2</v>
      </c>
      <c r="M1718" s="2">
        <f>tblSales[[#This Row],[Sales]]/tblSales[[#This Row],[Transactions]]</f>
        <v>496</v>
      </c>
    </row>
    <row r="1719" spans="1:13" x14ac:dyDescent="0.25">
      <c r="A1719" s="1">
        <v>46108</v>
      </c>
      <c r="B1719" t="s">
        <v>28</v>
      </c>
      <c r="C1719" t="s">
        <v>9</v>
      </c>
      <c r="D1719" t="str">
        <f>_xlfn.XLOOKUP(tblSales[[#This Row],[Store ID]],tblStores[Store ID],tblStores[Store Name])</f>
        <v>Bloemfontein</v>
      </c>
      <c r="E1719" t="str">
        <f>_xlfn.XLOOKUP(tblSales[[#This Row],[Store ID]],tblStores[Store ID],tblStores[Province])</f>
        <v>Free State</v>
      </c>
      <c r="F1719" t="str">
        <f>_xlfn.XLOOKUP(tblSales[[#This Row],[Store ID]],tblStores[Store ID],tblStores[Manager])</f>
        <v>Rachel Moore</v>
      </c>
      <c r="G1719" t="str">
        <f>_xlfn.XLOOKUP(tblSales[[#This Row],[Category ID]],tblCategories[Category ID],tblCategories[Category])</f>
        <v>Ladieswear</v>
      </c>
      <c r="H1719">
        <v>10184</v>
      </c>
      <c r="I1719">
        <v>10776</v>
      </c>
      <c r="J1719">
        <v>38</v>
      </c>
      <c r="K1719">
        <f>tblSales[[#This Row],[Sales]]-tblSales[[#This Row],[Budget]]</f>
        <v>-592</v>
      </c>
      <c r="L1719" s="3">
        <f>(tblSales[[#This Row],[Sales]]-tblSales[[#This Row],[Budget]])/tblSales[[#This Row],[Budget]]</f>
        <v>-5.4936896807720861E-2</v>
      </c>
      <c r="M1719" s="2">
        <f>tblSales[[#This Row],[Sales]]/tblSales[[#This Row],[Transactions]]</f>
        <v>268</v>
      </c>
    </row>
    <row r="1720" spans="1:13" x14ac:dyDescent="0.25">
      <c r="A1720" s="1">
        <v>46108</v>
      </c>
      <c r="B1720" t="s">
        <v>29</v>
      </c>
      <c r="C1720" t="s">
        <v>22</v>
      </c>
      <c r="D1720" t="str">
        <f>_xlfn.XLOOKUP(tblSales[[#This Row],[Store ID]],tblStores[Store ID],tblStores[Store Name])</f>
        <v>Polokwane</v>
      </c>
      <c r="E1720" t="str">
        <f>_xlfn.XLOOKUP(tblSales[[#This Row],[Store ID]],tblStores[Store ID],tblStores[Province])</f>
        <v>Limpopo</v>
      </c>
      <c r="F1720" t="str">
        <f>_xlfn.XLOOKUP(tblSales[[#This Row],[Store ID]],tblStores[Store ID],tblStores[Manager])</f>
        <v>Kevin Harris</v>
      </c>
      <c r="G1720" t="str">
        <f>_xlfn.XLOOKUP(tblSales[[#This Row],[Category ID]],tblCategories[Category ID],tblCategories[Category])</f>
        <v>Kids</v>
      </c>
      <c r="H1720">
        <v>24367</v>
      </c>
      <c r="I1720">
        <v>25653</v>
      </c>
      <c r="J1720">
        <v>59</v>
      </c>
      <c r="K1720">
        <f>tblSales[[#This Row],[Sales]]-tblSales[[#This Row],[Budget]]</f>
        <v>-1286</v>
      </c>
      <c r="L1720" s="3">
        <f>(tblSales[[#This Row],[Sales]]-tblSales[[#This Row],[Budget]])/tblSales[[#This Row],[Budget]]</f>
        <v>-5.0130589014930026E-2</v>
      </c>
      <c r="M1720" s="2">
        <f>tblSales[[#This Row],[Sales]]/tblSales[[#This Row],[Transactions]]</f>
        <v>413</v>
      </c>
    </row>
    <row r="1721" spans="1:13" x14ac:dyDescent="0.25">
      <c r="A1721" s="1">
        <v>46108</v>
      </c>
      <c r="B1721" t="s">
        <v>30</v>
      </c>
      <c r="C1721" t="s">
        <v>19</v>
      </c>
      <c r="D1721" t="str">
        <f>_xlfn.XLOOKUP(tblSales[[#This Row],[Store ID]],tblStores[Store ID],tblStores[Store Name])</f>
        <v>Nelspruit</v>
      </c>
      <c r="E1721" t="str">
        <f>_xlfn.XLOOKUP(tblSales[[#This Row],[Store ID]],tblStores[Store ID],tblStores[Province])</f>
        <v>Mpumalanga</v>
      </c>
      <c r="F1721" t="str">
        <f>_xlfn.XLOOKUP(tblSales[[#This Row],[Store ID]],tblStores[Store ID],tblStores[Manager])</f>
        <v>Olivia Turner</v>
      </c>
      <c r="G1721" t="str">
        <f>_xlfn.XLOOKUP(tblSales[[#This Row],[Category ID]],tblCategories[Category ID],tblCategories[Category])</f>
        <v>Accessories</v>
      </c>
      <c r="H1721">
        <v>11934</v>
      </c>
      <c r="I1721">
        <v>11081</v>
      </c>
      <c r="J1721">
        <v>51</v>
      </c>
      <c r="K1721">
        <f>tblSales[[#This Row],[Sales]]-tblSales[[#This Row],[Budget]]</f>
        <v>853</v>
      </c>
      <c r="L1721" s="3">
        <f>(tblSales[[#This Row],[Sales]]-tblSales[[#This Row],[Budget]])/tblSales[[#This Row],[Budget]]</f>
        <v>7.6978612038624675E-2</v>
      </c>
      <c r="M1721" s="2">
        <f>tblSales[[#This Row],[Sales]]/tblSales[[#This Row],[Transactions]]</f>
        <v>234</v>
      </c>
    </row>
    <row r="1722" spans="1:13" x14ac:dyDescent="0.25">
      <c r="A1722" s="1">
        <v>46109</v>
      </c>
      <c r="B1722" t="s">
        <v>6</v>
      </c>
      <c r="C1722" t="s">
        <v>19</v>
      </c>
      <c r="D1722" t="str">
        <f>_xlfn.XLOOKUP(tblSales[[#This Row],[Store ID]],tblStores[Store ID],tblStores[Store Name])</f>
        <v>Durban CBD</v>
      </c>
      <c r="E1722" t="str">
        <f>_xlfn.XLOOKUP(tblSales[[#This Row],[Store ID]],tblStores[Store ID],tblStores[Province])</f>
        <v>KZN</v>
      </c>
      <c r="F1722" t="str">
        <f>_xlfn.XLOOKUP(tblSales[[#This Row],[Store ID]],tblStores[Store ID],tblStores[Manager])</f>
        <v>Sarah Adams</v>
      </c>
      <c r="G1722" t="str">
        <f>_xlfn.XLOOKUP(tblSales[[#This Row],[Category ID]],tblCategories[Category ID],tblCategories[Category])</f>
        <v>Accessories</v>
      </c>
      <c r="H1722">
        <v>56064</v>
      </c>
      <c r="I1722">
        <v>51342</v>
      </c>
      <c r="J1722">
        <v>192</v>
      </c>
      <c r="K1722">
        <f>tblSales[[#This Row],[Sales]]-tblSales[[#This Row],[Budget]]</f>
        <v>4722</v>
      </c>
      <c r="L1722" s="3">
        <f>(tblSales[[#This Row],[Sales]]-tblSales[[#This Row],[Budget]])/tblSales[[#This Row],[Budget]]</f>
        <v>9.1971485333644964E-2</v>
      </c>
      <c r="M1722" s="2">
        <f>tblSales[[#This Row],[Sales]]/tblSales[[#This Row],[Transactions]]</f>
        <v>292</v>
      </c>
    </row>
    <row r="1723" spans="1:13" x14ac:dyDescent="0.25">
      <c r="A1723" s="1">
        <v>46109</v>
      </c>
      <c r="B1723" t="s">
        <v>8</v>
      </c>
      <c r="C1723" t="s">
        <v>9</v>
      </c>
      <c r="D1723" t="str">
        <f>_xlfn.XLOOKUP(tblSales[[#This Row],[Store ID]],tblStores[Store ID],tblStores[Store Name])</f>
        <v>Gateway</v>
      </c>
      <c r="E1723" t="str">
        <f>_xlfn.XLOOKUP(tblSales[[#This Row],[Store ID]],tblStores[Store ID],tblStores[Province])</f>
        <v>KZN</v>
      </c>
      <c r="F1723" t="str">
        <f>_xlfn.XLOOKUP(tblSales[[#This Row],[Store ID]],tblStores[Store ID],tblStores[Manager])</f>
        <v>Michael Jones</v>
      </c>
      <c r="G1723" t="str">
        <f>_xlfn.XLOOKUP(tblSales[[#This Row],[Category ID]],tblCategories[Category ID],tblCategories[Category])</f>
        <v>Ladieswear</v>
      </c>
      <c r="H1723">
        <v>50688</v>
      </c>
      <c r="I1723">
        <v>55902</v>
      </c>
      <c r="J1723">
        <v>144</v>
      </c>
      <c r="K1723">
        <f>tblSales[[#This Row],[Sales]]-tblSales[[#This Row],[Budget]]</f>
        <v>-5214</v>
      </c>
      <c r="L1723" s="3">
        <f>(tblSales[[#This Row],[Sales]]-tblSales[[#This Row],[Budget]])/tblSales[[#This Row],[Budget]]</f>
        <v>-9.3270365997638729E-2</v>
      </c>
      <c r="M1723" s="2">
        <f>tblSales[[#This Row],[Sales]]/tblSales[[#This Row],[Transactions]]</f>
        <v>352</v>
      </c>
    </row>
    <row r="1724" spans="1:13" x14ac:dyDescent="0.25">
      <c r="A1724" s="1">
        <v>46109</v>
      </c>
      <c r="B1724" t="s">
        <v>10</v>
      </c>
      <c r="C1724" t="s">
        <v>11</v>
      </c>
      <c r="D1724" t="str">
        <f>_xlfn.XLOOKUP(tblSales[[#This Row],[Store ID]],tblStores[Store ID],tblStores[Store Name])</f>
        <v>Ballito</v>
      </c>
      <c r="E1724" t="str">
        <f>_xlfn.XLOOKUP(tblSales[[#This Row],[Store ID]],tblStores[Store ID],tblStores[Province])</f>
        <v>KZN</v>
      </c>
      <c r="F1724" t="str">
        <f>_xlfn.XLOOKUP(tblSales[[#This Row],[Store ID]],tblStores[Store ID],tblStores[Manager])</f>
        <v>Linda Smith</v>
      </c>
      <c r="G1724" t="str">
        <f>_xlfn.XLOOKUP(tblSales[[#This Row],[Category ID]],tblCategories[Category ID],tblCategories[Category])</f>
        <v>Footwear</v>
      </c>
      <c r="H1724">
        <v>28438</v>
      </c>
      <c r="I1724">
        <v>32532</v>
      </c>
      <c r="J1724">
        <v>118</v>
      </c>
      <c r="K1724">
        <f>tblSales[[#This Row],[Sales]]-tblSales[[#This Row],[Budget]]</f>
        <v>-4094</v>
      </c>
      <c r="L1724" s="3">
        <f>(tblSales[[#This Row],[Sales]]-tblSales[[#This Row],[Budget]])/tblSales[[#This Row],[Budget]]</f>
        <v>-0.1258453215295709</v>
      </c>
      <c r="M1724" s="2">
        <f>tblSales[[#This Row],[Sales]]/tblSales[[#This Row],[Transactions]]</f>
        <v>241</v>
      </c>
    </row>
    <row r="1725" spans="1:13" x14ac:dyDescent="0.25">
      <c r="A1725" s="1">
        <v>46109</v>
      </c>
      <c r="B1725" t="s">
        <v>12</v>
      </c>
      <c r="C1725" t="s">
        <v>19</v>
      </c>
      <c r="D1725" t="str">
        <f>_xlfn.XLOOKUP(tblSales[[#This Row],[Store ID]],tblStores[Store ID],tblStores[Store Name])</f>
        <v>Pietermaritzburg</v>
      </c>
      <c r="E1725" t="str">
        <f>_xlfn.XLOOKUP(tblSales[[#This Row],[Store ID]],tblStores[Store ID],tblStores[Province])</f>
        <v>KZN</v>
      </c>
      <c r="F1725" t="str">
        <f>_xlfn.XLOOKUP(tblSales[[#This Row],[Store ID]],tblStores[Store ID],tblStores[Manager])</f>
        <v>Peter Brown</v>
      </c>
      <c r="G1725" t="str">
        <f>_xlfn.XLOOKUP(tblSales[[#This Row],[Category ID]],tblCategories[Category ID],tblCategories[Category])</f>
        <v>Accessories</v>
      </c>
      <c r="H1725">
        <v>43500</v>
      </c>
      <c r="I1725">
        <v>42647</v>
      </c>
      <c r="J1725">
        <v>174</v>
      </c>
      <c r="K1725">
        <f>tblSales[[#This Row],[Sales]]-tblSales[[#This Row],[Budget]]</f>
        <v>853</v>
      </c>
      <c r="L1725" s="3">
        <f>(tblSales[[#This Row],[Sales]]-tblSales[[#This Row],[Budget]])/tblSales[[#This Row],[Budget]]</f>
        <v>2.0001406898492273E-2</v>
      </c>
      <c r="M1725" s="2">
        <f>tblSales[[#This Row],[Sales]]/tblSales[[#This Row],[Transactions]]</f>
        <v>250</v>
      </c>
    </row>
    <row r="1726" spans="1:13" x14ac:dyDescent="0.25">
      <c r="A1726" s="1">
        <v>46109</v>
      </c>
      <c r="B1726" t="s">
        <v>13</v>
      </c>
      <c r="C1726" t="s">
        <v>9</v>
      </c>
      <c r="D1726" t="str">
        <f>_xlfn.XLOOKUP(tblSales[[#This Row],[Store ID]],tblStores[Store ID],tblStores[Store Name])</f>
        <v>Richards Bay</v>
      </c>
      <c r="E1726" t="str">
        <f>_xlfn.XLOOKUP(tblSales[[#This Row],[Store ID]],tblStores[Store ID],tblStores[Province])</f>
        <v>KZN</v>
      </c>
      <c r="F1726" t="str">
        <f>_xlfn.XLOOKUP(tblSales[[#This Row],[Store ID]],tblStores[Store ID],tblStores[Manager])</f>
        <v>David Green</v>
      </c>
      <c r="G1726" t="str">
        <f>_xlfn.XLOOKUP(tblSales[[#This Row],[Category ID]],tblCategories[Category ID],tblCategories[Category])</f>
        <v>Ladieswear</v>
      </c>
      <c r="H1726">
        <v>22218</v>
      </c>
      <c r="I1726">
        <v>20959</v>
      </c>
      <c r="J1726">
        <v>46</v>
      </c>
      <c r="K1726">
        <f>tblSales[[#This Row],[Sales]]-tblSales[[#This Row],[Budget]]</f>
        <v>1259</v>
      </c>
      <c r="L1726" s="3">
        <f>(tblSales[[#This Row],[Sales]]-tblSales[[#This Row],[Budget]])/tblSales[[#This Row],[Budget]]</f>
        <v>6.0069659812013933E-2</v>
      </c>
      <c r="M1726" s="2">
        <f>tblSales[[#This Row],[Sales]]/tblSales[[#This Row],[Transactions]]</f>
        <v>483</v>
      </c>
    </row>
    <row r="1727" spans="1:13" x14ac:dyDescent="0.25">
      <c r="A1727" s="1">
        <v>46109</v>
      </c>
      <c r="B1727" t="s">
        <v>14</v>
      </c>
      <c r="C1727" t="s">
        <v>7</v>
      </c>
      <c r="D1727" t="str">
        <f>_xlfn.XLOOKUP(tblSales[[#This Row],[Store ID]],tblStores[Store ID],tblStores[Store Name])</f>
        <v>Sandton</v>
      </c>
      <c r="E1727" t="str">
        <f>_xlfn.XLOOKUP(tblSales[[#This Row],[Store ID]],tblStores[Store ID],tblStores[Province])</f>
        <v>Gauteng</v>
      </c>
      <c r="F1727" t="str">
        <f>_xlfn.XLOOKUP(tblSales[[#This Row],[Store ID]],tblStores[Store ID],tblStores[Manager])</f>
        <v>Karen White</v>
      </c>
      <c r="G1727" t="str">
        <f>_xlfn.XLOOKUP(tblSales[[#This Row],[Category ID]],tblCategories[Category ID],tblCategories[Category])</f>
        <v>Menswear</v>
      </c>
      <c r="H1727">
        <v>20800</v>
      </c>
      <c r="I1727">
        <v>19454</v>
      </c>
      <c r="J1727">
        <v>65</v>
      </c>
      <c r="K1727">
        <f>tblSales[[#This Row],[Sales]]-tblSales[[#This Row],[Budget]]</f>
        <v>1346</v>
      </c>
      <c r="L1727" s="3">
        <f>(tblSales[[#This Row],[Sales]]-tblSales[[#This Row],[Budget]])/tblSales[[#This Row],[Budget]]</f>
        <v>6.9188855762311097E-2</v>
      </c>
      <c r="M1727" s="2">
        <f>tblSales[[#This Row],[Sales]]/tblSales[[#This Row],[Transactions]]</f>
        <v>320</v>
      </c>
    </row>
    <row r="1728" spans="1:13" x14ac:dyDescent="0.25">
      <c r="A1728" s="1">
        <v>46109</v>
      </c>
      <c r="B1728" t="s">
        <v>15</v>
      </c>
      <c r="C1728" t="s">
        <v>11</v>
      </c>
      <c r="D1728" t="str">
        <f>_xlfn.XLOOKUP(tblSales[[#This Row],[Store ID]],tblStores[Store ID],tblStores[Store Name])</f>
        <v>Rosebank</v>
      </c>
      <c r="E1728" t="str">
        <f>_xlfn.XLOOKUP(tblSales[[#This Row],[Store ID]],tblStores[Store ID],tblStores[Province])</f>
        <v>Gauteng</v>
      </c>
      <c r="F1728" t="str">
        <f>_xlfn.XLOOKUP(tblSales[[#This Row],[Store ID]],tblStores[Store ID],tblStores[Manager])</f>
        <v>James Taylor</v>
      </c>
      <c r="G1728" t="str">
        <f>_xlfn.XLOOKUP(tblSales[[#This Row],[Category ID]],tblCategories[Category ID],tblCategories[Category])</f>
        <v>Footwear</v>
      </c>
      <c r="H1728">
        <v>28782</v>
      </c>
      <c r="I1728">
        <v>29885</v>
      </c>
      <c r="J1728">
        <v>78</v>
      </c>
      <c r="K1728">
        <f>tblSales[[#This Row],[Sales]]-tblSales[[#This Row],[Budget]]</f>
        <v>-1103</v>
      </c>
      <c r="L1728" s="3">
        <f>(tblSales[[#This Row],[Sales]]-tblSales[[#This Row],[Budget]])/tblSales[[#This Row],[Budget]]</f>
        <v>-3.6908147900284426E-2</v>
      </c>
      <c r="M1728" s="2">
        <f>tblSales[[#This Row],[Sales]]/tblSales[[#This Row],[Transactions]]</f>
        <v>369</v>
      </c>
    </row>
    <row r="1729" spans="1:13" x14ac:dyDescent="0.25">
      <c r="A1729" s="1">
        <v>46109</v>
      </c>
      <c r="B1729" t="s">
        <v>16</v>
      </c>
      <c r="C1729" t="s">
        <v>11</v>
      </c>
      <c r="D1729" t="str">
        <f>_xlfn.XLOOKUP(tblSales[[#This Row],[Store ID]],tblStores[Store ID],tblStores[Store Name])</f>
        <v>Pretoria</v>
      </c>
      <c r="E1729" t="str">
        <f>_xlfn.XLOOKUP(tblSales[[#This Row],[Store ID]],tblStores[Store ID],tblStores[Province])</f>
        <v>Gauteng</v>
      </c>
      <c r="F1729" t="str">
        <f>_xlfn.XLOOKUP(tblSales[[#This Row],[Store ID]],tblStores[Store ID],tblStores[Manager])</f>
        <v>Susan Clark</v>
      </c>
      <c r="G1729" t="str">
        <f>_xlfn.XLOOKUP(tblSales[[#This Row],[Category ID]],tblCategories[Category ID],tblCategories[Category])</f>
        <v>Footwear</v>
      </c>
      <c r="H1729">
        <v>46269</v>
      </c>
      <c r="I1729">
        <v>42112</v>
      </c>
      <c r="J1729">
        <v>97</v>
      </c>
      <c r="K1729">
        <f>tblSales[[#This Row],[Sales]]-tblSales[[#This Row],[Budget]]</f>
        <v>4157</v>
      </c>
      <c r="L1729" s="3">
        <f>(tblSales[[#This Row],[Sales]]-tblSales[[#This Row],[Budget]])/tblSales[[#This Row],[Budget]]</f>
        <v>9.8712955927051677E-2</v>
      </c>
      <c r="M1729" s="2">
        <f>tblSales[[#This Row],[Sales]]/tblSales[[#This Row],[Transactions]]</f>
        <v>477</v>
      </c>
    </row>
    <row r="1730" spans="1:13" x14ac:dyDescent="0.25">
      <c r="A1730" s="1">
        <v>46109</v>
      </c>
      <c r="B1730" t="s">
        <v>17</v>
      </c>
      <c r="C1730" t="s">
        <v>7</v>
      </c>
      <c r="D1730" t="str">
        <f>_xlfn.XLOOKUP(tblSales[[#This Row],[Store ID]],tblStores[Store ID],tblStores[Store Name])</f>
        <v>Centurion</v>
      </c>
      <c r="E1730" t="str">
        <f>_xlfn.XLOOKUP(tblSales[[#This Row],[Store ID]],tblStores[Store ID],tblStores[Province])</f>
        <v>Gauteng</v>
      </c>
      <c r="F1730" t="str">
        <f>_xlfn.XLOOKUP(tblSales[[#This Row],[Store ID]],tblStores[Store ID],tblStores[Manager])</f>
        <v>Mark Wilson</v>
      </c>
      <c r="G1730" t="str">
        <f>_xlfn.XLOOKUP(tblSales[[#This Row],[Category ID]],tblCategories[Category ID],tblCategories[Category])</f>
        <v>Menswear</v>
      </c>
      <c r="H1730">
        <v>96628</v>
      </c>
      <c r="I1730">
        <v>96051</v>
      </c>
      <c r="J1730">
        <v>196</v>
      </c>
      <c r="K1730">
        <f>tblSales[[#This Row],[Sales]]-tblSales[[#This Row],[Budget]]</f>
        <v>577</v>
      </c>
      <c r="L1730" s="3">
        <f>(tblSales[[#This Row],[Sales]]-tblSales[[#This Row],[Budget]])/tblSales[[#This Row],[Budget]]</f>
        <v>6.0072253282110544E-3</v>
      </c>
      <c r="M1730" s="2">
        <f>tblSales[[#This Row],[Sales]]/tblSales[[#This Row],[Transactions]]</f>
        <v>493</v>
      </c>
    </row>
    <row r="1731" spans="1:13" x14ac:dyDescent="0.25">
      <c r="A1731" s="1">
        <v>46109</v>
      </c>
      <c r="B1731" t="s">
        <v>18</v>
      </c>
      <c r="C1731" t="s">
        <v>9</v>
      </c>
      <c r="D1731" t="str">
        <f>_xlfn.XLOOKUP(tblSales[[#This Row],[Store ID]],tblStores[Store ID],tblStores[Store Name])</f>
        <v>East Rand</v>
      </c>
      <c r="E1731" t="str">
        <f>_xlfn.XLOOKUP(tblSales[[#This Row],[Store ID]],tblStores[Store ID],tblStores[Province])</f>
        <v>Gauteng</v>
      </c>
      <c r="F1731" t="str">
        <f>_xlfn.XLOOKUP(tblSales[[#This Row],[Store ID]],tblStores[Store ID],tblStores[Manager])</f>
        <v>Lisa Young</v>
      </c>
      <c r="G1731" t="str">
        <f>_xlfn.XLOOKUP(tblSales[[#This Row],[Category ID]],tblCategories[Category ID],tblCategories[Category])</f>
        <v>Ladieswear</v>
      </c>
      <c r="H1731">
        <v>16731</v>
      </c>
      <c r="I1731">
        <v>15395</v>
      </c>
      <c r="J1731">
        <v>39</v>
      </c>
      <c r="K1731">
        <f>tblSales[[#This Row],[Sales]]-tblSales[[#This Row],[Budget]]</f>
        <v>1336</v>
      </c>
      <c r="L1731" s="3">
        <f>(tblSales[[#This Row],[Sales]]-tblSales[[#This Row],[Budget]])/tblSales[[#This Row],[Budget]]</f>
        <v>8.6781422539785644E-2</v>
      </c>
      <c r="M1731" s="2">
        <f>tblSales[[#This Row],[Sales]]/tblSales[[#This Row],[Transactions]]</f>
        <v>429</v>
      </c>
    </row>
    <row r="1732" spans="1:13" x14ac:dyDescent="0.25">
      <c r="A1732" s="1">
        <v>46109</v>
      </c>
      <c r="B1732" t="s">
        <v>20</v>
      </c>
      <c r="C1732" t="s">
        <v>7</v>
      </c>
      <c r="D1732" t="str">
        <f>_xlfn.XLOOKUP(tblSales[[#This Row],[Store ID]],tblStores[Store ID],tblStores[Store Name])</f>
        <v>Cape Town CBD</v>
      </c>
      <c r="E1732" t="str">
        <f>_xlfn.XLOOKUP(tblSales[[#This Row],[Store ID]],tblStores[Store ID],tblStores[Province])</f>
        <v>Western Cape</v>
      </c>
      <c r="F1732" t="str">
        <f>_xlfn.XLOOKUP(tblSales[[#This Row],[Store ID]],tblStores[Store ID],tblStores[Manager])</f>
        <v>Brian Hall</v>
      </c>
      <c r="G1732" t="str">
        <f>_xlfn.XLOOKUP(tblSales[[#This Row],[Category ID]],tblCategories[Category ID],tblCategories[Category])</f>
        <v>Menswear</v>
      </c>
      <c r="H1732">
        <v>18000</v>
      </c>
      <c r="I1732">
        <v>19380</v>
      </c>
      <c r="J1732">
        <v>80</v>
      </c>
      <c r="K1732">
        <f>tblSales[[#This Row],[Sales]]-tblSales[[#This Row],[Budget]]</f>
        <v>-1380</v>
      </c>
      <c r="L1732" s="3">
        <f>(tblSales[[#This Row],[Sales]]-tblSales[[#This Row],[Budget]])/tblSales[[#This Row],[Budget]]</f>
        <v>-7.1207430340557279E-2</v>
      </c>
      <c r="M1732" s="2">
        <f>tblSales[[#This Row],[Sales]]/tblSales[[#This Row],[Transactions]]</f>
        <v>225</v>
      </c>
    </row>
    <row r="1733" spans="1:13" x14ac:dyDescent="0.25">
      <c r="A1733" s="1">
        <v>46109</v>
      </c>
      <c r="B1733" t="s">
        <v>21</v>
      </c>
      <c r="C1733" t="s">
        <v>19</v>
      </c>
      <c r="D1733" t="str">
        <f>_xlfn.XLOOKUP(tblSales[[#This Row],[Store ID]],tblStores[Store ID],tblStores[Store Name])</f>
        <v>Canal Walk</v>
      </c>
      <c r="E1733" t="str">
        <f>_xlfn.XLOOKUP(tblSales[[#This Row],[Store ID]],tblStores[Store ID],tblStores[Province])</f>
        <v>Western Cape</v>
      </c>
      <c r="F1733" t="str">
        <f>_xlfn.XLOOKUP(tblSales[[#This Row],[Store ID]],tblStores[Store ID],tblStores[Manager])</f>
        <v>Megan Scott</v>
      </c>
      <c r="G1733" t="str">
        <f>_xlfn.XLOOKUP(tblSales[[#This Row],[Category ID]],tblCategories[Category ID],tblCategories[Category])</f>
        <v>Accessories</v>
      </c>
      <c r="H1733">
        <v>42051</v>
      </c>
      <c r="I1733">
        <v>45136</v>
      </c>
      <c r="J1733">
        <v>107</v>
      </c>
      <c r="K1733">
        <f>tblSales[[#This Row],[Sales]]-tblSales[[#This Row],[Budget]]</f>
        <v>-3085</v>
      </c>
      <c r="L1733" s="3">
        <f>(tblSales[[#This Row],[Sales]]-tblSales[[#This Row],[Budget]])/tblSales[[#This Row],[Budget]]</f>
        <v>-6.8348989719957468E-2</v>
      </c>
      <c r="M1733" s="2">
        <f>tblSales[[#This Row],[Sales]]/tblSales[[#This Row],[Transactions]]</f>
        <v>393</v>
      </c>
    </row>
    <row r="1734" spans="1:13" x14ac:dyDescent="0.25">
      <c r="A1734" s="1">
        <v>46109</v>
      </c>
      <c r="B1734" t="s">
        <v>23</v>
      </c>
      <c r="C1734" t="s">
        <v>11</v>
      </c>
      <c r="D1734" t="str">
        <f>_xlfn.XLOOKUP(tblSales[[#This Row],[Store ID]],tblStores[Store ID],tblStores[Store Name])</f>
        <v>Stellenbosch</v>
      </c>
      <c r="E1734" t="str">
        <f>_xlfn.XLOOKUP(tblSales[[#This Row],[Store ID]],tblStores[Store ID],tblStores[Province])</f>
        <v>Western Cape</v>
      </c>
      <c r="F1734" t="str">
        <f>_xlfn.XLOOKUP(tblSales[[#This Row],[Store ID]],tblStores[Store ID],tblStores[Manager])</f>
        <v>Jason King</v>
      </c>
      <c r="G1734" t="str">
        <f>_xlfn.XLOOKUP(tblSales[[#This Row],[Category ID]],tblCategories[Category ID],tblCategories[Category])</f>
        <v>Footwear</v>
      </c>
      <c r="H1734">
        <v>51728</v>
      </c>
      <c r="I1734">
        <v>49221</v>
      </c>
      <c r="J1734">
        <v>212</v>
      </c>
      <c r="K1734">
        <f>tblSales[[#This Row],[Sales]]-tblSales[[#This Row],[Budget]]</f>
        <v>2507</v>
      </c>
      <c r="L1734" s="3">
        <f>(tblSales[[#This Row],[Sales]]-tblSales[[#This Row],[Budget]])/tblSales[[#This Row],[Budget]]</f>
        <v>5.0933544625261576E-2</v>
      </c>
      <c r="M1734" s="2">
        <f>tblSales[[#This Row],[Sales]]/tblSales[[#This Row],[Transactions]]</f>
        <v>244</v>
      </c>
    </row>
    <row r="1735" spans="1:13" x14ac:dyDescent="0.25">
      <c r="A1735" s="1">
        <v>46109</v>
      </c>
      <c r="B1735" t="s">
        <v>24</v>
      </c>
      <c r="C1735" t="s">
        <v>22</v>
      </c>
      <c r="D1735" t="str">
        <f>_xlfn.XLOOKUP(tblSales[[#This Row],[Store ID]],tblStores[Store ID],tblStores[Store Name])</f>
        <v>George</v>
      </c>
      <c r="E1735" t="str">
        <f>_xlfn.XLOOKUP(tblSales[[#This Row],[Store ID]],tblStores[Store ID],tblStores[Province])</f>
        <v>Western Cape</v>
      </c>
      <c r="F1735" t="str">
        <f>_xlfn.XLOOKUP(tblSales[[#This Row],[Store ID]],tblStores[Store ID],tblStores[Manager])</f>
        <v>Chloe Hill</v>
      </c>
      <c r="G1735" t="str">
        <f>_xlfn.XLOOKUP(tblSales[[#This Row],[Category ID]],tblCategories[Category ID],tblCategories[Category])</f>
        <v>Kids</v>
      </c>
      <c r="H1735">
        <v>68880</v>
      </c>
      <c r="I1735">
        <v>69087</v>
      </c>
      <c r="J1735">
        <v>168</v>
      </c>
      <c r="K1735">
        <f>tblSales[[#This Row],[Sales]]-tblSales[[#This Row],[Budget]]</f>
        <v>-207</v>
      </c>
      <c r="L1735" s="3">
        <f>(tblSales[[#This Row],[Sales]]-tblSales[[#This Row],[Budget]])/tblSales[[#This Row],[Budget]]</f>
        <v>-2.9962221546745407E-3</v>
      </c>
      <c r="M1735" s="2">
        <f>tblSales[[#This Row],[Sales]]/tblSales[[#This Row],[Transactions]]</f>
        <v>410</v>
      </c>
    </row>
    <row r="1736" spans="1:13" x14ac:dyDescent="0.25">
      <c r="A1736" s="1">
        <v>46109</v>
      </c>
      <c r="B1736" t="s">
        <v>25</v>
      </c>
      <c r="C1736" t="s">
        <v>9</v>
      </c>
      <c r="D1736" t="str">
        <f>_xlfn.XLOOKUP(tblSales[[#This Row],[Store ID]],tblStores[Store ID],tblStores[Store Name])</f>
        <v>Paarl</v>
      </c>
      <c r="E1736" t="str">
        <f>_xlfn.XLOOKUP(tblSales[[#This Row],[Store ID]],tblStores[Store ID],tblStores[Province])</f>
        <v>Western Cape</v>
      </c>
      <c r="F1736" t="str">
        <f>_xlfn.XLOOKUP(tblSales[[#This Row],[Store ID]],tblStores[Store ID],tblStores[Manager])</f>
        <v>Andrew Lee</v>
      </c>
      <c r="G1736" t="str">
        <f>_xlfn.XLOOKUP(tblSales[[#This Row],[Category ID]],tblCategories[Category ID],tblCategories[Category])</f>
        <v>Ladieswear</v>
      </c>
      <c r="H1736">
        <v>38009</v>
      </c>
      <c r="I1736">
        <v>39874</v>
      </c>
      <c r="J1736">
        <v>191</v>
      </c>
      <c r="K1736">
        <f>tblSales[[#This Row],[Sales]]-tblSales[[#This Row],[Budget]]</f>
        <v>-1865</v>
      </c>
      <c r="L1736" s="3">
        <f>(tblSales[[#This Row],[Sales]]-tblSales[[#This Row],[Budget]])/tblSales[[#This Row],[Budget]]</f>
        <v>-4.6772332848472688E-2</v>
      </c>
      <c r="M1736" s="2">
        <f>tblSales[[#This Row],[Sales]]/tblSales[[#This Row],[Transactions]]</f>
        <v>199</v>
      </c>
    </row>
    <row r="1737" spans="1:13" x14ac:dyDescent="0.25">
      <c r="A1737" s="1">
        <v>46109</v>
      </c>
      <c r="B1737" t="s">
        <v>26</v>
      </c>
      <c r="C1737" t="s">
        <v>11</v>
      </c>
      <c r="D1737" t="str">
        <f>_xlfn.XLOOKUP(tblSales[[#This Row],[Store ID]],tblStores[Store ID],tblStores[Store Name])</f>
        <v>Gqeberha</v>
      </c>
      <c r="E1737" t="str">
        <f>_xlfn.XLOOKUP(tblSales[[#This Row],[Store ID]],tblStores[Store ID],tblStores[Province])</f>
        <v>Eastern Cape</v>
      </c>
      <c r="F1737" t="str">
        <f>_xlfn.XLOOKUP(tblSales[[#This Row],[Store ID]],tblStores[Store ID],tblStores[Manager])</f>
        <v>Emma Baker</v>
      </c>
      <c r="G1737" t="str">
        <f>_xlfn.XLOOKUP(tblSales[[#This Row],[Category ID]],tblCategories[Category ID],tblCategories[Category])</f>
        <v>Footwear</v>
      </c>
      <c r="H1737">
        <v>42975</v>
      </c>
      <c r="I1737">
        <v>45415</v>
      </c>
      <c r="J1737">
        <v>191</v>
      </c>
      <c r="K1737">
        <f>tblSales[[#This Row],[Sales]]-tblSales[[#This Row],[Budget]]</f>
        <v>-2440</v>
      </c>
      <c r="L1737" s="3">
        <f>(tblSales[[#This Row],[Sales]]-tblSales[[#This Row],[Budget]])/tblSales[[#This Row],[Budget]]</f>
        <v>-5.3726742265771218E-2</v>
      </c>
      <c r="M1737" s="2">
        <f>tblSales[[#This Row],[Sales]]/tblSales[[#This Row],[Transactions]]</f>
        <v>225</v>
      </c>
    </row>
    <row r="1738" spans="1:13" x14ac:dyDescent="0.25">
      <c r="A1738" s="1">
        <v>46109</v>
      </c>
      <c r="B1738" t="s">
        <v>27</v>
      </c>
      <c r="C1738" t="s">
        <v>22</v>
      </c>
      <c r="D1738" t="str">
        <f>_xlfn.XLOOKUP(tblSales[[#This Row],[Store ID]],tblStores[Store ID],tblStores[Store Name])</f>
        <v>East London</v>
      </c>
      <c r="E1738" t="str">
        <f>_xlfn.XLOOKUP(tblSales[[#This Row],[Store ID]],tblStores[Store ID],tblStores[Province])</f>
        <v>Eastern Cape</v>
      </c>
      <c r="F1738" t="str">
        <f>_xlfn.XLOOKUP(tblSales[[#This Row],[Store ID]],tblStores[Store ID],tblStores[Manager])</f>
        <v>Daniel Evans</v>
      </c>
      <c r="G1738" t="str">
        <f>_xlfn.XLOOKUP(tblSales[[#This Row],[Category ID]],tblCategories[Category ID],tblCategories[Category])</f>
        <v>Kids</v>
      </c>
      <c r="H1738">
        <v>48856</v>
      </c>
      <c r="I1738">
        <v>44026</v>
      </c>
      <c r="J1738">
        <v>124</v>
      </c>
      <c r="K1738">
        <f>tblSales[[#This Row],[Sales]]-tblSales[[#This Row],[Budget]]</f>
        <v>4830</v>
      </c>
      <c r="L1738" s="3">
        <f>(tblSales[[#This Row],[Sales]]-tblSales[[#This Row],[Budget]])/tblSales[[#This Row],[Budget]]</f>
        <v>0.10970789987734521</v>
      </c>
      <c r="M1738" s="2">
        <f>tblSales[[#This Row],[Sales]]/tblSales[[#This Row],[Transactions]]</f>
        <v>394</v>
      </c>
    </row>
    <row r="1739" spans="1:13" x14ac:dyDescent="0.25">
      <c r="A1739" s="1">
        <v>46109</v>
      </c>
      <c r="B1739" t="s">
        <v>28</v>
      </c>
      <c r="C1739" t="s">
        <v>9</v>
      </c>
      <c r="D1739" t="str">
        <f>_xlfn.XLOOKUP(tblSales[[#This Row],[Store ID]],tblStores[Store ID],tblStores[Store Name])</f>
        <v>Bloemfontein</v>
      </c>
      <c r="E1739" t="str">
        <f>_xlfn.XLOOKUP(tblSales[[#This Row],[Store ID]],tblStores[Store ID],tblStores[Province])</f>
        <v>Free State</v>
      </c>
      <c r="F1739" t="str">
        <f>_xlfn.XLOOKUP(tblSales[[#This Row],[Store ID]],tblStores[Store ID],tblStores[Manager])</f>
        <v>Rachel Moore</v>
      </c>
      <c r="G1739" t="str">
        <f>_xlfn.XLOOKUP(tblSales[[#This Row],[Category ID]],tblCategories[Category ID],tblCategories[Category])</f>
        <v>Ladieswear</v>
      </c>
      <c r="H1739">
        <v>20160</v>
      </c>
      <c r="I1739">
        <v>23116</v>
      </c>
      <c r="J1739">
        <v>84</v>
      </c>
      <c r="K1739">
        <f>tblSales[[#This Row],[Sales]]-tblSales[[#This Row],[Budget]]</f>
        <v>-2956</v>
      </c>
      <c r="L1739" s="3">
        <f>(tblSales[[#This Row],[Sales]]-tblSales[[#This Row],[Budget]])/tblSales[[#This Row],[Budget]]</f>
        <v>-0.12787679529330334</v>
      </c>
      <c r="M1739" s="2">
        <f>tblSales[[#This Row],[Sales]]/tblSales[[#This Row],[Transactions]]</f>
        <v>240</v>
      </c>
    </row>
    <row r="1740" spans="1:13" x14ac:dyDescent="0.25">
      <c r="A1740" s="1">
        <v>46109</v>
      </c>
      <c r="B1740" t="s">
        <v>29</v>
      </c>
      <c r="C1740" t="s">
        <v>7</v>
      </c>
      <c r="D1740" t="str">
        <f>_xlfn.XLOOKUP(tblSales[[#This Row],[Store ID]],tblStores[Store ID],tblStores[Store Name])</f>
        <v>Polokwane</v>
      </c>
      <c r="E1740" t="str">
        <f>_xlfn.XLOOKUP(tblSales[[#This Row],[Store ID]],tblStores[Store ID],tblStores[Province])</f>
        <v>Limpopo</v>
      </c>
      <c r="F1740" t="str">
        <f>_xlfn.XLOOKUP(tblSales[[#This Row],[Store ID]],tblStores[Store ID],tblStores[Manager])</f>
        <v>Kevin Harris</v>
      </c>
      <c r="G1740" t="str">
        <f>_xlfn.XLOOKUP(tblSales[[#This Row],[Category ID]],tblCategories[Category ID],tblCategories[Category])</f>
        <v>Menswear</v>
      </c>
      <c r="H1740">
        <v>70445</v>
      </c>
      <c r="I1740">
        <v>78594</v>
      </c>
      <c r="J1740">
        <v>193</v>
      </c>
      <c r="K1740">
        <f>tblSales[[#This Row],[Sales]]-tblSales[[#This Row],[Budget]]</f>
        <v>-8149</v>
      </c>
      <c r="L1740" s="3">
        <f>(tblSales[[#This Row],[Sales]]-tblSales[[#This Row],[Budget]])/tblSales[[#This Row],[Budget]]</f>
        <v>-0.10368475965086393</v>
      </c>
      <c r="M1740" s="2">
        <f>tblSales[[#This Row],[Sales]]/tblSales[[#This Row],[Transactions]]</f>
        <v>365</v>
      </c>
    </row>
    <row r="1741" spans="1:13" x14ac:dyDescent="0.25">
      <c r="A1741" s="1">
        <v>46109</v>
      </c>
      <c r="B1741" t="s">
        <v>30</v>
      </c>
      <c r="C1741" t="s">
        <v>19</v>
      </c>
      <c r="D1741" t="str">
        <f>_xlfn.XLOOKUP(tblSales[[#This Row],[Store ID]],tblStores[Store ID],tblStores[Store Name])</f>
        <v>Nelspruit</v>
      </c>
      <c r="E1741" t="str">
        <f>_xlfn.XLOOKUP(tblSales[[#This Row],[Store ID]],tblStores[Store ID],tblStores[Province])</f>
        <v>Mpumalanga</v>
      </c>
      <c r="F1741" t="str">
        <f>_xlfn.XLOOKUP(tblSales[[#This Row],[Store ID]],tblStores[Store ID],tblStores[Manager])</f>
        <v>Olivia Turner</v>
      </c>
      <c r="G1741" t="str">
        <f>_xlfn.XLOOKUP(tblSales[[#This Row],[Category ID]],tblCategories[Category ID],tblCategories[Category])</f>
        <v>Accessories</v>
      </c>
      <c r="H1741">
        <v>47888</v>
      </c>
      <c r="I1741">
        <v>48656</v>
      </c>
      <c r="J1741">
        <v>164</v>
      </c>
      <c r="K1741">
        <f>tblSales[[#This Row],[Sales]]-tblSales[[#This Row],[Budget]]</f>
        <v>-768</v>
      </c>
      <c r="L1741" s="3">
        <f>(tblSales[[#This Row],[Sales]]-tblSales[[#This Row],[Budget]])/tblSales[[#This Row],[Budget]]</f>
        <v>-1.5784281486353174E-2</v>
      </c>
      <c r="M1741" s="2">
        <f>tblSales[[#This Row],[Sales]]/tblSales[[#This Row],[Transactions]]</f>
        <v>292</v>
      </c>
    </row>
    <row r="1742" spans="1:13" x14ac:dyDescent="0.25">
      <c r="A1742" s="1">
        <v>46110</v>
      </c>
      <c r="B1742" t="s">
        <v>6</v>
      </c>
      <c r="C1742" t="s">
        <v>9</v>
      </c>
      <c r="D1742" t="str">
        <f>_xlfn.XLOOKUP(tblSales[[#This Row],[Store ID]],tblStores[Store ID],tblStores[Store Name])</f>
        <v>Durban CBD</v>
      </c>
      <c r="E1742" t="str">
        <f>_xlfn.XLOOKUP(tblSales[[#This Row],[Store ID]],tblStores[Store ID],tblStores[Province])</f>
        <v>KZN</v>
      </c>
      <c r="F1742" t="str">
        <f>_xlfn.XLOOKUP(tblSales[[#This Row],[Store ID]],tblStores[Store ID],tblStores[Manager])</f>
        <v>Sarah Adams</v>
      </c>
      <c r="G1742" t="str">
        <f>_xlfn.XLOOKUP(tblSales[[#This Row],[Category ID]],tblCategories[Category ID],tblCategories[Category])</f>
        <v>Ladieswear</v>
      </c>
      <c r="H1742">
        <v>21735</v>
      </c>
      <c r="I1742">
        <v>20614</v>
      </c>
      <c r="J1742">
        <v>105</v>
      </c>
      <c r="K1742">
        <f>tblSales[[#This Row],[Sales]]-tblSales[[#This Row],[Budget]]</f>
        <v>1121</v>
      </c>
      <c r="L1742" s="3">
        <f>(tblSales[[#This Row],[Sales]]-tblSales[[#This Row],[Budget]])/tblSales[[#This Row],[Budget]]</f>
        <v>5.4380518094498884E-2</v>
      </c>
      <c r="M1742" s="2">
        <f>tblSales[[#This Row],[Sales]]/tblSales[[#This Row],[Transactions]]</f>
        <v>207</v>
      </c>
    </row>
    <row r="1743" spans="1:13" x14ac:dyDescent="0.25">
      <c r="A1743" s="1">
        <v>46110</v>
      </c>
      <c r="B1743" t="s">
        <v>8</v>
      </c>
      <c r="C1743" t="s">
        <v>9</v>
      </c>
      <c r="D1743" t="str">
        <f>_xlfn.XLOOKUP(tblSales[[#This Row],[Store ID]],tblStores[Store ID],tblStores[Store Name])</f>
        <v>Gateway</v>
      </c>
      <c r="E1743" t="str">
        <f>_xlfn.XLOOKUP(tblSales[[#This Row],[Store ID]],tblStores[Store ID],tblStores[Province])</f>
        <v>KZN</v>
      </c>
      <c r="F1743" t="str">
        <f>_xlfn.XLOOKUP(tblSales[[#This Row],[Store ID]],tblStores[Store ID],tblStores[Manager])</f>
        <v>Michael Jones</v>
      </c>
      <c r="G1743" t="str">
        <f>_xlfn.XLOOKUP(tblSales[[#This Row],[Category ID]],tblCategories[Category ID],tblCategories[Category])</f>
        <v>Ladieswear</v>
      </c>
      <c r="H1743">
        <v>88620</v>
      </c>
      <c r="I1743">
        <v>90780</v>
      </c>
      <c r="J1743">
        <v>210</v>
      </c>
      <c r="K1743">
        <f>tblSales[[#This Row],[Sales]]-tblSales[[#This Row],[Budget]]</f>
        <v>-2160</v>
      </c>
      <c r="L1743" s="3">
        <f>(tblSales[[#This Row],[Sales]]-tblSales[[#This Row],[Budget]])/tblSales[[#This Row],[Budget]]</f>
        <v>-2.3793787177792465E-2</v>
      </c>
      <c r="M1743" s="2">
        <f>tblSales[[#This Row],[Sales]]/tblSales[[#This Row],[Transactions]]</f>
        <v>422</v>
      </c>
    </row>
    <row r="1744" spans="1:13" x14ac:dyDescent="0.25">
      <c r="A1744" s="1">
        <v>46110</v>
      </c>
      <c r="B1744" t="s">
        <v>10</v>
      </c>
      <c r="C1744" t="s">
        <v>9</v>
      </c>
      <c r="D1744" t="str">
        <f>_xlfn.XLOOKUP(tblSales[[#This Row],[Store ID]],tblStores[Store ID],tblStores[Store Name])</f>
        <v>Ballito</v>
      </c>
      <c r="E1744" t="str">
        <f>_xlfn.XLOOKUP(tblSales[[#This Row],[Store ID]],tblStores[Store ID],tblStores[Province])</f>
        <v>KZN</v>
      </c>
      <c r="F1744" t="str">
        <f>_xlfn.XLOOKUP(tblSales[[#This Row],[Store ID]],tblStores[Store ID],tblStores[Manager])</f>
        <v>Linda Smith</v>
      </c>
      <c r="G1744" t="str">
        <f>_xlfn.XLOOKUP(tblSales[[#This Row],[Category ID]],tblCategories[Category ID],tblCategories[Category])</f>
        <v>Ladieswear</v>
      </c>
      <c r="H1744">
        <v>41612</v>
      </c>
      <c r="I1744">
        <v>38012</v>
      </c>
      <c r="J1744">
        <v>206</v>
      </c>
      <c r="K1744">
        <f>tblSales[[#This Row],[Sales]]-tblSales[[#This Row],[Budget]]</f>
        <v>3600</v>
      </c>
      <c r="L1744" s="3">
        <f>(tblSales[[#This Row],[Sales]]-tblSales[[#This Row],[Budget]])/tblSales[[#This Row],[Budget]]</f>
        <v>9.4706934652215094E-2</v>
      </c>
      <c r="M1744" s="2">
        <f>tblSales[[#This Row],[Sales]]/tblSales[[#This Row],[Transactions]]</f>
        <v>202</v>
      </c>
    </row>
    <row r="1745" spans="1:13" x14ac:dyDescent="0.25">
      <c r="A1745" s="1">
        <v>46110</v>
      </c>
      <c r="B1745" t="s">
        <v>12</v>
      </c>
      <c r="C1745" t="s">
        <v>22</v>
      </c>
      <c r="D1745" t="str">
        <f>_xlfn.XLOOKUP(tblSales[[#This Row],[Store ID]],tblStores[Store ID],tblStores[Store Name])</f>
        <v>Pietermaritzburg</v>
      </c>
      <c r="E1745" t="str">
        <f>_xlfn.XLOOKUP(tblSales[[#This Row],[Store ID]],tblStores[Store ID],tblStores[Province])</f>
        <v>KZN</v>
      </c>
      <c r="F1745" t="str">
        <f>_xlfn.XLOOKUP(tblSales[[#This Row],[Store ID]],tblStores[Store ID],tblStores[Manager])</f>
        <v>Peter Brown</v>
      </c>
      <c r="G1745" t="str">
        <f>_xlfn.XLOOKUP(tblSales[[#This Row],[Category ID]],tblCategories[Category ID],tblCategories[Category])</f>
        <v>Kids</v>
      </c>
      <c r="H1745">
        <v>30709</v>
      </c>
      <c r="I1745">
        <v>30975</v>
      </c>
      <c r="J1745">
        <v>107</v>
      </c>
      <c r="K1745">
        <f>tblSales[[#This Row],[Sales]]-tblSales[[#This Row],[Budget]]</f>
        <v>-266</v>
      </c>
      <c r="L1745" s="3">
        <f>(tblSales[[#This Row],[Sales]]-tblSales[[#This Row],[Budget]])/tblSales[[#This Row],[Budget]]</f>
        <v>-8.5875706214689259E-3</v>
      </c>
      <c r="M1745" s="2">
        <f>tblSales[[#This Row],[Sales]]/tblSales[[#This Row],[Transactions]]</f>
        <v>287</v>
      </c>
    </row>
    <row r="1746" spans="1:13" x14ac:dyDescent="0.25">
      <c r="A1746" s="1">
        <v>46110</v>
      </c>
      <c r="B1746" t="s">
        <v>13</v>
      </c>
      <c r="C1746" t="s">
        <v>22</v>
      </c>
      <c r="D1746" t="str">
        <f>_xlfn.XLOOKUP(tblSales[[#This Row],[Store ID]],tblStores[Store ID],tblStores[Store Name])</f>
        <v>Richards Bay</v>
      </c>
      <c r="E1746" t="str">
        <f>_xlfn.XLOOKUP(tblSales[[#This Row],[Store ID]],tblStores[Store ID],tblStores[Province])</f>
        <v>KZN</v>
      </c>
      <c r="F1746" t="str">
        <f>_xlfn.XLOOKUP(tblSales[[#This Row],[Store ID]],tblStores[Store ID],tblStores[Manager])</f>
        <v>David Green</v>
      </c>
      <c r="G1746" t="str">
        <f>_xlfn.XLOOKUP(tblSales[[#This Row],[Category ID]],tblCategories[Category ID],tblCategories[Category])</f>
        <v>Kids</v>
      </c>
      <c r="H1746">
        <v>79104</v>
      </c>
      <c r="I1746">
        <v>72050</v>
      </c>
      <c r="J1746">
        <v>192</v>
      </c>
      <c r="K1746">
        <f>tblSales[[#This Row],[Sales]]-tblSales[[#This Row],[Budget]]</f>
        <v>7054</v>
      </c>
      <c r="L1746" s="3">
        <f>(tblSales[[#This Row],[Sales]]-tblSales[[#This Row],[Budget]])/tblSales[[#This Row],[Budget]]</f>
        <v>9.7904233171408742E-2</v>
      </c>
      <c r="M1746" s="2">
        <f>tblSales[[#This Row],[Sales]]/tblSales[[#This Row],[Transactions]]</f>
        <v>412</v>
      </c>
    </row>
    <row r="1747" spans="1:13" x14ac:dyDescent="0.25">
      <c r="A1747" s="1">
        <v>46110</v>
      </c>
      <c r="B1747" t="s">
        <v>14</v>
      </c>
      <c r="C1747" t="s">
        <v>7</v>
      </c>
      <c r="D1747" t="str">
        <f>_xlfn.XLOOKUP(tblSales[[#This Row],[Store ID]],tblStores[Store ID],tblStores[Store Name])</f>
        <v>Sandton</v>
      </c>
      <c r="E1747" t="str">
        <f>_xlfn.XLOOKUP(tblSales[[#This Row],[Store ID]],tblStores[Store ID],tblStores[Province])</f>
        <v>Gauteng</v>
      </c>
      <c r="F1747" t="str">
        <f>_xlfn.XLOOKUP(tblSales[[#This Row],[Store ID]],tblStores[Store ID],tblStores[Manager])</f>
        <v>Karen White</v>
      </c>
      <c r="G1747" t="str">
        <f>_xlfn.XLOOKUP(tblSales[[#This Row],[Category ID]],tblCategories[Category ID],tblCategories[Category])</f>
        <v>Menswear</v>
      </c>
      <c r="H1747">
        <v>46440</v>
      </c>
      <c r="I1747">
        <v>43630</v>
      </c>
      <c r="J1747">
        <v>172</v>
      </c>
      <c r="K1747">
        <f>tblSales[[#This Row],[Sales]]-tblSales[[#This Row],[Budget]]</f>
        <v>2810</v>
      </c>
      <c r="L1747" s="3">
        <f>(tblSales[[#This Row],[Sales]]-tblSales[[#This Row],[Budget]])/tblSales[[#This Row],[Budget]]</f>
        <v>6.4405225762090304E-2</v>
      </c>
      <c r="M1747" s="2">
        <f>tblSales[[#This Row],[Sales]]/tblSales[[#This Row],[Transactions]]</f>
        <v>270</v>
      </c>
    </row>
    <row r="1748" spans="1:13" x14ac:dyDescent="0.25">
      <c r="A1748" s="1">
        <v>46110</v>
      </c>
      <c r="B1748" t="s">
        <v>15</v>
      </c>
      <c r="C1748" t="s">
        <v>7</v>
      </c>
      <c r="D1748" t="str">
        <f>_xlfn.XLOOKUP(tblSales[[#This Row],[Store ID]],tblStores[Store ID],tblStores[Store Name])</f>
        <v>Rosebank</v>
      </c>
      <c r="E1748" t="str">
        <f>_xlfn.XLOOKUP(tblSales[[#This Row],[Store ID]],tblStores[Store ID],tblStores[Province])</f>
        <v>Gauteng</v>
      </c>
      <c r="F1748" t="str">
        <f>_xlfn.XLOOKUP(tblSales[[#This Row],[Store ID]],tblStores[Store ID],tblStores[Manager])</f>
        <v>James Taylor</v>
      </c>
      <c r="G1748" t="str">
        <f>_xlfn.XLOOKUP(tblSales[[#This Row],[Category ID]],tblCategories[Category ID],tblCategories[Category])</f>
        <v>Menswear</v>
      </c>
      <c r="H1748">
        <v>70437</v>
      </c>
      <c r="I1748">
        <v>65437</v>
      </c>
      <c r="J1748">
        <v>159</v>
      </c>
      <c r="K1748">
        <f>tblSales[[#This Row],[Sales]]-tblSales[[#This Row],[Budget]]</f>
        <v>5000</v>
      </c>
      <c r="L1748" s="3">
        <f>(tblSales[[#This Row],[Sales]]-tblSales[[#This Row],[Budget]])/tblSales[[#This Row],[Budget]]</f>
        <v>7.6409370845240465E-2</v>
      </c>
      <c r="M1748" s="2">
        <f>tblSales[[#This Row],[Sales]]/tblSales[[#This Row],[Transactions]]</f>
        <v>443</v>
      </c>
    </row>
    <row r="1749" spans="1:13" x14ac:dyDescent="0.25">
      <c r="A1749" s="1">
        <v>46110</v>
      </c>
      <c r="B1749" t="s">
        <v>16</v>
      </c>
      <c r="C1749" t="s">
        <v>9</v>
      </c>
      <c r="D1749" t="str">
        <f>_xlfn.XLOOKUP(tblSales[[#This Row],[Store ID]],tblStores[Store ID],tblStores[Store Name])</f>
        <v>Pretoria</v>
      </c>
      <c r="E1749" t="str">
        <f>_xlfn.XLOOKUP(tblSales[[#This Row],[Store ID]],tblStores[Store ID],tblStores[Province])</f>
        <v>Gauteng</v>
      </c>
      <c r="F1749" t="str">
        <f>_xlfn.XLOOKUP(tblSales[[#This Row],[Store ID]],tblStores[Store ID],tblStores[Manager])</f>
        <v>Susan Clark</v>
      </c>
      <c r="G1749" t="str">
        <f>_xlfn.XLOOKUP(tblSales[[#This Row],[Category ID]],tblCategories[Category ID],tblCategories[Category])</f>
        <v>Ladieswear</v>
      </c>
      <c r="H1749">
        <v>89133</v>
      </c>
      <c r="I1749">
        <v>93427</v>
      </c>
      <c r="J1749">
        <v>219</v>
      </c>
      <c r="K1749">
        <f>tblSales[[#This Row],[Sales]]-tblSales[[#This Row],[Budget]]</f>
        <v>-4294</v>
      </c>
      <c r="L1749" s="3">
        <f>(tblSales[[#This Row],[Sales]]-tblSales[[#This Row],[Budget]])/tblSales[[#This Row],[Budget]]</f>
        <v>-4.5961017692958135E-2</v>
      </c>
      <c r="M1749" s="2">
        <f>tblSales[[#This Row],[Sales]]/tblSales[[#This Row],[Transactions]]</f>
        <v>407</v>
      </c>
    </row>
    <row r="1750" spans="1:13" x14ac:dyDescent="0.25">
      <c r="A1750" s="1">
        <v>46110</v>
      </c>
      <c r="B1750" t="s">
        <v>17</v>
      </c>
      <c r="C1750" t="s">
        <v>22</v>
      </c>
      <c r="D1750" t="str">
        <f>_xlfn.XLOOKUP(tblSales[[#This Row],[Store ID]],tblStores[Store ID],tblStores[Store Name])</f>
        <v>Centurion</v>
      </c>
      <c r="E1750" t="str">
        <f>_xlfn.XLOOKUP(tblSales[[#This Row],[Store ID]],tblStores[Store ID],tblStores[Province])</f>
        <v>Gauteng</v>
      </c>
      <c r="F1750" t="str">
        <f>_xlfn.XLOOKUP(tblSales[[#This Row],[Store ID]],tblStores[Store ID],tblStores[Manager])</f>
        <v>Mark Wilson</v>
      </c>
      <c r="G1750" t="str">
        <f>_xlfn.XLOOKUP(tblSales[[#This Row],[Category ID]],tblCategories[Category ID],tblCategories[Category])</f>
        <v>Kids</v>
      </c>
      <c r="H1750">
        <v>39902</v>
      </c>
      <c r="I1750">
        <v>43364</v>
      </c>
      <c r="J1750">
        <v>142</v>
      </c>
      <c r="K1750">
        <f>tblSales[[#This Row],[Sales]]-tblSales[[#This Row],[Budget]]</f>
        <v>-3462</v>
      </c>
      <c r="L1750" s="3">
        <f>(tblSales[[#This Row],[Sales]]-tblSales[[#This Row],[Budget]])/tblSales[[#This Row],[Budget]]</f>
        <v>-7.9835808504750486E-2</v>
      </c>
      <c r="M1750" s="2">
        <f>tblSales[[#This Row],[Sales]]/tblSales[[#This Row],[Transactions]]</f>
        <v>281</v>
      </c>
    </row>
    <row r="1751" spans="1:13" x14ac:dyDescent="0.25">
      <c r="A1751" s="1">
        <v>46110</v>
      </c>
      <c r="B1751" t="s">
        <v>18</v>
      </c>
      <c r="C1751" t="s">
        <v>22</v>
      </c>
      <c r="D1751" t="str">
        <f>_xlfn.XLOOKUP(tblSales[[#This Row],[Store ID]],tblStores[Store ID],tblStores[Store Name])</f>
        <v>East Rand</v>
      </c>
      <c r="E1751" t="str">
        <f>_xlfn.XLOOKUP(tblSales[[#This Row],[Store ID]],tblStores[Store ID],tblStores[Province])</f>
        <v>Gauteng</v>
      </c>
      <c r="F1751" t="str">
        <f>_xlfn.XLOOKUP(tblSales[[#This Row],[Store ID]],tblStores[Store ID],tblStores[Manager])</f>
        <v>Lisa Young</v>
      </c>
      <c r="G1751" t="str">
        <f>_xlfn.XLOOKUP(tblSales[[#This Row],[Category ID]],tblCategories[Category ID],tblCategories[Category])</f>
        <v>Kids</v>
      </c>
      <c r="H1751">
        <v>21948</v>
      </c>
      <c r="I1751">
        <v>21542</v>
      </c>
      <c r="J1751">
        <v>93</v>
      </c>
      <c r="K1751">
        <f>tblSales[[#This Row],[Sales]]-tblSales[[#This Row],[Budget]]</f>
        <v>406</v>
      </c>
      <c r="L1751" s="3">
        <f>(tblSales[[#This Row],[Sales]]-tblSales[[#This Row],[Budget]])/tblSales[[#This Row],[Budget]]</f>
        <v>1.8846903722959798E-2</v>
      </c>
      <c r="M1751" s="2">
        <f>tblSales[[#This Row],[Sales]]/tblSales[[#This Row],[Transactions]]</f>
        <v>236</v>
      </c>
    </row>
    <row r="1752" spans="1:13" x14ac:dyDescent="0.25">
      <c r="A1752" s="1">
        <v>46110</v>
      </c>
      <c r="B1752" t="s">
        <v>20</v>
      </c>
      <c r="C1752" t="s">
        <v>7</v>
      </c>
      <c r="D1752" t="str">
        <f>_xlfn.XLOOKUP(tblSales[[#This Row],[Store ID]],tblStores[Store ID],tblStores[Store Name])</f>
        <v>Cape Town CBD</v>
      </c>
      <c r="E1752" t="str">
        <f>_xlfn.XLOOKUP(tblSales[[#This Row],[Store ID]],tblStores[Store ID],tblStores[Province])</f>
        <v>Western Cape</v>
      </c>
      <c r="F1752" t="str">
        <f>_xlfn.XLOOKUP(tblSales[[#This Row],[Store ID]],tblStores[Store ID],tblStores[Manager])</f>
        <v>Brian Hall</v>
      </c>
      <c r="G1752" t="str">
        <f>_xlfn.XLOOKUP(tblSales[[#This Row],[Category ID]],tblCategories[Category ID],tblCategories[Category])</f>
        <v>Menswear</v>
      </c>
      <c r="H1752">
        <v>37145</v>
      </c>
      <c r="I1752">
        <v>41508</v>
      </c>
      <c r="J1752">
        <v>95</v>
      </c>
      <c r="K1752">
        <f>tblSales[[#This Row],[Sales]]-tblSales[[#This Row],[Budget]]</f>
        <v>-4363</v>
      </c>
      <c r="L1752" s="3">
        <f>(tblSales[[#This Row],[Sales]]-tblSales[[#This Row],[Budget]])/tblSales[[#This Row],[Budget]]</f>
        <v>-0.10511226751469596</v>
      </c>
      <c r="M1752" s="2">
        <f>tblSales[[#This Row],[Sales]]/tblSales[[#This Row],[Transactions]]</f>
        <v>391</v>
      </c>
    </row>
    <row r="1753" spans="1:13" x14ac:dyDescent="0.25">
      <c r="A1753" s="1">
        <v>46110</v>
      </c>
      <c r="B1753" t="s">
        <v>21</v>
      </c>
      <c r="C1753" t="s">
        <v>11</v>
      </c>
      <c r="D1753" t="str">
        <f>_xlfn.XLOOKUP(tblSales[[#This Row],[Store ID]],tblStores[Store ID],tblStores[Store Name])</f>
        <v>Canal Walk</v>
      </c>
      <c r="E1753" t="str">
        <f>_xlfn.XLOOKUP(tblSales[[#This Row],[Store ID]],tblStores[Store ID],tblStores[Province])</f>
        <v>Western Cape</v>
      </c>
      <c r="F1753" t="str">
        <f>_xlfn.XLOOKUP(tblSales[[#This Row],[Store ID]],tblStores[Store ID],tblStores[Manager])</f>
        <v>Megan Scott</v>
      </c>
      <c r="G1753" t="str">
        <f>_xlfn.XLOOKUP(tblSales[[#This Row],[Category ID]],tblCategories[Category ID],tblCategories[Category])</f>
        <v>Footwear</v>
      </c>
      <c r="H1753">
        <v>19747</v>
      </c>
      <c r="I1753">
        <v>20097</v>
      </c>
      <c r="J1753">
        <v>91</v>
      </c>
      <c r="K1753">
        <f>tblSales[[#This Row],[Sales]]-tblSales[[#This Row],[Budget]]</f>
        <v>-350</v>
      </c>
      <c r="L1753" s="3">
        <f>(tblSales[[#This Row],[Sales]]-tblSales[[#This Row],[Budget]])/tblSales[[#This Row],[Budget]]</f>
        <v>-1.7415534656913968E-2</v>
      </c>
      <c r="M1753" s="2">
        <f>tblSales[[#This Row],[Sales]]/tblSales[[#This Row],[Transactions]]</f>
        <v>217</v>
      </c>
    </row>
    <row r="1754" spans="1:13" x14ac:dyDescent="0.25">
      <c r="A1754" s="1">
        <v>46110</v>
      </c>
      <c r="B1754" t="s">
        <v>23</v>
      </c>
      <c r="C1754" t="s">
        <v>11</v>
      </c>
      <c r="D1754" t="str">
        <f>_xlfn.XLOOKUP(tblSales[[#This Row],[Store ID]],tblStores[Store ID],tblStores[Store Name])</f>
        <v>Stellenbosch</v>
      </c>
      <c r="E1754" t="str">
        <f>_xlfn.XLOOKUP(tblSales[[#This Row],[Store ID]],tblStores[Store ID],tblStores[Province])</f>
        <v>Western Cape</v>
      </c>
      <c r="F1754" t="str">
        <f>_xlfn.XLOOKUP(tblSales[[#This Row],[Store ID]],tblStores[Store ID],tblStores[Manager])</f>
        <v>Jason King</v>
      </c>
      <c r="G1754" t="str">
        <f>_xlfn.XLOOKUP(tblSales[[#This Row],[Category ID]],tblCategories[Category ID],tblCategories[Category])</f>
        <v>Footwear</v>
      </c>
      <c r="H1754">
        <v>19344</v>
      </c>
      <c r="I1754">
        <v>18110</v>
      </c>
      <c r="J1754">
        <v>48</v>
      </c>
      <c r="K1754">
        <f>tblSales[[#This Row],[Sales]]-tblSales[[#This Row],[Budget]]</f>
        <v>1234</v>
      </c>
      <c r="L1754" s="3">
        <f>(tblSales[[#This Row],[Sales]]-tblSales[[#This Row],[Budget]])/tblSales[[#This Row],[Budget]]</f>
        <v>6.8139149641082281E-2</v>
      </c>
      <c r="M1754" s="2">
        <f>tblSales[[#This Row],[Sales]]/tblSales[[#This Row],[Transactions]]</f>
        <v>403</v>
      </c>
    </row>
    <row r="1755" spans="1:13" x14ac:dyDescent="0.25">
      <c r="A1755" s="1">
        <v>46110</v>
      </c>
      <c r="B1755" t="s">
        <v>24</v>
      </c>
      <c r="C1755" t="s">
        <v>19</v>
      </c>
      <c r="D1755" t="str">
        <f>_xlfn.XLOOKUP(tblSales[[#This Row],[Store ID]],tblStores[Store ID],tblStores[Store Name])</f>
        <v>George</v>
      </c>
      <c r="E1755" t="str">
        <f>_xlfn.XLOOKUP(tblSales[[#This Row],[Store ID]],tblStores[Store ID],tblStores[Province])</f>
        <v>Western Cape</v>
      </c>
      <c r="F1755" t="str">
        <f>_xlfn.XLOOKUP(tblSales[[#This Row],[Store ID]],tblStores[Store ID],tblStores[Manager])</f>
        <v>Chloe Hill</v>
      </c>
      <c r="G1755" t="str">
        <f>_xlfn.XLOOKUP(tblSales[[#This Row],[Category ID]],tblCategories[Category ID],tblCategories[Category])</f>
        <v>Accessories</v>
      </c>
      <c r="H1755">
        <v>40921</v>
      </c>
      <c r="I1755">
        <v>40791</v>
      </c>
      <c r="J1755">
        <v>151</v>
      </c>
      <c r="K1755">
        <f>tblSales[[#This Row],[Sales]]-tblSales[[#This Row],[Budget]]</f>
        <v>130</v>
      </c>
      <c r="L1755" s="3">
        <f>(tblSales[[#This Row],[Sales]]-tblSales[[#This Row],[Budget]])/tblSales[[#This Row],[Budget]]</f>
        <v>3.1869775195508812E-3</v>
      </c>
      <c r="M1755" s="2">
        <f>tblSales[[#This Row],[Sales]]/tblSales[[#This Row],[Transactions]]</f>
        <v>271</v>
      </c>
    </row>
    <row r="1756" spans="1:13" x14ac:dyDescent="0.25">
      <c r="A1756" s="1">
        <v>46110</v>
      </c>
      <c r="B1756" t="s">
        <v>25</v>
      </c>
      <c r="C1756" t="s">
        <v>9</v>
      </c>
      <c r="D1756" t="str">
        <f>_xlfn.XLOOKUP(tblSales[[#This Row],[Store ID]],tblStores[Store ID],tblStores[Store Name])</f>
        <v>Paarl</v>
      </c>
      <c r="E1756" t="str">
        <f>_xlfn.XLOOKUP(tblSales[[#This Row],[Store ID]],tblStores[Store ID],tblStores[Province])</f>
        <v>Western Cape</v>
      </c>
      <c r="F1756" t="str">
        <f>_xlfn.XLOOKUP(tblSales[[#This Row],[Store ID]],tblStores[Store ID],tblStores[Manager])</f>
        <v>Andrew Lee</v>
      </c>
      <c r="G1756" t="str">
        <f>_xlfn.XLOOKUP(tblSales[[#This Row],[Category ID]],tblCategories[Category ID],tblCategories[Category])</f>
        <v>Ladieswear</v>
      </c>
      <c r="H1756">
        <v>42408</v>
      </c>
      <c r="I1756">
        <v>44867</v>
      </c>
      <c r="J1756">
        <v>152</v>
      </c>
      <c r="K1756">
        <f>tblSales[[#This Row],[Sales]]-tblSales[[#This Row],[Budget]]</f>
        <v>-2459</v>
      </c>
      <c r="L1756" s="3">
        <f>(tblSales[[#This Row],[Sales]]-tblSales[[#This Row],[Budget]])/tblSales[[#This Row],[Budget]]</f>
        <v>-5.4806427886865627E-2</v>
      </c>
      <c r="M1756" s="2">
        <f>tblSales[[#This Row],[Sales]]/tblSales[[#This Row],[Transactions]]</f>
        <v>279</v>
      </c>
    </row>
    <row r="1757" spans="1:13" x14ac:dyDescent="0.25">
      <c r="A1757" s="1">
        <v>46110</v>
      </c>
      <c r="B1757" t="s">
        <v>26</v>
      </c>
      <c r="C1757" t="s">
        <v>22</v>
      </c>
      <c r="D1757" t="str">
        <f>_xlfn.XLOOKUP(tblSales[[#This Row],[Store ID]],tblStores[Store ID],tblStores[Store Name])</f>
        <v>Gqeberha</v>
      </c>
      <c r="E1757" t="str">
        <f>_xlfn.XLOOKUP(tblSales[[#This Row],[Store ID]],tblStores[Store ID],tblStores[Province])</f>
        <v>Eastern Cape</v>
      </c>
      <c r="F1757" t="str">
        <f>_xlfn.XLOOKUP(tblSales[[#This Row],[Store ID]],tblStores[Store ID],tblStores[Manager])</f>
        <v>Emma Baker</v>
      </c>
      <c r="G1757" t="str">
        <f>_xlfn.XLOOKUP(tblSales[[#This Row],[Category ID]],tblCategories[Category ID],tblCategories[Category])</f>
        <v>Kids</v>
      </c>
      <c r="H1757">
        <v>30186</v>
      </c>
      <c r="I1757">
        <v>28127</v>
      </c>
      <c r="J1757">
        <v>86</v>
      </c>
      <c r="K1757">
        <f>tblSales[[#This Row],[Sales]]-tblSales[[#This Row],[Budget]]</f>
        <v>2059</v>
      </c>
      <c r="L1757" s="3">
        <f>(tblSales[[#This Row],[Sales]]-tblSales[[#This Row],[Budget]])/tblSales[[#This Row],[Budget]]</f>
        <v>7.3203683293632457E-2</v>
      </c>
      <c r="M1757" s="2">
        <f>tblSales[[#This Row],[Sales]]/tblSales[[#This Row],[Transactions]]</f>
        <v>351</v>
      </c>
    </row>
    <row r="1758" spans="1:13" x14ac:dyDescent="0.25">
      <c r="A1758" s="1">
        <v>46110</v>
      </c>
      <c r="B1758" t="s">
        <v>27</v>
      </c>
      <c r="C1758" t="s">
        <v>19</v>
      </c>
      <c r="D1758" t="str">
        <f>_xlfn.XLOOKUP(tblSales[[#This Row],[Store ID]],tblStores[Store ID],tblStores[Store Name])</f>
        <v>East London</v>
      </c>
      <c r="E1758" t="str">
        <f>_xlfn.XLOOKUP(tblSales[[#This Row],[Store ID]],tblStores[Store ID],tblStores[Province])</f>
        <v>Eastern Cape</v>
      </c>
      <c r="F1758" t="str">
        <f>_xlfn.XLOOKUP(tblSales[[#This Row],[Store ID]],tblStores[Store ID],tblStores[Manager])</f>
        <v>Daniel Evans</v>
      </c>
      <c r="G1758" t="str">
        <f>_xlfn.XLOOKUP(tblSales[[#This Row],[Category ID]],tblCategories[Category ID],tblCategories[Category])</f>
        <v>Accessories</v>
      </c>
      <c r="H1758">
        <v>16150</v>
      </c>
      <c r="I1758">
        <v>15086</v>
      </c>
      <c r="J1758">
        <v>50</v>
      </c>
      <c r="K1758">
        <f>tblSales[[#This Row],[Sales]]-tblSales[[#This Row],[Budget]]</f>
        <v>1064</v>
      </c>
      <c r="L1758" s="3">
        <f>(tblSales[[#This Row],[Sales]]-tblSales[[#This Row],[Budget]])/tblSales[[#This Row],[Budget]]</f>
        <v>7.0528967254408062E-2</v>
      </c>
      <c r="M1758" s="2">
        <f>tblSales[[#This Row],[Sales]]/tblSales[[#This Row],[Transactions]]</f>
        <v>323</v>
      </c>
    </row>
    <row r="1759" spans="1:13" x14ac:dyDescent="0.25">
      <c r="A1759" s="1">
        <v>46110</v>
      </c>
      <c r="B1759" t="s">
        <v>28</v>
      </c>
      <c r="C1759" t="s">
        <v>11</v>
      </c>
      <c r="D1759" t="str">
        <f>_xlfn.XLOOKUP(tblSales[[#This Row],[Store ID]],tblStores[Store ID],tblStores[Store Name])</f>
        <v>Bloemfontein</v>
      </c>
      <c r="E1759" t="str">
        <f>_xlfn.XLOOKUP(tblSales[[#This Row],[Store ID]],tblStores[Store ID],tblStores[Province])</f>
        <v>Free State</v>
      </c>
      <c r="F1759" t="str">
        <f>_xlfn.XLOOKUP(tblSales[[#This Row],[Store ID]],tblStores[Store ID],tblStores[Manager])</f>
        <v>Rachel Moore</v>
      </c>
      <c r="G1759" t="str">
        <f>_xlfn.XLOOKUP(tblSales[[#This Row],[Category ID]],tblCategories[Category ID],tblCategories[Category])</f>
        <v>Footwear</v>
      </c>
      <c r="H1759">
        <v>59888</v>
      </c>
      <c r="I1759">
        <v>56462</v>
      </c>
      <c r="J1759">
        <v>152</v>
      </c>
      <c r="K1759">
        <f>tblSales[[#This Row],[Sales]]-tblSales[[#This Row],[Budget]]</f>
        <v>3426</v>
      </c>
      <c r="L1759" s="3">
        <f>(tblSales[[#This Row],[Sales]]-tblSales[[#This Row],[Budget]])/tblSales[[#This Row],[Budget]]</f>
        <v>6.067797810917077E-2</v>
      </c>
      <c r="M1759" s="2">
        <f>tblSales[[#This Row],[Sales]]/tblSales[[#This Row],[Transactions]]</f>
        <v>394</v>
      </c>
    </row>
    <row r="1760" spans="1:13" x14ac:dyDescent="0.25">
      <c r="A1760" s="1">
        <v>46110</v>
      </c>
      <c r="B1760" t="s">
        <v>29</v>
      </c>
      <c r="C1760" t="s">
        <v>22</v>
      </c>
      <c r="D1760" t="str">
        <f>_xlfn.XLOOKUP(tblSales[[#This Row],[Store ID]],tblStores[Store ID],tblStores[Store Name])</f>
        <v>Polokwane</v>
      </c>
      <c r="E1760" t="str">
        <f>_xlfn.XLOOKUP(tblSales[[#This Row],[Store ID]],tblStores[Store ID],tblStores[Province])</f>
        <v>Limpopo</v>
      </c>
      <c r="F1760" t="str">
        <f>_xlfn.XLOOKUP(tblSales[[#This Row],[Store ID]],tblStores[Store ID],tblStores[Manager])</f>
        <v>Kevin Harris</v>
      </c>
      <c r="G1760" t="str">
        <f>_xlfn.XLOOKUP(tblSales[[#This Row],[Category ID]],tblCategories[Category ID],tblCategories[Category])</f>
        <v>Kids</v>
      </c>
      <c r="H1760">
        <v>30121</v>
      </c>
      <c r="I1760">
        <v>31654</v>
      </c>
      <c r="J1760">
        <v>91</v>
      </c>
      <c r="K1760">
        <f>tblSales[[#This Row],[Sales]]-tblSales[[#This Row],[Budget]]</f>
        <v>-1533</v>
      </c>
      <c r="L1760" s="3">
        <f>(tblSales[[#This Row],[Sales]]-tblSales[[#This Row],[Budget]])/tblSales[[#This Row],[Budget]]</f>
        <v>-4.8429898275099512E-2</v>
      </c>
      <c r="M1760" s="2">
        <f>tblSales[[#This Row],[Sales]]/tblSales[[#This Row],[Transactions]]</f>
        <v>331</v>
      </c>
    </row>
    <row r="1761" spans="1:13" x14ac:dyDescent="0.25">
      <c r="A1761" s="1">
        <v>46110</v>
      </c>
      <c r="B1761" t="s">
        <v>30</v>
      </c>
      <c r="C1761" t="s">
        <v>19</v>
      </c>
      <c r="D1761" t="str">
        <f>_xlfn.XLOOKUP(tblSales[[#This Row],[Store ID]],tblStores[Store ID],tblStores[Store Name])</f>
        <v>Nelspruit</v>
      </c>
      <c r="E1761" t="str">
        <f>_xlfn.XLOOKUP(tblSales[[#This Row],[Store ID]],tblStores[Store ID],tblStores[Province])</f>
        <v>Mpumalanga</v>
      </c>
      <c r="F1761" t="str">
        <f>_xlfn.XLOOKUP(tblSales[[#This Row],[Store ID]],tblStores[Store ID],tblStores[Manager])</f>
        <v>Olivia Turner</v>
      </c>
      <c r="G1761" t="str">
        <f>_xlfn.XLOOKUP(tblSales[[#This Row],[Category ID]],tblCategories[Category ID],tblCategories[Category])</f>
        <v>Accessories</v>
      </c>
      <c r="H1761">
        <v>37050</v>
      </c>
      <c r="I1761">
        <v>42330</v>
      </c>
      <c r="J1761">
        <v>78</v>
      </c>
      <c r="K1761">
        <f>tblSales[[#This Row],[Sales]]-tblSales[[#This Row],[Budget]]</f>
        <v>-5280</v>
      </c>
      <c r="L1761" s="3">
        <f>(tblSales[[#This Row],[Sales]]-tblSales[[#This Row],[Budget]])/tblSales[[#This Row],[Budget]]</f>
        <v>-0.12473423104181432</v>
      </c>
      <c r="M1761" s="2">
        <f>tblSales[[#This Row],[Sales]]/tblSales[[#This Row],[Transactions]]</f>
        <v>475</v>
      </c>
    </row>
    <row r="1762" spans="1:13" x14ac:dyDescent="0.25">
      <c r="A1762" s="1">
        <v>46111</v>
      </c>
      <c r="B1762" t="s">
        <v>6</v>
      </c>
      <c r="C1762" t="s">
        <v>9</v>
      </c>
      <c r="D1762" t="str">
        <f>_xlfn.XLOOKUP(tblSales[[#This Row],[Store ID]],tblStores[Store ID],tblStores[Store Name])</f>
        <v>Durban CBD</v>
      </c>
      <c r="E1762" t="str">
        <f>_xlfn.XLOOKUP(tblSales[[#This Row],[Store ID]],tblStores[Store ID],tblStores[Province])</f>
        <v>KZN</v>
      </c>
      <c r="F1762" t="str">
        <f>_xlfn.XLOOKUP(tblSales[[#This Row],[Store ID]],tblStores[Store ID],tblStores[Manager])</f>
        <v>Sarah Adams</v>
      </c>
      <c r="G1762" t="str">
        <f>_xlfn.XLOOKUP(tblSales[[#This Row],[Category ID]],tblCategories[Category ID],tblCategories[Category])</f>
        <v>Ladieswear</v>
      </c>
      <c r="H1762">
        <v>22230</v>
      </c>
      <c r="I1762">
        <v>24769</v>
      </c>
      <c r="J1762">
        <v>57</v>
      </c>
      <c r="K1762">
        <f>tblSales[[#This Row],[Sales]]-tblSales[[#This Row],[Budget]]</f>
        <v>-2539</v>
      </c>
      <c r="L1762" s="3">
        <f>(tblSales[[#This Row],[Sales]]-tblSales[[#This Row],[Budget]])/tblSales[[#This Row],[Budget]]</f>
        <v>-0.10250716621583431</v>
      </c>
      <c r="M1762" s="2">
        <f>tblSales[[#This Row],[Sales]]/tblSales[[#This Row],[Transactions]]</f>
        <v>390</v>
      </c>
    </row>
    <row r="1763" spans="1:13" x14ac:dyDescent="0.25">
      <c r="A1763" s="1">
        <v>46111</v>
      </c>
      <c r="B1763" t="s">
        <v>8</v>
      </c>
      <c r="C1763" t="s">
        <v>11</v>
      </c>
      <c r="D1763" t="str">
        <f>_xlfn.XLOOKUP(tblSales[[#This Row],[Store ID]],tblStores[Store ID],tblStores[Store Name])</f>
        <v>Gateway</v>
      </c>
      <c r="E1763" t="str">
        <f>_xlfn.XLOOKUP(tblSales[[#This Row],[Store ID]],tblStores[Store ID],tblStores[Province])</f>
        <v>KZN</v>
      </c>
      <c r="F1763" t="str">
        <f>_xlfn.XLOOKUP(tblSales[[#This Row],[Store ID]],tblStores[Store ID],tblStores[Manager])</f>
        <v>Michael Jones</v>
      </c>
      <c r="G1763" t="str">
        <f>_xlfn.XLOOKUP(tblSales[[#This Row],[Category ID]],tblCategories[Category ID],tblCategories[Category])</f>
        <v>Footwear</v>
      </c>
      <c r="H1763">
        <v>43380</v>
      </c>
      <c r="I1763">
        <v>44176</v>
      </c>
      <c r="J1763">
        <v>90</v>
      </c>
      <c r="K1763">
        <f>tblSales[[#This Row],[Sales]]-tblSales[[#This Row],[Budget]]</f>
        <v>-796</v>
      </c>
      <c r="L1763" s="3">
        <f>(tblSales[[#This Row],[Sales]]-tblSales[[#This Row],[Budget]])/tblSales[[#This Row],[Budget]]</f>
        <v>-1.801883375588555E-2</v>
      </c>
      <c r="M1763" s="2">
        <f>tblSales[[#This Row],[Sales]]/tblSales[[#This Row],[Transactions]]</f>
        <v>482</v>
      </c>
    </row>
    <row r="1764" spans="1:13" x14ac:dyDescent="0.25">
      <c r="A1764" s="1">
        <v>46111</v>
      </c>
      <c r="B1764" t="s">
        <v>10</v>
      </c>
      <c r="C1764" t="s">
        <v>11</v>
      </c>
      <c r="D1764" t="str">
        <f>_xlfn.XLOOKUP(tblSales[[#This Row],[Store ID]],tblStores[Store ID],tblStores[Store Name])</f>
        <v>Ballito</v>
      </c>
      <c r="E1764" t="str">
        <f>_xlfn.XLOOKUP(tblSales[[#This Row],[Store ID]],tblStores[Store ID],tblStores[Province])</f>
        <v>KZN</v>
      </c>
      <c r="F1764" t="str">
        <f>_xlfn.XLOOKUP(tblSales[[#This Row],[Store ID]],tblStores[Store ID],tblStores[Manager])</f>
        <v>Linda Smith</v>
      </c>
      <c r="G1764" t="str">
        <f>_xlfn.XLOOKUP(tblSales[[#This Row],[Category ID]],tblCategories[Category ID],tblCategories[Category])</f>
        <v>Footwear</v>
      </c>
      <c r="H1764">
        <v>19822</v>
      </c>
      <c r="I1764">
        <v>21457</v>
      </c>
      <c r="J1764">
        <v>106</v>
      </c>
      <c r="K1764">
        <f>tblSales[[#This Row],[Sales]]-tblSales[[#This Row],[Budget]]</f>
        <v>-1635</v>
      </c>
      <c r="L1764" s="3">
        <f>(tblSales[[#This Row],[Sales]]-tblSales[[#This Row],[Budget]])/tblSales[[#This Row],[Budget]]</f>
        <v>-7.6198909446800578E-2</v>
      </c>
      <c r="M1764" s="2">
        <f>tblSales[[#This Row],[Sales]]/tblSales[[#This Row],[Transactions]]</f>
        <v>187</v>
      </c>
    </row>
    <row r="1765" spans="1:13" x14ac:dyDescent="0.25">
      <c r="A1765" s="1">
        <v>46111</v>
      </c>
      <c r="B1765" t="s">
        <v>12</v>
      </c>
      <c r="C1765" t="s">
        <v>9</v>
      </c>
      <c r="D1765" t="str">
        <f>_xlfn.XLOOKUP(tblSales[[#This Row],[Store ID]],tblStores[Store ID],tblStores[Store Name])</f>
        <v>Pietermaritzburg</v>
      </c>
      <c r="E1765" t="str">
        <f>_xlfn.XLOOKUP(tblSales[[#This Row],[Store ID]],tblStores[Store ID],tblStores[Province])</f>
        <v>KZN</v>
      </c>
      <c r="F1765" t="str">
        <f>_xlfn.XLOOKUP(tblSales[[#This Row],[Store ID]],tblStores[Store ID],tblStores[Manager])</f>
        <v>Peter Brown</v>
      </c>
      <c r="G1765" t="str">
        <f>_xlfn.XLOOKUP(tblSales[[#This Row],[Category ID]],tblCategories[Category ID],tblCategories[Category])</f>
        <v>Ladieswear</v>
      </c>
      <c r="H1765">
        <v>34006</v>
      </c>
      <c r="I1765">
        <v>34297</v>
      </c>
      <c r="J1765">
        <v>98</v>
      </c>
      <c r="K1765">
        <f>tblSales[[#This Row],[Sales]]-tblSales[[#This Row],[Budget]]</f>
        <v>-291</v>
      </c>
      <c r="L1765" s="3">
        <f>(tblSales[[#This Row],[Sales]]-tblSales[[#This Row],[Budget]])/tblSales[[#This Row],[Budget]]</f>
        <v>-8.4847071172405742E-3</v>
      </c>
      <c r="M1765" s="2">
        <f>tblSales[[#This Row],[Sales]]/tblSales[[#This Row],[Transactions]]</f>
        <v>347</v>
      </c>
    </row>
    <row r="1766" spans="1:13" x14ac:dyDescent="0.25">
      <c r="A1766" s="1">
        <v>46111</v>
      </c>
      <c r="B1766" t="s">
        <v>13</v>
      </c>
      <c r="C1766" t="s">
        <v>9</v>
      </c>
      <c r="D1766" t="str">
        <f>_xlfn.XLOOKUP(tblSales[[#This Row],[Store ID]],tblStores[Store ID],tblStores[Store Name])</f>
        <v>Richards Bay</v>
      </c>
      <c r="E1766" t="str">
        <f>_xlfn.XLOOKUP(tblSales[[#This Row],[Store ID]],tblStores[Store ID],tblStores[Province])</f>
        <v>KZN</v>
      </c>
      <c r="F1766" t="str">
        <f>_xlfn.XLOOKUP(tblSales[[#This Row],[Store ID]],tblStores[Store ID],tblStores[Manager])</f>
        <v>David Green</v>
      </c>
      <c r="G1766" t="str">
        <f>_xlfn.XLOOKUP(tblSales[[#This Row],[Category ID]],tblCategories[Category ID],tblCategories[Category])</f>
        <v>Ladieswear</v>
      </c>
      <c r="H1766">
        <v>47616</v>
      </c>
      <c r="I1766">
        <v>53731</v>
      </c>
      <c r="J1766">
        <v>186</v>
      </c>
      <c r="K1766">
        <f>tblSales[[#This Row],[Sales]]-tblSales[[#This Row],[Budget]]</f>
        <v>-6115</v>
      </c>
      <c r="L1766" s="3">
        <f>(tblSales[[#This Row],[Sales]]-tblSales[[#This Row],[Budget]])/tblSales[[#This Row],[Budget]]</f>
        <v>-0.11380767154901267</v>
      </c>
      <c r="M1766" s="2">
        <f>tblSales[[#This Row],[Sales]]/tblSales[[#This Row],[Transactions]]</f>
        <v>256</v>
      </c>
    </row>
    <row r="1767" spans="1:13" x14ac:dyDescent="0.25">
      <c r="A1767" s="1">
        <v>46111</v>
      </c>
      <c r="B1767" t="s">
        <v>14</v>
      </c>
      <c r="C1767" t="s">
        <v>7</v>
      </c>
      <c r="D1767" t="str">
        <f>_xlfn.XLOOKUP(tblSales[[#This Row],[Store ID]],tblStores[Store ID],tblStores[Store Name])</f>
        <v>Sandton</v>
      </c>
      <c r="E1767" t="str">
        <f>_xlfn.XLOOKUP(tblSales[[#This Row],[Store ID]],tblStores[Store ID],tblStores[Province])</f>
        <v>Gauteng</v>
      </c>
      <c r="F1767" t="str">
        <f>_xlfn.XLOOKUP(tblSales[[#This Row],[Store ID]],tblStores[Store ID],tblStores[Manager])</f>
        <v>Karen White</v>
      </c>
      <c r="G1767" t="str">
        <f>_xlfn.XLOOKUP(tblSales[[#This Row],[Category ID]],tblCategories[Category ID],tblCategories[Category])</f>
        <v>Menswear</v>
      </c>
      <c r="H1767">
        <v>28482</v>
      </c>
      <c r="I1767">
        <v>25919</v>
      </c>
      <c r="J1767">
        <v>141</v>
      </c>
      <c r="K1767">
        <f>tblSales[[#This Row],[Sales]]-tblSales[[#This Row],[Budget]]</f>
        <v>2563</v>
      </c>
      <c r="L1767" s="3">
        <f>(tblSales[[#This Row],[Sales]]-tblSales[[#This Row],[Budget]])/tblSales[[#This Row],[Budget]]</f>
        <v>9.8884987846753342E-2</v>
      </c>
      <c r="M1767" s="2">
        <f>tblSales[[#This Row],[Sales]]/tblSales[[#This Row],[Transactions]]</f>
        <v>202</v>
      </c>
    </row>
    <row r="1768" spans="1:13" x14ac:dyDescent="0.25">
      <c r="A1768" s="1">
        <v>46111</v>
      </c>
      <c r="B1768" t="s">
        <v>15</v>
      </c>
      <c r="C1768" t="s">
        <v>11</v>
      </c>
      <c r="D1768" t="str">
        <f>_xlfn.XLOOKUP(tblSales[[#This Row],[Store ID]],tblStores[Store ID],tblStores[Store Name])</f>
        <v>Rosebank</v>
      </c>
      <c r="E1768" t="str">
        <f>_xlfn.XLOOKUP(tblSales[[#This Row],[Store ID]],tblStores[Store ID],tblStores[Province])</f>
        <v>Gauteng</v>
      </c>
      <c r="F1768" t="str">
        <f>_xlfn.XLOOKUP(tblSales[[#This Row],[Store ID]],tblStores[Store ID],tblStores[Manager])</f>
        <v>James Taylor</v>
      </c>
      <c r="G1768" t="str">
        <f>_xlfn.XLOOKUP(tblSales[[#This Row],[Category ID]],tblCategories[Category ID],tblCategories[Category])</f>
        <v>Footwear</v>
      </c>
      <c r="H1768">
        <v>32308</v>
      </c>
      <c r="I1768">
        <v>32515</v>
      </c>
      <c r="J1768">
        <v>164</v>
      </c>
      <c r="K1768">
        <f>tblSales[[#This Row],[Sales]]-tblSales[[#This Row],[Budget]]</f>
        <v>-207</v>
      </c>
      <c r="L1768" s="3">
        <f>(tblSales[[#This Row],[Sales]]-tblSales[[#This Row],[Budget]])/tblSales[[#This Row],[Budget]]</f>
        <v>-6.366292480393664E-3</v>
      </c>
      <c r="M1768" s="2">
        <f>tblSales[[#This Row],[Sales]]/tblSales[[#This Row],[Transactions]]</f>
        <v>197</v>
      </c>
    </row>
    <row r="1769" spans="1:13" x14ac:dyDescent="0.25">
      <c r="A1769" s="1">
        <v>46111</v>
      </c>
      <c r="B1769" t="s">
        <v>16</v>
      </c>
      <c r="C1769" t="s">
        <v>11</v>
      </c>
      <c r="D1769" t="str">
        <f>_xlfn.XLOOKUP(tblSales[[#This Row],[Store ID]],tblStores[Store ID],tblStores[Store Name])</f>
        <v>Pretoria</v>
      </c>
      <c r="E1769" t="str">
        <f>_xlfn.XLOOKUP(tblSales[[#This Row],[Store ID]],tblStores[Store ID],tblStores[Province])</f>
        <v>Gauteng</v>
      </c>
      <c r="F1769" t="str">
        <f>_xlfn.XLOOKUP(tblSales[[#This Row],[Store ID]],tblStores[Store ID],tblStores[Manager])</f>
        <v>Susan Clark</v>
      </c>
      <c r="G1769" t="str">
        <f>_xlfn.XLOOKUP(tblSales[[#This Row],[Category ID]],tblCategories[Category ID],tblCategories[Category])</f>
        <v>Footwear</v>
      </c>
      <c r="H1769">
        <v>36110</v>
      </c>
      <c r="I1769">
        <v>36583</v>
      </c>
      <c r="J1769">
        <v>157</v>
      </c>
      <c r="K1769">
        <f>tblSales[[#This Row],[Sales]]-tblSales[[#This Row],[Budget]]</f>
        <v>-473</v>
      </c>
      <c r="L1769" s="3">
        <f>(tblSales[[#This Row],[Sales]]-tblSales[[#This Row],[Budget]])/tblSales[[#This Row],[Budget]]</f>
        <v>-1.2929502774512752E-2</v>
      </c>
      <c r="M1769" s="2">
        <f>tblSales[[#This Row],[Sales]]/tblSales[[#This Row],[Transactions]]</f>
        <v>230</v>
      </c>
    </row>
    <row r="1770" spans="1:13" x14ac:dyDescent="0.25">
      <c r="A1770" s="1">
        <v>46111</v>
      </c>
      <c r="B1770" t="s">
        <v>17</v>
      </c>
      <c r="C1770" t="s">
        <v>9</v>
      </c>
      <c r="D1770" t="str">
        <f>_xlfn.XLOOKUP(tblSales[[#This Row],[Store ID]],tblStores[Store ID],tblStores[Store Name])</f>
        <v>Centurion</v>
      </c>
      <c r="E1770" t="str">
        <f>_xlfn.XLOOKUP(tblSales[[#This Row],[Store ID]],tblStores[Store ID],tblStores[Province])</f>
        <v>Gauteng</v>
      </c>
      <c r="F1770" t="str">
        <f>_xlfn.XLOOKUP(tblSales[[#This Row],[Store ID]],tblStores[Store ID],tblStores[Manager])</f>
        <v>Mark Wilson</v>
      </c>
      <c r="G1770" t="str">
        <f>_xlfn.XLOOKUP(tblSales[[#This Row],[Category ID]],tblCategories[Category ID],tblCategories[Category])</f>
        <v>Ladieswear</v>
      </c>
      <c r="H1770">
        <v>26040</v>
      </c>
      <c r="I1770">
        <v>28338</v>
      </c>
      <c r="J1770">
        <v>56</v>
      </c>
      <c r="K1770">
        <f>tblSales[[#This Row],[Sales]]-tblSales[[#This Row],[Budget]]</f>
        <v>-2298</v>
      </c>
      <c r="L1770" s="3">
        <f>(tblSales[[#This Row],[Sales]]-tblSales[[#This Row],[Budget]])/tblSales[[#This Row],[Budget]]</f>
        <v>-8.1092525936904511E-2</v>
      </c>
      <c r="M1770" s="2">
        <f>tblSales[[#This Row],[Sales]]/tblSales[[#This Row],[Transactions]]</f>
        <v>465</v>
      </c>
    </row>
    <row r="1771" spans="1:13" x14ac:dyDescent="0.25">
      <c r="A1771" s="1">
        <v>46111</v>
      </c>
      <c r="B1771" t="s">
        <v>18</v>
      </c>
      <c r="C1771" t="s">
        <v>11</v>
      </c>
      <c r="D1771" t="str">
        <f>_xlfn.XLOOKUP(tblSales[[#This Row],[Store ID]],tblStores[Store ID],tblStores[Store Name])</f>
        <v>East Rand</v>
      </c>
      <c r="E1771" t="str">
        <f>_xlfn.XLOOKUP(tblSales[[#This Row],[Store ID]],tblStores[Store ID],tblStores[Province])</f>
        <v>Gauteng</v>
      </c>
      <c r="F1771" t="str">
        <f>_xlfn.XLOOKUP(tblSales[[#This Row],[Store ID]],tblStores[Store ID],tblStores[Manager])</f>
        <v>Lisa Young</v>
      </c>
      <c r="G1771" t="str">
        <f>_xlfn.XLOOKUP(tblSales[[#This Row],[Category ID]],tblCategories[Category ID],tblCategories[Category])</f>
        <v>Footwear</v>
      </c>
      <c r="H1771">
        <v>22230</v>
      </c>
      <c r="I1771">
        <v>21998</v>
      </c>
      <c r="J1771">
        <v>90</v>
      </c>
      <c r="K1771">
        <f>tblSales[[#This Row],[Sales]]-tblSales[[#This Row],[Budget]]</f>
        <v>232</v>
      </c>
      <c r="L1771" s="3">
        <f>(tblSales[[#This Row],[Sales]]-tblSales[[#This Row],[Budget]])/tblSales[[#This Row],[Budget]]</f>
        <v>1.0546413310300937E-2</v>
      </c>
      <c r="M1771" s="2">
        <f>tblSales[[#This Row],[Sales]]/tblSales[[#This Row],[Transactions]]</f>
        <v>247</v>
      </c>
    </row>
    <row r="1772" spans="1:13" x14ac:dyDescent="0.25">
      <c r="A1772" s="1">
        <v>46111</v>
      </c>
      <c r="B1772" t="s">
        <v>20</v>
      </c>
      <c r="C1772" t="s">
        <v>9</v>
      </c>
      <c r="D1772" t="str">
        <f>_xlfn.XLOOKUP(tblSales[[#This Row],[Store ID]],tblStores[Store ID],tblStores[Store Name])</f>
        <v>Cape Town CBD</v>
      </c>
      <c r="E1772" t="str">
        <f>_xlfn.XLOOKUP(tblSales[[#This Row],[Store ID]],tblStores[Store ID],tblStores[Province])</f>
        <v>Western Cape</v>
      </c>
      <c r="F1772" t="str">
        <f>_xlfn.XLOOKUP(tblSales[[#This Row],[Store ID]],tblStores[Store ID],tblStores[Manager])</f>
        <v>Brian Hall</v>
      </c>
      <c r="G1772" t="str">
        <f>_xlfn.XLOOKUP(tblSales[[#This Row],[Category ID]],tblCategories[Category ID],tblCategories[Category])</f>
        <v>Ladieswear</v>
      </c>
      <c r="H1772">
        <v>45200</v>
      </c>
      <c r="I1772">
        <v>40860</v>
      </c>
      <c r="J1772">
        <v>200</v>
      </c>
      <c r="K1772">
        <f>tblSales[[#This Row],[Sales]]-tblSales[[#This Row],[Budget]]</f>
        <v>4340</v>
      </c>
      <c r="L1772" s="3">
        <f>(tblSales[[#This Row],[Sales]]-tblSales[[#This Row],[Budget]])/tblSales[[#This Row],[Budget]]</f>
        <v>0.10621634850709741</v>
      </c>
      <c r="M1772" s="2">
        <f>tblSales[[#This Row],[Sales]]/tblSales[[#This Row],[Transactions]]</f>
        <v>226</v>
      </c>
    </row>
    <row r="1773" spans="1:13" x14ac:dyDescent="0.25">
      <c r="A1773" s="1">
        <v>46111</v>
      </c>
      <c r="B1773" t="s">
        <v>21</v>
      </c>
      <c r="C1773" t="s">
        <v>22</v>
      </c>
      <c r="D1773" t="str">
        <f>_xlfn.XLOOKUP(tblSales[[#This Row],[Store ID]],tblStores[Store ID],tblStores[Store Name])</f>
        <v>Canal Walk</v>
      </c>
      <c r="E1773" t="str">
        <f>_xlfn.XLOOKUP(tblSales[[#This Row],[Store ID]],tblStores[Store ID],tblStores[Province])</f>
        <v>Western Cape</v>
      </c>
      <c r="F1773" t="str">
        <f>_xlfn.XLOOKUP(tblSales[[#This Row],[Store ID]],tblStores[Store ID],tblStores[Manager])</f>
        <v>Megan Scott</v>
      </c>
      <c r="G1773" t="str">
        <f>_xlfn.XLOOKUP(tblSales[[#This Row],[Category ID]],tblCategories[Category ID],tblCategories[Category])</f>
        <v>Kids</v>
      </c>
      <c r="H1773">
        <v>31540</v>
      </c>
      <c r="I1773">
        <v>35150</v>
      </c>
      <c r="J1773">
        <v>76</v>
      </c>
      <c r="K1773">
        <f>tblSales[[#This Row],[Sales]]-tblSales[[#This Row],[Budget]]</f>
        <v>-3610</v>
      </c>
      <c r="L1773" s="3">
        <f>(tblSales[[#This Row],[Sales]]-tblSales[[#This Row],[Budget]])/tblSales[[#This Row],[Budget]]</f>
        <v>-0.10270270270270271</v>
      </c>
      <c r="M1773" s="2">
        <f>tblSales[[#This Row],[Sales]]/tblSales[[#This Row],[Transactions]]</f>
        <v>415</v>
      </c>
    </row>
    <row r="1774" spans="1:13" x14ac:dyDescent="0.25">
      <c r="A1774" s="1">
        <v>46111</v>
      </c>
      <c r="B1774" t="s">
        <v>23</v>
      </c>
      <c r="C1774" t="s">
        <v>19</v>
      </c>
      <c r="D1774" t="str">
        <f>_xlfn.XLOOKUP(tblSales[[#This Row],[Store ID]],tblStores[Store ID],tblStores[Store Name])</f>
        <v>Stellenbosch</v>
      </c>
      <c r="E1774" t="str">
        <f>_xlfn.XLOOKUP(tblSales[[#This Row],[Store ID]],tblStores[Store ID],tblStores[Province])</f>
        <v>Western Cape</v>
      </c>
      <c r="F1774" t="str">
        <f>_xlfn.XLOOKUP(tblSales[[#This Row],[Store ID]],tblStores[Store ID],tblStores[Manager])</f>
        <v>Jason King</v>
      </c>
      <c r="G1774" t="str">
        <f>_xlfn.XLOOKUP(tblSales[[#This Row],[Category ID]],tblCategories[Category ID],tblCategories[Category])</f>
        <v>Accessories</v>
      </c>
      <c r="H1774">
        <v>16892</v>
      </c>
      <c r="I1774">
        <v>17161</v>
      </c>
      <c r="J1774">
        <v>41</v>
      </c>
      <c r="K1774">
        <f>tblSales[[#This Row],[Sales]]-tblSales[[#This Row],[Budget]]</f>
        <v>-269</v>
      </c>
      <c r="L1774" s="3">
        <f>(tblSales[[#This Row],[Sales]]-tblSales[[#This Row],[Budget]])/tblSales[[#This Row],[Budget]]</f>
        <v>-1.5675077209952801E-2</v>
      </c>
      <c r="M1774" s="2">
        <f>tblSales[[#This Row],[Sales]]/tblSales[[#This Row],[Transactions]]</f>
        <v>412</v>
      </c>
    </row>
    <row r="1775" spans="1:13" x14ac:dyDescent="0.25">
      <c r="A1775" s="1">
        <v>46111</v>
      </c>
      <c r="B1775" t="s">
        <v>24</v>
      </c>
      <c r="C1775" t="s">
        <v>9</v>
      </c>
      <c r="D1775" t="str">
        <f>_xlfn.XLOOKUP(tblSales[[#This Row],[Store ID]],tblStores[Store ID],tblStores[Store Name])</f>
        <v>George</v>
      </c>
      <c r="E1775" t="str">
        <f>_xlfn.XLOOKUP(tblSales[[#This Row],[Store ID]],tblStores[Store ID],tblStores[Province])</f>
        <v>Western Cape</v>
      </c>
      <c r="F1775" t="str">
        <f>_xlfn.XLOOKUP(tblSales[[#This Row],[Store ID]],tblStores[Store ID],tblStores[Manager])</f>
        <v>Chloe Hill</v>
      </c>
      <c r="G1775" t="str">
        <f>_xlfn.XLOOKUP(tblSales[[#This Row],[Category ID]],tblCategories[Category ID],tblCategories[Category])</f>
        <v>Ladieswear</v>
      </c>
      <c r="H1775">
        <v>83205</v>
      </c>
      <c r="I1775">
        <v>78731</v>
      </c>
      <c r="J1775">
        <v>215</v>
      </c>
      <c r="K1775">
        <f>tblSales[[#This Row],[Sales]]-tblSales[[#This Row],[Budget]]</f>
        <v>4474</v>
      </c>
      <c r="L1775" s="3">
        <f>(tblSales[[#This Row],[Sales]]-tblSales[[#This Row],[Budget]])/tblSales[[#This Row],[Budget]]</f>
        <v>5.6826408911356388E-2</v>
      </c>
      <c r="M1775" s="2">
        <f>tblSales[[#This Row],[Sales]]/tblSales[[#This Row],[Transactions]]</f>
        <v>387</v>
      </c>
    </row>
    <row r="1776" spans="1:13" x14ac:dyDescent="0.25">
      <c r="A1776" s="1">
        <v>46111</v>
      </c>
      <c r="B1776" t="s">
        <v>25</v>
      </c>
      <c r="C1776" t="s">
        <v>22</v>
      </c>
      <c r="D1776" t="str">
        <f>_xlfn.XLOOKUP(tblSales[[#This Row],[Store ID]],tblStores[Store ID],tblStores[Store Name])</f>
        <v>Paarl</v>
      </c>
      <c r="E1776" t="str">
        <f>_xlfn.XLOOKUP(tblSales[[#This Row],[Store ID]],tblStores[Store ID],tblStores[Province])</f>
        <v>Western Cape</v>
      </c>
      <c r="F1776" t="str">
        <f>_xlfn.XLOOKUP(tblSales[[#This Row],[Store ID]],tblStores[Store ID],tblStores[Manager])</f>
        <v>Andrew Lee</v>
      </c>
      <c r="G1776" t="str">
        <f>_xlfn.XLOOKUP(tblSales[[#This Row],[Category ID]],tblCategories[Category ID],tblCategories[Category])</f>
        <v>Kids</v>
      </c>
      <c r="H1776">
        <v>81315</v>
      </c>
      <c r="I1776">
        <v>87492</v>
      </c>
      <c r="J1776">
        <v>195</v>
      </c>
      <c r="K1776">
        <f>tblSales[[#This Row],[Sales]]-tblSales[[#This Row],[Budget]]</f>
        <v>-6177</v>
      </c>
      <c r="L1776" s="3">
        <f>(tblSales[[#This Row],[Sales]]-tblSales[[#This Row],[Budget]])/tblSales[[#This Row],[Budget]]</f>
        <v>-7.0600740639144149E-2</v>
      </c>
      <c r="M1776" s="2">
        <f>tblSales[[#This Row],[Sales]]/tblSales[[#This Row],[Transactions]]</f>
        <v>417</v>
      </c>
    </row>
    <row r="1777" spans="1:13" x14ac:dyDescent="0.25">
      <c r="A1777" s="1">
        <v>46111</v>
      </c>
      <c r="B1777" t="s">
        <v>26</v>
      </c>
      <c r="C1777" t="s">
        <v>7</v>
      </c>
      <c r="D1777" t="str">
        <f>_xlfn.XLOOKUP(tblSales[[#This Row],[Store ID]],tblStores[Store ID],tblStores[Store Name])</f>
        <v>Gqeberha</v>
      </c>
      <c r="E1777" t="str">
        <f>_xlfn.XLOOKUP(tblSales[[#This Row],[Store ID]],tblStores[Store ID],tblStores[Province])</f>
        <v>Eastern Cape</v>
      </c>
      <c r="F1777" t="str">
        <f>_xlfn.XLOOKUP(tblSales[[#This Row],[Store ID]],tblStores[Store ID],tblStores[Manager])</f>
        <v>Emma Baker</v>
      </c>
      <c r="G1777" t="str">
        <f>_xlfn.XLOOKUP(tblSales[[#This Row],[Category ID]],tblCategories[Category ID],tblCategories[Category])</f>
        <v>Menswear</v>
      </c>
      <c r="H1777">
        <v>42120</v>
      </c>
      <c r="I1777">
        <v>41960</v>
      </c>
      <c r="J1777">
        <v>195</v>
      </c>
      <c r="K1777">
        <f>tblSales[[#This Row],[Sales]]-tblSales[[#This Row],[Budget]]</f>
        <v>160</v>
      </c>
      <c r="L1777" s="3">
        <f>(tblSales[[#This Row],[Sales]]-tblSales[[#This Row],[Budget]])/tblSales[[#This Row],[Budget]]</f>
        <v>3.8131553860819827E-3</v>
      </c>
      <c r="M1777" s="2">
        <f>tblSales[[#This Row],[Sales]]/tblSales[[#This Row],[Transactions]]</f>
        <v>216</v>
      </c>
    </row>
    <row r="1778" spans="1:13" x14ac:dyDescent="0.25">
      <c r="A1778" s="1">
        <v>46111</v>
      </c>
      <c r="B1778" t="s">
        <v>27</v>
      </c>
      <c r="C1778" t="s">
        <v>22</v>
      </c>
      <c r="D1778" t="str">
        <f>_xlfn.XLOOKUP(tblSales[[#This Row],[Store ID]],tblStores[Store ID],tblStores[Store Name])</f>
        <v>East London</v>
      </c>
      <c r="E1778" t="str">
        <f>_xlfn.XLOOKUP(tblSales[[#This Row],[Store ID]],tblStores[Store ID],tblStores[Province])</f>
        <v>Eastern Cape</v>
      </c>
      <c r="F1778" t="str">
        <f>_xlfn.XLOOKUP(tblSales[[#This Row],[Store ID]],tblStores[Store ID],tblStores[Manager])</f>
        <v>Daniel Evans</v>
      </c>
      <c r="G1778" t="str">
        <f>_xlfn.XLOOKUP(tblSales[[#This Row],[Category ID]],tblCategories[Category ID],tblCategories[Category])</f>
        <v>Kids</v>
      </c>
      <c r="H1778">
        <v>33320</v>
      </c>
      <c r="I1778">
        <v>32458</v>
      </c>
      <c r="J1778">
        <v>170</v>
      </c>
      <c r="K1778">
        <f>tblSales[[#This Row],[Sales]]-tblSales[[#This Row],[Budget]]</f>
        <v>862</v>
      </c>
      <c r="L1778" s="3">
        <f>(tblSales[[#This Row],[Sales]]-tblSales[[#This Row],[Budget]])/tblSales[[#This Row],[Budget]]</f>
        <v>2.6557397251833138E-2</v>
      </c>
      <c r="M1778" s="2">
        <f>tblSales[[#This Row],[Sales]]/tblSales[[#This Row],[Transactions]]</f>
        <v>196</v>
      </c>
    </row>
    <row r="1779" spans="1:13" x14ac:dyDescent="0.25">
      <c r="A1779" s="1">
        <v>46111</v>
      </c>
      <c r="B1779" t="s">
        <v>28</v>
      </c>
      <c r="C1779" t="s">
        <v>22</v>
      </c>
      <c r="D1779" t="str">
        <f>_xlfn.XLOOKUP(tblSales[[#This Row],[Store ID]],tblStores[Store ID],tblStores[Store Name])</f>
        <v>Bloemfontein</v>
      </c>
      <c r="E1779" t="str">
        <f>_xlfn.XLOOKUP(tblSales[[#This Row],[Store ID]],tblStores[Store ID],tblStores[Province])</f>
        <v>Free State</v>
      </c>
      <c r="F1779" t="str">
        <f>_xlfn.XLOOKUP(tblSales[[#This Row],[Store ID]],tblStores[Store ID],tblStores[Manager])</f>
        <v>Rachel Moore</v>
      </c>
      <c r="G1779" t="str">
        <f>_xlfn.XLOOKUP(tblSales[[#This Row],[Category ID]],tblCategories[Category ID],tblCategories[Category])</f>
        <v>Kids</v>
      </c>
      <c r="H1779">
        <v>105009</v>
      </c>
      <c r="I1779">
        <v>108748</v>
      </c>
      <c r="J1779">
        <v>213</v>
      </c>
      <c r="K1779">
        <f>tblSales[[#This Row],[Sales]]-tblSales[[#This Row],[Budget]]</f>
        <v>-3739</v>
      </c>
      <c r="L1779" s="3">
        <f>(tblSales[[#This Row],[Sales]]-tblSales[[#This Row],[Budget]])/tblSales[[#This Row],[Budget]]</f>
        <v>-3.4382241512487588E-2</v>
      </c>
      <c r="M1779" s="2">
        <f>tblSales[[#This Row],[Sales]]/tblSales[[#This Row],[Transactions]]</f>
        <v>493</v>
      </c>
    </row>
    <row r="1780" spans="1:13" x14ac:dyDescent="0.25">
      <c r="A1780" s="1">
        <v>46111</v>
      </c>
      <c r="B1780" t="s">
        <v>29</v>
      </c>
      <c r="C1780" t="s">
        <v>9</v>
      </c>
      <c r="D1780" t="str">
        <f>_xlfn.XLOOKUP(tblSales[[#This Row],[Store ID]],tblStores[Store ID],tblStores[Store Name])</f>
        <v>Polokwane</v>
      </c>
      <c r="E1780" t="str">
        <f>_xlfn.XLOOKUP(tblSales[[#This Row],[Store ID]],tblStores[Store ID],tblStores[Province])</f>
        <v>Limpopo</v>
      </c>
      <c r="F1780" t="str">
        <f>_xlfn.XLOOKUP(tblSales[[#This Row],[Store ID]],tblStores[Store ID],tblStores[Manager])</f>
        <v>Kevin Harris</v>
      </c>
      <c r="G1780" t="str">
        <f>_xlfn.XLOOKUP(tblSales[[#This Row],[Category ID]],tblCategories[Category ID],tblCategories[Category])</f>
        <v>Ladieswear</v>
      </c>
      <c r="H1780">
        <v>46410</v>
      </c>
      <c r="I1780">
        <v>48967</v>
      </c>
      <c r="J1780">
        <v>210</v>
      </c>
      <c r="K1780">
        <f>tblSales[[#This Row],[Sales]]-tblSales[[#This Row],[Budget]]</f>
        <v>-2557</v>
      </c>
      <c r="L1780" s="3">
        <f>(tblSales[[#This Row],[Sales]]-tblSales[[#This Row],[Budget]])/tblSales[[#This Row],[Budget]]</f>
        <v>-5.2218841260440706E-2</v>
      </c>
      <c r="M1780" s="2">
        <f>tblSales[[#This Row],[Sales]]/tblSales[[#This Row],[Transactions]]</f>
        <v>221</v>
      </c>
    </row>
    <row r="1781" spans="1:13" x14ac:dyDescent="0.25">
      <c r="A1781" s="1">
        <v>46111</v>
      </c>
      <c r="B1781" t="s">
        <v>30</v>
      </c>
      <c r="C1781" t="s">
        <v>22</v>
      </c>
      <c r="D1781" t="str">
        <f>_xlfn.XLOOKUP(tblSales[[#This Row],[Store ID]],tblStores[Store ID],tblStores[Store Name])</f>
        <v>Nelspruit</v>
      </c>
      <c r="E1781" t="str">
        <f>_xlfn.XLOOKUP(tblSales[[#This Row],[Store ID]],tblStores[Store ID],tblStores[Province])</f>
        <v>Mpumalanga</v>
      </c>
      <c r="F1781" t="str">
        <f>_xlfn.XLOOKUP(tblSales[[#This Row],[Store ID]],tblStores[Store ID],tblStores[Manager])</f>
        <v>Olivia Turner</v>
      </c>
      <c r="G1781" t="str">
        <f>_xlfn.XLOOKUP(tblSales[[#This Row],[Category ID]],tblCategories[Category ID],tblCategories[Category])</f>
        <v>Kids</v>
      </c>
      <c r="H1781">
        <v>21707</v>
      </c>
      <c r="I1781">
        <v>24666</v>
      </c>
      <c r="J1781">
        <v>49</v>
      </c>
      <c r="K1781">
        <f>tblSales[[#This Row],[Sales]]-tblSales[[#This Row],[Budget]]</f>
        <v>-2959</v>
      </c>
      <c r="L1781" s="3">
        <f>(tblSales[[#This Row],[Sales]]-tblSales[[#This Row],[Budget]])/tblSales[[#This Row],[Budget]]</f>
        <v>-0.11996270169464039</v>
      </c>
      <c r="M1781" s="2">
        <f>tblSales[[#This Row],[Sales]]/tblSales[[#This Row],[Transactions]]</f>
        <v>443</v>
      </c>
    </row>
    <row r="1782" spans="1:13" x14ac:dyDescent="0.25">
      <c r="A1782" s="1">
        <v>46112</v>
      </c>
      <c r="B1782" t="s">
        <v>6</v>
      </c>
      <c r="C1782" t="s">
        <v>22</v>
      </c>
      <c r="D1782" t="str">
        <f>_xlfn.XLOOKUP(tblSales[[#This Row],[Store ID]],tblStores[Store ID],tblStores[Store Name])</f>
        <v>Durban CBD</v>
      </c>
      <c r="E1782" t="str">
        <f>_xlfn.XLOOKUP(tblSales[[#This Row],[Store ID]],tblStores[Store ID],tblStores[Province])</f>
        <v>KZN</v>
      </c>
      <c r="F1782" t="str">
        <f>_xlfn.XLOOKUP(tblSales[[#This Row],[Store ID]],tblStores[Store ID],tblStores[Manager])</f>
        <v>Sarah Adams</v>
      </c>
      <c r="G1782" t="str">
        <f>_xlfn.XLOOKUP(tblSales[[#This Row],[Category ID]],tblCategories[Category ID],tblCategories[Category])</f>
        <v>Kids</v>
      </c>
      <c r="H1782">
        <v>11328</v>
      </c>
      <c r="I1782">
        <v>11279</v>
      </c>
      <c r="J1782">
        <v>48</v>
      </c>
      <c r="K1782">
        <f>tblSales[[#This Row],[Sales]]-tblSales[[#This Row],[Budget]]</f>
        <v>49</v>
      </c>
      <c r="L1782" s="3">
        <f>(tblSales[[#This Row],[Sales]]-tblSales[[#This Row],[Budget]])/tblSales[[#This Row],[Budget]]</f>
        <v>4.344356769217129E-3</v>
      </c>
      <c r="M1782" s="2">
        <f>tblSales[[#This Row],[Sales]]/tblSales[[#This Row],[Transactions]]</f>
        <v>236</v>
      </c>
    </row>
    <row r="1783" spans="1:13" x14ac:dyDescent="0.25">
      <c r="A1783" s="1">
        <v>46112</v>
      </c>
      <c r="B1783" t="s">
        <v>8</v>
      </c>
      <c r="C1783" t="s">
        <v>11</v>
      </c>
      <c r="D1783" t="str">
        <f>_xlfn.XLOOKUP(tblSales[[#This Row],[Store ID]],tblStores[Store ID],tblStores[Store Name])</f>
        <v>Gateway</v>
      </c>
      <c r="E1783" t="str">
        <f>_xlfn.XLOOKUP(tblSales[[#This Row],[Store ID]],tblStores[Store ID],tblStores[Province])</f>
        <v>KZN</v>
      </c>
      <c r="F1783" t="str">
        <f>_xlfn.XLOOKUP(tblSales[[#This Row],[Store ID]],tblStores[Store ID],tblStores[Manager])</f>
        <v>Michael Jones</v>
      </c>
      <c r="G1783" t="str">
        <f>_xlfn.XLOOKUP(tblSales[[#This Row],[Category ID]],tblCategories[Category ID],tblCategories[Category])</f>
        <v>Footwear</v>
      </c>
      <c r="H1783">
        <v>38600</v>
      </c>
      <c r="I1783">
        <v>38267</v>
      </c>
      <c r="J1783">
        <v>193</v>
      </c>
      <c r="K1783">
        <f>tblSales[[#This Row],[Sales]]-tblSales[[#This Row],[Budget]]</f>
        <v>333</v>
      </c>
      <c r="L1783" s="3">
        <f>(tblSales[[#This Row],[Sales]]-tblSales[[#This Row],[Budget]])/tblSales[[#This Row],[Budget]]</f>
        <v>8.7020147908119273E-3</v>
      </c>
      <c r="M1783" s="2">
        <f>tblSales[[#This Row],[Sales]]/tblSales[[#This Row],[Transactions]]</f>
        <v>200</v>
      </c>
    </row>
    <row r="1784" spans="1:13" x14ac:dyDescent="0.25">
      <c r="A1784" s="1">
        <v>46112</v>
      </c>
      <c r="B1784" t="s">
        <v>10</v>
      </c>
      <c r="C1784" t="s">
        <v>9</v>
      </c>
      <c r="D1784" t="str">
        <f>_xlfn.XLOOKUP(tblSales[[#This Row],[Store ID]],tblStores[Store ID],tblStores[Store Name])</f>
        <v>Ballito</v>
      </c>
      <c r="E1784" t="str">
        <f>_xlfn.XLOOKUP(tblSales[[#This Row],[Store ID]],tblStores[Store ID],tblStores[Province])</f>
        <v>KZN</v>
      </c>
      <c r="F1784" t="str">
        <f>_xlfn.XLOOKUP(tblSales[[#This Row],[Store ID]],tblStores[Store ID],tblStores[Manager])</f>
        <v>Linda Smith</v>
      </c>
      <c r="G1784" t="str">
        <f>_xlfn.XLOOKUP(tblSales[[#This Row],[Category ID]],tblCategories[Category ID],tblCategories[Category])</f>
        <v>Ladieswear</v>
      </c>
      <c r="H1784">
        <v>93200</v>
      </c>
      <c r="I1784">
        <v>100303</v>
      </c>
      <c r="J1784">
        <v>200</v>
      </c>
      <c r="K1784">
        <f>tblSales[[#This Row],[Sales]]-tblSales[[#This Row],[Budget]]</f>
        <v>-7103</v>
      </c>
      <c r="L1784" s="3">
        <f>(tblSales[[#This Row],[Sales]]-tblSales[[#This Row],[Budget]])/tblSales[[#This Row],[Budget]]</f>
        <v>-7.0815429249374395E-2</v>
      </c>
      <c r="M1784" s="2">
        <f>tblSales[[#This Row],[Sales]]/tblSales[[#This Row],[Transactions]]</f>
        <v>466</v>
      </c>
    </row>
    <row r="1785" spans="1:13" x14ac:dyDescent="0.25">
      <c r="A1785" s="1">
        <v>46112</v>
      </c>
      <c r="B1785" t="s">
        <v>12</v>
      </c>
      <c r="C1785" t="s">
        <v>19</v>
      </c>
      <c r="D1785" t="str">
        <f>_xlfn.XLOOKUP(tblSales[[#This Row],[Store ID]],tblStores[Store ID],tblStores[Store Name])</f>
        <v>Pietermaritzburg</v>
      </c>
      <c r="E1785" t="str">
        <f>_xlfn.XLOOKUP(tblSales[[#This Row],[Store ID]],tblStores[Store ID],tblStores[Province])</f>
        <v>KZN</v>
      </c>
      <c r="F1785" t="str">
        <f>_xlfn.XLOOKUP(tblSales[[#This Row],[Store ID]],tblStores[Store ID],tblStores[Manager])</f>
        <v>Peter Brown</v>
      </c>
      <c r="G1785" t="str">
        <f>_xlfn.XLOOKUP(tblSales[[#This Row],[Category ID]],tblCategories[Category ID],tblCategories[Category])</f>
        <v>Accessories</v>
      </c>
      <c r="H1785">
        <v>61344</v>
      </c>
      <c r="I1785">
        <v>57332</v>
      </c>
      <c r="J1785">
        <v>216</v>
      </c>
      <c r="K1785">
        <f>tblSales[[#This Row],[Sales]]-tblSales[[#This Row],[Budget]]</f>
        <v>4012</v>
      </c>
      <c r="L1785" s="3">
        <f>(tblSales[[#This Row],[Sales]]-tblSales[[#This Row],[Budget]])/tblSales[[#This Row],[Budget]]</f>
        <v>6.9978371590036975E-2</v>
      </c>
      <c r="M1785" s="2">
        <f>tblSales[[#This Row],[Sales]]/tblSales[[#This Row],[Transactions]]</f>
        <v>284</v>
      </c>
    </row>
    <row r="1786" spans="1:13" x14ac:dyDescent="0.25">
      <c r="A1786" s="1">
        <v>46112</v>
      </c>
      <c r="B1786" t="s">
        <v>13</v>
      </c>
      <c r="C1786" t="s">
        <v>22</v>
      </c>
      <c r="D1786" t="str">
        <f>_xlfn.XLOOKUP(tblSales[[#This Row],[Store ID]],tblStores[Store ID],tblStores[Store Name])</f>
        <v>Richards Bay</v>
      </c>
      <c r="E1786" t="str">
        <f>_xlfn.XLOOKUP(tblSales[[#This Row],[Store ID]],tblStores[Store ID],tblStores[Province])</f>
        <v>KZN</v>
      </c>
      <c r="F1786" t="str">
        <f>_xlfn.XLOOKUP(tblSales[[#This Row],[Store ID]],tblStores[Store ID],tblStores[Manager])</f>
        <v>David Green</v>
      </c>
      <c r="G1786" t="str">
        <f>_xlfn.XLOOKUP(tblSales[[#This Row],[Category ID]],tblCategories[Category ID],tblCategories[Category])</f>
        <v>Kids</v>
      </c>
      <c r="H1786">
        <v>43776</v>
      </c>
      <c r="I1786">
        <v>40641</v>
      </c>
      <c r="J1786">
        <v>96</v>
      </c>
      <c r="K1786">
        <f>tblSales[[#This Row],[Sales]]-tblSales[[#This Row],[Budget]]</f>
        <v>3135</v>
      </c>
      <c r="L1786" s="3">
        <f>(tblSales[[#This Row],[Sales]]-tblSales[[#This Row],[Budget]])/tblSales[[#This Row],[Budget]]</f>
        <v>7.7138849929873771E-2</v>
      </c>
      <c r="M1786" s="2">
        <f>tblSales[[#This Row],[Sales]]/tblSales[[#This Row],[Transactions]]</f>
        <v>456</v>
      </c>
    </row>
    <row r="1787" spans="1:13" x14ac:dyDescent="0.25">
      <c r="A1787" s="1">
        <v>46112</v>
      </c>
      <c r="B1787" t="s">
        <v>14</v>
      </c>
      <c r="C1787" t="s">
        <v>11</v>
      </c>
      <c r="D1787" t="str">
        <f>_xlfn.XLOOKUP(tblSales[[#This Row],[Store ID]],tblStores[Store ID],tblStores[Store Name])</f>
        <v>Sandton</v>
      </c>
      <c r="E1787" t="str">
        <f>_xlfn.XLOOKUP(tblSales[[#This Row],[Store ID]],tblStores[Store ID],tblStores[Province])</f>
        <v>Gauteng</v>
      </c>
      <c r="F1787" t="str">
        <f>_xlfn.XLOOKUP(tblSales[[#This Row],[Store ID]],tblStores[Store ID],tblStores[Manager])</f>
        <v>Karen White</v>
      </c>
      <c r="G1787" t="str">
        <f>_xlfn.XLOOKUP(tblSales[[#This Row],[Category ID]],tblCategories[Category ID],tblCategories[Category])</f>
        <v>Footwear</v>
      </c>
      <c r="H1787">
        <v>52521</v>
      </c>
      <c r="I1787">
        <v>57158</v>
      </c>
      <c r="J1787">
        <v>183</v>
      </c>
      <c r="K1787">
        <f>tblSales[[#This Row],[Sales]]-tblSales[[#This Row],[Budget]]</f>
        <v>-4637</v>
      </c>
      <c r="L1787" s="3">
        <f>(tblSales[[#This Row],[Sales]]-tblSales[[#This Row],[Budget]])/tblSales[[#This Row],[Budget]]</f>
        <v>-8.1126001609573464E-2</v>
      </c>
      <c r="M1787" s="2">
        <f>tblSales[[#This Row],[Sales]]/tblSales[[#This Row],[Transactions]]</f>
        <v>287</v>
      </c>
    </row>
    <row r="1788" spans="1:13" x14ac:dyDescent="0.25">
      <c r="A1788" s="1">
        <v>46112</v>
      </c>
      <c r="B1788" t="s">
        <v>15</v>
      </c>
      <c r="C1788" t="s">
        <v>9</v>
      </c>
      <c r="D1788" t="str">
        <f>_xlfn.XLOOKUP(tblSales[[#This Row],[Store ID]],tblStores[Store ID],tblStores[Store Name])</f>
        <v>Rosebank</v>
      </c>
      <c r="E1788" t="str">
        <f>_xlfn.XLOOKUP(tblSales[[#This Row],[Store ID]],tblStores[Store ID],tblStores[Province])</f>
        <v>Gauteng</v>
      </c>
      <c r="F1788" t="str">
        <f>_xlfn.XLOOKUP(tblSales[[#This Row],[Store ID]],tblStores[Store ID],tblStores[Manager])</f>
        <v>James Taylor</v>
      </c>
      <c r="G1788" t="str">
        <f>_xlfn.XLOOKUP(tblSales[[#This Row],[Category ID]],tblCategories[Category ID],tblCategories[Category])</f>
        <v>Ladieswear</v>
      </c>
      <c r="H1788">
        <v>42120</v>
      </c>
      <c r="I1788">
        <v>47363</v>
      </c>
      <c r="J1788">
        <v>117</v>
      </c>
      <c r="K1788">
        <f>tblSales[[#This Row],[Sales]]-tblSales[[#This Row],[Budget]]</f>
        <v>-5243</v>
      </c>
      <c r="L1788" s="3">
        <f>(tblSales[[#This Row],[Sales]]-tblSales[[#This Row],[Budget]])/tblSales[[#This Row],[Budget]]</f>
        <v>-0.11069822435234254</v>
      </c>
      <c r="M1788" s="2">
        <f>tblSales[[#This Row],[Sales]]/tblSales[[#This Row],[Transactions]]</f>
        <v>360</v>
      </c>
    </row>
    <row r="1789" spans="1:13" x14ac:dyDescent="0.25">
      <c r="A1789" s="1">
        <v>46112</v>
      </c>
      <c r="B1789" t="s">
        <v>16</v>
      </c>
      <c r="C1789" t="s">
        <v>19</v>
      </c>
      <c r="D1789" t="str">
        <f>_xlfn.XLOOKUP(tblSales[[#This Row],[Store ID]],tblStores[Store ID],tblStores[Store Name])</f>
        <v>Pretoria</v>
      </c>
      <c r="E1789" t="str">
        <f>_xlfn.XLOOKUP(tblSales[[#This Row],[Store ID]],tblStores[Store ID],tblStores[Province])</f>
        <v>Gauteng</v>
      </c>
      <c r="F1789" t="str">
        <f>_xlfn.XLOOKUP(tblSales[[#This Row],[Store ID]],tblStores[Store ID],tblStores[Manager])</f>
        <v>Susan Clark</v>
      </c>
      <c r="G1789" t="str">
        <f>_xlfn.XLOOKUP(tblSales[[#This Row],[Category ID]],tblCategories[Category ID],tblCategories[Category])</f>
        <v>Accessories</v>
      </c>
      <c r="H1789">
        <v>82764</v>
      </c>
      <c r="I1789">
        <v>80222</v>
      </c>
      <c r="J1789">
        <v>209</v>
      </c>
      <c r="K1789">
        <f>tblSales[[#This Row],[Sales]]-tblSales[[#This Row],[Budget]]</f>
        <v>2542</v>
      </c>
      <c r="L1789" s="3">
        <f>(tblSales[[#This Row],[Sales]]-tblSales[[#This Row],[Budget]])/tblSales[[#This Row],[Budget]]</f>
        <v>3.1687068385230985E-2</v>
      </c>
      <c r="M1789" s="2">
        <f>tblSales[[#This Row],[Sales]]/tblSales[[#This Row],[Transactions]]</f>
        <v>396</v>
      </c>
    </row>
    <row r="1790" spans="1:13" x14ac:dyDescent="0.25">
      <c r="A1790" s="1">
        <v>46112</v>
      </c>
      <c r="B1790" t="s">
        <v>17</v>
      </c>
      <c r="C1790" t="s">
        <v>7</v>
      </c>
      <c r="D1790" t="str">
        <f>_xlfn.XLOOKUP(tblSales[[#This Row],[Store ID]],tblStores[Store ID],tblStores[Store Name])</f>
        <v>Centurion</v>
      </c>
      <c r="E1790" t="str">
        <f>_xlfn.XLOOKUP(tblSales[[#This Row],[Store ID]],tblStores[Store ID],tblStores[Province])</f>
        <v>Gauteng</v>
      </c>
      <c r="F1790" t="str">
        <f>_xlfn.XLOOKUP(tblSales[[#This Row],[Store ID]],tblStores[Store ID],tblStores[Manager])</f>
        <v>Mark Wilson</v>
      </c>
      <c r="G1790" t="str">
        <f>_xlfn.XLOOKUP(tblSales[[#This Row],[Category ID]],tblCategories[Category ID],tblCategories[Category])</f>
        <v>Menswear</v>
      </c>
      <c r="H1790">
        <v>46280</v>
      </c>
      <c r="I1790">
        <v>46886</v>
      </c>
      <c r="J1790">
        <v>130</v>
      </c>
      <c r="K1790">
        <f>tblSales[[#This Row],[Sales]]-tblSales[[#This Row],[Budget]]</f>
        <v>-606</v>
      </c>
      <c r="L1790" s="3">
        <f>(tblSales[[#This Row],[Sales]]-tblSales[[#This Row],[Budget]])/tblSales[[#This Row],[Budget]]</f>
        <v>-1.2924966941091158E-2</v>
      </c>
      <c r="M1790" s="2">
        <f>tblSales[[#This Row],[Sales]]/tblSales[[#This Row],[Transactions]]</f>
        <v>356</v>
      </c>
    </row>
    <row r="1791" spans="1:13" x14ac:dyDescent="0.25">
      <c r="A1791" s="1">
        <v>46112</v>
      </c>
      <c r="B1791" t="s">
        <v>18</v>
      </c>
      <c r="C1791" t="s">
        <v>19</v>
      </c>
      <c r="D1791" t="str">
        <f>_xlfn.XLOOKUP(tblSales[[#This Row],[Store ID]],tblStores[Store ID],tblStores[Store Name])</f>
        <v>East Rand</v>
      </c>
      <c r="E1791" t="str">
        <f>_xlfn.XLOOKUP(tblSales[[#This Row],[Store ID]],tblStores[Store ID],tblStores[Province])</f>
        <v>Gauteng</v>
      </c>
      <c r="F1791" t="str">
        <f>_xlfn.XLOOKUP(tblSales[[#This Row],[Store ID]],tblStores[Store ID],tblStores[Manager])</f>
        <v>Lisa Young</v>
      </c>
      <c r="G1791" t="str">
        <f>_xlfn.XLOOKUP(tblSales[[#This Row],[Category ID]],tblCategories[Category ID],tblCategories[Category])</f>
        <v>Accessories</v>
      </c>
      <c r="H1791">
        <v>40898</v>
      </c>
      <c r="I1791">
        <v>41615</v>
      </c>
      <c r="J1791">
        <v>169</v>
      </c>
      <c r="K1791">
        <f>tblSales[[#This Row],[Sales]]-tblSales[[#This Row],[Budget]]</f>
        <v>-717</v>
      </c>
      <c r="L1791" s="3">
        <f>(tblSales[[#This Row],[Sales]]-tblSales[[#This Row],[Budget]])/tblSales[[#This Row],[Budget]]</f>
        <v>-1.7229364411870719E-2</v>
      </c>
      <c r="M1791" s="2">
        <f>tblSales[[#This Row],[Sales]]/tblSales[[#This Row],[Transactions]]</f>
        <v>242</v>
      </c>
    </row>
    <row r="1792" spans="1:13" x14ac:dyDescent="0.25">
      <c r="A1792" s="1">
        <v>46112</v>
      </c>
      <c r="B1792" t="s">
        <v>20</v>
      </c>
      <c r="C1792" t="s">
        <v>19</v>
      </c>
      <c r="D1792" t="str">
        <f>_xlfn.XLOOKUP(tblSales[[#This Row],[Store ID]],tblStores[Store ID],tblStores[Store Name])</f>
        <v>Cape Town CBD</v>
      </c>
      <c r="E1792" t="str">
        <f>_xlfn.XLOOKUP(tblSales[[#This Row],[Store ID]],tblStores[Store ID],tblStores[Province])</f>
        <v>Western Cape</v>
      </c>
      <c r="F1792" t="str">
        <f>_xlfn.XLOOKUP(tblSales[[#This Row],[Store ID]],tblStores[Store ID],tblStores[Manager])</f>
        <v>Brian Hall</v>
      </c>
      <c r="G1792" t="str">
        <f>_xlfn.XLOOKUP(tblSales[[#This Row],[Category ID]],tblCategories[Category ID],tblCategories[Category])</f>
        <v>Accessories</v>
      </c>
      <c r="H1792">
        <v>94016</v>
      </c>
      <c r="I1792">
        <v>105755</v>
      </c>
      <c r="J1792">
        <v>208</v>
      </c>
      <c r="K1792">
        <f>tblSales[[#This Row],[Sales]]-tblSales[[#This Row],[Budget]]</f>
        <v>-11739</v>
      </c>
      <c r="L1792" s="3">
        <f>(tblSales[[#This Row],[Sales]]-tblSales[[#This Row],[Budget]])/tblSales[[#This Row],[Budget]]</f>
        <v>-0.11100184388444991</v>
      </c>
      <c r="M1792" s="2">
        <f>tblSales[[#This Row],[Sales]]/tblSales[[#This Row],[Transactions]]</f>
        <v>452</v>
      </c>
    </row>
    <row r="1793" spans="1:13" x14ac:dyDescent="0.25">
      <c r="A1793" s="1">
        <v>46112</v>
      </c>
      <c r="B1793" t="s">
        <v>21</v>
      </c>
      <c r="C1793" t="s">
        <v>11</v>
      </c>
      <c r="D1793" t="str">
        <f>_xlfn.XLOOKUP(tblSales[[#This Row],[Store ID]],tblStores[Store ID],tblStores[Store Name])</f>
        <v>Canal Walk</v>
      </c>
      <c r="E1793" t="str">
        <f>_xlfn.XLOOKUP(tblSales[[#This Row],[Store ID]],tblStores[Store ID],tblStores[Province])</f>
        <v>Western Cape</v>
      </c>
      <c r="F1793" t="str">
        <f>_xlfn.XLOOKUP(tblSales[[#This Row],[Store ID]],tblStores[Store ID],tblStores[Manager])</f>
        <v>Megan Scott</v>
      </c>
      <c r="G1793" t="str">
        <f>_xlfn.XLOOKUP(tblSales[[#This Row],[Category ID]],tblCategories[Category ID],tblCategories[Category])</f>
        <v>Footwear</v>
      </c>
      <c r="H1793">
        <v>71024</v>
      </c>
      <c r="I1793">
        <v>78124</v>
      </c>
      <c r="J1793">
        <v>193</v>
      </c>
      <c r="K1793">
        <f>tblSales[[#This Row],[Sales]]-tblSales[[#This Row],[Budget]]</f>
        <v>-7100</v>
      </c>
      <c r="L1793" s="3">
        <f>(tblSales[[#This Row],[Sales]]-tblSales[[#This Row],[Budget]])/tblSales[[#This Row],[Budget]]</f>
        <v>-9.0881163278889968E-2</v>
      </c>
      <c r="M1793" s="2">
        <f>tblSales[[#This Row],[Sales]]/tblSales[[#This Row],[Transactions]]</f>
        <v>368</v>
      </c>
    </row>
    <row r="1794" spans="1:13" x14ac:dyDescent="0.25">
      <c r="A1794" s="1">
        <v>46112</v>
      </c>
      <c r="B1794" t="s">
        <v>23</v>
      </c>
      <c r="C1794" t="s">
        <v>7</v>
      </c>
      <c r="D1794" t="str">
        <f>_xlfn.XLOOKUP(tblSales[[#This Row],[Store ID]],tblStores[Store ID],tblStores[Store Name])</f>
        <v>Stellenbosch</v>
      </c>
      <c r="E1794" t="str">
        <f>_xlfn.XLOOKUP(tblSales[[#This Row],[Store ID]],tblStores[Store ID],tblStores[Province])</f>
        <v>Western Cape</v>
      </c>
      <c r="F1794" t="str">
        <f>_xlfn.XLOOKUP(tblSales[[#This Row],[Store ID]],tblStores[Store ID],tblStores[Manager])</f>
        <v>Jason King</v>
      </c>
      <c r="G1794" t="str">
        <f>_xlfn.XLOOKUP(tblSales[[#This Row],[Category ID]],tblCategories[Category ID],tblCategories[Category])</f>
        <v>Menswear</v>
      </c>
      <c r="H1794">
        <v>34362</v>
      </c>
      <c r="I1794">
        <v>31675</v>
      </c>
      <c r="J1794">
        <v>83</v>
      </c>
      <c r="K1794">
        <f>tblSales[[#This Row],[Sales]]-tblSales[[#This Row],[Budget]]</f>
        <v>2687</v>
      </c>
      <c r="L1794" s="3">
        <f>(tblSales[[#This Row],[Sales]]-tblSales[[#This Row],[Budget]])/tblSales[[#This Row],[Budget]]</f>
        <v>8.4830307813733227E-2</v>
      </c>
      <c r="M1794" s="2">
        <f>tblSales[[#This Row],[Sales]]/tblSales[[#This Row],[Transactions]]</f>
        <v>414</v>
      </c>
    </row>
    <row r="1795" spans="1:13" x14ac:dyDescent="0.25">
      <c r="A1795" s="1">
        <v>46112</v>
      </c>
      <c r="B1795" t="s">
        <v>24</v>
      </c>
      <c r="C1795" t="s">
        <v>11</v>
      </c>
      <c r="D1795" t="str">
        <f>_xlfn.XLOOKUP(tblSales[[#This Row],[Store ID]],tblStores[Store ID],tblStores[Store Name])</f>
        <v>George</v>
      </c>
      <c r="E1795" t="str">
        <f>_xlfn.XLOOKUP(tblSales[[#This Row],[Store ID]],tblStores[Store ID],tblStores[Province])</f>
        <v>Western Cape</v>
      </c>
      <c r="F1795" t="str">
        <f>_xlfn.XLOOKUP(tblSales[[#This Row],[Store ID]],tblStores[Store ID],tblStores[Manager])</f>
        <v>Chloe Hill</v>
      </c>
      <c r="G1795" t="str">
        <f>_xlfn.XLOOKUP(tblSales[[#This Row],[Category ID]],tblCategories[Category ID],tblCategories[Category])</f>
        <v>Footwear</v>
      </c>
      <c r="H1795">
        <v>26160</v>
      </c>
      <c r="I1795">
        <v>29810</v>
      </c>
      <c r="J1795">
        <v>80</v>
      </c>
      <c r="K1795">
        <f>tblSales[[#This Row],[Sales]]-tblSales[[#This Row],[Budget]]</f>
        <v>-3650</v>
      </c>
      <c r="L1795" s="3">
        <f>(tblSales[[#This Row],[Sales]]-tblSales[[#This Row],[Budget]])/tblSales[[#This Row],[Budget]]</f>
        <v>-0.12244213351224421</v>
      </c>
      <c r="M1795" s="2">
        <f>tblSales[[#This Row],[Sales]]/tblSales[[#This Row],[Transactions]]</f>
        <v>327</v>
      </c>
    </row>
    <row r="1796" spans="1:13" x14ac:dyDescent="0.25">
      <c r="A1796" s="1">
        <v>46112</v>
      </c>
      <c r="B1796" t="s">
        <v>25</v>
      </c>
      <c r="C1796" t="s">
        <v>7</v>
      </c>
      <c r="D1796" t="str">
        <f>_xlfn.XLOOKUP(tblSales[[#This Row],[Store ID]],tblStores[Store ID],tblStores[Store Name])</f>
        <v>Paarl</v>
      </c>
      <c r="E1796" t="str">
        <f>_xlfn.XLOOKUP(tblSales[[#This Row],[Store ID]],tblStores[Store ID],tblStores[Province])</f>
        <v>Western Cape</v>
      </c>
      <c r="F1796" t="str">
        <f>_xlfn.XLOOKUP(tblSales[[#This Row],[Store ID]],tblStores[Store ID],tblStores[Manager])</f>
        <v>Andrew Lee</v>
      </c>
      <c r="G1796" t="str">
        <f>_xlfn.XLOOKUP(tblSales[[#This Row],[Category ID]],tblCategories[Category ID],tblCategories[Category])</f>
        <v>Menswear</v>
      </c>
      <c r="H1796">
        <v>16368</v>
      </c>
      <c r="I1796">
        <v>15860</v>
      </c>
      <c r="J1796">
        <v>62</v>
      </c>
      <c r="K1796">
        <f>tblSales[[#This Row],[Sales]]-tblSales[[#This Row],[Budget]]</f>
        <v>508</v>
      </c>
      <c r="L1796" s="3">
        <f>(tblSales[[#This Row],[Sales]]-tblSales[[#This Row],[Budget]])/tblSales[[#This Row],[Budget]]</f>
        <v>3.2030264817150066E-2</v>
      </c>
      <c r="M1796" s="2">
        <f>tblSales[[#This Row],[Sales]]/tblSales[[#This Row],[Transactions]]</f>
        <v>264</v>
      </c>
    </row>
    <row r="1797" spans="1:13" x14ac:dyDescent="0.25">
      <c r="A1797" s="1">
        <v>46112</v>
      </c>
      <c r="B1797" t="s">
        <v>26</v>
      </c>
      <c r="C1797" t="s">
        <v>9</v>
      </c>
      <c r="D1797" t="str">
        <f>_xlfn.XLOOKUP(tblSales[[#This Row],[Store ID]],tblStores[Store ID],tblStores[Store Name])</f>
        <v>Gqeberha</v>
      </c>
      <c r="E1797" t="str">
        <f>_xlfn.XLOOKUP(tblSales[[#This Row],[Store ID]],tblStores[Store ID],tblStores[Province])</f>
        <v>Eastern Cape</v>
      </c>
      <c r="F1797" t="str">
        <f>_xlfn.XLOOKUP(tblSales[[#This Row],[Store ID]],tblStores[Store ID],tblStores[Manager])</f>
        <v>Emma Baker</v>
      </c>
      <c r="G1797" t="str">
        <f>_xlfn.XLOOKUP(tblSales[[#This Row],[Category ID]],tblCategories[Category ID],tblCategories[Category])</f>
        <v>Ladieswear</v>
      </c>
      <c r="H1797">
        <v>41634</v>
      </c>
      <c r="I1797">
        <v>46577</v>
      </c>
      <c r="J1797">
        <v>162</v>
      </c>
      <c r="K1797">
        <f>tblSales[[#This Row],[Sales]]-tblSales[[#This Row],[Budget]]</f>
        <v>-4943</v>
      </c>
      <c r="L1797" s="3">
        <f>(tblSales[[#This Row],[Sales]]-tblSales[[#This Row],[Budget]])/tblSales[[#This Row],[Budget]]</f>
        <v>-0.10612534083345858</v>
      </c>
      <c r="M1797" s="2">
        <f>tblSales[[#This Row],[Sales]]/tblSales[[#This Row],[Transactions]]</f>
        <v>257</v>
      </c>
    </row>
    <row r="1798" spans="1:13" x14ac:dyDescent="0.25">
      <c r="A1798" s="1">
        <v>46112</v>
      </c>
      <c r="B1798" t="s">
        <v>27</v>
      </c>
      <c r="C1798" t="s">
        <v>19</v>
      </c>
      <c r="D1798" t="str">
        <f>_xlfn.XLOOKUP(tblSales[[#This Row],[Store ID]],tblStores[Store ID],tblStores[Store Name])</f>
        <v>East London</v>
      </c>
      <c r="E1798" t="str">
        <f>_xlfn.XLOOKUP(tblSales[[#This Row],[Store ID]],tblStores[Store ID],tblStores[Province])</f>
        <v>Eastern Cape</v>
      </c>
      <c r="F1798" t="str">
        <f>_xlfn.XLOOKUP(tblSales[[#This Row],[Store ID]],tblStores[Store ID],tblStores[Manager])</f>
        <v>Daniel Evans</v>
      </c>
      <c r="G1798" t="str">
        <f>_xlfn.XLOOKUP(tblSales[[#This Row],[Category ID]],tblCategories[Category ID],tblCategories[Category])</f>
        <v>Accessories</v>
      </c>
      <c r="H1798">
        <v>37245</v>
      </c>
      <c r="I1798">
        <v>36250</v>
      </c>
      <c r="J1798">
        <v>195</v>
      </c>
      <c r="K1798">
        <f>tblSales[[#This Row],[Sales]]-tblSales[[#This Row],[Budget]]</f>
        <v>995</v>
      </c>
      <c r="L1798" s="3">
        <f>(tblSales[[#This Row],[Sales]]-tblSales[[#This Row],[Budget]])/tblSales[[#This Row],[Budget]]</f>
        <v>2.7448275862068966E-2</v>
      </c>
      <c r="M1798" s="2">
        <f>tblSales[[#This Row],[Sales]]/tblSales[[#This Row],[Transactions]]</f>
        <v>191</v>
      </c>
    </row>
    <row r="1799" spans="1:13" x14ac:dyDescent="0.25">
      <c r="A1799" s="1">
        <v>46112</v>
      </c>
      <c r="B1799" t="s">
        <v>28</v>
      </c>
      <c r="C1799" t="s">
        <v>19</v>
      </c>
      <c r="D1799" t="str">
        <f>_xlfn.XLOOKUP(tblSales[[#This Row],[Store ID]],tblStores[Store ID],tblStores[Store Name])</f>
        <v>Bloemfontein</v>
      </c>
      <c r="E1799" t="str">
        <f>_xlfn.XLOOKUP(tblSales[[#This Row],[Store ID]],tblStores[Store ID],tblStores[Province])</f>
        <v>Free State</v>
      </c>
      <c r="F1799" t="str">
        <f>_xlfn.XLOOKUP(tblSales[[#This Row],[Store ID]],tblStores[Store ID],tblStores[Manager])</f>
        <v>Rachel Moore</v>
      </c>
      <c r="G1799" t="str">
        <f>_xlfn.XLOOKUP(tblSales[[#This Row],[Category ID]],tblCategories[Category ID],tblCategories[Category])</f>
        <v>Accessories</v>
      </c>
      <c r="H1799">
        <v>28696</v>
      </c>
      <c r="I1799">
        <v>28313</v>
      </c>
      <c r="J1799">
        <v>68</v>
      </c>
      <c r="K1799">
        <f>tblSales[[#This Row],[Sales]]-tblSales[[#This Row],[Budget]]</f>
        <v>383</v>
      </c>
      <c r="L1799" s="3">
        <f>(tblSales[[#This Row],[Sales]]-tblSales[[#This Row],[Budget]])/tblSales[[#This Row],[Budget]]</f>
        <v>1.3527354925299332E-2</v>
      </c>
      <c r="M1799" s="2">
        <f>tblSales[[#This Row],[Sales]]/tblSales[[#This Row],[Transactions]]</f>
        <v>422</v>
      </c>
    </row>
    <row r="1800" spans="1:13" x14ac:dyDescent="0.25">
      <c r="A1800" s="1">
        <v>46112</v>
      </c>
      <c r="B1800" t="s">
        <v>29</v>
      </c>
      <c r="C1800" t="s">
        <v>11</v>
      </c>
      <c r="D1800" t="str">
        <f>_xlfn.XLOOKUP(tblSales[[#This Row],[Store ID]],tblStores[Store ID],tblStores[Store Name])</f>
        <v>Polokwane</v>
      </c>
      <c r="E1800" t="str">
        <f>_xlfn.XLOOKUP(tblSales[[#This Row],[Store ID]],tblStores[Store ID],tblStores[Province])</f>
        <v>Limpopo</v>
      </c>
      <c r="F1800" t="str">
        <f>_xlfn.XLOOKUP(tblSales[[#This Row],[Store ID]],tblStores[Store ID],tblStores[Manager])</f>
        <v>Kevin Harris</v>
      </c>
      <c r="G1800" t="str">
        <f>_xlfn.XLOOKUP(tblSales[[#This Row],[Category ID]],tblCategories[Category ID],tblCategories[Category])</f>
        <v>Footwear</v>
      </c>
      <c r="H1800">
        <v>38000</v>
      </c>
      <c r="I1800">
        <v>36969</v>
      </c>
      <c r="J1800">
        <v>200</v>
      </c>
      <c r="K1800">
        <f>tblSales[[#This Row],[Sales]]-tblSales[[#This Row],[Budget]]</f>
        <v>1031</v>
      </c>
      <c r="L1800" s="3">
        <f>(tblSales[[#This Row],[Sales]]-tblSales[[#This Row],[Budget]])/tblSales[[#This Row],[Budget]]</f>
        <v>2.7888230679758718E-2</v>
      </c>
      <c r="M1800" s="2">
        <f>tblSales[[#This Row],[Sales]]/tblSales[[#This Row],[Transactions]]</f>
        <v>190</v>
      </c>
    </row>
    <row r="1801" spans="1:13" x14ac:dyDescent="0.25">
      <c r="A1801" s="1">
        <v>46112</v>
      </c>
      <c r="B1801" t="s">
        <v>30</v>
      </c>
      <c r="C1801" t="s">
        <v>7</v>
      </c>
      <c r="D1801" t="str">
        <f>_xlfn.XLOOKUP(tblSales[[#This Row],[Store ID]],tblStores[Store ID],tblStores[Store Name])</f>
        <v>Nelspruit</v>
      </c>
      <c r="E1801" t="str">
        <f>_xlfn.XLOOKUP(tblSales[[#This Row],[Store ID]],tblStores[Store ID],tblStores[Province])</f>
        <v>Mpumalanga</v>
      </c>
      <c r="F1801" t="str">
        <f>_xlfn.XLOOKUP(tblSales[[#This Row],[Store ID]],tblStores[Store ID],tblStores[Manager])</f>
        <v>Olivia Turner</v>
      </c>
      <c r="G1801" t="str">
        <f>_xlfn.XLOOKUP(tblSales[[#This Row],[Category ID]],tblCategories[Category ID],tblCategories[Category])</f>
        <v>Menswear</v>
      </c>
      <c r="H1801">
        <v>11920</v>
      </c>
      <c r="I1801">
        <v>13216</v>
      </c>
      <c r="J1801">
        <v>40</v>
      </c>
      <c r="K1801">
        <f>tblSales[[#This Row],[Sales]]-tblSales[[#This Row],[Budget]]</f>
        <v>-1296</v>
      </c>
      <c r="L1801" s="3">
        <f>(tblSales[[#This Row],[Sales]]-tblSales[[#This Row],[Budget]])/tblSales[[#This Row],[Budget]]</f>
        <v>-9.8062953995157381E-2</v>
      </c>
      <c r="M1801" s="2">
        <f>tblSales[[#This Row],[Sales]]/tblSales[[#This Row],[Transactions]]</f>
        <v>298</v>
      </c>
    </row>
    <row r="1802" spans="1:13" x14ac:dyDescent="0.25">
      <c r="A1802" s="1">
        <v>46113</v>
      </c>
      <c r="B1802" t="s">
        <v>6</v>
      </c>
      <c r="C1802" t="s">
        <v>19</v>
      </c>
      <c r="D1802" t="str">
        <f>_xlfn.XLOOKUP(tblSales[[#This Row],[Store ID]],tblStores[Store ID],tblStores[Store Name])</f>
        <v>Durban CBD</v>
      </c>
      <c r="E1802" t="str">
        <f>_xlfn.XLOOKUP(tblSales[[#This Row],[Store ID]],tblStores[Store ID],tblStores[Province])</f>
        <v>KZN</v>
      </c>
      <c r="F1802" t="str">
        <f>_xlfn.XLOOKUP(tblSales[[#This Row],[Store ID]],tblStores[Store ID],tblStores[Manager])</f>
        <v>Sarah Adams</v>
      </c>
      <c r="G1802" t="str">
        <f>_xlfn.XLOOKUP(tblSales[[#This Row],[Category ID]],tblCategories[Category ID],tblCategories[Category])</f>
        <v>Accessories</v>
      </c>
      <c r="H1802">
        <v>70200</v>
      </c>
      <c r="I1802">
        <v>70405</v>
      </c>
      <c r="J1802">
        <v>200</v>
      </c>
      <c r="K1802">
        <f>tblSales[[#This Row],[Sales]]-tblSales[[#This Row],[Budget]]</f>
        <v>-205</v>
      </c>
      <c r="L1802" s="3">
        <f>(tblSales[[#This Row],[Sales]]-tblSales[[#This Row],[Budget]])/tblSales[[#This Row],[Budget]]</f>
        <v>-2.911725019529863E-3</v>
      </c>
      <c r="M1802" s="2">
        <f>tblSales[[#This Row],[Sales]]/tblSales[[#This Row],[Transactions]]</f>
        <v>351</v>
      </c>
    </row>
    <row r="1803" spans="1:13" x14ac:dyDescent="0.25">
      <c r="A1803" s="1">
        <v>46113</v>
      </c>
      <c r="B1803" t="s">
        <v>8</v>
      </c>
      <c r="C1803" t="s">
        <v>22</v>
      </c>
      <c r="D1803" t="str">
        <f>_xlfn.XLOOKUP(tblSales[[#This Row],[Store ID]],tblStores[Store ID],tblStores[Store Name])</f>
        <v>Gateway</v>
      </c>
      <c r="E1803" t="str">
        <f>_xlfn.XLOOKUP(tblSales[[#This Row],[Store ID]],tblStores[Store ID],tblStores[Province])</f>
        <v>KZN</v>
      </c>
      <c r="F1803" t="str">
        <f>_xlfn.XLOOKUP(tblSales[[#This Row],[Store ID]],tblStores[Store ID],tblStores[Manager])</f>
        <v>Michael Jones</v>
      </c>
      <c r="G1803" t="str">
        <f>_xlfn.XLOOKUP(tblSales[[#This Row],[Category ID]],tblCategories[Category ID],tblCategories[Category])</f>
        <v>Kids</v>
      </c>
      <c r="H1803">
        <v>103020</v>
      </c>
      <c r="I1803">
        <v>112982</v>
      </c>
      <c r="J1803">
        <v>202</v>
      </c>
      <c r="K1803">
        <f>tblSales[[#This Row],[Sales]]-tblSales[[#This Row],[Budget]]</f>
        <v>-9962</v>
      </c>
      <c r="L1803" s="3">
        <f>(tblSales[[#This Row],[Sales]]-tblSales[[#This Row],[Budget]])/tblSales[[#This Row],[Budget]]</f>
        <v>-8.8173337345771888E-2</v>
      </c>
      <c r="M1803" s="2">
        <f>tblSales[[#This Row],[Sales]]/tblSales[[#This Row],[Transactions]]</f>
        <v>510</v>
      </c>
    </row>
    <row r="1804" spans="1:13" x14ac:dyDescent="0.25">
      <c r="A1804" s="1">
        <v>46113</v>
      </c>
      <c r="B1804" t="s">
        <v>10</v>
      </c>
      <c r="C1804" t="s">
        <v>11</v>
      </c>
      <c r="D1804" t="str">
        <f>_xlfn.XLOOKUP(tblSales[[#This Row],[Store ID]],tblStores[Store ID],tblStores[Store Name])</f>
        <v>Ballito</v>
      </c>
      <c r="E1804" t="str">
        <f>_xlfn.XLOOKUP(tblSales[[#This Row],[Store ID]],tblStores[Store ID],tblStores[Province])</f>
        <v>KZN</v>
      </c>
      <c r="F1804" t="str">
        <f>_xlfn.XLOOKUP(tblSales[[#This Row],[Store ID]],tblStores[Store ID],tblStores[Manager])</f>
        <v>Linda Smith</v>
      </c>
      <c r="G1804" t="str">
        <f>_xlfn.XLOOKUP(tblSales[[#This Row],[Category ID]],tblCategories[Category ID],tblCategories[Category])</f>
        <v>Footwear</v>
      </c>
      <c r="H1804">
        <v>96720</v>
      </c>
      <c r="I1804">
        <v>103898</v>
      </c>
      <c r="J1804">
        <v>186</v>
      </c>
      <c r="K1804">
        <f>tblSales[[#This Row],[Sales]]-tblSales[[#This Row],[Budget]]</f>
        <v>-7178</v>
      </c>
      <c r="L1804" s="3">
        <f>(tblSales[[#This Row],[Sales]]-tblSales[[#This Row],[Budget]])/tblSales[[#This Row],[Budget]]</f>
        <v>-6.9086989162447779E-2</v>
      </c>
      <c r="M1804" s="2">
        <f>tblSales[[#This Row],[Sales]]/tblSales[[#This Row],[Transactions]]</f>
        <v>520</v>
      </c>
    </row>
    <row r="1805" spans="1:13" x14ac:dyDescent="0.25">
      <c r="A1805" s="1">
        <v>46113</v>
      </c>
      <c r="B1805" t="s">
        <v>12</v>
      </c>
      <c r="C1805" t="s">
        <v>19</v>
      </c>
      <c r="D1805" t="str">
        <f>_xlfn.XLOOKUP(tblSales[[#This Row],[Store ID]],tblStores[Store ID],tblStores[Store Name])</f>
        <v>Pietermaritzburg</v>
      </c>
      <c r="E1805" t="str">
        <f>_xlfn.XLOOKUP(tblSales[[#This Row],[Store ID]],tblStores[Store ID],tblStores[Province])</f>
        <v>KZN</v>
      </c>
      <c r="F1805" t="str">
        <f>_xlfn.XLOOKUP(tblSales[[#This Row],[Store ID]],tblStores[Store ID],tblStores[Manager])</f>
        <v>Peter Brown</v>
      </c>
      <c r="G1805" t="str">
        <f>_xlfn.XLOOKUP(tblSales[[#This Row],[Category ID]],tblCategories[Category ID],tblCategories[Category])</f>
        <v>Accessories</v>
      </c>
      <c r="H1805">
        <v>61272</v>
      </c>
      <c r="I1805">
        <v>59802</v>
      </c>
      <c r="J1805">
        <v>148</v>
      </c>
      <c r="K1805">
        <f>tblSales[[#This Row],[Sales]]-tblSales[[#This Row],[Budget]]</f>
        <v>1470</v>
      </c>
      <c r="L1805" s="3">
        <f>(tblSales[[#This Row],[Sales]]-tblSales[[#This Row],[Budget]])/tblSales[[#This Row],[Budget]]</f>
        <v>2.4581117688371627E-2</v>
      </c>
      <c r="M1805" s="2">
        <f>tblSales[[#This Row],[Sales]]/tblSales[[#This Row],[Transactions]]</f>
        <v>414</v>
      </c>
    </row>
    <row r="1806" spans="1:13" x14ac:dyDescent="0.25">
      <c r="A1806" s="1">
        <v>46113</v>
      </c>
      <c r="B1806" t="s">
        <v>13</v>
      </c>
      <c r="C1806" t="s">
        <v>9</v>
      </c>
      <c r="D1806" t="str">
        <f>_xlfn.XLOOKUP(tblSales[[#This Row],[Store ID]],tblStores[Store ID],tblStores[Store Name])</f>
        <v>Richards Bay</v>
      </c>
      <c r="E1806" t="str">
        <f>_xlfn.XLOOKUP(tblSales[[#This Row],[Store ID]],tblStores[Store ID],tblStores[Province])</f>
        <v>KZN</v>
      </c>
      <c r="F1806" t="str">
        <f>_xlfn.XLOOKUP(tblSales[[#This Row],[Store ID]],tblStores[Store ID],tblStores[Manager])</f>
        <v>David Green</v>
      </c>
      <c r="G1806" t="str">
        <f>_xlfn.XLOOKUP(tblSales[[#This Row],[Category ID]],tblCategories[Category ID],tblCategories[Category])</f>
        <v>Ladieswear</v>
      </c>
      <c r="H1806">
        <v>30171</v>
      </c>
      <c r="I1806">
        <v>33107</v>
      </c>
      <c r="J1806">
        <v>113</v>
      </c>
      <c r="K1806">
        <f>tblSales[[#This Row],[Sales]]-tblSales[[#This Row],[Budget]]</f>
        <v>-2936</v>
      </c>
      <c r="L1806" s="3">
        <f>(tblSales[[#This Row],[Sales]]-tblSales[[#This Row],[Budget]])/tblSales[[#This Row],[Budget]]</f>
        <v>-8.8682151810795307E-2</v>
      </c>
      <c r="M1806" s="2">
        <f>tblSales[[#This Row],[Sales]]/tblSales[[#This Row],[Transactions]]</f>
        <v>267</v>
      </c>
    </row>
    <row r="1807" spans="1:13" x14ac:dyDescent="0.25">
      <c r="A1807" s="1">
        <v>46113</v>
      </c>
      <c r="B1807" t="s">
        <v>14</v>
      </c>
      <c r="C1807" t="s">
        <v>9</v>
      </c>
      <c r="D1807" t="str">
        <f>_xlfn.XLOOKUP(tblSales[[#This Row],[Store ID]],tblStores[Store ID],tblStores[Store Name])</f>
        <v>Sandton</v>
      </c>
      <c r="E1807" t="str">
        <f>_xlfn.XLOOKUP(tblSales[[#This Row],[Store ID]],tblStores[Store ID],tblStores[Province])</f>
        <v>Gauteng</v>
      </c>
      <c r="F1807" t="str">
        <f>_xlfn.XLOOKUP(tblSales[[#This Row],[Store ID]],tblStores[Store ID],tblStores[Manager])</f>
        <v>Karen White</v>
      </c>
      <c r="G1807" t="str">
        <f>_xlfn.XLOOKUP(tblSales[[#This Row],[Category ID]],tblCategories[Category ID],tblCategories[Category])</f>
        <v>Ladieswear</v>
      </c>
      <c r="H1807">
        <v>58460</v>
      </c>
      <c r="I1807">
        <v>66801</v>
      </c>
      <c r="J1807">
        <v>158</v>
      </c>
      <c r="K1807">
        <f>tblSales[[#This Row],[Sales]]-tblSales[[#This Row],[Budget]]</f>
        <v>-8341</v>
      </c>
      <c r="L1807" s="3">
        <f>(tblSales[[#This Row],[Sales]]-tblSales[[#This Row],[Budget]])/tblSales[[#This Row],[Budget]]</f>
        <v>-0.12486340024849928</v>
      </c>
      <c r="M1807" s="2">
        <f>tblSales[[#This Row],[Sales]]/tblSales[[#This Row],[Transactions]]</f>
        <v>370</v>
      </c>
    </row>
    <row r="1808" spans="1:13" x14ac:dyDescent="0.25">
      <c r="A1808" s="1">
        <v>46113</v>
      </c>
      <c r="B1808" t="s">
        <v>15</v>
      </c>
      <c r="C1808" t="s">
        <v>7</v>
      </c>
      <c r="D1808" t="str">
        <f>_xlfn.XLOOKUP(tblSales[[#This Row],[Store ID]],tblStores[Store ID],tblStores[Store Name])</f>
        <v>Rosebank</v>
      </c>
      <c r="E1808" t="str">
        <f>_xlfn.XLOOKUP(tblSales[[#This Row],[Store ID]],tblStores[Store ID],tblStores[Province])</f>
        <v>Gauteng</v>
      </c>
      <c r="F1808" t="str">
        <f>_xlfn.XLOOKUP(tblSales[[#This Row],[Store ID]],tblStores[Store ID],tblStores[Manager])</f>
        <v>James Taylor</v>
      </c>
      <c r="G1808" t="str">
        <f>_xlfn.XLOOKUP(tblSales[[#This Row],[Category ID]],tblCategories[Category ID],tblCategories[Category])</f>
        <v>Menswear</v>
      </c>
      <c r="H1808">
        <v>25920</v>
      </c>
      <c r="I1808">
        <v>25170</v>
      </c>
      <c r="J1808">
        <v>72</v>
      </c>
      <c r="K1808">
        <f>tblSales[[#This Row],[Sales]]-tblSales[[#This Row],[Budget]]</f>
        <v>750</v>
      </c>
      <c r="L1808" s="3">
        <f>(tblSales[[#This Row],[Sales]]-tblSales[[#This Row],[Budget]])/tblSales[[#This Row],[Budget]]</f>
        <v>2.9797377830750895E-2</v>
      </c>
      <c r="M1808" s="2">
        <f>tblSales[[#This Row],[Sales]]/tblSales[[#This Row],[Transactions]]</f>
        <v>360</v>
      </c>
    </row>
    <row r="1809" spans="1:13" x14ac:dyDescent="0.25">
      <c r="A1809" s="1">
        <v>46113</v>
      </c>
      <c r="B1809" t="s">
        <v>16</v>
      </c>
      <c r="C1809" t="s">
        <v>9</v>
      </c>
      <c r="D1809" t="str">
        <f>_xlfn.XLOOKUP(tblSales[[#This Row],[Store ID]],tblStores[Store ID],tblStores[Store Name])</f>
        <v>Pretoria</v>
      </c>
      <c r="E1809" t="str">
        <f>_xlfn.XLOOKUP(tblSales[[#This Row],[Store ID]],tblStores[Store ID],tblStores[Province])</f>
        <v>Gauteng</v>
      </c>
      <c r="F1809" t="str">
        <f>_xlfn.XLOOKUP(tblSales[[#This Row],[Store ID]],tblStores[Store ID],tblStores[Manager])</f>
        <v>Susan Clark</v>
      </c>
      <c r="G1809" t="str">
        <f>_xlfn.XLOOKUP(tblSales[[#This Row],[Category ID]],tblCategories[Category ID],tblCategories[Category])</f>
        <v>Ladieswear</v>
      </c>
      <c r="H1809">
        <v>50566</v>
      </c>
      <c r="I1809">
        <v>54507</v>
      </c>
      <c r="J1809">
        <v>193</v>
      </c>
      <c r="K1809">
        <f>tblSales[[#This Row],[Sales]]-tblSales[[#This Row],[Budget]]</f>
        <v>-3941</v>
      </c>
      <c r="L1809" s="3">
        <f>(tblSales[[#This Row],[Sales]]-tblSales[[#This Row],[Budget]])/tblSales[[#This Row],[Budget]]</f>
        <v>-7.230264002788632E-2</v>
      </c>
      <c r="M1809" s="2">
        <f>tblSales[[#This Row],[Sales]]/tblSales[[#This Row],[Transactions]]</f>
        <v>262</v>
      </c>
    </row>
    <row r="1810" spans="1:13" x14ac:dyDescent="0.25">
      <c r="A1810" s="1">
        <v>46113</v>
      </c>
      <c r="B1810" t="s">
        <v>17</v>
      </c>
      <c r="C1810" t="s">
        <v>22</v>
      </c>
      <c r="D1810" t="str">
        <f>_xlfn.XLOOKUP(tblSales[[#This Row],[Store ID]],tblStores[Store ID],tblStores[Store Name])</f>
        <v>Centurion</v>
      </c>
      <c r="E1810" t="str">
        <f>_xlfn.XLOOKUP(tblSales[[#This Row],[Store ID]],tblStores[Store ID],tblStores[Province])</f>
        <v>Gauteng</v>
      </c>
      <c r="F1810" t="str">
        <f>_xlfn.XLOOKUP(tblSales[[#This Row],[Store ID]],tblStores[Store ID],tblStores[Manager])</f>
        <v>Mark Wilson</v>
      </c>
      <c r="G1810" t="str">
        <f>_xlfn.XLOOKUP(tblSales[[#This Row],[Category ID]],tblCategories[Category ID],tblCategories[Category])</f>
        <v>Kids</v>
      </c>
      <c r="H1810">
        <v>21789</v>
      </c>
      <c r="I1810">
        <v>24182</v>
      </c>
      <c r="J1810">
        <v>81</v>
      </c>
      <c r="K1810">
        <f>tblSales[[#This Row],[Sales]]-tblSales[[#This Row],[Budget]]</f>
        <v>-2393</v>
      </c>
      <c r="L1810" s="3">
        <f>(tblSales[[#This Row],[Sales]]-tblSales[[#This Row],[Budget]])/tblSales[[#This Row],[Budget]]</f>
        <v>-9.8957902572161111E-2</v>
      </c>
      <c r="M1810" s="2">
        <f>tblSales[[#This Row],[Sales]]/tblSales[[#This Row],[Transactions]]</f>
        <v>269</v>
      </c>
    </row>
    <row r="1811" spans="1:13" x14ac:dyDescent="0.25">
      <c r="A1811" s="1">
        <v>46113</v>
      </c>
      <c r="B1811" t="s">
        <v>18</v>
      </c>
      <c r="C1811" t="s">
        <v>9</v>
      </c>
      <c r="D1811" t="str">
        <f>_xlfn.XLOOKUP(tblSales[[#This Row],[Store ID]],tblStores[Store ID],tblStores[Store Name])</f>
        <v>East Rand</v>
      </c>
      <c r="E1811" t="str">
        <f>_xlfn.XLOOKUP(tblSales[[#This Row],[Store ID]],tblStores[Store ID],tblStores[Province])</f>
        <v>Gauteng</v>
      </c>
      <c r="F1811" t="str">
        <f>_xlfn.XLOOKUP(tblSales[[#This Row],[Store ID]],tblStores[Store ID],tblStores[Manager])</f>
        <v>Lisa Young</v>
      </c>
      <c r="G1811" t="str">
        <f>_xlfn.XLOOKUP(tblSales[[#This Row],[Category ID]],tblCategories[Category ID],tblCategories[Category])</f>
        <v>Ladieswear</v>
      </c>
      <c r="H1811">
        <v>22876</v>
      </c>
      <c r="I1811">
        <v>21257</v>
      </c>
      <c r="J1811">
        <v>76</v>
      </c>
      <c r="K1811">
        <f>tblSales[[#This Row],[Sales]]-tblSales[[#This Row],[Budget]]</f>
        <v>1619</v>
      </c>
      <c r="L1811" s="3">
        <f>(tblSales[[#This Row],[Sales]]-tblSales[[#This Row],[Budget]])/tblSales[[#This Row],[Budget]]</f>
        <v>7.6163146257703346E-2</v>
      </c>
      <c r="M1811" s="2">
        <f>tblSales[[#This Row],[Sales]]/tblSales[[#This Row],[Transactions]]</f>
        <v>301</v>
      </c>
    </row>
    <row r="1812" spans="1:13" x14ac:dyDescent="0.25">
      <c r="A1812" s="1">
        <v>46113</v>
      </c>
      <c r="B1812" t="s">
        <v>20</v>
      </c>
      <c r="C1812" t="s">
        <v>22</v>
      </c>
      <c r="D1812" t="str">
        <f>_xlfn.XLOOKUP(tblSales[[#This Row],[Store ID]],tblStores[Store ID],tblStores[Store Name])</f>
        <v>Cape Town CBD</v>
      </c>
      <c r="E1812" t="str">
        <f>_xlfn.XLOOKUP(tblSales[[#This Row],[Store ID]],tblStores[Store ID],tblStores[Province])</f>
        <v>Western Cape</v>
      </c>
      <c r="F1812" t="str">
        <f>_xlfn.XLOOKUP(tblSales[[#This Row],[Store ID]],tblStores[Store ID],tblStores[Manager])</f>
        <v>Brian Hall</v>
      </c>
      <c r="G1812" t="str">
        <f>_xlfn.XLOOKUP(tblSales[[#This Row],[Category ID]],tblCategories[Category ID],tblCategories[Category])</f>
        <v>Kids</v>
      </c>
      <c r="H1812">
        <v>44408</v>
      </c>
      <c r="I1812">
        <v>44861</v>
      </c>
      <c r="J1812">
        <v>182</v>
      </c>
      <c r="K1812">
        <f>tblSales[[#This Row],[Sales]]-tblSales[[#This Row],[Budget]]</f>
        <v>-453</v>
      </c>
      <c r="L1812" s="3">
        <f>(tblSales[[#This Row],[Sales]]-tblSales[[#This Row],[Budget]])/tblSales[[#This Row],[Budget]]</f>
        <v>-1.0097857827511648E-2</v>
      </c>
      <c r="M1812" s="2">
        <f>tblSales[[#This Row],[Sales]]/tblSales[[#This Row],[Transactions]]</f>
        <v>244</v>
      </c>
    </row>
    <row r="1813" spans="1:13" x14ac:dyDescent="0.25">
      <c r="A1813" s="1">
        <v>46113</v>
      </c>
      <c r="B1813" t="s">
        <v>21</v>
      </c>
      <c r="C1813" t="s">
        <v>22</v>
      </c>
      <c r="D1813" t="str">
        <f>_xlfn.XLOOKUP(tblSales[[#This Row],[Store ID]],tblStores[Store ID],tblStores[Store Name])</f>
        <v>Canal Walk</v>
      </c>
      <c r="E1813" t="str">
        <f>_xlfn.XLOOKUP(tblSales[[#This Row],[Store ID]],tblStores[Store ID],tblStores[Province])</f>
        <v>Western Cape</v>
      </c>
      <c r="F1813" t="str">
        <f>_xlfn.XLOOKUP(tblSales[[#This Row],[Store ID]],tblStores[Store ID],tblStores[Manager])</f>
        <v>Megan Scott</v>
      </c>
      <c r="G1813" t="str">
        <f>_xlfn.XLOOKUP(tblSales[[#This Row],[Category ID]],tblCategories[Category ID],tblCategories[Category])</f>
        <v>Kids</v>
      </c>
      <c r="H1813">
        <v>23370</v>
      </c>
      <c r="I1813">
        <v>24319</v>
      </c>
      <c r="J1813">
        <v>82</v>
      </c>
      <c r="K1813">
        <f>tblSales[[#This Row],[Sales]]-tblSales[[#This Row],[Budget]]</f>
        <v>-949</v>
      </c>
      <c r="L1813" s="3">
        <f>(tblSales[[#This Row],[Sales]]-tblSales[[#This Row],[Budget]])/tblSales[[#This Row],[Budget]]</f>
        <v>-3.9022986142522309E-2</v>
      </c>
      <c r="M1813" s="2">
        <f>tblSales[[#This Row],[Sales]]/tblSales[[#This Row],[Transactions]]</f>
        <v>285</v>
      </c>
    </row>
    <row r="1814" spans="1:13" x14ac:dyDescent="0.25">
      <c r="A1814" s="1">
        <v>46113</v>
      </c>
      <c r="B1814" t="s">
        <v>23</v>
      </c>
      <c r="C1814" t="s">
        <v>7</v>
      </c>
      <c r="D1814" t="str">
        <f>_xlfn.XLOOKUP(tblSales[[#This Row],[Store ID]],tblStores[Store ID],tblStores[Store Name])</f>
        <v>Stellenbosch</v>
      </c>
      <c r="E1814" t="str">
        <f>_xlfn.XLOOKUP(tblSales[[#This Row],[Store ID]],tblStores[Store ID],tblStores[Province])</f>
        <v>Western Cape</v>
      </c>
      <c r="F1814" t="str">
        <f>_xlfn.XLOOKUP(tblSales[[#This Row],[Store ID]],tblStores[Store ID],tblStores[Manager])</f>
        <v>Jason King</v>
      </c>
      <c r="G1814" t="str">
        <f>_xlfn.XLOOKUP(tblSales[[#This Row],[Category ID]],tblCategories[Category ID],tblCategories[Category])</f>
        <v>Menswear</v>
      </c>
      <c r="H1814">
        <v>70110</v>
      </c>
      <c r="I1814">
        <v>80241</v>
      </c>
      <c r="J1814">
        <v>205</v>
      </c>
      <c r="K1814">
        <f>tblSales[[#This Row],[Sales]]-tblSales[[#This Row],[Budget]]</f>
        <v>-10131</v>
      </c>
      <c r="L1814" s="3">
        <f>(tblSales[[#This Row],[Sales]]-tblSales[[#This Row],[Budget]])/tblSales[[#This Row],[Budget]]</f>
        <v>-0.12625715033461696</v>
      </c>
      <c r="M1814" s="2">
        <f>tblSales[[#This Row],[Sales]]/tblSales[[#This Row],[Transactions]]</f>
        <v>342</v>
      </c>
    </row>
    <row r="1815" spans="1:13" x14ac:dyDescent="0.25">
      <c r="A1815" s="1">
        <v>46113</v>
      </c>
      <c r="B1815" t="s">
        <v>24</v>
      </c>
      <c r="C1815" t="s">
        <v>9</v>
      </c>
      <c r="D1815" t="str">
        <f>_xlfn.XLOOKUP(tblSales[[#This Row],[Store ID]],tblStores[Store ID],tblStores[Store Name])</f>
        <v>George</v>
      </c>
      <c r="E1815" t="str">
        <f>_xlfn.XLOOKUP(tblSales[[#This Row],[Store ID]],tblStores[Store ID],tblStores[Province])</f>
        <v>Western Cape</v>
      </c>
      <c r="F1815" t="str">
        <f>_xlfn.XLOOKUP(tblSales[[#This Row],[Store ID]],tblStores[Store ID],tblStores[Manager])</f>
        <v>Chloe Hill</v>
      </c>
      <c r="G1815" t="str">
        <f>_xlfn.XLOOKUP(tblSales[[#This Row],[Category ID]],tblCategories[Category ID],tblCategories[Category])</f>
        <v>Ladieswear</v>
      </c>
      <c r="H1815">
        <v>53170</v>
      </c>
      <c r="I1815">
        <v>55029</v>
      </c>
      <c r="J1815">
        <v>130</v>
      </c>
      <c r="K1815">
        <f>tblSales[[#This Row],[Sales]]-tblSales[[#This Row],[Budget]]</f>
        <v>-1859</v>
      </c>
      <c r="L1815" s="3">
        <f>(tblSales[[#This Row],[Sales]]-tblSales[[#This Row],[Budget]])/tblSales[[#This Row],[Budget]]</f>
        <v>-3.3782187573824708E-2</v>
      </c>
      <c r="M1815" s="2">
        <f>tblSales[[#This Row],[Sales]]/tblSales[[#This Row],[Transactions]]</f>
        <v>409</v>
      </c>
    </row>
    <row r="1816" spans="1:13" x14ac:dyDescent="0.25">
      <c r="A1816" s="1">
        <v>46113</v>
      </c>
      <c r="B1816" t="s">
        <v>25</v>
      </c>
      <c r="C1816" t="s">
        <v>9</v>
      </c>
      <c r="D1816" t="str">
        <f>_xlfn.XLOOKUP(tblSales[[#This Row],[Store ID]],tblStores[Store ID],tblStores[Store Name])</f>
        <v>Paarl</v>
      </c>
      <c r="E1816" t="str">
        <f>_xlfn.XLOOKUP(tblSales[[#This Row],[Store ID]],tblStores[Store ID],tblStores[Province])</f>
        <v>Western Cape</v>
      </c>
      <c r="F1816" t="str">
        <f>_xlfn.XLOOKUP(tblSales[[#This Row],[Store ID]],tblStores[Store ID],tblStores[Manager])</f>
        <v>Andrew Lee</v>
      </c>
      <c r="G1816" t="str">
        <f>_xlfn.XLOOKUP(tblSales[[#This Row],[Category ID]],tblCategories[Category ID],tblCategories[Category])</f>
        <v>Ladieswear</v>
      </c>
      <c r="H1816">
        <v>57114</v>
      </c>
      <c r="I1816">
        <v>53137</v>
      </c>
      <c r="J1816">
        <v>171</v>
      </c>
      <c r="K1816">
        <f>tblSales[[#This Row],[Sales]]-tblSales[[#This Row],[Budget]]</f>
        <v>3977</v>
      </c>
      <c r="L1816" s="3">
        <f>(tblSales[[#This Row],[Sales]]-tblSales[[#This Row],[Budget]])/tblSales[[#This Row],[Budget]]</f>
        <v>7.484427047067016E-2</v>
      </c>
      <c r="M1816" s="2">
        <f>tblSales[[#This Row],[Sales]]/tblSales[[#This Row],[Transactions]]</f>
        <v>334</v>
      </c>
    </row>
    <row r="1817" spans="1:13" x14ac:dyDescent="0.25">
      <c r="A1817" s="1">
        <v>46113</v>
      </c>
      <c r="B1817" t="s">
        <v>26</v>
      </c>
      <c r="C1817" t="s">
        <v>7</v>
      </c>
      <c r="D1817" t="str">
        <f>_xlfn.XLOOKUP(tblSales[[#This Row],[Store ID]],tblStores[Store ID],tblStores[Store Name])</f>
        <v>Gqeberha</v>
      </c>
      <c r="E1817" t="str">
        <f>_xlfn.XLOOKUP(tblSales[[#This Row],[Store ID]],tblStores[Store ID],tblStores[Province])</f>
        <v>Eastern Cape</v>
      </c>
      <c r="F1817" t="str">
        <f>_xlfn.XLOOKUP(tblSales[[#This Row],[Store ID]],tblStores[Store ID],tblStores[Manager])</f>
        <v>Emma Baker</v>
      </c>
      <c r="G1817" t="str">
        <f>_xlfn.XLOOKUP(tblSales[[#This Row],[Category ID]],tblCategories[Category ID],tblCategories[Category])</f>
        <v>Menswear</v>
      </c>
      <c r="H1817">
        <v>60030</v>
      </c>
      <c r="I1817">
        <v>65560</v>
      </c>
      <c r="J1817">
        <v>138</v>
      </c>
      <c r="K1817">
        <f>tblSales[[#This Row],[Sales]]-tblSales[[#This Row],[Budget]]</f>
        <v>-5530</v>
      </c>
      <c r="L1817" s="3">
        <f>(tblSales[[#This Row],[Sales]]-tblSales[[#This Row],[Budget]])/tblSales[[#This Row],[Budget]]</f>
        <v>-8.4350213544844413E-2</v>
      </c>
      <c r="M1817" s="2">
        <f>tblSales[[#This Row],[Sales]]/tblSales[[#This Row],[Transactions]]</f>
        <v>435</v>
      </c>
    </row>
    <row r="1818" spans="1:13" x14ac:dyDescent="0.25">
      <c r="A1818" s="1">
        <v>46113</v>
      </c>
      <c r="B1818" t="s">
        <v>27</v>
      </c>
      <c r="C1818" t="s">
        <v>11</v>
      </c>
      <c r="D1818" t="str">
        <f>_xlfn.XLOOKUP(tblSales[[#This Row],[Store ID]],tblStores[Store ID],tblStores[Store Name])</f>
        <v>East London</v>
      </c>
      <c r="E1818" t="str">
        <f>_xlfn.XLOOKUP(tblSales[[#This Row],[Store ID]],tblStores[Store ID],tblStores[Province])</f>
        <v>Eastern Cape</v>
      </c>
      <c r="F1818" t="str">
        <f>_xlfn.XLOOKUP(tblSales[[#This Row],[Store ID]],tblStores[Store ID],tblStores[Manager])</f>
        <v>Daniel Evans</v>
      </c>
      <c r="G1818" t="str">
        <f>_xlfn.XLOOKUP(tblSales[[#This Row],[Category ID]],tblCategories[Category ID],tblCategories[Category])</f>
        <v>Footwear</v>
      </c>
      <c r="H1818">
        <v>30044</v>
      </c>
      <c r="I1818">
        <v>27071</v>
      </c>
      <c r="J1818">
        <v>116</v>
      </c>
      <c r="K1818">
        <f>tblSales[[#This Row],[Sales]]-tblSales[[#This Row],[Budget]]</f>
        <v>2973</v>
      </c>
      <c r="L1818" s="3">
        <f>(tblSales[[#This Row],[Sales]]-tblSales[[#This Row],[Budget]])/tblSales[[#This Row],[Budget]]</f>
        <v>0.1098223190868457</v>
      </c>
      <c r="M1818" s="2">
        <f>tblSales[[#This Row],[Sales]]/tblSales[[#This Row],[Transactions]]</f>
        <v>259</v>
      </c>
    </row>
    <row r="1819" spans="1:13" x14ac:dyDescent="0.25">
      <c r="A1819" s="1">
        <v>46113</v>
      </c>
      <c r="B1819" t="s">
        <v>28</v>
      </c>
      <c r="C1819" t="s">
        <v>19</v>
      </c>
      <c r="D1819" t="str">
        <f>_xlfn.XLOOKUP(tblSales[[#This Row],[Store ID]],tblStores[Store ID],tblStores[Store Name])</f>
        <v>Bloemfontein</v>
      </c>
      <c r="E1819" t="str">
        <f>_xlfn.XLOOKUP(tblSales[[#This Row],[Store ID]],tblStores[Store ID],tblStores[Province])</f>
        <v>Free State</v>
      </c>
      <c r="F1819" t="str">
        <f>_xlfn.XLOOKUP(tblSales[[#This Row],[Store ID]],tblStores[Store ID],tblStores[Manager])</f>
        <v>Rachel Moore</v>
      </c>
      <c r="G1819" t="str">
        <f>_xlfn.XLOOKUP(tblSales[[#This Row],[Category ID]],tblCategories[Category ID],tblCategories[Category])</f>
        <v>Accessories</v>
      </c>
      <c r="H1819">
        <v>57236</v>
      </c>
      <c r="I1819">
        <v>60773</v>
      </c>
      <c r="J1819">
        <v>164</v>
      </c>
      <c r="K1819">
        <f>tblSales[[#This Row],[Sales]]-tblSales[[#This Row],[Budget]]</f>
        <v>-3537</v>
      </c>
      <c r="L1819" s="3">
        <f>(tblSales[[#This Row],[Sales]]-tblSales[[#This Row],[Budget]])/tblSales[[#This Row],[Budget]]</f>
        <v>-5.8200187583301796E-2</v>
      </c>
      <c r="M1819" s="2">
        <f>tblSales[[#This Row],[Sales]]/tblSales[[#This Row],[Transactions]]</f>
        <v>349</v>
      </c>
    </row>
    <row r="1820" spans="1:13" x14ac:dyDescent="0.25">
      <c r="A1820" s="1">
        <v>46113</v>
      </c>
      <c r="B1820" t="s">
        <v>29</v>
      </c>
      <c r="C1820" t="s">
        <v>22</v>
      </c>
      <c r="D1820" t="str">
        <f>_xlfn.XLOOKUP(tblSales[[#This Row],[Store ID]],tblStores[Store ID],tblStores[Store Name])</f>
        <v>Polokwane</v>
      </c>
      <c r="E1820" t="str">
        <f>_xlfn.XLOOKUP(tblSales[[#This Row],[Store ID]],tblStores[Store ID],tblStores[Province])</f>
        <v>Limpopo</v>
      </c>
      <c r="F1820" t="str">
        <f>_xlfn.XLOOKUP(tblSales[[#This Row],[Store ID]],tblStores[Store ID],tblStores[Manager])</f>
        <v>Kevin Harris</v>
      </c>
      <c r="G1820" t="str">
        <f>_xlfn.XLOOKUP(tblSales[[#This Row],[Category ID]],tblCategories[Category ID],tblCategories[Category])</f>
        <v>Kids</v>
      </c>
      <c r="H1820">
        <v>51168</v>
      </c>
      <c r="I1820">
        <v>58454</v>
      </c>
      <c r="J1820">
        <v>156</v>
      </c>
      <c r="K1820">
        <f>tblSales[[#This Row],[Sales]]-tblSales[[#This Row],[Budget]]</f>
        <v>-7286</v>
      </c>
      <c r="L1820" s="3">
        <f>(tblSales[[#This Row],[Sales]]-tblSales[[#This Row],[Budget]])/tblSales[[#This Row],[Budget]]</f>
        <v>-0.12464502001573888</v>
      </c>
      <c r="M1820" s="2">
        <f>tblSales[[#This Row],[Sales]]/tblSales[[#This Row],[Transactions]]</f>
        <v>328</v>
      </c>
    </row>
    <row r="1821" spans="1:13" x14ac:dyDescent="0.25">
      <c r="A1821" s="1">
        <v>46113</v>
      </c>
      <c r="B1821" t="s">
        <v>30</v>
      </c>
      <c r="C1821" t="s">
        <v>19</v>
      </c>
      <c r="D1821" t="str">
        <f>_xlfn.XLOOKUP(tblSales[[#This Row],[Store ID]],tblStores[Store ID],tblStores[Store Name])</f>
        <v>Nelspruit</v>
      </c>
      <c r="E1821" t="str">
        <f>_xlfn.XLOOKUP(tblSales[[#This Row],[Store ID]],tblStores[Store ID],tblStores[Province])</f>
        <v>Mpumalanga</v>
      </c>
      <c r="F1821" t="str">
        <f>_xlfn.XLOOKUP(tblSales[[#This Row],[Store ID]],tblStores[Store ID],tblStores[Manager])</f>
        <v>Olivia Turner</v>
      </c>
      <c r="G1821" t="str">
        <f>_xlfn.XLOOKUP(tblSales[[#This Row],[Category ID]],tblCategories[Category ID],tblCategories[Category])</f>
        <v>Accessories</v>
      </c>
      <c r="H1821">
        <v>52275</v>
      </c>
      <c r="I1821">
        <v>57496</v>
      </c>
      <c r="J1821">
        <v>205</v>
      </c>
      <c r="K1821">
        <f>tblSales[[#This Row],[Sales]]-tblSales[[#This Row],[Budget]]</f>
        <v>-5221</v>
      </c>
      <c r="L1821" s="3">
        <f>(tblSales[[#This Row],[Sales]]-tblSales[[#This Row],[Budget]])/tblSales[[#This Row],[Budget]]</f>
        <v>-9.0806316961179911E-2</v>
      </c>
      <c r="M1821" s="2">
        <f>tblSales[[#This Row],[Sales]]/tblSales[[#This Row],[Transactions]]</f>
        <v>255</v>
      </c>
    </row>
    <row r="1822" spans="1:13" x14ac:dyDescent="0.25">
      <c r="A1822" s="1">
        <v>46114</v>
      </c>
      <c r="B1822" t="s">
        <v>6</v>
      </c>
      <c r="C1822" t="s">
        <v>11</v>
      </c>
      <c r="D1822" t="str">
        <f>_xlfn.XLOOKUP(tblSales[[#This Row],[Store ID]],tblStores[Store ID],tblStores[Store Name])</f>
        <v>Durban CBD</v>
      </c>
      <c r="E1822" t="str">
        <f>_xlfn.XLOOKUP(tblSales[[#This Row],[Store ID]],tblStores[Store ID],tblStores[Province])</f>
        <v>KZN</v>
      </c>
      <c r="F1822" t="str">
        <f>_xlfn.XLOOKUP(tblSales[[#This Row],[Store ID]],tblStores[Store ID],tblStores[Manager])</f>
        <v>Sarah Adams</v>
      </c>
      <c r="G1822" t="str">
        <f>_xlfn.XLOOKUP(tblSales[[#This Row],[Category ID]],tblCategories[Category ID],tblCategories[Category])</f>
        <v>Footwear</v>
      </c>
      <c r="H1822">
        <v>28677</v>
      </c>
      <c r="I1822">
        <v>31054</v>
      </c>
      <c r="J1822">
        <v>121</v>
      </c>
      <c r="K1822">
        <f>tblSales[[#This Row],[Sales]]-tblSales[[#This Row],[Budget]]</f>
        <v>-2377</v>
      </c>
      <c r="L1822" s="3">
        <f>(tblSales[[#This Row],[Sales]]-tblSales[[#This Row],[Budget]])/tblSales[[#This Row],[Budget]]</f>
        <v>-7.6544084497971274E-2</v>
      </c>
      <c r="M1822" s="2">
        <f>tblSales[[#This Row],[Sales]]/tblSales[[#This Row],[Transactions]]</f>
        <v>237</v>
      </c>
    </row>
    <row r="1823" spans="1:13" x14ac:dyDescent="0.25">
      <c r="A1823" s="1">
        <v>46114</v>
      </c>
      <c r="B1823" t="s">
        <v>8</v>
      </c>
      <c r="C1823" t="s">
        <v>7</v>
      </c>
      <c r="D1823" t="str">
        <f>_xlfn.XLOOKUP(tblSales[[#This Row],[Store ID]],tblStores[Store ID],tblStores[Store Name])</f>
        <v>Gateway</v>
      </c>
      <c r="E1823" t="str">
        <f>_xlfn.XLOOKUP(tblSales[[#This Row],[Store ID]],tblStores[Store ID],tblStores[Province])</f>
        <v>KZN</v>
      </c>
      <c r="F1823" t="str">
        <f>_xlfn.XLOOKUP(tblSales[[#This Row],[Store ID]],tblStores[Store ID],tblStores[Manager])</f>
        <v>Michael Jones</v>
      </c>
      <c r="G1823" t="str">
        <f>_xlfn.XLOOKUP(tblSales[[#This Row],[Category ID]],tblCategories[Category ID],tblCategories[Category])</f>
        <v>Menswear</v>
      </c>
      <c r="H1823">
        <v>32340</v>
      </c>
      <c r="I1823">
        <v>30050</v>
      </c>
      <c r="J1823">
        <v>70</v>
      </c>
      <c r="K1823">
        <f>tblSales[[#This Row],[Sales]]-tblSales[[#This Row],[Budget]]</f>
        <v>2290</v>
      </c>
      <c r="L1823" s="3">
        <f>(tblSales[[#This Row],[Sales]]-tblSales[[#This Row],[Budget]])/tblSales[[#This Row],[Budget]]</f>
        <v>7.6206322795341092E-2</v>
      </c>
      <c r="M1823" s="2">
        <f>tblSales[[#This Row],[Sales]]/tblSales[[#This Row],[Transactions]]</f>
        <v>462</v>
      </c>
    </row>
    <row r="1824" spans="1:13" x14ac:dyDescent="0.25">
      <c r="A1824" s="1">
        <v>46114</v>
      </c>
      <c r="B1824" t="s">
        <v>10</v>
      </c>
      <c r="C1824" t="s">
        <v>7</v>
      </c>
      <c r="D1824" t="str">
        <f>_xlfn.XLOOKUP(tblSales[[#This Row],[Store ID]],tblStores[Store ID],tblStores[Store Name])</f>
        <v>Ballito</v>
      </c>
      <c r="E1824" t="str">
        <f>_xlfn.XLOOKUP(tblSales[[#This Row],[Store ID]],tblStores[Store ID],tblStores[Province])</f>
        <v>KZN</v>
      </c>
      <c r="F1824" t="str">
        <f>_xlfn.XLOOKUP(tblSales[[#This Row],[Store ID]],tblStores[Store ID],tblStores[Manager])</f>
        <v>Linda Smith</v>
      </c>
      <c r="G1824" t="str">
        <f>_xlfn.XLOOKUP(tblSales[[#This Row],[Category ID]],tblCategories[Category ID],tblCategories[Category])</f>
        <v>Menswear</v>
      </c>
      <c r="H1824">
        <v>67952</v>
      </c>
      <c r="I1824">
        <v>75441</v>
      </c>
      <c r="J1824">
        <v>137</v>
      </c>
      <c r="K1824">
        <f>tblSales[[#This Row],[Sales]]-tblSales[[#This Row],[Budget]]</f>
        <v>-7489</v>
      </c>
      <c r="L1824" s="3">
        <f>(tblSales[[#This Row],[Sales]]-tblSales[[#This Row],[Budget]])/tblSales[[#This Row],[Budget]]</f>
        <v>-9.9269627921156928E-2</v>
      </c>
      <c r="M1824" s="2">
        <f>tblSales[[#This Row],[Sales]]/tblSales[[#This Row],[Transactions]]</f>
        <v>496</v>
      </c>
    </row>
    <row r="1825" spans="1:13" x14ac:dyDescent="0.25">
      <c r="A1825" s="1">
        <v>46114</v>
      </c>
      <c r="B1825" t="s">
        <v>12</v>
      </c>
      <c r="C1825" t="s">
        <v>11</v>
      </c>
      <c r="D1825" t="str">
        <f>_xlfn.XLOOKUP(tblSales[[#This Row],[Store ID]],tblStores[Store ID],tblStores[Store Name])</f>
        <v>Pietermaritzburg</v>
      </c>
      <c r="E1825" t="str">
        <f>_xlfn.XLOOKUP(tblSales[[#This Row],[Store ID]],tblStores[Store ID],tblStores[Province])</f>
        <v>KZN</v>
      </c>
      <c r="F1825" t="str">
        <f>_xlfn.XLOOKUP(tblSales[[#This Row],[Store ID]],tblStores[Store ID],tblStores[Manager])</f>
        <v>Peter Brown</v>
      </c>
      <c r="G1825" t="str">
        <f>_xlfn.XLOOKUP(tblSales[[#This Row],[Category ID]],tblCategories[Category ID],tblCategories[Category])</f>
        <v>Footwear</v>
      </c>
      <c r="H1825">
        <v>28602</v>
      </c>
      <c r="I1825">
        <v>28075</v>
      </c>
      <c r="J1825">
        <v>126</v>
      </c>
      <c r="K1825">
        <f>tblSales[[#This Row],[Sales]]-tblSales[[#This Row],[Budget]]</f>
        <v>527</v>
      </c>
      <c r="L1825" s="3">
        <f>(tblSales[[#This Row],[Sales]]-tblSales[[#This Row],[Budget]])/tblSales[[#This Row],[Budget]]</f>
        <v>1.8771148708815671E-2</v>
      </c>
      <c r="M1825" s="2">
        <f>tblSales[[#This Row],[Sales]]/tblSales[[#This Row],[Transactions]]</f>
        <v>227</v>
      </c>
    </row>
    <row r="1826" spans="1:13" x14ac:dyDescent="0.25">
      <c r="A1826" s="1">
        <v>46114</v>
      </c>
      <c r="B1826" t="s">
        <v>13</v>
      </c>
      <c r="C1826" t="s">
        <v>19</v>
      </c>
      <c r="D1826" t="str">
        <f>_xlfn.XLOOKUP(tblSales[[#This Row],[Store ID]],tblStores[Store ID],tblStores[Store Name])</f>
        <v>Richards Bay</v>
      </c>
      <c r="E1826" t="str">
        <f>_xlfn.XLOOKUP(tblSales[[#This Row],[Store ID]],tblStores[Store ID],tblStores[Province])</f>
        <v>KZN</v>
      </c>
      <c r="F1826" t="str">
        <f>_xlfn.XLOOKUP(tblSales[[#This Row],[Store ID]],tblStores[Store ID],tblStores[Manager])</f>
        <v>David Green</v>
      </c>
      <c r="G1826" t="str">
        <f>_xlfn.XLOOKUP(tblSales[[#This Row],[Category ID]],tblCategories[Category ID],tblCategories[Category])</f>
        <v>Accessories</v>
      </c>
      <c r="H1826">
        <v>55521</v>
      </c>
      <c r="I1826">
        <v>58067</v>
      </c>
      <c r="J1826">
        <v>199</v>
      </c>
      <c r="K1826">
        <f>tblSales[[#This Row],[Sales]]-tblSales[[#This Row],[Budget]]</f>
        <v>-2546</v>
      </c>
      <c r="L1826" s="3">
        <f>(tblSales[[#This Row],[Sales]]-tblSales[[#This Row],[Budget]])/tblSales[[#This Row],[Budget]]</f>
        <v>-4.3845902147519246E-2</v>
      </c>
      <c r="M1826" s="2">
        <f>tblSales[[#This Row],[Sales]]/tblSales[[#This Row],[Transactions]]</f>
        <v>279</v>
      </c>
    </row>
    <row r="1827" spans="1:13" x14ac:dyDescent="0.25">
      <c r="A1827" s="1">
        <v>46114</v>
      </c>
      <c r="B1827" t="s">
        <v>14</v>
      </c>
      <c r="C1827" t="s">
        <v>9</v>
      </c>
      <c r="D1827" t="str">
        <f>_xlfn.XLOOKUP(tblSales[[#This Row],[Store ID]],tblStores[Store ID],tblStores[Store Name])</f>
        <v>Sandton</v>
      </c>
      <c r="E1827" t="str">
        <f>_xlfn.XLOOKUP(tblSales[[#This Row],[Store ID]],tblStores[Store ID],tblStores[Province])</f>
        <v>Gauteng</v>
      </c>
      <c r="F1827" t="str">
        <f>_xlfn.XLOOKUP(tblSales[[#This Row],[Store ID]],tblStores[Store ID],tblStores[Manager])</f>
        <v>Karen White</v>
      </c>
      <c r="G1827" t="str">
        <f>_xlfn.XLOOKUP(tblSales[[#This Row],[Category ID]],tblCategories[Category ID],tblCategories[Category])</f>
        <v>Ladieswear</v>
      </c>
      <c r="H1827">
        <v>29680</v>
      </c>
      <c r="I1827">
        <v>26879</v>
      </c>
      <c r="J1827">
        <v>106</v>
      </c>
      <c r="K1827">
        <f>tblSales[[#This Row],[Sales]]-tblSales[[#This Row],[Budget]]</f>
        <v>2801</v>
      </c>
      <c r="L1827" s="3">
        <f>(tblSales[[#This Row],[Sales]]-tblSales[[#This Row],[Budget]])/tblSales[[#This Row],[Budget]]</f>
        <v>0.10420774582387737</v>
      </c>
      <c r="M1827" s="2">
        <f>tblSales[[#This Row],[Sales]]/tblSales[[#This Row],[Transactions]]</f>
        <v>280</v>
      </c>
    </row>
    <row r="1828" spans="1:13" x14ac:dyDescent="0.25">
      <c r="A1828" s="1">
        <v>46114</v>
      </c>
      <c r="B1828" t="s">
        <v>15</v>
      </c>
      <c r="C1828" t="s">
        <v>19</v>
      </c>
      <c r="D1828" t="str">
        <f>_xlfn.XLOOKUP(tblSales[[#This Row],[Store ID]],tblStores[Store ID],tblStores[Store Name])</f>
        <v>Rosebank</v>
      </c>
      <c r="E1828" t="str">
        <f>_xlfn.XLOOKUP(tblSales[[#This Row],[Store ID]],tblStores[Store ID],tblStores[Province])</f>
        <v>Gauteng</v>
      </c>
      <c r="F1828" t="str">
        <f>_xlfn.XLOOKUP(tblSales[[#This Row],[Store ID]],tblStores[Store ID],tblStores[Manager])</f>
        <v>James Taylor</v>
      </c>
      <c r="G1828" t="str">
        <f>_xlfn.XLOOKUP(tblSales[[#This Row],[Category ID]],tblCategories[Category ID],tblCategories[Category])</f>
        <v>Accessories</v>
      </c>
      <c r="H1828">
        <v>33376</v>
      </c>
      <c r="I1828">
        <v>38180</v>
      </c>
      <c r="J1828">
        <v>149</v>
      </c>
      <c r="K1828">
        <f>tblSales[[#This Row],[Sales]]-tblSales[[#This Row],[Budget]]</f>
        <v>-4804</v>
      </c>
      <c r="L1828" s="3">
        <f>(tblSales[[#This Row],[Sales]]-tblSales[[#This Row],[Budget]])/tblSales[[#This Row],[Budget]]</f>
        <v>-0.12582503928758512</v>
      </c>
      <c r="M1828" s="2">
        <f>tblSales[[#This Row],[Sales]]/tblSales[[#This Row],[Transactions]]</f>
        <v>224</v>
      </c>
    </row>
    <row r="1829" spans="1:13" x14ac:dyDescent="0.25">
      <c r="A1829" s="1">
        <v>46114</v>
      </c>
      <c r="B1829" t="s">
        <v>16</v>
      </c>
      <c r="C1829" t="s">
        <v>11</v>
      </c>
      <c r="D1829" t="str">
        <f>_xlfn.XLOOKUP(tblSales[[#This Row],[Store ID]],tblStores[Store ID],tblStores[Store Name])</f>
        <v>Pretoria</v>
      </c>
      <c r="E1829" t="str">
        <f>_xlfn.XLOOKUP(tblSales[[#This Row],[Store ID]],tblStores[Store ID],tblStores[Province])</f>
        <v>Gauteng</v>
      </c>
      <c r="F1829" t="str">
        <f>_xlfn.XLOOKUP(tblSales[[#This Row],[Store ID]],tblStores[Store ID],tblStores[Manager])</f>
        <v>Susan Clark</v>
      </c>
      <c r="G1829" t="str">
        <f>_xlfn.XLOOKUP(tblSales[[#This Row],[Category ID]],tblCategories[Category ID],tblCategories[Category])</f>
        <v>Footwear</v>
      </c>
      <c r="H1829">
        <v>36204</v>
      </c>
      <c r="I1829">
        <v>35459</v>
      </c>
      <c r="J1829">
        <v>84</v>
      </c>
      <c r="K1829">
        <f>tblSales[[#This Row],[Sales]]-tblSales[[#This Row],[Budget]]</f>
        <v>745</v>
      </c>
      <c r="L1829" s="3">
        <f>(tblSales[[#This Row],[Sales]]-tblSales[[#This Row],[Budget]])/tblSales[[#This Row],[Budget]]</f>
        <v>2.1010180772159395E-2</v>
      </c>
      <c r="M1829" s="2">
        <f>tblSales[[#This Row],[Sales]]/tblSales[[#This Row],[Transactions]]</f>
        <v>431</v>
      </c>
    </row>
    <row r="1830" spans="1:13" x14ac:dyDescent="0.25">
      <c r="A1830" s="1">
        <v>46114</v>
      </c>
      <c r="B1830" t="s">
        <v>17</v>
      </c>
      <c r="C1830" t="s">
        <v>19</v>
      </c>
      <c r="D1830" t="str">
        <f>_xlfn.XLOOKUP(tblSales[[#This Row],[Store ID]],tblStores[Store ID],tblStores[Store Name])</f>
        <v>Centurion</v>
      </c>
      <c r="E1830" t="str">
        <f>_xlfn.XLOOKUP(tblSales[[#This Row],[Store ID]],tblStores[Store ID],tblStores[Province])</f>
        <v>Gauteng</v>
      </c>
      <c r="F1830" t="str">
        <f>_xlfn.XLOOKUP(tblSales[[#This Row],[Store ID]],tblStores[Store ID],tblStores[Manager])</f>
        <v>Mark Wilson</v>
      </c>
      <c r="G1830" t="str">
        <f>_xlfn.XLOOKUP(tblSales[[#This Row],[Category ID]],tblCategories[Category ID],tblCategories[Category])</f>
        <v>Accessories</v>
      </c>
      <c r="H1830">
        <v>34320</v>
      </c>
      <c r="I1830">
        <v>38682</v>
      </c>
      <c r="J1830">
        <v>165</v>
      </c>
      <c r="K1830">
        <f>tblSales[[#This Row],[Sales]]-tblSales[[#This Row],[Budget]]</f>
        <v>-4362</v>
      </c>
      <c r="L1830" s="3">
        <f>(tblSales[[#This Row],[Sales]]-tblSales[[#This Row],[Budget]])/tblSales[[#This Row],[Budget]]</f>
        <v>-0.11276562742360788</v>
      </c>
      <c r="M1830" s="2">
        <f>tblSales[[#This Row],[Sales]]/tblSales[[#This Row],[Transactions]]</f>
        <v>208</v>
      </c>
    </row>
    <row r="1831" spans="1:13" x14ac:dyDescent="0.25">
      <c r="A1831" s="1">
        <v>46114</v>
      </c>
      <c r="B1831" t="s">
        <v>18</v>
      </c>
      <c r="C1831" t="s">
        <v>22</v>
      </c>
      <c r="D1831" t="str">
        <f>_xlfn.XLOOKUP(tblSales[[#This Row],[Store ID]],tblStores[Store ID],tblStores[Store Name])</f>
        <v>East Rand</v>
      </c>
      <c r="E1831" t="str">
        <f>_xlfn.XLOOKUP(tblSales[[#This Row],[Store ID]],tblStores[Store ID],tblStores[Province])</f>
        <v>Gauteng</v>
      </c>
      <c r="F1831" t="str">
        <f>_xlfn.XLOOKUP(tblSales[[#This Row],[Store ID]],tblStores[Store ID],tblStores[Manager])</f>
        <v>Lisa Young</v>
      </c>
      <c r="G1831" t="str">
        <f>_xlfn.XLOOKUP(tblSales[[#This Row],[Category ID]],tblCategories[Category ID],tblCategories[Category])</f>
        <v>Kids</v>
      </c>
      <c r="H1831">
        <v>34680</v>
      </c>
      <c r="I1831">
        <v>37419</v>
      </c>
      <c r="J1831">
        <v>136</v>
      </c>
      <c r="K1831">
        <f>tblSales[[#This Row],[Sales]]-tblSales[[#This Row],[Budget]]</f>
        <v>-2739</v>
      </c>
      <c r="L1831" s="3">
        <f>(tblSales[[#This Row],[Sales]]-tblSales[[#This Row],[Budget]])/tblSales[[#This Row],[Budget]]</f>
        <v>-7.3198107913092281E-2</v>
      </c>
      <c r="M1831" s="2">
        <f>tblSales[[#This Row],[Sales]]/tblSales[[#This Row],[Transactions]]</f>
        <v>255</v>
      </c>
    </row>
    <row r="1832" spans="1:13" x14ac:dyDescent="0.25">
      <c r="A1832" s="1">
        <v>46114</v>
      </c>
      <c r="B1832" t="s">
        <v>20</v>
      </c>
      <c r="C1832" t="s">
        <v>11</v>
      </c>
      <c r="D1832" t="str">
        <f>_xlfn.XLOOKUP(tblSales[[#This Row],[Store ID]],tblStores[Store ID],tblStores[Store Name])</f>
        <v>Cape Town CBD</v>
      </c>
      <c r="E1832" t="str">
        <f>_xlfn.XLOOKUP(tblSales[[#This Row],[Store ID]],tblStores[Store ID],tblStores[Province])</f>
        <v>Western Cape</v>
      </c>
      <c r="F1832" t="str">
        <f>_xlfn.XLOOKUP(tblSales[[#This Row],[Store ID]],tblStores[Store ID],tblStores[Manager])</f>
        <v>Brian Hall</v>
      </c>
      <c r="G1832" t="str">
        <f>_xlfn.XLOOKUP(tblSales[[#This Row],[Category ID]],tblCategories[Category ID],tblCategories[Category])</f>
        <v>Footwear</v>
      </c>
      <c r="H1832">
        <v>48633</v>
      </c>
      <c r="I1832">
        <v>48302</v>
      </c>
      <c r="J1832">
        <v>129</v>
      </c>
      <c r="K1832">
        <f>tblSales[[#This Row],[Sales]]-tblSales[[#This Row],[Budget]]</f>
        <v>331</v>
      </c>
      <c r="L1832" s="3">
        <f>(tblSales[[#This Row],[Sales]]-tblSales[[#This Row],[Budget]])/tblSales[[#This Row],[Budget]]</f>
        <v>6.8527183139414517E-3</v>
      </c>
      <c r="M1832" s="2">
        <f>tblSales[[#This Row],[Sales]]/tblSales[[#This Row],[Transactions]]</f>
        <v>377</v>
      </c>
    </row>
    <row r="1833" spans="1:13" x14ac:dyDescent="0.25">
      <c r="A1833" s="1">
        <v>46114</v>
      </c>
      <c r="B1833" t="s">
        <v>21</v>
      </c>
      <c r="C1833" t="s">
        <v>22</v>
      </c>
      <c r="D1833" t="str">
        <f>_xlfn.XLOOKUP(tblSales[[#This Row],[Store ID]],tblStores[Store ID],tblStores[Store Name])</f>
        <v>Canal Walk</v>
      </c>
      <c r="E1833" t="str">
        <f>_xlfn.XLOOKUP(tblSales[[#This Row],[Store ID]],tblStores[Store ID],tblStores[Province])</f>
        <v>Western Cape</v>
      </c>
      <c r="F1833" t="str">
        <f>_xlfn.XLOOKUP(tblSales[[#This Row],[Store ID]],tblStores[Store ID],tblStores[Manager])</f>
        <v>Megan Scott</v>
      </c>
      <c r="G1833" t="str">
        <f>_xlfn.XLOOKUP(tblSales[[#This Row],[Category ID]],tblCategories[Category ID],tblCategories[Category])</f>
        <v>Kids</v>
      </c>
      <c r="H1833">
        <v>44157</v>
      </c>
      <c r="I1833">
        <v>43142</v>
      </c>
      <c r="J1833">
        <v>123</v>
      </c>
      <c r="K1833">
        <f>tblSales[[#This Row],[Sales]]-tblSales[[#This Row],[Budget]]</f>
        <v>1015</v>
      </c>
      <c r="L1833" s="3">
        <f>(tblSales[[#This Row],[Sales]]-tblSales[[#This Row],[Budget]])/tblSales[[#This Row],[Budget]]</f>
        <v>2.352695748922164E-2</v>
      </c>
      <c r="M1833" s="2">
        <f>tblSales[[#This Row],[Sales]]/tblSales[[#This Row],[Transactions]]</f>
        <v>359</v>
      </c>
    </row>
    <row r="1834" spans="1:13" x14ac:dyDescent="0.25">
      <c r="A1834" s="1">
        <v>46114</v>
      </c>
      <c r="B1834" t="s">
        <v>23</v>
      </c>
      <c r="C1834" t="s">
        <v>11</v>
      </c>
      <c r="D1834" t="str">
        <f>_xlfn.XLOOKUP(tblSales[[#This Row],[Store ID]],tblStores[Store ID],tblStores[Store Name])</f>
        <v>Stellenbosch</v>
      </c>
      <c r="E1834" t="str">
        <f>_xlfn.XLOOKUP(tblSales[[#This Row],[Store ID]],tblStores[Store ID],tblStores[Province])</f>
        <v>Western Cape</v>
      </c>
      <c r="F1834" t="str">
        <f>_xlfn.XLOOKUP(tblSales[[#This Row],[Store ID]],tblStores[Store ID],tblStores[Manager])</f>
        <v>Jason King</v>
      </c>
      <c r="G1834" t="str">
        <f>_xlfn.XLOOKUP(tblSales[[#This Row],[Category ID]],tblCategories[Category ID],tblCategories[Category])</f>
        <v>Footwear</v>
      </c>
      <c r="H1834">
        <v>39872</v>
      </c>
      <c r="I1834">
        <v>38034</v>
      </c>
      <c r="J1834">
        <v>178</v>
      </c>
      <c r="K1834">
        <f>tblSales[[#This Row],[Sales]]-tblSales[[#This Row],[Budget]]</f>
        <v>1838</v>
      </c>
      <c r="L1834" s="3">
        <f>(tblSales[[#This Row],[Sales]]-tblSales[[#This Row],[Budget]])/tblSales[[#This Row],[Budget]]</f>
        <v>4.8325182731240472E-2</v>
      </c>
      <c r="M1834" s="2">
        <f>tblSales[[#This Row],[Sales]]/tblSales[[#This Row],[Transactions]]</f>
        <v>224</v>
      </c>
    </row>
    <row r="1835" spans="1:13" x14ac:dyDescent="0.25">
      <c r="A1835" s="1">
        <v>46114</v>
      </c>
      <c r="B1835" t="s">
        <v>24</v>
      </c>
      <c r="C1835" t="s">
        <v>11</v>
      </c>
      <c r="D1835" t="str">
        <f>_xlfn.XLOOKUP(tblSales[[#This Row],[Store ID]],tblStores[Store ID],tblStores[Store Name])</f>
        <v>George</v>
      </c>
      <c r="E1835" t="str">
        <f>_xlfn.XLOOKUP(tblSales[[#This Row],[Store ID]],tblStores[Store ID],tblStores[Province])</f>
        <v>Western Cape</v>
      </c>
      <c r="F1835" t="str">
        <f>_xlfn.XLOOKUP(tblSales[[#This Row],[Store ID]],tblStores[Store ID],tblStores[Manager])</f>
        <v>Chloe Hill</v>
      </c>
      <c r="G1835" t="str">
        <f>_xlfn.XLOOKUP(tblSales[[#This Row],[Category ID]],tblCategories[Category ID],tblCategories[Category])</f>
        <v>Footwear</v>
      </c>
      <c r="H1835">
        <v>57246</v>
      </c>
      <c r="I1835">
        <v>55652</v>
      </c>
      <c r="J1835">
        <v>141</v>
      </c>
      <c r="K1835">
        <f>tblSales[[#This Row],[Sales]]-tblSales[[#This Row],[Budget]]</f>
        <v>1594</v>
      </c>
      <c r="L1835" s="3">
        <f>(tblSales[[#This Row],[Sales]]-tblSales[[#This Row],[Budget]])/tblSales[[#This Row],[Budget]]</f>
        <v>2.8642277007115646E-2</v>
      </c>
      <c r="M1835" s="2">
        <f>tblSales[[#This Row],[Sales]]/tblSales[[#This Row],[Transactions]]</f>
        <v>406</v>
      </c>
    </row>
    <row r="1836" spans="1:13" x14ac:dyDescent="0.25">
      <c r="A1836" s="1">
        <v>46114</v>
      </c>
      <c r="B1836" t="s">
        <v>25</v>
      </c>
      <c r="C1836" t="s">
        <v>11</v>
      </c>
      <c r="D1836" t="str">
        <f>_xlfn.XLOOKUP(tblSales[[#This Row],[Store ID]],tblStores[Store ID],tblStores[Store Name])</f>
        <v>Paarl</v>
      </c>
      <c r="E1836" t="str">
        <f>_xlfn.XLOOKUP(tblSales[[#This Row],[Store ID]],tblStores[Store ID],tblStores[Province])</f>
        <v>Western Cape</v>
      </c>
      <c r="F1836" t="str">
        <f>_xlfn.XLOOKUP(tblSales[[#This Row],[Store ID]],tblStores[Store ID],tblStores[Manager])</f>
        <v>Andrew Lee</v>
      </c>
      <c r="G1836" t="str">
        <f>_xlfn.XLOOKUP(tblSales[[#This Row],[Category ID]],tblCategories[Category ID],tblCategories[Category])</f>
        <v>Footwear</v>
      </c>
      <c r="H1836">
        <v>35391</v>
      </c>
      <c r="I1836">
        <v>39244</v>
      </c>
      <c r="J1836">
        <v>141</v>
      </c>
      <c r="K1836">
        <f>tblSales[[#This Row],[Sales]]-tblSales[[#This Row],[Budget]]</f>
        <v>-3853</v>
      </c>
      <c r="L1836" s="3">
        <f>(tblSales[[#This Row],[Sales]]-tblSales[[#This Row],[Budget]])/tblSales[[#This Row],[Budget]]</f>
        <v>-9.8180613596982977E-2</v>
      </c>
      <c r="M1836" s="2">
        <f>tblSales[[#This Row],[Sales]]/tblSales[[#This Row],[Transactions]]</f>
        <v>251</v>
      </c>
    </row>
    <row r="1837" spans="1:13" x14ac:dyDescent="0.25">
      <c r="A1837" s="1">
        <v>46114</v>
      </c>
      <c r="B1837" t="s">
        <v>26</v>
      </c>
      <c r="C1837" t="s">
        <v>19</v>
      </c>
      <c r="D1837" t="str">
        <f>_xlfn.XLOOKUP(tblSales[[#This Row],[Store ID]],tblStores[Store ID],tblStores[Store Name])</f>
        <v>Gqeberha</v>
      </c>
      <c r="E1837" t="str">
        <f>_xlfn.XLOOKUP(tblSales[[#This Row],[Store ID]],tblStores[Store ID],tblStores[Province])</f>
        <v>Eastern Cape</v>
      </c>
      <c r="F1837" t="str">
        <f>_xlfn.XLOOKUP(tblSales[[#This Row],[Store ID]],tblStores[Store ID],tblStores[Manager])</f>
        <v>Emma Baker</v>
      </c>
      <c r="G1837" t="str">
        <f>_xlfn.XLOOKUP(tblSales[[#This Row],[Category ID]],tblCategories[Category ID],tblCategories[Category])</f>
        <v>Accessories</v>
      </c>
      <c r="H1837">
        <v>14421</v>
      </c>
      <c r="I1837">
        <v>13728</v>
      </c>
      <c r="J1837">
        <v>57</v>
      </c>
      <c r="K1837">
        <f>tblSales[[#This Row],[Sales]]-tblSales[[#This Row],[Budget]]</f>
        <v>693</v>
      </c>
      <c r="L1837" s="3">
        <f>(tblSales[[#This Row],[Sales]]-tblSales[[#This Row],[Budget]])/tblSales[[#This Row],[Budget]]</f>
        <v>5.0480769230769232E-2</v>
      </c>
      <c r="M1837" s="2">
        <f>tblSales[[#This Row],[Sales]]/tblSales[[#This Row],[Transactions]]</f>
        <v>253</v>
      </c>
    </row>
    <row r="1838" spans="1:13" x14ac:dyDescent="0.25">
      <c r="A1838" s="1">
        <v>46114</v>
      </c>
      <c r="B1838" t="s">
        <v>27</v>
      </c>
      <c r="C1838" t="s">
        <v>11</v>
      </c>
      <c r="D1838" t="str">
        <f>_xlfn.XLOOKUP(tblSales[[#This Row],[Store ID]],tblStores[Store ID],tblStores[Store Name])</f>
        <v>East London</v>
      </c>
      <c r="E1838" t="str">
        <f>_xlfn.XLOOKUP(tblSales[[#This Row],[Store ID]],tblStores[Store ID],tblStores[Province])</f>
        <v>Eastern Cape</v>
      </c>
      <c r="F1838" t="str">
        <f>_xlfn.XLOOKUP(tblSales[[#This Row],[Store ID]],tblStores[Store ID],tblStores[Manager])</f>
        <v>Daniel Evans</v>
      </c>
      <c r="G1838" t="str">
        <f>_xlfn.XLOOKUP(tblSales[[#This Row],[Category ID]],tblCategories[Category ID],tblCategories[Category])</f>
        <v>Footwear</v>
      </c>
      <c r="H1838">
        <v>59319</v>
      </c>
      <c r="I1838">
        <v>54367</v>
      </c>
      <c r="J1838">
        <v>169</v>
      </c>
      <c r="K1838">
        <f>tblSales[[#This Row],[Sales]]-tblSales[[#This Row],[Budget]]</f>
        <v>4952</v>
      </c>
      <c r="L1838" s="3">
        <f>(tblSales[[#This Row],[Sales]]-tblSales[[#This Row],[Budget]])/tblSales[[#This Row],[Budget]]</f>
        <v>9.1084665330071549E-2</v>
      </c>
      <c r="M1838" s="2">
        <f>tblSales[[#This Row],[Sales]]/tblSales[[#This Row],[Transactions]]</f>
        <v>351</v>
      </c>
    </row>
    <row r="1839" spans="1:13" x14ac:dyDescent="0.25">
      <c r="A1839" s="1">
        <v>46114</v>
      </c>
      <c r="B1839" t="s">
        <v>28</v>
      </c>
      <c r="C1839" t="s">
        <v>19</v>
      </c>
      <c r="D1839" t="str">
        <f>_xlfn.XLOOKUP(tblSales[[#This Row],[Store ID]],tblStores[Store ID],tblStores[Store Name])</f>
        <v>Bloemfontein</v>
      </c>
      <c r="E1839" t="str">
        <f>_xlfn.XLOOKUP(tblSales[[#This Row],[Store ID]],tblStores[Store ID],tblStores[Province])</f>
        <v>Free State</v>
      </c>
      <c r="F1839" t="str">
        <f>_xlfn.XLOOKUP(tblSales[[#This Row],[Store ID]],tblStores[Store ID],tblStores[Manager])</f>
        <v>Rachel Moore</v>
      </c>
      <c r="G1839" t="str">
        <f>_xlfn.XLOOKUP(tblSales[[#This Row],[Category ID]],tblCategories[Category ID],tblCategories[Category])</f>
        <v>Accessories</v>
      </c>
      <c r="H1839">
        <v>29475</v>
      </c>
      <c r="I1839">
        <v>26576</v>
      </c>
      <c r="J1839">
        <v>131</v>
      </c>
      <c r="K1839">
        <f>tblSales[[#This Row],[Sales]]-tblSales[[#This Row],[Budget]]</f>
        <v>2899</v>
      </c>
      <c r="L1839" s="3">
        <f>(tblSales[[#This Row],[Sales]]-tblSales[[#This Row],[Budget]])/tblSales[[#This Row],[Budget]]</f>
        <v>0.10908338350391331</v>
      </c>
      <c r="M1839" s="2">
        <f>tblSales[[#This Row],[Sales]]/tblSales[[#This Row],[Transactions]]</f>
        <v>225</v>
      </c>
    </row>
    <row r="1840" spans="1:13" x14ac:dyDescent="0.25">
      <c r="A1840" s="1">
        <v>46114</v>
      </c>
      <c r="B1840" t="s">
        <v>29</v>
      </c>
      <c r="C1840" t="s">
        <v>22</v>
      </c>
      <c r="D1840" t="str">
        <f>_xlfn.XLOOKUP(tblSales[[#This Row],[Store ID]],tblStores[Store ID],tblStores[Store Name])</f>
        <v>Polokwane</v>
      </c>
      <c r="E1840" t="str">
        <f>_xlfn.XLOOKUP(tblSales[[#This Row],[Store ID]],tblStores[Store ID],tblStores[Province])</f>
        <v>Limpopo</v>
      </c>
      <c r="F1840" t="str">
        <f>_xlfn.XLOOKUP(tblSales[[#This Row],[Store ID]],tblStores[Store ID],tblStores[Manager])</f>
        <v>Kevin Harris</v>
      </c>
      <c r="G1840" t="str">
        <f>_xlfn.XLOOKUP(tblSales[[#This Row],[Category ID]],tblCategories[Category ID],tblCategories[Category])</f>
        <v>Kids</v>
      </c>
      <c r="H1840">
        <v>37929</v>
      </c>
      <c r="I1840">
        <v>39406</v>
      </c>
      <c r="J1840">
        <v>141</v>
      </c>
      <c r="K1840">
        <f>tblSales[[#This Row],[Sales]]-tblSales[[#This Row],[Budget]]</f>
        <v>-1477</v>
      </c>
      <c r="L1840" s="3">
        <f>(tblSales[[#This Row],[Sales]]-tblSales[[#This Row],[Budget]])/tblSales[[#This Row],[Budget]]</f>
        <v>-3.7481601786529969E-2</v>
      </c>
      <c r="M1840" s="2">
        <f>tblSales[[#This Row],[Sales]]/tblSales[[#This Row],[Transactions]]</f>
        <v>269</v>
      </c>
    </row>
    <row r="1841" spans="1:13" x14ac:dyDescent="0.25">
      <c r="A1841" s="1">
        <v>46114</v>
      </c>
      <c r="B1841" t="s">
        <v>30</v>
      </c>
      <c r="C1841" t="s">
        <v>19</v>
      </c>
      <c r="D1841" t="str">
        <f>_xlfn.XLOOKUP(tblSales[[#This Row],[Store ID]],tblStores[Store ID],tblStores[Store Name])</f>
        <v>Nelspruit</v>
      </c>
      <c r="E1841" t="str">
        <f>_xlfn.XLOOKUP(tblSales[[#This Row],[Store ID]],tblStores[Store ID],tblStores[Province])</f>
        <v>Mpumalanga</v>
      </c>
      <c r="F1841" t="str">
        <f>_xlfn.XLOOKUP(tblSales[[#This Row],[Store ID]],tblStores[Store ID],tblStores[Manager])</f>
        <v>Olivia Turner</v>
      </c>
      <c r="G1841" t="str">
        <f>_xlfn.XLOOKUP(tblSales[[#This Row],[Category ID]],tblCategories[Category ID],tblCategories[Category])</f>
        <v>Accessories</v>
      </c>
      <c r="H1841">
        <v>19740</v>
      </c>
      <c r="I1841">
        <v>18683</v>
      </c>
      <c r="J1841">
        <v>70</v>
      </c>
      <c r="K1841">
        <f>tblSales[[#This Row],[Sales]]-tblSales[[#This Row],[Budget]]</f>
        <v>1057</v>
      </c>
      <c r="L1841" s="3">
        <f>(tblSales[[#This Row],[Sales]]-tblSales[[#This Row],[Budget]])/tblSales[[#This Row],[Budget]]</f>
        <v>5.6575496440614464E-2</v>
      </c>
      <c r="M1841" s="2">
        <f>tblSales[[#This Row],[Sales]]/tblSales[[#This Row],[Transactions]]</f>
        <v>282</v>
      </c>
    </row>
    <row r="1842" spans="1:13" x14ac:dyDescent="0.25">
      <c r="A1842" s="1">
        <v>46115</v>
      </c>
      <c r="B1842" t="s">
        <v>6</v>
      </c>
      <c r="C1842" t="s">
        <v>11</v>
      </c>
      <c r="D1842" t="str">
        <f>_xlfn.XLOOKUP(tblSales[[#This Row],[Store ID]],tblStores[Store ID],tblStores[Store Name])</f>
        <v>Durban CBD</v>
      </c>
      <c r="E1842" t="str">
        <f>_xlfn.XLOOKUP(tblSales[[#This Row],[Store ID]],tblStores[Store ID],tblStores[Province])</f>
        <v>KZN</v>
      </c>
      <c r="F1842" t="str">
        <f>_xlfn.XLOOKUP(tblSales[[#This Row],[Store ID]],tblStores[Store ID],tblStores[Manager])</f>
        <v>Sarah Adams</v>
      </c>
      <c r="G1842" t="str">
        <f>_xlfn.XLOOKUP(tblSales[[#This Row],[Category ID]],tblCategories[Category ID],tblCategories[Category])</f>
        <v>Footwear</v>
      </c>
      <c r="H1842">
        <v>50467</v>
      </c>
      <c r="I1842">
        <v>51609</v>
      </c>
      <c r="J1842">
        <v>109</v>
      </c>
      <c r="K1842">
        <f>tblSales[[#This Row],[Sales]]-tblSales[[#This Row],[Budget]]</f>
        <v>-1142</v>
      </c>
      <c r="L1842" s="3">
        <f>(tblSales[[#This Row],[Sales]]-tblSales[[#This Row],[Budget]])/tblSales[[#This Row],[Budget]]</f>
        <v>-2.2127923424208957E-2</v>
      </c>
      <c r="M1842" s="2">
        <f>tblSales[[#This Row],[Sales]]/tblSales[[#This Row],[Transactions]]</f>
        <v>463</v>
      </c>
    </row>
    <row r="1843" spans="1:13" x14ac:dyDescent="0.25">
      <c r="A1843" s="1">
        <v>46115</v>
      </c>
      <c r="B1843" t="s">
        <v>8</v>
      </c>
      <c r="C1843" t="s">
        <v>22</v>
      </c>
      <c r="D1843" t="str">
        <f>_xlfn.XLOOKUP(tblSales[[#This Row],[Store ID]],tblStores[Store ID],tblStores[Store Name])</f>
        <v>Gateway</v>
      </c>
      <c r="E1843" t="str">
        <f>_xlfn.XLOOKUP(tblSales[[#This Row],[Store ID]],tblStores[Store ID],tblStores[Province])</f>
        <v>KZN</v>
      </c>
      <c r="F1843" t="str">
        <f>_xlfn.XLOOKUP(tblSales[[#This Row],[Store ID]],tblStores[Store ID],tblStores[Manager])</f>
        <v>Michael Jones</v>
      </c>
      <c r="G1843" t="str">
        <f>_xlfn.XLOOKUP(tblSales[[#This Row],[Category ID]],tblCategories[Category ID],tblCategories[Category])</f>
        <v>Kids</v>
      </c>
      <c r="H1843">
        <v>61640</v>
      </c>
      <c r="I1843">
        <v>63090</v>
      </c>
      <c r="J1843">
        <v>184</v>
      </c>
      <c r="K1843">
        <f>tblSales[[#This Row],[Sales]]-tblSales[[#This Row],[Budget]]</f>
        <v>-1450</v>
      </c>
      <c r="L1843" s="3">
        <f>(tblSales[[#This Row],[Sales]]-tblSales[[#This Row],[Budget]])/tblSales[[#This Row],[Budget]]</f>
        <v>-2.2983040101442385E-2</v>
      </c>
      <c r="M1843" s="2">
        <f>tblSales[[#This Row],[Sales]]/tblSales[[#This Row],[Transactions]]</f>
        <v>335</v>
      </c>
    </row>
    <row r="1844" spans="1:13" x14ac:dyDescent="0.25">
      <c r="A1844" s="1">
        <v>46115</v>
      </c>
      <c r="B1844" t="s">
        <v>10</v>
      </c>
      <c r="C1844" t="s">
        <v>11</v>
      </c>
      <c r="D1844" t="str">
        <f>_xlfn.XLOOKUP(tblSales[[#This Row],[Store ID]],tblStores[Store ID],tblStores[Store Name])</f>
        <v>Ballito</v>
      </c>
      <c r="E1844" t="str">
        <f>_xlfn.XLOOKUP(tblSales[[#This Row],[Store ID]],tblStores[Store ID],tblStores[Province])</f>
        <v>KZN</v>
      </c>
      <c r="F1844" t="str">
        <f>_xlfn.XLOOKUP(tblSales[[#This Row],[Store ID]],tblStores[Store ID],tblStores[Manager])</f>
        <v>Linda Smith</v>
      </c>
      <c r="G1844" t="str">
        <f>_xlfn.XLOOKUP(tblSales[[#This Row],[Category ID]],tblCategories[Category ID],tblCategories[Category])</f>
        <v>Footwear</v>
      </c>
      <c r="H1844">
        <v>17756</v>
      </c>
      <c r="I1844">
        <v>19492</v>
      </c>
      <c r="J1844">
        <v>92</v>
      </c>
      <c r="K1844">
        <f>tblSales[[#This Row],[Sales]]-tblSales[[#This Row],[Budget]]</f>
        <v>-1736</v>
      </c>
      <c r="L1844" s="3">
        <f>(tblSales[[#This Row],[Sales]]-tblSales[[#This Row],[Budget]])/tblSales[[#This Row],[Budget]]</f>
        <v>-8.9062179355633084E-2</v>
      </c>
      <c r="M1844" s="2">
        <f>tblSales[[#This Row],[Sales]]/tblSales[[#This Row],[Transactions]]</f>
        <v>193</v>
      </c>
    </row>
    <row r="1845" spans="1:13" x14ac:dyDescent="0.25">
      <c r="A1845" s="1">
        <v>46115</v>
      </c>
      <c r="B1845" t="s">
        <v>12</v>
      </c>
      <c r="C1845" t="s">
        <v>9</v>
      </c>
      <c r="D1845" t="str">
        <f>_xlfn.XLOOKUP(tblSales[[#This Row],[Store ID]],tblStores[Store ID],tblStores[Store Name])</f>
        <v>Pietermaritzburg</v>
      </c>
      <c r="E1845" t="str">
        <f>_xlfn.XLOOKUP(tblSales[[#This Row],[Store ID]],tblStores[Store ID],tblStores[Province])</f>
        <v>KZN</v>
      </c>
      <c r="F1845" t="str">
        <f>_xlfn.XLOOKUP(tblSales[[#This Row],[Store ID]],tblStores[Store ID],tblStores[Manager])</f>
        <v>Peter Brown</v>
      </c>
      <c r="G1845" t="str">
        <f>_xlfn.XLOOKUP(tblSales[[#This Row],[Category ID]],tblCategories[Category ID],tblCategories[Category])</f>
        <v>Ladieswear</v>
      </c>
      <c r="H1845">
        <v>33966</v>
      </c>
      <c r="I1845">
        <v>38687</v>
      </c>
      <c r="J1845">
        <v>102</v>
      </c>
      <c r="K1845">
        <f>tblSales[[#This Row],[Sales]]-tblSales[[#This Row],[Budget]]</f>
        <v>-4721</v>
      </c>
      <c r="L1845" s="3">
        <f>(tblSales[[#This Row],[Sales]]-tblSales[[#This Row],[Budget]])/tblSales[[#This Row],[Budget]]</f>
        <v>-0.12203065629281154</v>
      </c>
      <c r="M1845" s="2">
        <f>tblSales[[#This Row],[Sales]]/tblSales[[#This Row],[Transactions]]</f>
        <v>333</v>
      </c>
    </row>
    <row r="1846" spans="1:13" x14ac:dyDescent="0.25">
      <c r="A1846" s="1">
        <v>46115</v>
      </c>
      <c r="B1846" t="s">
        <v>13</v>
      </c>
      <c r="C1846" t="s">
        <v>11</v>
      </c>
      <c r="D1846" t="str">
        <f>_xlfn.XLOOKUP(tblSales[[#This Row],[Store ID]],tblStores[Store ID],tblStores[Store Name])</f>
        <v>Richards Bay</v>
      </c>
      <c r="E1846" t="str">
        <f>_xlfn.XLOOKUP(tblSales[[#This Row],[Store ID]],tblStores[Store ID],tblStores[Province])</f>
        <v>KZN</v>
      </c>
      <c r="F1846" t="str">
        <f>_xlfn.XLOOKUP(tblSales[[#This Row],[Store ID]],tblStores[Store ID],tblStores[Manager])</f>
        <v>David Green</v>
      </c>
      <c r="G1846" t="str">
        <f>_xlfn.XLOOKUP(tblSales[[#This Row],[Category ID]],tblCategories[Category ID],tblCategories[Category])</f>
        <v>Footwear</v>
      </c>
      <c r="H1846">
        <v>33924</v>
      </c>
      <c r="I1846">
        <v>36179</v>
      </c>
      <c r="J1846">
        <v>66</v>
      </c>
      <c r="K1846">
        <f>tblSales[[#This Row],[Sales]]-tblSales[[#This Row],[Budget]]</f>
        <v>-2255</v>
      </c>
      <c r="L1846" s="3">
        <f>(tblSales[[#This Row],[Sales]]-tblSales[[#This Row],[Budget]])/tblSales[[#This Row],[Budget]]</f>
        <v>-6.2328975372453632E-2</v>
      </c>
      <c r="M1846" s="2">
        <f>tblSales[[#This Row],[Sales]]/tblSales[[#This Row],[Transactions]]</f>
        <v>514</v>
      </c>
    </row>
    <row r="1847" spans="1:13" x14ac:dyDescent="0.25">
      <c r="A1847" s="1">
        <v>46115</v>
      </c>
      <c r="B1847" t="s">
        <v>14</v>
      </c>
      <c r="C1847" t="s">
        <v>22</v>
      </c>
      <c r="D1847" t="str">
        <f>_xlfn.XLOOKUP(tblSales[[#This Row],[Store ID]],tblStores[Store ID],tblStores[Store Name])</f>
        <v>Sandton</v>
      </c>
      <c r="E1847" t="str">
        <f>_xlfn.XLOOKUP(tblSales[[#This Row],[Store ID]],tblStores[Store ID],tblStores[Province])</f>
        <v>Gauteng</v>
      </c>
      <c r="F1847" t="str">
        <f>_xlfn.XLOOKUP(tblSales[[#This Row],[Store ID]],tblStores[Store ID],tblStores[Manager])</f>
        <v>Karen White</v>
      </c>
      <c r="G1847" t="str">
        <f>_xlfn.XLOOKUP(tblSales[[#This Row],[Category ID]],tblCategories[Category ID],tblCategories[Category])</f>
        <v>Kids</v>
      </c>
      <c r="H1847">
        <v>38211</v>
      </c>
      <c r="I1847">
        <v>39088</v>
      </c>
      <c r="J1847">
        <v>141</v>
      </c>
      <c r="K1847">
        <f>tblSales[[#This Row],[Sales]]-tblSales[[#This Row],[Budget]]</f>
        <v>-877</v>
      </c>
      <c r="L1847" s="3">
        <f>(tblSales[[#This Row],[Sales]]-tblSales[[#This Row],[Budget]])/tblSales[[#This Row],[Budget]]</f>
        <v>-2.2436553417928776E-2</v>
      </c>
      <c r="M1847" s="2">
        <f>tblSales[[#This Row],[Sales]]/tblSales[[#This Row],[Transactions]]</f>
        <v>271</v>
      </c>
    </row>
    <row r="1848" spans="1:13" x14ac:dyDescent="0.25">
      <c r="A1848" s="1">
        <v>46115</v>
      </c>
      <c r="B1848" t="s">
        <v>15</v>
      </c>
      <c r="C1848" t="s">
        <v>9</v>
      </c>
      <c r="D1848" t="str">
        <f>_xlfn.XLOOKUP(tblSales[[#This Row],[Store ID]],tblStores[Store ID],tblStores[Store Name])</f>
        <v>Rosebank</v>
      </c>
      <c r="E1848" t="str">
        <f>_xlfn.XLOOKUP(tblSales[[#This Row],[Store ID]],tblStores[Store ID],tblStores[Province])</f>
        <v>Gauteng</v>
      </c>
      <c r="F1848" t="str">
        <f>_xlfn.XLOOKUP(tblSales[[#This Row],[Store ID]],tblStores[Store ID],tblStores[Manager])</f>
        <v>James Taylor</v>
      </c>
      <c r="G1848" t="str">
        <f>_xlfn.XLOOKUP(tblSales[[#This Row],[Category ID]],tblCategories[Category ID],tblCategories[Category])</f>
        <v>Ladieswear</v>
      </c>
      <c r="H1848">
        <v>10122</v>
      </c>
      <c r="I1848">
        <v>11044</v>
      </c>
      <c r="J1848">
        <v>42</v>
      </c>
      <c r="K1848">
        <f>tblSales[[#This Row],[Sales]]-tblSales[[#This Row],[Budget]]</f>
        <v>-922</v>
      </c>
      <c r="L1848" s="3">
        <f>(tblSales[[#This Row],[Sales]]-tblSales[[#This Row],[Budget]])/tblSales[[#This Row],[Budget]]</f>
        <v>-8.3484244838826507E-2</v>
      </c>
      <c r="M1848" s="2">
        <f>tblSales[[#This Row],[Sales]]/tblSales[[#This Row],[Transactions]]</f>
        <v>241</v>
      </c>
    </row>
    <row r="1849" spans="1:13" x14ac:dyDescent="0.25">
      <c r="A1849" s="1">
        <v>46115</v>
      </c>
      <c r="B1849" t="s">
        <v>16</v>
      </c>
      <c r="C1849" t="s">
        <v>11</v>
      </c>
      <c r="D1849" t="str">
        <f>_xlfn.XLOOKUP(tblSales[[#This Row],[Store ID]],tblStores[Store ID],tblStores[Store Name])</f>
        <v>Pretoria</v>
      </c>
      <c r="E1849" t="str">
        <f>_xlfn.XLOOKUP(tblSales[[#This Row],[Store ID]],tblStores[Store ID],tblStores[Province])</f>
        <v>Gauteng</v>
      </c>
      <c r="F1849" t="str">
        <f>_xlfn.XLOOKUP(tblSales[[#This Row],[Store ID]],tblStores[Store ID],tblStores[Manager])</f>
        <v>Susan Clark</v>
      </c>
      <c r="G1849" t="str">
        <f>_xlfn.XLOOKUP(tblSales[[#This Row],[Category ID]],tblCategories[Category ID],tblCategories[Category])</f>
        <v>Footwear</v>
      </c>
      <c r="H1849">
        <v>25272</v>
      </c>
      <c r="I1849">
        <v>27455</v>
      </c>
      <c r="J1849">
        <v>52</v>
      </c>
      <c r="K1849">
        <f>tblSales[[#This Row],[Sales]]-tblSales[[#This Row],[Budget]]</f>
        <v>-2183</v>
      </c>
      <c r="L1849" s="3">
        <f>(tblSales[[#This Row],[Sales]]-tblSales[[#This Row],[Budget]])/tblSales[[#This Row],[Budget]]</f>
        <v>-7.9511928610453475E-2</v>
      </c>
      <c r="M1849" s="2">
        <f>tblSales[[#This Row],[Sales]]/tblSales[[#This Row],[Transactions]]</f>
        <v>486</v>
      </c>
    </row>
    <row r="1850" spans="1:13" x14ac:dyDescent="0.25">
      <c r="A1850" s="1">
        <v>46115</v>
      </c>
      <c r="B1850" t="s">
        <v>17</v>
      </c>
      <c r="C1850" t="s">
        <v>19</v>
      </c>
      <c r="D1850" t="str">
        <f>_xlfn.XLOOKUP(tblSales[[#This Row],[Store ID]],tblStores[Store ID],tblStores[Store Name])</f>
        <v>Centurion</v>
      </c>
      <c r="E1850" t="str">
        <f>_xlfn.XLOOKUP(tblSales[[#This Row],[Store ID]],tblStores[Store ID],tblStores[Province])</f>
        <v>Gauteng</v>
      </c>
      <c r="F1850" t="str">
        <f>_xlfn.XLOOKUP(tblSales[[#This Row],[Store ID]],tblStores[Store ID],tblStores[Manager])</f>
        <v>Mark Wilson</v>
      </c>
      <c r="G1850" t="str">
        <f>_xlfn.XLOOKUP(tblSales[[#This Row],[Category ID]],tblCategories[Category ID],tblCategories[Category])</f>
        <v>Accessories</v>
      </c>
      <c r="H1850">
        <v>74102</v>
      </c>
      <c r="I1850">
        <v>74770</v>
      </c>
      <c r="J1850">
        <v>158</v>
      </c>
      <c r="K1850">
        <f>tblSales[[#This Row],[Sales]]-tblSales[[#This Row],[Budget]]</f>
        <v>-668</v>
      </c>
      <c r="L1850" s="3">
        <f>(tblSales[[#This Row],[Sales]]-tblSales[[#This Row],[Budget]])/tblSales[[#This Row],[Budget]]</f>
        <v>-8.9340644643573618E-3</v>
      </c>
      <c r="M1850" s="2">
        <f>tblSales[[#This Row],[Sales]]/tblSales[[#This Row],[Transactions]]</f>
        <v>469</v>
      </c>
    </row>
    <row r="1851" spans="1:13" x14ac:dyDescent="0.25">
      <c r="A1851" s="1">
        <v>46115</v>
      </c>
      <c r="B1851" t="s">
        <v>18</v>
      </c>
      <c r="C1851" t="s">
        <v>22</v>
      </c>
      <c r="D1851" t="str">
        <f>_xlfn.XLOOKUP(tblSales[[#This Row],[Store ID]],tblStores[Store ID],tblStores[Store Name])</f>
        <v>East Rand</v>
      </c>
      <c r="E1851" t="str">
        <f>_xlfn.XLOOKUP(tblSales[[#This Row],[Store ID]],tblStores[Store ID],tblStores[Province])</f>
        <v>Gauteng</v>
      </c>
      <c r="F1851" t="str">
        <f>_xlfn.XLOOKUP(tblSales[[#This Row],[Store ID]],tblStores[Store ID],tblStores[Manager])</f>
        <v>Lisa Young</v>
      </c>
      <c r="G1851" t="str">
        <f>_xlfn.XLOOKUP(tblSales[[#This Row],[Category ID]],tblCategories[Category ID],tblCategories[Category])</f>
        <v>Kids</v>
      </c>
      <c r="H1851">
        <v>82485</v>
      </c>
      <c r="I1851">
        <v>94326</v>
      </c>
      <c r="J1851">
        <v>195</v>
      </c>
      <c r="K1851">
        <f>tblSales[[#This Row],[Sales]]-tblSales[[#This Row],[Budget]]</f>
        <v>-11841</v>
      </c>
      <c r="L1851" s="3">
        <f>(tblSales[[#This Row],[Sales]]-tblSales[[#This Row],[Budget]])/tblSales[[#This Row],[Budget]]</f>
        <v>-0.12553272692576808</v>
      </c>
      <c r="M1851" s="2">
        <f>tblSales[[#This Row],[Sales]]/tblSales[[#This Row],[Transactions]]</f>
        <v>423</v>
      </c>
    </row>
    <row r="1852" spans="1:13" x14ac:dyDescent="0.25">
      <c r="A1852" s="1">
        <v>46115</v>
      </c>
      <c r="B1852" t="s">
        <v>20</v>
      </c>
      <c r="C1852" t="s">
        <v>7</v>
      </c>
      <c r="D1852" t="str">
        <f>_xlfn.XLOOKUP(tblSales[[#This Row],[Store ID]],tblStores[Store ID],tblStores[Store Name])</f>
        <v>Cape Town CBD</v>
      </c>
      <c r="E1852" t="str">
        <f>_xlfn.XLOOKUP(tblSales[[#This Row],[Store ID]],tblStores[Store ID],tblStores[Province])</f>
        <v>Western Cape</v>
      </c>
      <c r="F1852" t="str">
        <f>_xlfn.XLOOKUP(tblSales[[#This Row],[Store ID]],tblStores[Store ID],tblStores[Manager])</f>
        <v>Brian Hall</v>
      </c>
      <c r="G1852" t="str">
        <f>_xlfn.XLOOKUP(tblSales[[#This Row],[Category ID]],tblCategories[Category ID],tblCategories[Category])</f>
        <v>Menswear</v>
      </c>
      <c r="H1852">
        <v>57460</v>
      </c>
      <c r="I1852">
        <v>62242</v>
      </c>
      <c r="J1852">
        <v>130</v>
      </c>
      <c r="K1852">
        <f>tblSales[[#This Row],[Sales]]-tblSales[[#This Row],[Budget]]</f>
        <v>-4782</v>
      </c>
      <c r="L1852" s="3">
        <f>(tblSales[[#This Row],[Sales]]-tblSales[[#This Row],[Budget]])/tblSales[[#This Row],[Budget]]</f>
        <v>-7.6829150734230911E-2</v>
      </c>
      <c r="M1852" s="2">
        <f>tblSales[[#This Row],[Sales]]/tblSales[[#This Row],[Transactions]]</f>
        <v>442</v>
      </c>
    </row>
    <row r="1853" spans="1:13" x14ac:dyDescent="0.25">
      <c r="A1853" s="1">
        <v>46115</v>
      </c>
      <c r="B1853" t="s">
        <v>21</v>
      </c>
      <c r="C1853" t="s">
        <v>7</v>
      </c>
      <c r="D1853" t="str">
        <f>_xlfn.XLOOKUP(tblSales[[#This Row],[Store ID]],tblStores[Store ID],tblStores[Store Name])</f>
        <v>Canal Walk</v>
      </c>
      <c r="E1853" t="str">
        <f>_xlfn.XLOOKUP(tblSales[[#This Row],[Store ID]],tblStores[Store ID],tblStores[Province])</f>
        <v>Western Cape</v>
      </c>
      <c r="F1853" t="str">
        <f>_xlfn.XLOOKUP(tblSales[[#This Row],[Store ID]],tblStores[Store ID],tblStores[Manager])</f>
        <v>Megan Scott</v>
      </c>
      <c r="G1853" t="str">
        <f>_xlfn.XLOOKUP(tblSales[[#This Row],[Category ID]],tblCategories[Category ID],tblCategories[Category])</f>
        <v>Menswear</v>
      </c>
      <c r="H1853">
        <v>26563</v>
      </c>
      <c r="I1853">
        <v>27769</v>
      </c>
      <c r="J1853">
        <v>101</v>
      </c>
      <c r="K1853">
        <f>tblSales[[#This Row],[Sales]]-tblSales[[#This Row],[Budget]]</f>
        <v>-1206</v>
      </c>
      <c r="L1853" s="3">
        <f>(tblSales[[#This Row],[Sales]]-tblSales[[#This Row],[Budget]])/tblSales[[#This Row],[Budget]]</f>
        <v>-4.3429723792718498E-2</v>
      </c>
      <c r="M1853" s="2">
        <f>tblSales[[#This Row],[Sales]]/tblSales[[#This Row],[Transactions]]</f>
        <v>263</v>
      </c>
    </row>
    <row r="1854" spans="1:13" x14ac:dyDescent="0.25">
      <c r="A1854" s="1">
        <v>46115</v>
      </c>
      <c r="B1854" t="s">
        <v>23</v>
      </c>
      <c r="C1854" t="s">
        <v>9</v>
      </c>
      <c r="D1854" t="str">
        <f>_xlfn.XLOOKUP(tblSales[[#This Row],[Store ID]],tblStores[Store ID],tblStores[Store Name])</f>
        <v>Stellenbosch</v>
      </c>
      <c r="E1854" t="str">
        <f>_xlfn.XLOOKUP(tblSales[[#This Row],[Store ID]],tblStores[Store ID],tblStores[Province])</f>
        <v>Western Cape</v>
      </c>
      <c r="F1854" t="str">
        <f>_xlfn.XLOOKUP(tblSales[[#This Row],[Store ID]],tblStores[Store ID],tblStores[Manager])</f>
        <v>Jason King</v>
      </c>
      <c r="G1854" t="str">
        <f>_xlfn.XLOOKUP(tblSales[[#This Row],[Category ID]],tblCategories[Category ID],tblCategories[Category])</f>
        <v>Ladieswear</v>
      </c>
      <c r="H1854">
        <v>48256</v>
      </c>
      <c r="I1854">
        <v>54026</v>
      </c>
      <c r="J1854">
        <v>116</v>
      </c>
      <c r="K1854">
        <f>tblSales[[#This Row],[Sales]]-tblSales[[#This Row],[Budget]]</f>
        <v>-5770</v>
      </c>
      <c r="L1854" s="3">
        <f>(tblSales[[#This Row],[Sales]]-tblSales[[#This Row],[Budget]])/tblSales[[#This Row],[Budget]]</f>
        <v>-0.10680042942287046</v>
      </c>
      <c r="M1854" s="2">
        <f>tblSales[[#This Row],[Sales]]/tblSales[[#This Row],[Transactions]]</f>
        <v>416</v>
      </c>
    </row>
    <row r="1855" spans="1:13" x14ac:dyDescent="0.25">
      <c r="A1855" s="1">
        <v>46115</v>
      </c>
      <c r="B1855" t="s">
        <v>24</v>
      </c>
      <c r="C1855" t="s">
        <v>9</v>
      </c>
      <c r="D1855" t="str">
        <f>_xlfn.XLOOKUP(tblSales[[#This Row],[Store ID]],tblStores[Store ID],tblStores[Store Name])</f>
        <v>George</v>
      </c>
      <c r="E1855" t="str">
        <f>_xlfn.XLOOKUP(tblSales[[#This Row],[Store ID]],tblStores[Store ID],tblStores[Province])</f>
        <v>Western Cape</v>
      </c>
      <c r="F1855" t="str">
        <f>_xlfn.XLOOKUP(tblSales[[#This Row],[Store ID]],tblStores[Store ID],tblStores[Manager])</f>
        <v>Chloe Hill</v>
      </c>
      <c r="G1855" t="str">
        <f>_xlfn.XLOOKUP(tblSales[[#This Row],[Category ID]],tblCategories[Category ID],tblCategories[Category])</f>
        <v>Ladieswear</v>
      </c>
      <c r="H1855">
        <v>33138</v>
      </c>
      <c r="I1855">
        <v>30262</v>
      </c>
      <c r="J1855">
        <v>126</v>
      </c>
      <c r="K1855">
        <f>tblSales[[#This Row],[Sales]]-tblSales[[#This Row],[Budget]]</f>
        <v>2876</v>
      </c>
      <c r="L1855" s="3">
        <f>(tblSales[[#This Row],[Sales]]-tblSales[[#This Row],[Budget]])/tblSales[[#This Row],[Budget]]</f>
        <v>9.5036679664265419E-2</v>
      </c>
      <c r="M1855" s="2">
        <f>tblSales[[#This Row],[Sales]]/tblSales[[#This Row],[Transactions]]</f>
        <v>263</v>
      </c>
    </row>
    <row r="1856" spans="1:13" x14ac:dyDescent="0.25">
      <c r="A1856" s="1">
        <v>46115</v>
      </c>
      <c r="B1856" t="s">
        <v>25</v>
      </c>
      <c r="C1856" t="s">
        <v>22</v>
      </c>
      <c r="D1856" t="str">
        <f>_xlfn.XLOOKUP(tblSales[[#This Row],[Store ID]],tblStores[Store ID],tblStores[Store Name])</f>
        <v>Paarl</v>
      </c>
      <c r="E1856" t="str">
        <f>_xlfn.XLOOKUP(tblSales[[#This Row],[Store ID]],tblStores[Store ID],tblStores[Province])</f>
        <v>Western Cape</v>
      </c>
      <c r="F1856" t="str">
        <f>_xlfn.XLOOKUP(tblSales[[#This Row],[Store ID]],tblStores[Store ID],tblStores[Manager])</f>
        <v>Andrew Lee</v>
      </c>
      <c r="G1856" t="str">
        <f>_xlfn.XLOOKUP(tblSales[[#This Row],[Category ID]],tblCategories[Category ID],tblCategories[Category])</f>
        <v>Kids</v>
      </c>
      <c r="H1856">
        <v>71710</v>
      </c>
      <c r="I1856">
        <v>80890</v>
      </c>
      <c r="J1856">
        <v>142</v>
      </c>
      <c r="K1856">
        <f>tblSales[[#This Row],[Sales]]-tblSales[[#This Row],[Budget]]</f>
        <v>-9180</v>
      </c>
      <c r="L1856" s="3">
        <f>(tblSales[[#This Row],[Sales]]-tblSales[[#This Row],[Budget]])/tblSales[[#This Row],[Budget]]</f>
        <v>-0.11348745209543824</v>
      </c>
      <c r="M1856" s="2">
        <f>tblSales[[#This Row],[Sales]]/tblSales[[#This Row],[Transactions]]</f>
        <v>505</v>
      </c>
    </row>
    <row r="1857" spans="1:13" x14ac:dyDescent="0.25">
      <c r="A1857" s="1">
        <v>46115</v>
      </c>
      <c r="B1857" t="s">
        <v>26</v>
      </c>
      <c r="C1857" t="s">
        <v>22</v>
      </c>
      <c r="D1857" t="str">
        <f>_xlfn.XLOOKUP(tblSales[[#This Row],[Store ID]],tblStores[Store ID],tblStores[Store Name])</f>
        <v>Gqeberha</v>
      </c>
      <c r="E1857" t="str">
        <f>_xlfn.XLOOKUP(tblSales[[#This Row],[Store ID]],tblStores[Store ID],tblStores[Province])</f>
        <v>Eastern Cape</v>
      </c>
      <c r="F1857" t="str">
        <f>_xlfn.XLOOKUP(tblSales[[#This Row],[Store ID]],tblStores[Store ID],tblStores[Manager])</f>
        <v>Emma Baker</v>
      </c>
      <c r="G1857" t="str">
        <f>_xlfn.XLOOKUP(tblSales[[#This Row],[Category ID]],tblCategories[Category ID],tblCategories[Category])</f>
        <v>Kids</v>
      </c>
      <c r="H1857">
        <v>15416</v>
      </c>
      <c r="I1857">
        <v>14998</v>
      </c>
      <c r="J1857">
        <v>47</v>
      </c>
      <c r="K1857">
        <f>tblSales[[#This Row],[Sales]]-tblSales[[#This Row],[Budget]]</f>
        <v>418</v>
      </c>
      <c r="L1857" s="3">
        <f>(tblSales[[#This Row],[Sales]]-tblSales[[#This Row],[Budget]])/tblSales[[#This Row],[Budget]]</f>
        <v>2.7870382717695694E-2</v>
      </c>
      <c r="M1857" s="2">
        <f>tblSales[[#This Row],[Sales]]/tblSales[[#This Row],[Transactions]]</f>
        <v>328</v>
      </c>
    </row>
    <row r="1858" spans="1:13" x14ac:dyDescent="0.25">
      <c r="A1858" s="1">
        <v>46115</v>
      </c>
      <c r="B1858" t="s">
        <v>27</v>
      </c>
      <c r="C1858" t="s">
        <v>7</v>
      </c>
      <c r="D1858" t="str">
        <f>_xlfn.XLOOKUP(tblSales[[#This Row],[Store ID]],tblStores[Store ID],tblStores[Store Name])</f>
        <v>East London</v>
      </c>
      <c r="E1858" t="str">
        <f>_xlfn.XLOOKUP(tblSales[[#This Row],[Store ID]],tblStores[Store ID],tblStores[Province])</f>
        <v>Eastern Cape</v>
      </c>
      <c r="F1858" t="str">
        <f>_xlfn.XLOOKUP(tblSales[[#This Row],[Store ID]],tblStores[Store ID],tblStores[Manager])</f>
        <v>Daniel Evans</v>
      </c>
      <c r="G1858" t="str">
        <f>_xlfn.XLOOKUP(tblSales[[#This Row],[Category ID]],tblCategories[Category ID],tblCategories[Category])</f>
        <v>Menswear</v>
      </c>
      <c r="H1858">
        <v>46314</v>
      </c>
      <c r="I1858">
        <v>50556</v>
      </c>
      <c r="J1858">
        <v>166</v>
      </c>
      <c r="K1858">
        <f>tblSales[[#This Row],[Sales]]-tblSales[[#This Row],[Budget]]</f>
        <v>-4242</v>
      </c>
      <c r="L1858" s="3">
        <f>(tblSales[[#This Row],[Sales]]-tblSales[[#This Row],[Budget]])/tblSales[[#This Row],[Budget]]</f>
        <v>-8.3906954664134822E-2</v>
      </c>
      <c r="M1858" s="2">
        <f>tblSales[[#This Row],[Sales]]/tblSales[[#This Row],[Transactions]]</f>
        <v>279</v>
      </c>
    </row>
    <row r="1859" spans="1:13" x14ac:dyDescent="0.25">
      <c r="A1859" s="1">
        <v>46115</v>
      </c>
      <c r="B1859" t="s">
        <v>28</v>
      </c>
      <c r="C1859" t="s">
        <v>9</v>
      </c>
      <c r="D1859" t="str">
        <f>_xlfn.XLOOKUP(tblSales[[#This Row],[Store ID]],tblStores[Store ID],tblStores[Store Name])</f>
        <v>Bloemfontein</v>
      </c>
      <c r="E1859" t="str">
        <f>_xlfn.XLOOKUP(tblSales[[#This Row],[Store ID]],tblStores[Store ID],tblStores[Province])</f>
        <v>Free State</v>
      </c>
      <c r="F1859" t="str">
        <f>_xlfn.XLOOKUP(tblSales[[#This Row],[Store ID]],tblStores[Store ID],tblStores[Manager])</f>
        <v>Rachel Moore</v>
      </c>
      <c r="G1859" t="str">
        <f>_xlfn.XLOOKUP(tblSales[[#This Row],[Category ID]],tblCategories[Category ID],tblCategories[Category])</f>
        <v>Ladieswear</v>
      </c>
      <c r="H1859">
        <v>28674</v>
      </c>
      <c r="I1859">
        <v>31201</v>
      </c>
      <c r="J1859">
        <v>59</v>
      </c>
      <c r="K1859">
        <f>tblSales[[#This Row],[Sales]]-tblSales[[#This Row],[Budget]]</f>
        <v>-2527</v>
      </c>
      <c r="L1859" s="3">
        <f>(tblSales[[#This Row],[Sales]]-tblSales[[#This Row],[Budget]])/tblSales[[#This Row],[Budget]]</f>
        <v>-8.0990993878401335E-2</v>
      </c>
      <c r="M1859" s="2">
        <f>tblSales[[#This Row],[Sales]]/tblSales[[#This Row],[Transactions]]</f>
        <v>486</v>
      </c>
    </row>
    <row r="1860" spans="1:13" x14ac:dyDescent="0.25">
      <c r="A1860" s="1">
        <v>46115</v>
      </c>
      <c r="B1860" t="s">
        <v>29</v>
      </c>
      <c r="C1860" t="s">
        <v>19</v>
      </c>
      <c r="D1860" t="str">
        <f>_xlfn.XLOOKUP(tblSales[[#This Row],[Store ID]],tblStores[Store ID],tblStores[Store Name])</f>
        <v>Polokwane</v>
      </c>
      <c r="E1860" t="str">
        <f>_xlfn.XLOOKUP(tblSales[[#This Row],[Store ID]],tblStores[Store ID],tblStores[Province])</f>
        <v>Limpopo</v>
      </c>
      <c r="F1860" t="str">
        <f>_xlfn.XLOOKUP(tblSales[[#This Row],[Store ID]],tblStores[Store ID],tblStores[Manager])</f>
        <v>Kevin Harris</v>
      </c>
      <c r="G1860" t="str">
        <f>_xlfn.XLOOKUP(tblSales[[#This Row],[Category ID]],tblCategories[Category ID],tblCategories[Category])</f>
        <v>Accessories</v>
      </c>
      <c r="H1860">
        <v>39897</v>
      </c>
      <c r="I1860">
        <v>44154</v>
      </c>
      <c r="J1860">
        <v>117</v>
      </c>
      <c r="K1860">
        <f>tblSales[[#This Row],[Sales]]-tblSales[[#This Row],[Budget]]</f>
        <v>-4257</v>
      </c>
      <c r="L1860" s="3">
        <f>(tblSales[[#This Row],[Sales]]-tblSales[[#This Row],[Budget]])/tblSales[[#This Row],[Budget]]</f>
        <v>-9.641255605381166E-2</v>
      </c>
      <c r="M1860" s="2">
        <f>tblSales[[#This Row],[Sales]]/tblSales[[#This Row],[Transactions]]</f>
        <v>341</v>
      </c>
    </row>
    <row r="1861" spans="1:13" x14ac:dyDescent="0.25">
      <c r="A1861" s="1">
        <v>46115</v>
      </c>
      <c r="B1861" t="s">
        <v>30</v>
      </c>
      <c r="C1861" t="s">
        <v>22</v>
      </c>
      <c r="D1861" t="str">
        <f>_xlfn.XLOOKUP(tblSales[[#This Row],[Store ID]],tblStores[Store ID],tblStores[Store Name])</f>
        <v>Nelspruit</v>
      </c>
      <c r="E1861" t="str">
        <f>_xlfn.XLOOKUP(tblSales[[#This Row],[Store ID]],tblStores[Store ID],tblStores[Province])</f>
        <v>Mpumalanga</v>
      </c>
      <c r="F1861" t="str">
        <f>_xlfn.XLOOKUP(tblSales[[#This Row],[Store ID]],tblStores[Store ID],tblStores[Manager])</f>
        <v>Olivia Turner</v>
      </c>
      <c r="G1861" t="str">
        <f>_xlfn.XLOOKUP(tblSales[[#This Row],[Category ID]],tblCategories[Category ID],tblCategories[Category])</f>
        <v>Kids</v>
      </c>
      <c r="H1861">
        <v>37960</v>
      </c>
      <c r="I1861">
        <v>35073</v>
      </c>
      <c r="J1861">
        <v>104</v>
      </c>
      <c r="K1861">
        <f>tblSales[[#This Row],[Sales]]-tblSales[[#This Row],[Budget]]</f>
        <v>2887</v>
      </c>
      <c r="L1861" s="3">
        <f>(tblSales[[#This Row],[Sales]]-tblSales[[#This Row],[Budget]])/tblSales[[#This Row],[Budget]]</f>
        <v>8.2314030735893703E-2</v>
      </c>
      <c r="M1861" s="2">
        <f>tblSales[[#This Row],[Sales]]/tblSales[[#This Row],[Transactions]]</f>
        <v>365</v>
      </c>
    </row>
    <row r="1862" spans="1:13" x14ac:dyDescent="0.25">
      <c r="A1862" s="1">
        <v>46116</v>
      </c>
      <c r="B1862" t="s">
        <v>6</v>
      </c>
      <c r="C1862" t="s">
        <v>19</v>
      </c>
      <c r="D1862" t="str">
        <f>_xlfn.XLOOKUP(tblSales[[#This Row],[Store ID]],tblStores[Store ID],tblStores[Store Name])</f>
        <v>Durban CBD</v>
      </c>
      <c r="E1862" t="str">
        <f>_xlfn.XLOOKUP(tblSales[[#This Row],[Store ID]],tblStores[Store ID],tblStores[Province])</f>
        <v>KZN</v>
      </c>
      <c r="F1862" t="str">
        <f>_xlfn.XLOOKUP(tblSales[[#This Row],[Store ID]],tblStores[Store ID],tblStores[Manager])</f>
        <v>Sarah Adams</v>
      </c>
      <c r="G1862" t="str">
        <f>_xlfn.XLOOKUP(tblSales[[#This Row],[Category ID]],tblCategories[Category ID],tblCategories[Category])</f>
        <v>Accessories</v>
      </c>
      <c r="H1862">
        <v>31625</v>
      </c>
      <c r="I1862">
        <v>28564</v>
      </c>
      <c r="J1862">
        <v>125</v>
      </c>
      <c r="K1862">
        <f>tblSales[[#This Row],[Sales]]-tblSales[[#This Row],[Budget]]</f>
        <v>3061</v>
      </c>
      <c r="L1862" s="3">
        <f>(tblSales[[#This Row],[Sales]]-tblSales[[#This Row],[Budget]])/tblSales[[#This Row],[Budget]]</f>
        <v>0.10716286234420949</v>
      </c>
      <c r="M1862" s="2">
        <f>tblSales[[#This Row],[Sales]]/tblSales[[#This Row],[Transactions]]</f>
        <v>253</v>
      </c>
    </row>
    <row r="1863" spans="1:13" x14ac:dyDescent="0.25">
      <c r="A1863" s="1">
        <v>46116</v>
      </c>
      <c r="B1863" t="s">
        <v>8</v>
      </c>
      <c r="C1863" t="s">
        <v>19</v>
      </c>
      <c r="D1863" t="str">
        <f>_xlfn.XLOOKUP(tblSales[[#This Row],[Store ID]],tblStores[Store ID],tblStores[Store Name])</f>
        <v>Gateway</v>
      </c>
      <c r="E1863" t="str">
        <f>_xlfn.XLOOKUP(tblSales[[#This Row],[Store ID]],tblStores[Store ID],tblStores[Province])</f>
        <v>KZN</v>
      </c>
      <c r="F1863" t="str">
        <f>_xlfn.XLOOKUP(tblSales[[#This Row],[Store ID]],tblStores[Store ID],tblStores[Manager])</f>
        <v>Michael Jones</v>
      </c>
      <c r="G1863" t="str">
        <f>_xlfn.XLOOKUP(tblSales[[#This Row],[Category ID]],tblCategories[Category ID],tblCategories[Category])</f>
        <v>Accessories</v>
      </c>
      <c r="H1863">
        <v>39590</v>
      </c>
      <c r="I1863">
        <v>43339</v>
      </c>
      <c r="J1863">
        <v>107</v>
      </c>
      <c r="K1863">
        <f>tblSales[[#This Row],[Sales]]-tblSales[[#This Row],[Budget]]</f>
        <v>-3749</v>
      </c>
      <c r="L1863" s="3">
        <f>(tblSales[[#This Row],[Sales]]-tblSales[[#This Row],[Budget]])/tblSales[[#This Row],[Budget]]</f>
        <v>-8.6504072544359586E-2</v>
      </c>
      <c r="M1863" s="2">
        <f>tblSales[[#This Row],[Sales]]/tblSales[[#This Row],[Transactions]]</f>
        <v>370</v>
      </c>
    </row>
    <row r="1864" spans="1:13" x14ac:dyDescent="0.25">
      <c r="A1864" s="1">
        <v>46116</v>
      </c>
      <c r="B1864" t="s">
        <v>10</v>
      </c>
      <c r="C1864" t="s">
        <v>11</v>
      </c>
      <c r="D1864" t="str">
        <f>_xlfn.XLOOKUP(tblSales[[#This Row],[Store ID]],tblStores[Store ID],tblStores[Store Name])</f>
        <v>Ballito</v>
      </c>
      <c r="E1864" t="str">
        <f>_xlfn.XLOOKUP(tblSales[[#This Row],[Store ID]],tblStores[Store ID],tblStores[Province])</f>
        <v>KZN</v>
      </c>
      <c r="F1864" t="str">
        <f>_xlfn.XLOOKUP(tblSales[[#This Row],[Store ID]],tblStores[Store ID],tblStores[Manager])</f>
        <v>Linda Smith</v>
      </c>
      <c r="G1864" t="str">
        <f>_xlfn.XLOOKUP(tblSales[[#This Row],[Category ID]],tblCategories[Category ID],tblCategories[Category])</f>
        <v>Footwear</v>
      </c>
      <c r="H1864">
        <v>32086</v>
      </c>
      <c r="I1864">
        <v>29698</v>
      </c>
      <c r="J1864">
        <v>122</v>
      </c>
      <c r="K1864">
        <f>tblSales[[#This Row],[Sales]]-tblSales[[#This Row],[Budget]]</f>
        <v>2388</v>
      </c>
      <c r="L1864" s="3">
        <f>(tblSales[[#This Row],[Sales]]-tblSales[[#This Row],[Budget]])/tblSales[[#This Row],[Budget]]</f>
        <v>8.0409455182167147E-2</v>
      </c>
      <c r="M1864" s="2">
        <f>tblSales[[#This Row],[Sales]]/tblSales[[#This Row],[Transactions]]</f>
        <v>263</v>
      </c>
    </row>
    <row r="1865" spans="1:13" x14ac:dyDescent="0.25">
      <c r="A1865" s="1">
        <v>46116</v>
      </c>
      <c r="B1865" t="s">
        <v>12</v>
      </c>
      <c r="C1865" t="s">
        <v>9</v>
      </c>
      <c r="D1865" t="str">
        <f>_xlfn.XLOOKUP(tblSales[[#This Row],[Store ID]],tblStores[Store ID],tblStores[Store Name])</f>
        <v>Pietermaritzburg</v>
      </c>
      <c r="E1865" t="str">
        <f>_xlfn.XLOOKUP(tblSales[[#This Row],[Store ID]],tblStores[Store ID],tblStores[Province])</f>
        <v>KZN</v>
      </c>
      <c r="F1865" t="str">
        <f>_xlfn.XLOOKUP(tblSales[[#This Row],[Store ID]],tblStores[Store ID],tblStores[Manager])</f>
        <v>Peter Brown</v>
      </c>
      <c r="G1865" t="str">
        <f>_xlfn.XLOOKUP(tblSales[[#This Row],[Category ID]],tblCategories[Category ID],tblCategories[Category])</f>
        <v>Ladieswear</v>
      </c>
      <c r="H1865">
        <v>47759</v>
      </c>
      <c r="I1865">
        <v>52911</v>
      </c>
      <c r="J1865">
        <v>163</v>
      </c>
      <c r="K1865">
        <f>tblSales[[#This Row],[Sales]]-tblSales[[#This Row],[Budget]]</f>
        <v>-5152</v>
      </c>
      <c r="L1865" s="3">
        <f>(tblSales[[#This Row],[Sales]]-tblSales[[#This Row],[Budget]])/tblSales[[#This Row],[Budget]]</f>
        <v>-9.7371057058078664E-2</v>
      </c>
      <c r="M1865" s="2">
        <f>tblSales[[#This Row],[Sales]]/tblSales[[#This Row],[Transactions]]</f>
        <v>293</v>
      </c>
    </row>
    <row r="1866" spans="1:13" x14ac:dyDescent="0.25">
      <c r="A1866" s="1">
        <v>46116</v>
      </c>
      <c r="B1866" t="s">
        <v>13</v>
      </c>
      <c r="C1866" t="s">
        <v>19</v>
      </c>
      <c r="D1866" t="str">
        <f>_xlfn.XLOOKUP(tblSales[[#This Row],[Store ID]],tblStores[Store ID],tblStores[Store Name])</f>
        <v>Richards Bay</v>
      </c>
      <c r="E1866" t="str">
        <f>_xlfn.XLOOKUP(tblSales[[#This Row],[Store ID]],tblStores[Store ID],tblStores[Province])</f>
        <v>KZN</v>
      </c>
      <c r="F1866" t="str">
        <f>_xlfn.XLOOKUP(tblSales[[#This Row],[Store ID]],tblStores[Store ID],tblStores[Manager])</f>
        <v>David Green</v>
      </c>
      <c r="G1866" t="str">
        <f>_xlfn.XLOOKUP(tblSales[[#This Row],[Category ID]],tblCategories[Category ID],tblCategories[Category])</f>
        <v>Accessories</v>
      </c>
      <c r="H1866">
        <v>86208</v>
      </c>
      <c r="I1866">
        <v>95821</v>
      </c>
      <c r="J1866">
        <v>192</v>
      </c>
      <c r="K1866">
        <f>tblSales[[#This Row],[Sales]]-tblSales[[#This Row],[Budget]]</f>
        <v>-9613</v>
      </c>
      <c r="L1866" s="3">
        <f>(tblSales[[#This Row],[Sales]]-tblSales[[#This Row],[Budget]])/tblSales[[#This Row],[Budget]]</f>
        <v>-0.10032247628390437</v>
      </c>
      <c r="M1866" s="2">
        <f>tblSales[[#This Row],[Sales]]/tblSales[[#This Row],[Transactions]]</f>
        <v>449</v>
      </c>
    </row>
    <row r="1867" spans="1:13" x14ac:dyDescent="0.25">
      <c r="A1867" s="1">
        <v>46116</v>
      </c>
      <c r="B1867" t="s">
        <v>14</v>
      </c>
      <c r="C1867" t="s">
        <v>19</v>
      </c>
      <c r="D1867" t="str">
        <f>_xlfn.XLOOKUP(tblSales[[#This Row],[Store ID]],tblStores[Store ID],tblStores[Store Name])</f>
        <v>Sandton</v>
      </c>
      <c r="E1867" t="str">
        <f>_xlfn.XLOOKUP(tblSales[[#This Row],[Store ID]],tblStores[Store ID],tblStores[Province])</f>
        <v>Gauteng</v>
      </c>
      <c r="F1867" t="str">
        <f>_xlfn.XLOOKUP(tblSales[[#This Row],[Store ID]],tblStores[Store ID],tblStores[Manager])</f>
        <v>Karen White</v>
      </c>
      <c r="G1867" t="str">
        <f>_xlfn.XLOOKUP(tblSales[[#This Row],[Category ID]],tblCategories[Category ID],tblCategories[Category])</f>
        <v>Accessories</v>
      </c>
      <c r="H1867">
        <v>50932</v>
      </c>
      <c r="I1867">
        <v>51152</v>
      </c>
      <c r="J1867">
        <v>214</v>
      </c>
      <c r="K1867">
        <f>tblSales[[#This Row],[Sales]]-tblSales[[#This Row],[Budget]]</f>
        <v>-220</v>
      </c>
      <c r="L1867" s="3">
        <f>(tblSales[[#This Row],[Sales]]-tblSales[[#This Row],[Budget]])/tblSales[[#This Row],[Budget]]</f>
        <v>-4.3009071004066314E-3</v>
      </c>
      <c r="M1867" s="2">
        <f>tblSales[[#This Row],[Sales]]/tblSales[[#This Row],[Transactions]]</f>
        <v>238</v>
      </c>
    </row>
    <row r="1868" spans="1:13" x14ac:dyDescent="0.25">
      <c r="A1868" s="1">
        <v>46116</v>
      </c>
      <c r="B1868" t="s">
        <v>15</v>
      </c>
      <c r="C1868" t="s">
        <v>7</v>
      </c>
      <c r="D1868" t="str">
        <f>_xlfn.XLOOKUP(tblSales[[#This Row],[Store ID]],tblStores[Store ID],tblStores[Store Name])</f>
        <v>Rosebank</v>
      </c>
      <c r="E1868" t="str">
        <f>_xlfn.XLOOKUP(tblSales[[#This Row],[Store ID]],tblStores[Store ID],tblStores[Province])</f>
        <v>Gauteng</v>
      </c>
      <c r="F1868" t="str">
        <f>_xlfn.XLOOKUP(tblSales[[#This Row],[Store ID]],tblStores[Store ID],tblStores[Manager])</f>
        <v>James Taylor</v>
      </c>
      <c r="G1868" t="str">
        <f>_xlfn.XLOOKUP(tblSales[[#This Row],[Category ID]],tblCategories[Category ID],tblCategories[Category])</f>
        <v>Menswear</v>
      </c>
      <c r="H1868">
        <v>15808</v>
      </c>
      <c r="I1868">
        <v>17876</v>
      </c>
      <c r="J1868">
        <v>64</v>
      </c>
      <c r="K1868">
        <f>tblSales[[#This Row],[Sales]]-tblSales[[#This Row],[Budget]]</f>
        <v>-2068</v>
      </c>
      <c r="L1868" s="3">
        <f>(tblSales[[#This Row],[Sales]]-tblSales[[#This Row],[Budget]])/tblSales[[#This Row],[Budget]]</f>
        <v>-0.11568583575744014</v>
      </c>
      <c r="M1868" s="2">
        <f>tblSales[[#This Row],[Sales]]/tblSales[[#This Row],[Transactions]]</f>
        <v>247</v>
      </c>
    </row>
    <row r="1869" spans="1:13" x14ac:dyDescent="0.25">
      <c r="A1869" s="1">
        <v>46116</v>
      </c>
      <c r="B1869" t="s">
        <v>16</v>
      </c>
      <c r="C1869" t="s">
        <v>11</v>
      </c>
      <c r="D1869" t="str">
        <f>_xlfn.XLOOKUP(tblSales[[#This Row],[Store ID]],tblStores[Store ID],tblStores[Store Name])</f>
        <v>Pretoria</v>
      </c>
      <c r="E1869" t="str">
        <f>_xlfn.XLOOKUP(tblSales[[#This Row],[Store ID]],tblStores[Store ID],tblStores[Province])</f>
        <v>Gauteng</v>
      </c>
      <c r="F1869" t="str">
        <f>_xlfn.XLOOKUP(tblSales[[#This Row],[Store ID]],tblStores[Store ID],tblStores[Manager])</f>
        <v>Susan Clark</v>
      </c>
      <c r="G1869" t="str">
        <f>_xlfn.XLOOKUP(tblSales[[#This Row],[Category ID]],tblCategories[Category ID],tblCategories[Category])</f>
        <v>Footwear</v>
      </c>
      <c r="H1869">
        <v>42036</v>
      </c>
      <c r="I1869">
        <v>45094</v>
      </c>
      <c r="J1869">
        <v>124</v>
      </c>
      <c r="K1869">
        <f>tblSales[[#This Row],[Sales]]-tblSales[[#This Row],[Budget]]</f>
        <v>-3058</v>
      </c>
      <c r="L1869" s="3">
        <f>(tblSales[[#This Row],[Sales]]-tblSales[[#This Row],[Budget]])/tblSales[[#This Row],[Budget]]</f>
        <v>-6.7813899853639059E-2</v>
      </c>
      <c r="M1869" s="2">
        <f>tblSales[[#This Row],[Sales]]/tblSales[[#This Row],[Transactions]]</f>
        <v>339</v>
      </c>
    </row>
    <row r="1870" spans="1:13" x14ac:dyDescent="0.25">
      <c r="A1870" s="1">
        <v>46116</v>
      </c>
      <c r="B1870" t="s">
        <v>17</v>
      </c>
      <c r="C1870" t="s">
        <v>9</v>
      </c>
      <c r="D1870" t="str">
        <f>_xlfn.XLOOKUP(tblSales[[#This Row],[Store ID]],tblStores[Store ID],tblStores[Store Name])</f>
        <v>Centurion</v>
      </c>
      <c r="E1870" t="str">
        <f>_xlfn.XLOOKUP(tblSales[[#This Row],[Store ID]],tblStores[Store ID],tblStores[Province])</f>
        <v>Gauteng</v>
      </c>
      <c r="F1870" t="str">
        <f>_xlfn.XLOOKUP(tblSales[[#This Row],[Store ID]],tblStores[Store ID],tblStores[Manager])</f>
        <v>Mark Wilson</v>
      </c>
      <c r="G1870" t="str">
        <f>_xlfn.XLOOKUP(tblSales[[#This Row],[Category ID]],tblCategories[Category ID],tblCategories[Category])</f>
        <v>Ladieswear</v>
      </c>
      <c r="H1870">
        <v>71780</v>
      </c>
      <c r="I1870">
        <v>73989</v>
      </c>
      <c r="J1870">
        <v>148</v>
      </c>
      <c r="K1870">
        <f>tblSales[[#This Row],[Sales]]-tblSales[[#This Row],[Budget]]</f>
        <v>-2209</v>
      </c>
      <c r="L1870" s="3">
        <f>(tblSales[[#This Row],[Sales]]-tblSales[[#This Row],[Budget]])/tblSales[[#This Row],[Budget]]</f>
        <v>-2.9855789374096151E-2</v>
      </c>
      <c r="M1870" s="2">
        <f>tblSales[[#This Row],[Sales]]/tblSales[[#This Row],[Transactions]]</f>
        <v>485</v>
      </c>
    </row>
    <row r="1871" spans="1:13" x14ac:dyDescent="0.25">
      <c r="A1871" s="1">
        <v>46116</v>
      </c>
      <c r="B1871" t="s">
        <v>18</v>
      </c>
      <c r="C1871" t="s">
        <v>22</v>
      </c>
      <c r="D1871" t="str">
        <f>_xlfn.XLOOKUP(tblSales[[#This Row],[Store ID]],tblStores[Store ID],tblStores[Store Name])</f>
        <v>East Rand</v>
      </c>
      <c r="E1871" t="str">
        <f>_xlfn.XLOOKUP(tblSales[[#This Row],[Store ID]],tblStores[Store ID],tblStores[Province])</f>
        <v>Gauteng</v>
      </c>
      <c r="F1871" t="str">
        <f>_xlfn.XLOOKUP(tblSales[[#This Row],[Store ID]],tblStores[Store ID],tblStores[Manager])</f>
        <v>Lisa Young</v>
      </c>
      <c r="G1871" t="str">
        <f>_xlfn.XLOOKUP(tblSales[[#This Row],[Category ID]],tblCategories[Category ID],tblCategories[Category])</f>
        <v>Kids</v>
      </c>
      <c r="H1871">
        <v>26465</v>
      </c>
      <c r="I1871">
        <v>24008</v>
      </c>
      <c r="J1871">
        <v>79</v>
      </c>
      <c r="K1871">
        <f>tblSales[[#This Row],[Sales]]-tblSales[[#This Row],[Budget]]</f>
        <v>2457</v>
      </c>
      <c r="L1871" s="3">
        <f>(tblSales[[#This Row],[Sales]]-tblSales[[#This Row],[Budget]])/tblSales[[#This Row],[Budget]]</f>
        <v>0.1023408863712096</v>
      </c>
      <c r="M1871" s="2">
        <f>tblSales[[#This Row],[Sales]]/tblSales[[#This Row],[Transactions]]</f>
        <v>335</v>
      </c>
    </row>
    <row r="1872" spans="1:13" x14ac:dyDescent="0.25">
      <c r="A1872" s="1">
        <v>46116</v>
      </c>
      <c r="B1872" t="s">
        <v>20</v>
      </c>
      <c r="C1872" t="s">
        <v>7</v>
      </c>
      <c r="D1872" t="str">
        <f>_xlfn.XLOOKUP(tblSales[[#This Row],[Store ID]],tblStores[Store ID],tblStores[Store Name])</f>
        <v>Cape Town CBD</v>
      </c>
      <c r="E1872" t="str">
        <f>_xlfn.XLOOKUP(tblSales[[#This Row],[Store ID]],tblStores[Store ID],tblStores[Province])</f>
        <v>Western Cape</v>
      </c>
      <c r="F1872" t="str">
        <f>_xlfn.XLOOKUP(tblSales[[#This Row],[Store ID]],tblStores[Store ID],tblStores[Manager])</f>
        <v>Brian Hall</v>
      </c>
      <c r="G1872" t="str">
        <f>_xlfn.XLOOKUP(tblSales[[#This Row],[Category ID]],tblCategories[Category ID],tblCategories[Category])</f>
        <v>Menswear</v>
      </c>
      <c r="H1872">
        <v>22295</v>
      </c>
      <c r="I1872">
        <v>24841</v>
      </c>
      <c r="J1872">
        <v>91</v>
      </c>
      <c r="K1872">
        <f>tblSales[[#This Row],[Sales]]-tblSales[[#This Row],[Budget]]</f>
        <v>-2546</v>
      </c>
      <c r="L1872" s="3">
        <f>(tblSales[[#This Row],[Sales]]-tblSales[[#This Row],[Budget]])/tblSales[[#This Row],[Budget]]</f>
        <v>-0.1024918481542611</v>
      </c>
      <c r="M1872" s="2">
        <f>tblSales[[#This Row],[Sales]]/tblSales[[#This Row],[Transactions]]</f>
        <v>245</v>
      </c>
    </row>
    <row r="1873" spans="1:13" x14ac:dyDescent="0.25">
      <c r="A1873" s="1">
        <v>46116</v>
      </c>
      <c r="B1873" t="s">
        <v>21</v>
      </c>
      <c r="C1873" t="s">
        <v>9</v>
      </c>
      <c r="D1873" t="str">
        <f>_xlfn.XLOOKUP(tblSales[[#This Row],[Store ID]],tblStores[Store ID],tblStores[Store Name])</f>
        <v>Canal Walk</v>
      </c>
      <c r="E1873" t="str">
        <f>_xlfn.XLOOKUP(tblSales[[#This Row],[Store ID]],tblStores[Store ID],tblStores[Province])</f>
        <v>Western Cape</v>
      </c>
      <c r="F1873" t="str">
        <f>_xlfn.XLOOKUP(tblSales[[#This Row],[Store ID]],tblStores[Store ID],tblStores[Manager])</f>
        <v>Megan Scott</v>
      </c>
      <c r="G1873" t="str">
        <f>_xlfn.XLOOKUP(tblSales[[#This Row],[Category ID]],tblCategories[Category ID],tblCategories[Category])</f>
        <v>Ladieswear</v>
      </c>
      <c r="H1873">
        <v>62456</v>
      </c>
      <c r="I1873">
        <v>61010</v>
      </c>
      <c r="J1873">
        <v>211</v>
      </c>
      <c r="K1873">
        <f>tblSales[[#This Row],[Sales]]-tblSales[[#This Row],[Budget]]</f>
        <v>1446</v>
      </c>
      <c r="L1873" s="3">
        <f>(tblSales[[#This Row],[Sales]]-tblSales[[#This Row],[Budget]])/tblSales[[#This Row],[Budget]]</f>
        <v>2.370103261760367E-2</v>
      </c>
      <c r="M1873" s="2">
        <f>tblSales[[#This Row],[Sales]]/tblSales[[#This Row],[Transactions]]</f>
        <v>296</v>
      </c>
    </row>
    <row r="1874" spans="1:13" x14ac:dyDescent="0.25">
      <c r="A1874" s="1">
        <v>46116</v>
      </c>
      <c r="B1874" t="s">
        <v>23</v>
      </c>
      <c r="C1874" t="s">
        <v>9</v>
      </c>
      <c r="D1874" t="str">
        <f>_xlfn.XLOOKUP(tblSales[[#This Row],[Store ID]],tblStores[Store ID],tblStores[Store Name])</f>
        <v>Stellenbosch</v>
      </c>
      <c r="E1874" t="str">
        <f>_xlfn.XLOOKUP(tblSales[[#This Row],[Store ID]],tblStores[Store ID],tblStores[Province])</f>
        <v>Western Cape</v>
      </c>
      <c r="F1874" t="str">
        <f>_xlfn.XLOOKUP(tblSales[[#This Row],[Store ID]],tblStores[Store ID],tblStores[Manager])</f>
        <v>Jason King</v>
      </c>
      <c r="G1874" t="str">
        <f>_xlfn.XLOOKUP(tblSales[[#This Row],[Category ID]],tblCategories[Category ID],tblCategories[Category])</f>
        <v>Ladieswear</v>
      </c>
      <c r="H1874">
        <v>14960</v>
      </c>
      <c r="I1874">
        <v>15052</v>
      </c>
      <c r="J1874">
        <v>68</v>
      </c>
      <c r="K1874">
        <f>tblSales[[#This Row],[Sales]]-tblSales[[#This Row],[Budget]]</f>
        <v>-92</v>
      </c>
      <c r="L1874" s="3">
        <f>(tblSales[[#This Row],[Sales]]-tblSales[[#This Row],[Budget]])/tblSales[[#This Row],[Budget]]</f>
        <v>-6.112144565506245E-3</v>
      </c>
      <c r="M1874" s="2">
        <f>tblSales[[#This Row],[Sales]]/tblSales[[#This Row],[Transactions]]</f>
        <v>220</v>
      </c>
    </row>
    <row r="1875" spans="1:13" x14ac:dyDescent="0.25">
      <c r="A1875" s="1">
        <v>46116</v>
      </c>
      <c r="B1875" t="s">
        <v>24</v>
      </c>
      <c r="C1875" t="s">
        <v>7</v>
      </c>
      <c r="D1875" t="str">
        <f>_xlfn.XLOOKUP(tblSales[[#This Row],[Store ID]],tblStores[Store ID],tblStores[Store Name])</f>
        <v>George</v>
      </c>
      <c r="E1875" t="str">
        <f>_xlfn.XLOOKUP(tblSales[[#This Row],[Store ID]],tblStores[Store ID],tblStores[Province])</f>
        <v>Western Cape</v>
      </c>
      <c r="F1875" t="str">
        <f>_xlfn.XLOOKUP(tblSales[[#This Row],[Store ID]],tblStores[Store ID],tblStores[Manager])</f>
        <v>Chloe Hill</v>
      </c>
      <c r="G1875" t="str">
        <f>_xlfn.XLOOKUP(tblSales[[#This Row],[Category ID]],tblCategories[Category ID],tblCategories[Category])</f>
        <v>Menswear</v>
      </c>
      <c r="H1875">
        <v>10206</v>
      </c>
      <c r="I1875">
        <v>11162</v>
      </c>
      <c r="J1875">
        <v>54</v>
      </c>
      <c r="K1875">
        <f>tblSales[[#This Row],[Sales]]-tblSales[[#This Row],[Budget]]</f>
        <v>-956</v>
      </c>
      <c r="L1875" s="3">
        <f>(tblSales[[#This Row],[Sales]]-tblSales[[#This Row],[Budget]])/tblSales[[#This Row],[Budget]]</f>
        <v>-8.5647733381114491E-2</v>
      </c>
      <c r="M1875" s="2">
        <f>tblSales[[#This Row],[Sales]]/tblSales[[#This Row],[Transactions]]</f>
        <v>189</v>
      </c>
    </row>
    <row r="1876" spans="1:13" x14ac:dyDescent="0.25">
      <c r="A1876" s="1">
        <v>46116</v>
      </c>
      <c r="B1876" t="s">
        <v>25</v>
      </c>
      <c r="C1876" t="s">
        <v>11</v>
      </c>
      <c r="D1876" t="str">
        <f>_xlfn.XLOOKUP(tblSales[[#This Row],[Store ID]],tblStores[Store ID],tblStores[Store Name])</f>
        <v>Paarl</v>
      </c>
      <c r="E1876" t="str">
        <f>_xlfn.XLOOKUP(tblSales[[#This Row],[Store ID]],tblStores[Store ID],tblStores[Province])</f>
        <v>Western Cape</v>
      </c>
      <c r="F1876" t="str">
        <f>_xlfn.XLOOKUP(tblSales[[#This Row],[Store ID]],tblStores[Store ID],tblStores[Manager])</f>
        <v>Andrew Lee</v>
      </c>
      <c r="G1876" t="str">
        <f>_xlfn.XLOOKUP(tblSales[[#This Row],[Category ID]],tblCategories[Category ID],tblCategories[Category])</f>
        <v>Footwear</v>
      </c>
      <c r="H1876">
        <v>12600</v>
      </c>
      <c r="I1876">
        <v>11679</v>
      </c>
      <c r="J1876">
        <v>45</v>
      </c>
      <c r="K1876">
        <f>tblSales[[#This Row],[Sales]]-tblSales[[#This Row],[Budget]]</f>
        <v>921</v>
      </c>
      <c r="L1876" s="3">
        <f>(tblSales[[#This Row],[Sales]]-tblSales[[#This Row],[Budget]])/tblSales[[#This Row],[Budget]]</f>
        <v>7.8859491394811201E-2</v>
      </c>
      <c r="M1876" s="2">
        <f>tblSales[[#This Row],[Sales]]/tblSales[[#This Row],[Transactions]]</f>
        <v>280</v>
      </c>
    </row>
    <row r="1877" spans="1:13" x14ac:dyDescent="0.25">
      <c r="A1877" s="1">
        <v>46116</v>
      </c>
      <c r="B1877" t="s">
        <v>26</v>
      </c>
      <c r="C1877" t="s">
        <v>19</v>
      </c>
      <c r="D1877" t="str">
        <f>_xlfn.XLOOKUP(tblSales[[#This Row],[Store ID]],tblStores[Store ID],tblStores[Store Name])</f>
        <v>Gqeberha</v>
      </c>
      <c r="E1877" t="str">
        <f>_xlfn.XLOOKUP(tblSales[[#This Row],[Store ID]],tblStores[Store ID],tblStores[Province])</f>
        <v>Eastern Cape</v>
      </c>
      <c r="F1877" t="str">
        <f>_xlfn.XLOOKUP(tblSales[[#This Row],[Store ID]],tblStores[Store ID],tblStores[Manager])</f>
        <v>Emma Baker</v>
      </c>
      <c r="G1877" t="str">
        <f>_xlfn.XLOOKUP(tblSales[[#This Row],[Category ID]],tblCategories[Category ID],tblCategories[Category])</f>
        <v>Accessories</v>
      </c>
      <c r="H1877">
        <v>39060</v>
      </c>
      <c r="I1877">
        <v>39734</v>
      </c>
      <c r="J1877">
        <v>186</v>
      </c>
      <c r="K1877">
        <f>tblSales[[#This Row],[Sales]]-tblSales[[#This Row],[Budget]]</f>
        <v>-674</v>
      </c>
      <c r="L1877" s="3">
        <f>(tblSales[[#This Row],[Sales]]-tblSales[[#This Row],[Budget]])/tblSales[[#This Row],[Budget]]</f>
        <v>-1.6962802637539638E-2</v>
      </c>
      <c r="M1877" s="2">
        <f>tblSales[[#This Row],[Sales]]/tblSales[[#This Row],[Transactions]]</f>
        <v>210</v>
      </c>
    </row>
    <row r="1878" spans="1:13" x14ac:dyDescent="0.25">
      <c r="A1878" s="1">
        <v>46116</v>
      </c>
      <c r="B1878" t="s">
        <v>27</v>
      </c>
      <c r="C1878" t="s">
        <v>22</v>
      </c>
      <c r="D1878" t="str">
        <f>_xlfn.XLOOKUP(tblSales[[#This Row],[Store ID]],tblStores[Store ID],tblStores[Store Name])</f>
        <v>East London</v>
      </c>
      <c r="E1878" t="str">
        <f>_xlfn.XLOOKUP(tblSales[[#This Row],[Store ID]],tblStores[Store ID],tblStores[Province])</f>
        <v>Eastern Cape</v>
      </c>
      <c r="F1878" t="str">
        <f>_xlfn.XLOOKUP(tblSales[[#This Row],[Store ID]],tblStores[Store ID],tblStores[Manager])</f>
        <v>Daniel Evans</v>
      </c>
      <c r="G1878" t="str">
        <f>_xlfn.XLOOKUP(tblSales[[#This Row],[Category ID]],tblCategories[Category ID],tblCategories[Category])</f>
        <v>Kids</v>
      </c>
      <c r="H1878">
        <v>9798</v>
      </c>
      <c r="I1878">
        <v>9557</v>
      </c>
      <c r="J1878">
        <v>46</v>
      </c>
      <c r="K1878">
        <f>tblSales[[#This Row],[Sales]]-tblSales[[#This Row],[Budget]]</f>
        <v>241</v>
      </c>
      <c r="L1878" s="3">
        <f>(tblSales[[#This Row],[Sales]]-tblSales[[#This Row],[Budget]])/tblSales[[#This Row],[Budget]]</f>
        <v>2.5217118342576124E-2</v>
      </c>
      <c r="M1878" s="2">
        <f>tblSales[[#This Row],[Sales]]/tblSales[[#This Row],[Transactions]]</f>
        <v>213</v>
      </c>
    </row>
    <row r="1879" spans="1:13" x14ac:dyDescent="0.25">
      <c r="A1879" s="1">
        <v>46116</v>
      </c>
      <c r="B1879" t="s">
        <v>28</v>
      </c>
      <c r="C1879" t="s">
        <v>7</v>
      </c>
      <c r="D1879" t="str">
        <f>_xlfn.XLOOKUP(tblSales[[#This Row],[Store ID]],tblStores[Store ID],tblStores[Store Name])</f>
        <v>Bloemfontein</v>
      </c>
      <c r="E1879" t="str">
        <f>_xlfn.XLOOKUP(tblSales[[#This Row],[Store ID]],tblStores[Store ID],tblStores[Province])</f>
        <v>Free State</v>
      </c>
      <c r="F1879" t="str">
        <f>_xlfn.XLOOKUP(tblSales[[#This Row],[Store ID]],tblStores[Store ID],tblStores[Manager])</f>
        <v>Rachel Moore</v>
      </c>
      <c r="G1879" t="str">
        <f>_xlfn.XLOOKUP(tblSales[[#This Row],[Category ID]],tblCategories[Category ID],tblCategories[Category])</f>
        <v>Menswear</v>
      </c>
      <c r="H1879">
        <v>14337</v>
      </c>
      <c r="I1879">
        <v>16201</v>
      </c>
      <c r="J1879">
        <v>59</v>
      </c>
      <c r="K1879">
        <f>tblSales[[#This Row],[Sales]]-tblSales[[#This Row],[Budget]]</f>
        <v>-1864</v>
      </c>
      <c r="L1879" s="3">
        <f>(tblSales[[#This Row],[Sales]]-tblSales[[#This Row],[Budget]])/tblSales[[#This Row],[Budget]]</f>
        <v>-0.11505462625763842</v>
      </c>
      <c r="M1879" s="2">
        <f>tblSales[[#This Row],[Sales]]/tblSales[[#This Row],[Transactions]]</f>
        <v>243</v>
      </c>
    </row>
    <row r="1880" spans="1:13" x14ac:dyDescent="0.25">
      <c r="A1880" s="1">
        <v>46116</v>
      </c>
      <c r="B1880" t="s">
        <v>29</v>
      </c>
      <c r="C1880" t="s">
        <v>9</v>
      </c>
      <c r="D1880" t="str">
        <f>_xlfn.XLOOKUP(tblSales[[#This Row],[Store ID]],tblStores[Store ID],tblStores[Store Name])</f>
        <v>Polokwane</v>
      </c>
      <c r="E1880" t="str">
        <f>_xlfn.XLOOKUP(tblSales[[#This Row],[Store ID]],tblStores[Store ID],tblStores[Province])</f>
        <v>Limpopo</v>
      </c>
      <c r="F1880" t="str">
        <f>_xlfn.XLOOKUP(tblSales[[#This Row],[Store ID]],tblStores[Store ID],tblStores[Manager])</f>
        <v>Kevin Harris</v>
      </c>
      <c r="G1880" t="str">
        <f>_xlfn.XLOOKUP(tblSales[[#This Row],[Category ID]],tblCategories[Category ID],tblCategories[Category])</f>
        <v>Ladieswear</v>
      </c>
      <c r="H1880">
        <v>52170</v>
      </c>
      <c r="I1880">
        <v>49363</v>
      </c>
      <c r="J1880">
        <v>185</v>
      </c>
      <c r="K1880">
        <f>tblSales[[#This Row],[Sales]]-tblSales[[#This Row],[Budget]]</f>
        <v>2807</v>
      </c>
      <c r="L1880" s="3">
        <f>(tblSales[[#This Row],[Sales]]-tblSales[[#This Row],[Budget]])/tblSales[[#This Row],[Budget]]</f>
        <v>5.6864453132913315E-2</v>
      </c>
      <c r="M1880" s="2">
        <f>tblSales[[#This Row],[Sales]]/tblSales[[#This Row],[Transactions]]</f>
        <v>282</v>
      </c>
    </row>
    <row r="1881" spans="1:13" x14ac:dyDescent="0.25">
      <c r="A1881" s="1">
        <v>46116</v>
      </c>
      <c r="B1881" t="s">
        <v>30</v>
      </c>
      <c r="C1881" t="s">
        <v>22</v>
      </c>
      <c r="D1881" t="str">
        <f>_xlfn.XLOOKUP(tblSales[[#This Row],[Store ID]],tblStores[Store ID],tblStores[Store Name])</f>
        <v>Nelspruit</v>
      </c>
      <c r="E1881" t="str">
        <f>_xlfn.XLOOKUP(tblSales[[#This Row],[Store ID]],tblStores[Store ID],tblStores[Province])</f>
        <v>Mpumalanga</v>
      </c>
      <c r="F1881" t="str">
        <f>_xlfn.XLOOKUP(tblSales[[#This Row],[Store ID]],tblStores[Store ID],tblStores[Manager])</f>
        <v>Olivia Turner</v>
      </c>
      <c r="G1881" t="str">
        <f>_xlfn.XLOOKUP(tblSales[[#This Row],[Category ID]],tblCategories[Category ID],tblCategories[Category])</f>
        <v>Kids</v>
      </c>
      <c r="H1881">
        <v>9492</v>
      </c>
      <c r="I1881">
        <v>8888</v>
      </c>
      <c r="J1881">
        <v>42</v>
      </c>
      <c r="K1881">
        <f>tblSales[[#This Row],[Sales]]-tblSales[[#This Row],[Budget]]</f>
        <v>604</v>
      </c>
      <c r="L1881" s="3">
        <f>(tblSales[[#This Row],[Sales]]-tblSales[[#This Row],[Budget]])/tblSales[[#This Row],[Budget]]</f>
        <v>6.7956795679567958E-2</v>
      </c>
      <c r="M1881" s="2">
        <f>tblSales[[#This Row],[Sales]]/tblSales[[#This Row],[Transactions]]</f>
        <v>226</v>
      </c>
    </row>
    <row r="1882" spans="1:13" x14ac:dyDescent="0.25">
      <c r="A1882" s="1">
        <v>46117</v>
      </c>
      <c r="B1882" t="s">
        <v>6</v>
      </c>
      <c r="C1882" t="s">
        <v>22</v>
      </c>
      <c r="D1882" t="str">
        <f>_xlfn.XLOOKUP(tblSales[[#This Row],[Store ID]],tblStores[Store ID],tblStores[Store Name])</f>
        <v>Durban CBD</v>
      </c>
      <c r="E1882" t="str">
        <f>_xlfn.XLOOKUP(tblSales[[#This Row],[Store ID]],tblStores[Store ID],tblStores[Province])</f>
        <v>KZN</v>
      </c>
      <c r="F1882" t="str">
        <f>_xlfn.XLOOKUP(tblSales[[#This Row],[Store ID]],tblStores[Store ID],tblStores[Manager])</f>
        <v>Sarah Adams</v>
      </c>
      <c r="G1882" t="str">
        <f>_xlfn.XLOOKUP(tblSales[[#This Row],[Category ID]],tblCategories[Category ID],tblCategories[Category])</f>
        <v>Kids</v>
      </c>
      <c r="H1882">
        <v>65514</v>
      </c>
      <c r="I1882">
        <v>64731</v>
      </c>
      <c r="J1882">
        <v>183</v>
      </c>
      <c r="K1882">
        <f>tblSales[[#This Row],[Sales]]-tblSales[[#This Row],[Budget]]</f>
        <v>783</v>
      </c>
      <c r="L1882" s="3">
        <f>(tblSales[[#This Row],[Sales]]-tblSales[[#This Row],[Budget]])/tblSales[[#This Row],[Budget]]</f>
        <v>1.209621356073597E-2</v>
      </c>
      <c r="M1882" s="2">
        <f>tblSales[[#This Row],[Sales]]/tblSales[[#This Row],[Transactions]]</f>
        <v>358</v>
      </c>
    </row>
    <row r="1883" spans="1:13" x14ac:dyDescent="0.25">
      <c r="A1883" s="1">
        <v>46117</v>
      </c>
      <c r="B1883" t="s">
        <v>8</v>
      </c>
      <c r="C1883" t="s">
        <v>19</v>
      </c>
      <c r="D1883" t="str">
        <f>_xlfn.XLOOKUP(tblSales[[#This Row],[Store ID]],tblStores[Store ID],tblStores[Store Name])</f>
        <v>Gateway</v>
      </c>
      <c r="E1883" t="str">
        <f>_xlfn.XLOOKUP(tblSales[[#This Row],[Store ID]],tblStores[Store ID],tblStores[Province])</f>
        <v>KZN</v>
      </c>
      <c r="F1883" t="str">
        <f>_xlfn.XLOOKUP(tblSales[[#This Row],[Store ID]],tblStores[Store ID],tblStores[Manager])</f>
        <v>Michael Jones</v>
      </c>
      <c r="G1883" t="str">
        <f>_xlfn.XLOOKUP(tblSales[[#This Row],[Category ID]],tblCategories[Category ID],tblCategories[Category])</f>
        <v>Accessories</v>
      </c>
      <c r="H1883">
        <v>57873</v>
      </c>
      <c r="I1883">
        <v>59390</v>
      </c>
      <c r="J1883">
        <v>191</v>
      </c>
      <c r="K1883">
        <f>tblSales[[#This Row],[Sales]]-tblSales[[#This Row],[Budget]]</f>
        <v>-1517</v>
      </c>
      <c r="L1883" s="3">
        <f>(tblSales[[#This Row],[Sales]]-tblSales[[#This Row],[Budget]])/tblSales[[#This Row],[Budget]]</f>
        <v>-2.5543020710557331E-2</v>
      </c>
      <c r="M1883" s="2">
        <f>tblSales[[#This Row],[Sales]]/tblSales[[#This Row],[Transactions]]</f>
        <v>303</v>
      </c>
    </row>
    <row r="1884" spans="1:13" x14ac:dyDescent="0.25">
      <c r="A1884" s="1">
        <v>46117</v>
      </c>
      <c r="B1884" t="s">
        <v>10</v>
      </c>
      <c r="C1884" t="s">
        <v>7</v>
      </c>
      <c r="D1884" t="str">
        <f>_xlfn.XLOOKUP(tblSales[[#This Row],[Store ID]],tblStores[Store ID],tblStores[Store Name])</f>
        <v>Ballito</v>
      </c>
      <c r="E1884" t="str">
        <f>_xlfn.XLOOKUP(tblSales[[#This Row],[Store ID]],tblStores[Store ID],tblStores[Province])</f>
        <v>KZN</v>
      </c>
      <c r="F1884" t="str">
        <f>_xlfn.XLOOKUP(tblSales[[#This Row],[Store ID]],tblStores[Store ID],tblStores[Manager])</f>
        <v>Linda Smith</v>
      </c>
      <c r="G1884" t="str">
        <f>_xlfn.XLOOKUP(tblSales[[#This Row],[Category ID]],tblCategories[Category ID],tblCategories[Category])</f>
        <v>Menswear</v>
      </c>
      <c r="H1884">
        <v>28560</v>
      </c>
      <c r="I1884">
        <v>31153</v>
      </c>
      <c r="J1884">
        <v>60</v>
      </c>
      <c r="K1884">
        <f>tblSales[[#This Row],[Sales]]-tblSales[[#This Row],[Budget]]</f>
        <v>-2593</v>
      </c>
      <c r="L1884" s="3">
        <f>(tblSales[[#This Row],[Sales]]-tblSales[[#This Row],[Budget]])/tblSales[[#This Row],[Budget]]</f>
        <v>-8.3234359451738196E-2</v>
      </c>
      <c r="M1884" s="2">
        <f>tblSales[[#This Row],[Sales]]/tblSales[[#This Row],[Transactions]]</f>
        <v>476</v>
      </c>
    </row>
    <row r="1885" spans="1:13" x14ac:dyDescent="0.25">
      <c r="A1885" s="1">
        <v>46117</v>
      </c>
      <c r="B1885" t="s">
        <v>12</v>
      </c>
      <c r="C1885" t="s">
        <v>19</v>
      </c>
      <c r="D1885" t="str">
        <f>_xlfn.XLOOKUP(tblSales[[#This Row],[Store ID]],tblStores[Store ID],tblStores[Store Name])</f>
        <v>Pietermaritzburg</v>
      </c>
      <c r="E1885" t="str">
        <f>_xlfn.XLOOKUP(tblSales[[#This Row],[Store ID]],tblStores[Store ID],tblStores[Province])</f>
        <v>KZN</v>
      </c>
      <c r="F1885" t="str">
        <f>_xlfn.XLOOKUP(tblSales[[#This Row],[Store ID]],tblStores[Store ID],tblStores[Manager])</f>
        <v>Peter Brown</v>
      </c>
      <c r="G1885" t="str">
        <f>_xlfn.XLOOKUP(tblSales[[#This Row],[Category ID]],tblCategories[Category ID],tblCategories[Category])</f>
        <v>Accessories</v>
      </c>
      <c r="H1885">
        <v>25020</v>
      </c>
      <c r="I1885">
        <v>28549</v>
      </c>
      <c r="J1885">
        <v>90</v>
      </c>
      <c r="K1885">
        <f>tblSales[[#This Row],[Sales]]-tblSales[[#This Row],[Budget]]</f>
        <v>-3529</v>
      </c>
      <c r="L1885" s="3">
        <f>(tblSales[[#This Row],[Sales]]-tblSales[[#This Row],[Budget]])/tblSales[[#This Row],[Budget]]</f>
        <v>-0.12361203544782655</v>
      </c>
      <c r="M1885" s="2">
        <f>tblSales[[#This Row],[Sales]]/tblSales[[#This Row],[Transactions]]</f>
        <v>278</v>
      </c>
    </row>
    <row r="1886" spans="1:13" x14ac:dyDescent="0.25">
      <c r="A1886" s="1">
        <v>46117</v>
      </c>
      <c r="B1886" t="s">
        <v>13</v>
      </c>
      <c r="C1886" t="s">
        <v>9</v>
      </c>
      <c r="D1886" t="str">
        <f>_xlfn.XLOOKUP(tblSales[[#This Row],[Store ID]],tblStores[Store ID],tblStores[Store Name])</f>
        <v>Richards Bay</v>
      </c>
      <c r="E1886" t="str">
        <f>_xlfn.XLOOKUP(tblSales[[#This Row],[Store ID]],tblStores[Store ID],tblStores[Province])</f>
        <v>KZN</v>
      </c>
      <c r="F1886" t="str">
        <f>_xlfn.XLOOKUP(tblSales[[#This Row],[Store ID]],tblStores[Store ID],tblStores[Manager])</f>
        <v>David Green</v>
      </c>
      <c r="G1886" t="str">
        <f>_xlfn.XLOOKUP(tblSales[[#This Row],[Category ID]],tblCategories[Category ID],tblCategories[Category])</f>
        <v>Ladieswear</v>
      </c>
      <c r="H1886">
        <v>31304</v>
      </c>
      <c r="I1886">
        <v>35792</v>
      </c>
      <c r="J1886">
        <v>172</v>
      </c>
      <c r="K1886">
        <f>tblSales[[#This Row],[Sales]]-tblSales[[#This Row],[Budget]]</f>
        <v>-4488</v>
      </c>
      <c r="L1886" s="3">
        <f>(tblSales[[#This Row],[Sales]]-tblSales[[#This Row],[Budget]])/tblSales[[#This Row],[Budget]]</f>
        <v>-0.12539114886008046</v>
      </c>
      <c r="M1886" s="2">
        <f>tblSales[[#This Row],[Sales]]/tblSales[[#This Row],[Transactions]]</f>
        <v>182</v>
      </c>
    </row>
    <row r="1887" spans="1:13" x14ac:dyDescent="0.25">
      <c r="A1887" s="1">
        <v>46117</v>
      </c>
      <c r="B1887" t="s">
        <v>14</v>
      </c>
      <c r="C1887" t="s">
        <v>7</v>
      </c>
      <c r="D1887" t="str">
        <f>_xlfn.XLOOKUP(tblSales[[#This Row],[Store ID]],tblStores[Store ID],tblStores[Store Name])</f>
        <v>Sandton</v>
      </c>
      <c r="E1887" t="str">
        <f>_xlfn.XLOOKUP(tblSales[[#This Row],[Store ID]],tblStores[Store ID],tblStores[Province])</f>
        <v>Gauteng</v>
      </c>
      <c r="F1887" t="str">
        <f>_xlfn.XLOOKUP(tblSales[[#This Row],[Store ID]],tblStores[Store ID],tblStores[Manager])</f>
        <v>Karen White</v>
      </c>
      <c r="G1887" t="str">
        <f>_xlfn.XLOOKUP(tblSales[[#This Row],[Category ID]],tblCategories[Category ID],tblCategories[Category])</f>
        <v>Menswear</v>
      </c>
      <c r="H1887">
        <v>38982</v>
      </c>
      <c r="I1887">
        <v>43380</v>
      </c>
      <c r="J1887">
        <v>89</v>
      </c>
      <c r="K1887">
        <f>tblSales[[#This Row],[Sales]]-tblSales[[#This Row],[Budget]]</f>
        <v>-4398</v>
      </c>
      <c r="L1887" s="3">
        <f>(tblSales[[#This Row],[Sales]]-tblSales[[#This Row],[Budget]])/tblSales[[#This Row],[Budget]]</f>
        <v>-0.10138312586445367</v>
      </c>
      <c r="M1887" s="2">
        <f>tblSales[[#This Row],[Sales]]/tblSales[[#This Row],[Transactions]]</f>
        <v>438</v>
      </c>
    </row>
    <row r="1888" spans="1:13" x14ac:dyDescent="0.25">
      <c r="A1888" s="1">
        <v>46117</v>
      </c>
      <c r="B1888" t="s">
        <v>15</v>
      </c>
      <c r="C1888" t="s">
        <v>11</v>
      </c>
      <c r="D1888" t="str">
        <f>_xlfn.XLOOKUP(tblSales[[#This Row],[Store ID]],tblStores[Store ID],tblStores[Store Name])</f>
        <v>Rosebank</v>
      </c>
      <c r="E1888" t="str">
        <f>_xlfn.XLOOKUP(tblSales[[#This Row],[Store ID]],tblStores[Store ID],tblStores[Province])</f>
        <v>Gauteng</v>
      </c>
      <c r="F1888" t="str">
        <f>_xlfn.XLOOKUP(tblSales[[#This Row],[Store ID]],tblStores[Store ID],tblStores[Manager])</f>
        <v>James Taylor</v>
      </c>
      <c r="G1888" t="str">
        <f>_xlfn.XLOOKUP(tblSales[[#This Row],[Category ID]],tblCategories[Category ID],tblCategories[Category])</f>
        <v>Footwear</v>
      </c>
      <c r="H1888">
        <v>61568</v>
      </c>
      <c r="I1888">
        <v>58260</v>
      </c>
      <c r="J1888">
        <v>128</v>
      </c>
      <c r="K1888">
        <f>tblSales[[#This Row],[Sales]]-tblSales[[#This Row],[Budget]]</f>
        <v>3308</v>
      </c>
      <c r="L1888" s="3">
        <f>(tblSales[[#This Row],[Sales]]-tblSales[[#This Row],[Budget]])/tblSales[[#This Row],[Budget]]</f>
        <v>5.6779951939581186E-2</v>
      </c>
      <c r="M1888" s="2">
        <f>tblSales[[#This Row],[Sales]]/tblSales[[#This Row],[Transactions]]</f>
        <v>481</v>
      </c>
    </row>
    <row r="1889" spans="1:13" x14ac:dyDescent="0.25">
      <c r="A1889" s="1">
        <v>46117</v>
      </c>
      <c r="B1889" t="s">
        <v>16</v>
      </c>
      <c r="C1889" t="s">
        <v>7</v>
      </c>
      <c r="D1889" t="str">
        <f>_xlfn.XLOOKUP(tblSales[[#This Row],[Store ID]],tblStores[Store ID],tblStores[Store Name])</f>
        <v>Pretoria</v>
      </c>
      <c r="E1889" t="str">
        <f>_xlfn.XLOOKUP(tblSales[[#This Row],[Store ID]],tblStores[Store ID],tblStores[Province])</f>
        <v>Gauteng</v>
      </c>
      <c r="F1889" t="str">
        <f>_xlfn.XLOOKUP(tblSales[[#This Row],[Store ID]],tblStores[Store ID],tblStores[Manager])</f>
        <v>Susan Clark</v>
      </c>
      <c r="G1889" t="str">
        <f>_xlfn.XLOOKUP(tblSales[[#This Row],[Category ID]],tblCategories[Category ID],tblCategories[Category])</f>
        <v>Menswear</v>
      </c>
      <c r="H1889">
        <v>29241</v>
      </c>
      <c r="I1889">
        <v>33490</v>
      </c>
      <c r="J1889">
        <v>81</v>
      </c>
      <c r="K1889">
        <f>tblSales[[#This Row],[Sales]]-tblSales[[#This Row],[Budget]]</f>
        <v>-4249</v>
      </c>
      <c r="L1889" s="3">
        <f>(tblSales[[#This Row],[Sales]]-tblSales[[#This Row],[Budget]])/tblSales[[#This Row],[Budget]]</f>
        <v>-0.12687369363989251</v>
      </c>
      <c r="M1889" s="2">
        <f>tblSales[[#This Row],[Sales]]/tblSales[[#This Row],[Transactions]]</f>
        <v>361</v>
      </c>
    </row>
    <row r="1890" spans="1:13" x14ac:dyDescent="0.25">
      <c r="A1890" s="1">
        <v>46117</v>
      </c>
      <c r="B1890" t="s">
        <v>17</v>
      </c>
      <c r="C1890" t="s">
        <v>11</v>
      </c>
      <c r="D1890" t="str">
        <f>_xlfn.XLOOKUP(tblSales[[#This Row],[Store ID]],tblStores[Store ID],tblStores[Store Name])</f>
        <v>Centurion</v>
      </c>
      <c r="E1890" t="str">
        <f>_xlfn.XLOOKUP(tblSales[[#This Row],[Store ID]],tblStores[Store ID],tblStores[Province])</f>
        <v>Gauteng</v>
      </c>
      <c r="F1890" t="str">
        <f>_xlfn.XLOOKUP(tblSales[[#This Row],[Store ID]],tblStores[Store ID],tblStores[Manager])</f>
        <v>Mark Wilson</v>
      </c>
      <c r="G1890" t="str">
        <f>_xlfn.XLOOKUP(tblSales[[#This Row],[Category ID]],tblCategories[Category ID],tblCategories[Category])</f>
        <v>Footwear</v>
      </c>
      <c r="H1890">
        <v>39427</v>
      </c>
      <c r="I1890">
        <v>37727</v>
      </c>
      <c r="J1890">
        <v>89</v>
      </c>
      <c r="K1890">
        <f>tblSales[[#This Row],[Sales]]-tblSales[[#This Row],[Budget]]</f>
        <v>1700</v>
      </c>
      <c r="L1890" s="3">
        <f>(tblSales[[#This Row],[Sales]]-tblSales[[#This Row],[Budget]])/tblSales[[#This Row],[Budget]]</f>
        <v>4.5060566702891831E-2</v>
      </c>
      <c r="M1890" s="2">
        <f>tblSales[[#This Row],[Sales]]/tblSales[[#This Row],[Transactions]]</f>
        <v>443</v>
      </c>
    </row>
    <row r="1891" spans="1:13" x14ac:dyDescent="0.25">
      <c r="A1891" s="1">
        <v>46117</v>
      </c>
      <c r="B1891" t="s">
        <v>18</v>
      </c>
      <c r="C1891" t="s">
        <v>7</v>
      </c>
      <c r="D1891" t="str">
        <f>_xlfn.XLOOKUP(tblSales[[#This Row],[Store ID]],tblStores[Store ID],tblStores[Store Name])</f>
        <v>East Rand</v>
      </c>
      <c r="E1891" t="str">
        <f>_xlfn.XLOOKUP(tblSales[[#This Row],[Store ID]],tblStores[Store ID],tblStores[Province])</f>
        <v>Gauteng</v>
      </c>
      <c r="F1891" t="str">
        <f>_xlfn.XLOOKUP(tblSales[[#This Row],[Store ID]],tblStores[Store ID],tblStores[Manager])</f>
        <v>Lisa Young</v>
      </c>
      <c r="G1891" t="str">
        <f>_xlfn.XLOOKUP(tblSales[[#This Row],[Category ID]],tblCategories[Category ID],tblCategories[Category])</f>
        <v>Menswear</v>
      </c>
      <c r="H1891">
        <v>27945</v>
      </c>
      <c r="I1891">
        <v>28405</v>
      </c>
      <c r="J1891">
        <v>115</v>
      </c>
      <c r="K1891">
        <f>tblSales[[#This Row],[Sales]]-tblSales[[#This Row],[Budget]]</f>
        <v>-460</v>
      </c>
      <c r="L1891" s="3">
        <f>(tblSales[[#This Row],[Sales]]-tblSales[[#This Row],[Budget]])/tblSales[[#This Row],[Budget]]</f>
        <v>-1.6194331983805668E-2</v>
      </c>
      <c r="M1891" s="2">
        <f>tblSales[[#This Row],[Sales]]/tblSales[[#This Row],[Transactions]]</f>
        <v>243</v>
      </c>
    </row>
    <row r="1892" spans="1:13" x14ac:dyDescent="0.25">
      <c r="A1892" s="1">
        <v>46117</v>
      </c>
      <c r="B1892" t="s">
        <v>20</v>
      </c>
      <c r="C1892" t="s">
        <v>19</v>
      </c>
      <c r="D1892" t="str">
        <f>_xlfn.XLOOKUP(tblSales[[#This Row],[Store ID]],tblStores[Store ID],tblStores[Store Name])</f>
        <v>Cape Town CBD</v>
      </c>
      <c r="E1892" t="str">
        <f>_xlfn.XLOOKUP(tblSales[[#This Row],[Store ID]],tblStores[Store ID],tblStores[Province])</f>
        <v>Western Cape</v>
      </c>
      <c r="F1892" t="str">
        <f>_xlfn.XLOOKUP(tblSales[[#This Row],[Store ID]],tblStores[Store ID],tblStores[Manager])</f>
        <v>Brian Hall</v>
      </c>
      <c r="G1892" t="str">
        <f>_xlfn.XLOOKUP(tblSales[[#This Row],[Category ID]],tblCategories[Category ID],tblCategories[Category])</f>
        <v>Accessories</v>
      </c>
      <c r="H1892">
        <v>29877</v>
      </c>
      <c r="I1892">
        <v>32582</v>
      </c>
      <c r="J1892">
        <v>69</v>
      </c>
      <c r="K1892">
        <f>tblSales[[#This Row],[Sales]]-tblSales[[#This Row],[Budget]]</f>
        <v>-2705</v>
      </c>
      <c r="L1892" s="3">
        <f>(tblSales[[#This Row],[Sales]]-tblSales[[#This Row],[Budget]])/tblSales[[#This Row],[Budget]]</f>
        <v>-8.3021300104352103E-2</v>
      </c>
      <c r="M1892" s="2">
        <f>tblSales[[#This Row],[Sales]]/tblSales[[#This Row],[Transactions]]</f>
        <v>433</v>
      </c>
    </row>
    <row r="1893" spans="1:13" x14ac:dyDescent="0.25">
      <c r="A1893" s="1">
        <v>46117</v>
      </c>
      <c r="B1893" t="s">
        <v>21</v>
      </c>
      <c r="C1893" t="s">
        <v>22</v>
      </c>
      <c r="D1893" t="str">
        <f>_xlfn.XLOOKUP(tblSales[[#This Row],[Store ID]],tblStores[Store ID],tblStores[Store Name])</f>
        <v>Canal Walk</v>
      </c>
      <c r="E1893" t="str">
        <f>_xlfn.XLOOKUP(tblSales[[#This Row],[Store ID]],tblStores[Store ID],tblStores[Province])</f>
        <v>Western Cape</v>
      </c>
      <c r="F1893" t="str">
        <f>_xlfn.XLOOKUP(tblSales[[#This Row],[Store ID]],tblStores[Store ID],tblStores[Manager])</f>
        <v>Megan Scott</v>
      </c>
      <c r="G1893" t="str">
        <f>_xlfn.XLOOKUP(tblSales[[#This Row],[Category ID]],tblCategories[Category ID],tblCategories[Category])</f>
        <v>Kids</v>
      </c>
      <c r="H1893">
        <v>35400</v>
      </c>
      <c r="I1893">
        <v>32587</v>
      </c>
      <c r="J1893">
        <v>177</v>
      </c>
      <c r="K1893">
        <f>tblSales[[#This Row],[Sales]]-tblSales[[#This Row],[Budget]]</f>
        <v>2813</v>
      </c>
      <c r="L1893" s="3">
        <f>(tblSales[[#This Row],[Sales]]-tblSales[[#This Row],[Budget]])/tblSales[[#This Row],[Budget]]</f>
        <v>8.6322766747475993E-2</v>
      </c>
      <c r="M1893" s="2">
        <f>tblSales[[#This Row],[Sales]]/tblSales[[#This Row],[Transactions]]</f>
        <v>200</v>
      </c>
    </row>
    <row r="1894" spans="1:13" x14ac:dyDescent="0.25">
      <c r="A1894" s="1">
        <v>46117</v>
      </c>
      <c r="B1894" t="s">
        <v>23</v>
      </c>
      <c r="C1894" t="s">
        <v>11</v>
      </c>
      <c r="D1894" t="str">
        <f>_xlfn.XLOOKUP(tblSales[[#This Row],[Store ID]],tblStores[Store ID],tblStores[Store Name])</f>
        <v>Stellenbosch</v>
      </c>
      <c r="E1894" t="str">
        <f>_xlfn.XLOOKUP(tblSales[[#This Row],[Store ID]],tblStores[Store ID],tblStores[Province])</f>
        <v>Western Cape</v>
      </c>
      <c r="F1894" t="str">
        <f>_xlfn.XLOOKUP(tblSales[[#This Row],[Store ID]],tblStores[Store ID],tblStores[Manager])</f>
        <v>Jason King</v>
      </c>
      <c r="G1894" t="str">
        <f>_xlfn.XLOOKUP(tblSales[[#This Row],[Category ID]],tblCategories[Category ID],tblCategories[Category])</f>
        <v>Footwear</v>
      </c>
      <c r="H1894">
        <v>24128</v>
      </c>
      <c r="I1894">
        <v>23425</v>
      </c>
      <c r="J1894">
        <v>64</v>
      </c>
      <c r="K1894">
        <f>tblSales[[#This Row],[Sales]]-tblSales[[#This Row],[Budget]]</f>
        <v>703</v>
      </c>
      <c r="L1894" s="3">
        <f>(tblSales[[#This Row],[Sales]]-tblSales[[#This Row],[Budget]])/tblSales[[#This Row],[Budget]]</f>
        <v>3.0010672358591249E-2</v>
      </c>
      <c r="M1894" s="2">
        <f>tblSales[[#This Row],[Sales]]/tblSales[[#This Row],[Transactions]]</f>
        <v>377</v>
      </c>
    </row>
    <row r="1895" spans="1:13" x14ac:dyDescent="0.25">
      <c r="A1895" s="1">
        <v>46117</v>
      </c>
      <c r="B1895" t="s">
        <v>24</v>
      </c>
      <c r="C1895" t="s">
        <v>19</v>
      </c>
      <c r="D1895" t="str">
        <f>_xlfn.XLOOKUP(tblSales[[#This Row],[Store ID]],tblStores[Store ID],tblStores[Store Name])</f>
        <v>George</v>
      </c>
      <c r="E1895" t="str">
        <f>_xlfn.XLOOKUP(tblSales[[#This Row],[Store ID]],tblStores[Store ID],tblStores[Province])</f>
        <v>Western Cape</v>
      </c>
      <c r="F1895" t="str">
        <f>_xlfn.XLOOKUP(tblSales[[#This Row],[Store ID]],tblStores[Store ID],tblStores[Manager])</f>
        <v>Chloe Hill</v>
      </c>
      <c r="G1895" t="str">
        <f>_xlfn.XLOOKUP(tblSales[[#This Row],[Category ID]],tblCategories[Category ID],tblCategories[Category])</f>
        <v>Accessories</v>
      </c>
      <c r="H1895">
        <v>46398</v>
      </c>
      <c r="I1895">
        <v>44378</v>
      </c>
      <c r="J1895">
        <v>114</v>
      </c>
      <c r="K1895">
        <f>tblSales[[#This Row],[Sales]]-tblSales[[#This Row],[Budget]]</f>
        <v>2020</v>
      </c>
      <c r="L1895" s="3">
        <f>(tblSales[[#This Row],[Sales]]-tblSales[[#This Row],[Budget]])/tblSales[[#This Row],[Budget]]</f>
        <v>4.551804948397855E-2</v>
      </c>
      <c r="M1895" s="2">
        <f>tblSales[[#This Row],[Sales]]/tblSales[[#This Row],[Transactions]]</f>
        <v>407</v>
      </c>
    </row>
    <row r="1896" spans="1:13" x14ac:dyDescent="0.25">
      <c r="A1896" s="1">
        <v>46117</v>
      </c>
      <c r="B1896" t="s">
        <v>25</v>
      </c>
      <c r="C1896" t="s">
        <v>11</v>
      </c>
      <c r="D1896" t="str">
        <f>_xlfn.XLOOKUP(tblSales[[#This Row],[Store ID]],tblStores[Store ID],tblStores[Store Name])</f>
        <v>Paarl</v>
      </c>
      <c r="E1896" t="str">
        <f>_xlfn.XLOOKUP(tblSales[[#This Row],[Store ID]],tblStores[Store ID],tblStores[Province])</f>
        <v>Western Cape</v>
      </c>
      <c r="F1896" t="str">
        <f>_xlfn.XLOOKUP(tblSales[[#This Row],[Store ID]],tblStores[Store ID],tblStores[Manager])</f>
        <v>Andrew Lee</v>
      </c>
      <c r="G1896" t="str">
        <f>_xlfn.XLOOKUP(tblSales[[#This Row],[Category ID]],tblCategories[Category ID],tblCategories[Category])</f>
        <v>Footwear</v>
      </c>
      <c r="H1896">
        <v>43491</v>
      </c>
      <c r="I1896">
        <v>41194</v>
      </c>
      <c r="J1896">
        <v>109</v>
      </c>
      <c r="K1896">
        <f>tblSales[[#This Row],[Sales]]-tblSales[[#This Row],[Budget]]</f>
        <v>2297</v>
      </c>
      <c r="L1896" s="3">
        <f>(tblSales[[#This Row],[Sales]]-tblSales[[#This Row],[Budget]])/tblSales[[#This Row],[Budget]]</f>
        <v>5.5760547652570762E-2</v>
      </c>
      <c r="M1896" s="2">
        <f>tblSales[[#This Row],[Sales]]/tblSales[[#This Row],[Transactions]]</f>
        <v>399</v>
      </c>
    </row>
    <row r="1897" spans="1:13" x14ac:dyDescent="0.25">
      <c r="A1897" s="1">
        <v>46117</v>
      </c>
      <c r="B1897" t="s">
        <v>26</v>
      </c>
      <c r="C1897" t="s">
        <v>7</v>
      </c>
      <c r="D1897" t="str">
        <f>_xlfn.XLOOKUP(tblSales[[#This Row],[Store ID]],tblStores[Store ID],tblStores[Store Name])</f>
        <v>Gqeberha</v>
      </c>
      <c r="E1897" t="str">
        <f>_xlfn.XLOOKUP(tblSales[[#This Row],[Store ID]],tblStores[Store ID],tblStores[Province])</f>
        <v>Eastern Cape</v>
      </c>
      <c r="F1897" t="str">
        <f>_xlfn.XLOOKUP(tblSales[[#This Row],[Store ID]],tblStores[Store ID],tblStores[Manager])</f>
        <v>Emma Baker</v>
      </c>
      <c r="G1897" t="str">
        <f>_xlfn.XLOOKUP(tblSales[[#This Row],[Category ID]],tblCategories[Category ID],tblCategories[Category])</f>
        <v>Menswear</v>
      </c>
      <c r="H1897">
        <v>57408</v>
      </c>
      <c r="I1897">
        <v>54240</v>
      </c>
      <c r="J1897">
        <v>156</v>
      </c>
      <c r="K1897">
        <f>tblSales[[#This Row],[Sales]]-tblSales[[#This Row],[Budget]]</f>
        <v>3168</v>
      </c>
      <c r="L1897" s="3">
        <f>(tblSales[[#This Row],[Sales]]-tblSales[[#This Row],[Budget]])/tblSales[[#This Row],[Budget]]</f>
        <v>5.8407079646017698E-2</v>
      </c>
      <c r="M1897" s="2">
        <f>tblSales[[#This Row],[Sales]]/tblSales[[#This Row],[Transactions]]</f>
        <v>368</v>
      </c>
    </row>
    <row r="1898" spans="1:13" x14ac:dyDescent="0.25">
      <c r="A1898" s="1">
        <v>46117</v>
      </c>
      <c r="B1898" t="s">
        <v>27</v>
      </c>
      <c r="C1898" t="s">
        <v>11</v>
      </c>
      <c r="D1898" t="str">
        <f>_xlfn.XLOOKUP(tblSales[[#This Row],[Store ID]],tblStores[Store ID],tblStores[Store Name])</f>
        <v>East London</v>
      </c>
      <c r="E1898" t="str">
        <f>_xlfn.XLOOKUP(tblSales[[#This Row],[Store ID]],tblStores[Store ID],tblStores[Province])</f>
        <v>Eastern Cape</v>
      </c>
      <c r="F1898" t="str">
        <f>_xlfn.XLOOKUP(tblSales[[#This Row],[Store ID]],tblStores[Store ID],tblStores[Manager])</f>
        <v>Daniel Evans</v>
      </c>
      <c r="G1898" t="str">
        <f>_xlfn.XLOOKUP(tblSales[[#This Row],[Category ID]],tblCategories[Category ID],tblCategories[Category])</f>
        <v>Footwear</v>
      </c>
      <c r="H1898">
        <v>48231</v>
      </c>
      <c r="I1898">
        <v>48187</v>
      </c>
      <c r="J1898">
        <v>207</v>
      </c>
      <c r="K1898">
        <f>tblSales[[#This Row],[Sales]]-tblSales[[#This Row],[Budget]]</f>
        <v>44</v>
      </c>
      <c r="L1898" s="3">
        <f>(tblSales[[#This Row],[Sales]]-tblSales[[#This Row],[Budget]])/tblSales[[#This Row],[Budget]]</f>
        <v>9.1310934484404509E-4</v>
      </c>
      <c r="M1898" s="2">
        <f>tblSales[[#This Row],[Sales]]/tblSales[[#This Row],[Transactions]]</f>
        <v>233</v>
      </c>
    </row>
    <row r="1899" spans="1:13" x14ac:dyDescent="0.25">
      <c r="A1899" s="1">
        <v>46117</v>
      </c>
      <c r="B1899" t="s">
        <v>28</v>
      </c>
      <c r="C1899" t="s">
        <v>19</v>
      </c>
      <c r="D1899" t="str">
        <f>_xlfn.XLOOKUP(tblSales[[#This Row],[Store ID]],tblStores[Store ID],tblStores[Store Name])</f>
        <v>Bloemfontein</v>
      </c>
      <c r="E1899" t="str">
        <f>_xlfn.XLOOKUP(tblSales[[#This Row],[Store ID]],tblStores[Store ID],tblStores[Province])</f>
        <v>Free State</v>
      </c>
      <c r="F1899" t="str">
        <f>_xlfn.XLOOKUP(tblSales[[#This Row],[Store ID]],tblStores[Store ID],tblStores[Manager])</f>
        <v>Rachel Moore</v>
      </c>
      <c r="G1899" t="str">
        <f>_xlfn.XLOOKUP(tblSales[[#This Row],[Category ID]],tblCategories[Category ID],tblCategories[Category])</f>
        <v>Accessories</v>
      </c>
      <c r="H1899">
        <v>45269</v>
      </c>
      <c r="I1899">
        <v>42091</v>
      </c>
      <c r="J1899">
        <v>203</v>
      </c>
      <c r="K1899">
        <f>tblSales[[#This Row],[Sales]]-tblSales[[#This Row],[Budget]]</f>
        <v>3178</v>
      </c>
      <c r="L1899" s="3">
        <f>(tblSales[[#This Row],[Sales]]-tblSales[[#This Row],[Budget]])/tblSales[[#This Row],[Budget]]</f>
        <v>7.5503076667221017E-2</v>
      </c>
      <c r="M1899" s="2">
        <f>tblSales[[#This Row],[Sales]]/tblSales[[#This Row],[Transactions]]</f>
        <v>223</v>
      </c>
    </row>
    <row r="1900" spans="1:13" x14ac:dyDescent="0.25">
      <c r="A1900" s="1">
        <v>46117</v>
      </c>
      <c r="B1900" t="s">
        <v>29</v>
      </c>
      <c r="C1900" t="s">
        <v>11</v>
      </c>
      <c r="D1900" t="str">
        <f>_xlfn.XLOOKUP(tblSales[[#This Row],[Store ID]],tblStores[Store ID],tblStores[Store Name])</f>
        <v>Polokwane</v>
      </c>
      <c r="E1900" t="str">
        <f>_xlfn.XLOOKUP(tblSales[[#This Row],[Store ID]],tblStores[Store ID],tblStores[Province])</f>
        <v>Limpopo</v>
      </c>
      <c r="F1900" t="str">
        <f>_xlfn.XLOOKUP(tblSales[[#This Row],[Store ID]],tblStores[Store ID],tblStores[Manager])</f>
        <v>Kevin Harris</v>
      </c>
      <c r="G1900" t="str">
        <f>_xlfn.XLOOKUP(tblSales[[#This Row],[Category ID]],tblCategories[Category ID],tblCategories[Category])</f>
        <v>Footwear</v>
      </c>
      <c r="H1900">
        <v>66034</v>
      </c>
      <c r="I1900">
        <v>75568</v>
      </c>
      <c r="J1900">
        <v>137</v>
      </c>
      <c r="K1900">
        <f>tblSales[[#This Row],[Sales]]-tblSales[[#This Row],[Budget]]</f>
        <v>-9534</v>
      </c>
      <c r="L1900" s="3">
        <f>(tblSales[[#This Row],[Sales]]-tblSales[[#This Row],[Budget]])/tblSales[[#This Row],[Budget]]</f>
        <v>-0.12616451408003387</v>
      </c>
      <c r="M1900" s="2">
        <f>tblSales[[#This Row],[Sales]]/tblSales[[#This Row],[Transactions]]</f>
        <v>482</v>
      </c>
    </row>
    <row r="1901" spans="1:13" x14ac:dyDescent="0.25">
      <c r="A1901" s="1">
        <v>46117</v>
      </c>
      <c r="B1901" t="s">
        <v>30</v>
      </c>
      <c r="C1901" t="s">
        <v>9</v>
      </c>
      <c r="D1901" t="str">
        <f>_xlfn.XLOOKUP(tblSales[[#This Row],[Store ID]],tblStores[Store ID],tblStores[Store Name])</f>
        <v>Nelspruit</v>
      </c>
      <c r="E1901" t="str">
        <f>_xlfn.XLOOKUP(tblSales[[#This Row],[Store ID]],tblStores[Store ID],tblStores[Province])</f>
        <v>Mpumalanga</v>
      </c>
      <c r="F1901" t="str">
        <f>_xlfn.XLOOKUP(tblSales[[#This Row],[Store ID]],tblStores[Store ID],tblStores[Manager])</f>
        <v>Olivia Turner</v>
      </c>
      <c r="G1901" t="str">
        <f>_xlfn.XLOOKUP(tblSales[[#This Row],[Category ID]],tblCategories[Category ID],tblCategories[Category])</f>
        <v>Ladieswear</v>
      </c>
      <c r="H1901">
        <v>18666</v>
      </c>
      <c r="I1901">
        <v>21350</v>
      </c>
      <c r="J1901">
        <v>51</v>
      </c>
      <c r="K1901">
        <f>tblSales[[#This Row],[Sales]]-tblSales[[#This Row],[Budget]]</f>
        <v>-2684</v>
      </c>
      <c r="L1901" s="3">
        <f>(tblSales[[#This Row],[Sales]]-tblSales[[#This Row],[Budget]])/tblSales[[#This Row],[Budget]]</f>
        <v>-0.12571428571428572</v>
      </c>
      <c r="M1901" s="2">
        <f>tblSales[[#This Row],[Sales]]/tblSales[[#This Row],[Transactions]]</f>
        <v>366</v>
      </c>
    </row>
    <row r="1902" spans="1:13" x14ac:dyDescent="0.25">
      <c r="A1902" s="1">
        <v>46118</v>
      </c>
      <c r="B1902" t="s">
        <v>6</v>
      </c>
      <c r="C1902" t="s">
        <v>22</v>
      </c>
      <c r="D1902" t="str">
        <f>_xlfn.XLOOKUP(tblSales[[#This Row],[Store ID]],tblStores[Store ID],tblStores[Store Name])</f>
        <v>Durban CBD</v>
      </c>
      <c r="E1902" t="str">
        <f>_xlfn.XLOOKUP(tblSales[[#This Row],[Store ID]],tblStores[Store ID],tblStores[Province])</f>
        <v>KZN</v>
      </c>
      <c r="F1902" t="str">
        <f>_xlfn.XLOOKUP(tblSales[[#This Row],[Store ID]],tblStores[Store ID],tblStores[Manager])</f>
        <v>Sarah Adams</v>
      </c>
      <c r="G1902" t="str">
        <f>_xlfn.XLOOKUP(tblSales[[#This Row],[Category ID]],tblCategories[Category ID],tblCategories[Category])</f>
        <v>Kids</v>
      </c>
      <c r="H1902">
        <v>41624</v>
      </c>
      <c r="I1902">
        <v>46244</v>
      </c>
      <c r="J1902">
        <v>86</v>
      </c>
      <c r="K1902">
        <f>tblSales[[#This Row],[Sales]]-tblSales[[#This Row],[Budget]]</f>
        <v>-4620</v>
      </c>
      <c r="L1902" s="3">
        <f>(tblSales[[#This Row],[Sales]]-tblSales[[#This Row],[Budget]])/tblSales[[#This Row],[Budget]]</f>
        <v>-9.9904852521408183E-2</v>
      </c>
      <c r="M1902" s="2">
        <f>tblSales[[#This Row],[Sales]]/tblSales[[#This Row],[Transactions]]</f>
        <v>484</v>
      </c>
    </row>
    <row r="1903" spans="1:13" x14ac:dyDescent="0.25">
      <c r="A1903" s="1">
        <v>46118</v>
      </c>
      <c r="B1903" t="s">
        <v>8</v>
      </c>
      <c r="C1903" t="s">
        <v>11</v>
      </c>
      <c r="D1903" t="str">
        <f>_xlfn.XLOOKUP(tblSales[[#This Row],[Store ID]],tblStores[Store ID],tblStores[Store Name])</f>
        <v>Gateway</v>
      </c>
      <c r="E1903" t="str">
        <f>_xlfn.XLOOKUP(tblSales[[#This Row],[Store ID]],tblStores[Store ID],tblStores[Province])</f>
        <v>KZN</v>
      </c>
      <c r="F1903" t="str">
        <f>_xlfn.XLOOKUP(tblSales[[#This Row],[Store ID]],tblStores[Store ID],tblStores[Manager])</f>
        <v>Michael Jones</v>
      </c>
      <c r="G1903" t="str">
        <f>_xlfn.XLOOKUP(tblSales[[#This Row],[Category ID]],tblCategories[Category ID],tblCategories[Category])</f>
        <v>Footwear</v>
      </c>
      <c r="H1903">
        <v>19734</v>
      </c>
      <c r="I1903">
        <v>21895</v>
      </c>
      <c r="J1903">
        <v>66</v>
      </c>
      <c r="K1903">
        <f>tblSales[[#This Row],[Sales]]-tblSales[[#This Row],[Budget]]</f>
        <v>-2161</v>
      </c>
      <c r="L1903" s="3">
        <f>(tblSales[[#This Row],[Sales]]-tblSales[[#This Row],[Budget]])/tblSales[[#This Row],[Budget]]</f>
        <v>-9.8698332952728937E-2</v>
      </c>
      <c r="M1903" s="2">
        <f>tblSales[[#This Row],[Sales]]/tblSales[[#This Row],[Transactions]]</f>
        <v>299</v>
      </c>
    </row>
    <row r="1904" spans="1:13" x14ac:dyDescent="0.25">
      <c r="A1904" s="1">
        <v>46118</v>
      </c>
      <c r="B1904" t="s">
        <v>10</v>
      </c>
      <c r="C1904" t="s">
        <v>11</v>
      </c>
      <c r="D1904" t="str">
        <f>_xlfn.XLOOKUP(tblSales[[#This Row],[Store ID]],tblStores[Store ID],tblStores[Store Name])</f>
        <v>Ballito</v>
      </c>
      <c r="E1904" t="str">
        <f>_xlfn.XLOOKUP(tblSales[[#This Row],[Store ID]],tblStores[Store ID],tblStores[Province])</f>
        <v>KZN</v>
      </c>
      <c r="F1904" t="str">
        <f>_xlfn.XLOOKUP(tblSales[[#This Row],[Store ID]],tblStores[Store ID],tblStores[Manager])</f>
        <v>Linda Smith</v>
      </c>
      <c r="G1904" t="str">
        <f>_xlfn.XLOOKUP(tblSales[[#This Row],[Category ID]],tblCategories[Category ID],tblCategories[Category])</f>
        <v>Footwear</v>
      </c>
      <c r="H1904">
        <v>50562</v>
      </c>
      <c r="I1904">
        <v>53009</v>
      </c>
      <c r="J1904">
        <v>106</v>
      </c>
      <c r="K1904">
        <f>tblSales[[#This Row],[Sales]]-tblSales[[#This Row],[Budget]]</f>
        <v>-2447</v>
      </c>
      <c r="L1904" s="3">
        <f>(tblSales[[#This Row],[Sales]]-tblSales[[#This Row],[Budget]])/tblSales[[#This Row],[Budget]]</f>
        <v>-4.616197249523666E-2</v>
      </c>
      <c r="M1904" s="2">
        <f>tblSales[[#This Row],[Sales]]/tblSales[[#This Row],[Transactions]]</f>
        <v>477</v>
      </c>
    </row>
    <row r="1905" spans="1:13" x14ac:dyDescent="0.25">
      <c r="A1905" s="1">
        <v>46118</v>
      </c>
      <c r="B1905" t="s">
        <v>12</v>
      </c>
      <c r="C1905" t="s">
        <v>11</v>
      </c>
      <c r="D1905" t="str">
        <f>_xlfn.XLOOKUP(tblSales[[#This Row],[Store ID]],tblStores[Store ID],tblStores[Store Name])</f>
        <v>Pietermaritzburg</v>
      </c>
      <c r="E1905" t="str">
        <f>_xlfn.XLOOKUP(tblSales[[#This Row],[Store ID]],tblStores[Store ID],tblStores[Province])</f>
        <v>KZN</v>
      </c>
      <c r="F1905" t="str">
        <f>_xlfn.XLOOKUP(tblSales[[#This Row],[Store ID]],tblStores[Store ID],tblStores[Manager])</f>
        <v>Peter Brown</v>
      </c>
      <c r="G1905" t="str">
        <f>_xlfn.XLOOKUP(tblSales[[#This Row],[Category ID]],tblCategories[Category ID],tblCategories[Category])</f>
        <v>Footwear</v>
      </c>
      <c r="H1905">
        <v>53298</v>
      </c>
      <c r="I1905">
        <v>56851</v>
      </c>
      <c r="J1905">
        <v>126</v>
      </c>
      <c r="K1905">
        <f>tblSales[[#This Row],[Sales]]-tblSales[[#This Row],[Budget]]</f>
        <v>-3553</v>
      </c>
      <c r="L1905" s="3">
        <f>(tblSales[[#This Row],[Sales]]-tblSales[[#This Row],[Budget]])/tblSales[[#This Row],[Budget]]</f>
        <v>-6.2496701904979683E-2</v>
      </c>
      <c r="M1905" s="2">
        <f>tblSales[[#This Row],[Sales]]/tblSales[[#This Row],[Transactions]]</f>
        <v>423</v>
      </c>
    </row>
    <row r="1906" spans="1:13" x14ac:dyDescent="0.25">
      <c r="A1906" s="1">
        <v>46118</v>
      </c>
      <c r="B1906" t="s">
        <v>13</v>
      </c>
      <c r="C1906" t="s">
        <v>11</v>
      </c>
      <c r="D1906" t="str">
        <f>_xlfn.XLOOKUP(tblSales[[#This Row],[Store ID]],tblStores[Store ID],tblStores[Store Name])</f>
        <v>Richards Bay</v>
      </c>
      <c r="E1906" t="str">
        <f>_xlfn.XLOOKUP(tblSales[[#This Row],[Store ID]],tblStores[Store ID],tblStores[Province])</f>
        <v>KZN</v>
      </c>
      <c r="F1906" t="str">
        <f>_xlfn.XLOOKUP(tblSales[[#This Row],[Store ID]],tblStores[Store ID],tblStores[Manager])</f>
        <v>David Green</v>
      </c>
      <c r="G1906" t="str">
        <f>_xlfn.XLOOKUP(tblSales[[#This Row],[Category ID]],tblCategories[Category ID],tblCategories[Category])</f>
        <v>Footwear</v>
      </c>
      <c r="H1906">
        <v>70119</v>
      </c>
      <c r="I1906">
        <v>67995</v>
      </c>
      <c r="J1906">
        <v>159</v>
      </c>
      <c r="K1906">
        <f>tblSales[[#This Row],[Sales]]-tblSales[[#This Row],[Budget]]</f>
        <v>2124</v>
      </c>
      <c r="L1906" s="3">
        <f>(tblSales[[#This Row],[Sales]]-tblSales[[#This Row],[Budget]])/tblSales[[#This Row],[Budget]]</f>
        <v>3.1237590999338188E-2</v>
      </c>
      <c r="M1906" s="2">
        <f>tblSales[[#This Row],[Sales]]/tblSales[[#This Row],[Transactions]]</f>
        <v>441</v>
      </c>
    </row>
    <row r="1907" spans="1:13" x14ac:dyDescent="0.25">
      <c r="A1907" s="1">
        <v>46118</v>
      </c>
      <c r="B1907" t="s">
        <v>14</v>
      </c>
      <c r="C1907" t="s">
        <v>11</v>
      </c>
      <c r="D1907" t="str">
        <f>_xlfn.XLOOKUP(tblSales[[#This Row],[Store ID]],tblStores[Store ID],tblStores[Store Name])</f>
        <v>Sandton</v>
      </c>
      <c r="E1907" t="str">
        <f>_xlfn.XLOOKUP(tblSales[[#This Row],[Store ID]],tblStores[Store ID],tblStores[Province])</f>
        <v>Gauteng</v>
      </c>
      <c r="F1907" t="str">
        <f>_xlfn.XLOOKUP(tblSales[[#This Row],[Store ID]],tblStores[Store ID],tblStores[Manager])</f>
        <v>Karen White</v>
      </c>
      <c r="G1907" t="str">
        <f>_xlfn.XLOOKUP(tblSales[[#This Row],[Category ID]],tblCategories[Category ID],tblCategories[Category])</f>
        <v>Footwear</v>
      </c>
      <c r="H1907">
        <v>15004</v>
      </c>
      <c r="I1907">
        <v>14443</v>
      </c>
      <c r="J1907">
        <v>62</v>
      </c>
      <c r="K1907">
        <f>tblSales[[#This Row],[Sales]]-tblSales[[#This Row],[Budget]]</f>
        <v>561</v>
      </c>
      <c r="L1907" s="3">
        <f>(tblSales[[#This Row],[Sales]]-tblSales[[#This Row],[Budget]])/tblSales[[#This Row],[Budget]]</f>
        <v>3.8842345773038842E-2</v>
      </c>
      <c r="M1907" s="2">
        <f>tblSales[[#This Row],[Sales]]/tblSales[[#This Row],[Transactions]]</f>
        <v>242</v>
      </c>
    </row>
    <row r="1908" spans="1:13" x14ac:dyDescent="0.25">
      <c r="A1908" s="1">
        <v>46118</v>
      </c>
      <c r="B1908" t="s">
        <v>15</v>
      </c>
      <c r="C1908" t="s">
        <v>11</v>
      </c>
      <c r="D1908" t="str">
        <f>_xlfn.XLOOKUP(tblSales[[#This Row],[Store ID]],tblStores[Store ID],tblStores[Store Name])</f>
        <v>Rosebank</v>
      </c>
      <c r="E1908" t="str">
        <f>_xlfn.XLOOKUP(tblSales[[#This Row],[Store ID]],tblStores[Store ID],tblStores[Province])</f>
        <v>Gauteng</v>
      </c>
      <c r="F1908" t="str">
        <f>_xlfn.XLOOKUP(tblSales[[#This Row],[Store ID]],tblStores[Store ID],tblStores[Manager])</f>
        <v>James Taylor</v>
      </c>
      <c r="G1908" t="str">
        <f>_xlfn.XLOOKUP(tblSales[[#This Row],[Category ID]],tblCategories[Category ID],tblCategories[Category])</f>
        <v>Footwear</v>
      </c>
      <c r="H1908">
        <v>47094</v>
      </c>
      <c r="I1908">
        <v>53479</v>
      </c>
      <c r="J1908">
        <v>94</v>
      </c>
      <c r="K1908">
        <f>tblSales[[#This Row],[Sales]]-tblSales[[#This Row],[Budget]]</f>
        <v>-6385</v>
      </c>
      <c r="L1908" s="3">
        <f>(tblSales[[#This Row],[Sales]]-tblSales[[#This Row],[Budget]])/tblSales[[#This Row],[Budget]]</f>
        <v>-0.11939265880065073</v>
      </c>
      <c r="M1908" s="2">
        <f>tblSales[[#This Row],[Sales]]/tblSales[[#This Row],[Transactions]]</f>
        <v>501</v>
      </c>
    </row>
    <row r="1909" spans="1:13" x14ac:dyDescent="0.25">
      <c r="A1909" s="1">
        <v>46118</v>
      </c>
      <c r="B1909" t="s">
        <v>16</v>
      </c>
      <c r="C1909" t="s">
        <v>7</v>
      </c>
      <c r="D1909" t="str">
        <f>_xlfn.XLOOKUP(tblSales[[#This Row],[Store ID]],tblStores[Store ID],tblStores[Store Name])</f>
        <v>Pretoria</v>
      </c>
      <c r="E1909" t="str">
        <f>_xlfn.XLOOKUP(tblSales[[#This Row],[Store ID]],tblStores[Store ID],tblStores[Province])</f>
        <v>Gauteng</v>
      </c>
      <c r="F1909" t="str">
        <f>_xlfn.XLOOKUP(tblSales[[#This Row],[Store ID]],tblStores[Store ID],tblStores[Manager])</f>
        <v>Susan Clark</v>
      </c>
      <c r="G1909" t="str">
        <f>_xlfn.XLOOKUP(tblSales[[#This Row],[Category ID]],tblCategories[Category ID],tblCategories[Category])</f>
        <v>Menswear</v>
      </c>
      <c r="H1909">
        <v>12420</v>
      </c>
      <c r="I1909">
        <v>13756</v>
      </c>
      <c r="J1909">
        <v>60</v>
      </c>
      <c r="K1909">
        <f>tblSales[[#This Row],[Sales]]-tblSales[[#This Row],[Budget]]</f>
        <v>-1336</v>
      </c>
      <c r="L1909" s="3">
        <f>(tblSales[[#This Row],[Sales]]-tblSales[[#This Row],[Budget]])/tblSales[[#This Row],[Budget]]</f>
        <v>-9.7121256179121832E-2</v>
      </c>
      <c r="M1909" s="2">
        <f>tblSales[[#This Row],[Sales]]/tblSales[[#This Row],[Transactions]]</f>
        <v>207</v>
      </c>
    </row>
    <row r="1910" spans="1:13" x14ac:dyDescent="0.25">
      <c r="A1910" s="1">
        <v>46118</v>
      </c>
      <c r="B1910" t="s">
        <v>17</v>
      </c>
      <c r="C1910" t="s">
        <v>11</v>
      </c>
      <c r="D1910" t="str">
        <f>_xlfn.XLOOKUP(tblSales[[#This Row],[Store ID]],tblStores[Store ID],tblStores[Store Name])</f>
        <v>Centurion</v>
      </c>
      <c r="E1910" t="str">
        <f>_xlfn.XLOOKUP(tblSales[[#This Row],[Store ID]],tblStores[Store ID],tblStores[Province])</f>
        <v>Gauteng</v>
      </c>
      <c r="F1910" t="str">
        <f>_xlfn.XLOOKUP(tblSales[[#This Row],[Store ID]],tblStores[Store ID],tblStores[Manager])</f>
        <v>Mark Wilson</v>
      </c>
      <c r="G1910" t="str">
        <f>_xlfn.XLOOKUP(tblSales[[#This Row],[Category ID]],tblCategories[Category ID],tblCategories[Category])</f>
        <v>Footwear</v>
      </c>
      <c r="H1910">
        <v>40144</v>
      </c>
      <c r="I1910">
        <v>45885</v>
      </c>
      <c r="J1910">
        <v>208</v>
      </c>
      <c r="K1910">
        <f>tblSales[[#This Row],[Sales]]-tblSales[[#This Row],[Budget]]</f>
        <v>-5741</v>
      </c>
      <c r="L1910" s="3">
        <f>(tblSales[[#This Row],[Sales]]-tblSales[[#This Row],[Budget]])/tblSales[[#This Row],[Budget]]</f>
        <v>-0.1251171406777814</v>
      </c>
      <c r="M1910" s="2">
        <f>tblSales[[#This Row],[Sales]]/tblSales[[#This Row],[Transactions]]</f>
        <v>193</v>
      </c>
    </row>
    <row r="1911" spans="1:13" x14ac:dyDescent="0.25">
      <c r="A1911" s="1">
        <v>46118</v>
      </c>
      <c r="B1911" t="s">
        <v>18</v>
      </c>
      <c r="C1911" t="s">
        <v>11</v>
      </c>
      <c r="D1911" t="str">
        <f>_xlfn.XLOOKUP(tblSales[[#This Row],[Store ID]],tblStores[Store ID],tblStores[Store Name])</f>
        <v>East Rand</v>
      </c>
      <c r="E1911" t="str">
        <f>_xlfn.XLOOKUP(tblSales[[#This Row],[Store ID]],tblStores[Store ID],tblStores[Province])</f>
        <v>Gauteng</v>
      </c>
      <c r="F1911" t="str">
        <f>_xlfn.XLOOKUP(tblSales[[#This Row],[Store ID]],tblStores[Store ID],tblStores[Manager])</f>
        <v>Lisa Young</v>
      </c>
      <c r="G1911" t="str">
        <f>_xlfn.XLOOKUP(tblSales[[#This Row],[Category ID]],tblCategories[Category ID],tblCategories[Category])</f>
        <v>Footwear</v>
      </c>
      <c r="H1911">
        <v>65583</v>
      </c>
      <c r="I1911">
        <v>61528</v>
      </c>
      <c r="J1911">
        <v>189</v>
      </c>
      <c r="K1911">
        <f>tblSales[[#This Row],[Sales]]-tblSales[[#This Row],[Budget]]</f>
        <v>4055</v>
      </c>
      <c r="L1911" s="3">
        <f>(tblSales[[#This Row],[Sales]]-tblSales[[#This Row],[Budget]])/tblSales[[#This Row],[Budget]]</f>
        <v>6.5904953842153169E-2</v>
      </c>
      <c r="M1911" s="2">
        <f>tblSales[[#This Row],[Sales]]/tblSales[[#This Row],[Transactions]]</f>
        <v>347</v>
      </c>
    </row>
    <row r="1912" spans="1:13" x14ac:dyDescent="0.25">
      <c r="A1912" s="1">
        <v>46118</v>
      </c>
      <c r="B1912" t="s">
        <v>20</v>
      </c>
      <c r="C1912" t="s">
        <v>19</v>
      </c>
      <c r="D1912" t="str">
        <f>_xlfn.XLOOKUP(tblSales[[#This Row],[Store ID]],tblStores[Store ID],tblStores[Store Name])</f>
        <v>Cape Town CBD</v>
      </c>
      <c r="E1912" t="str">
        <f>_xlfn.XLOOKUP(tblSales[[#This Row],[Store ID]],tblStores[Store ID],tblStores[Province])</f>
        <v>Western Cape</v>
      </c>
      <c r="F1912" t="str">
        <f>_xlfn.XLOOKUP(tblSales[[#This Row],[Store ID]],tblStores[Store ID],tblStores[Manager])</f>
        <v>Brian Hall</v>
      </c>
      <c r="G1912" t="str">
        <f>_xlfn.XLOOKUP(tblSales[[#This Row],[Category ID]],tblCategories[Category ID],tblCategories[Category])</f>
        <v>Accessories</v>
      </c>
      <c r="H1912">
        <v>44426</v>
      </c>
      <c r="I1912">
        <v>48426</v>
      </c>
      <c r="J1912">
        <v>194</v>
      </c>
      <c r="K1912">
        <f>tblSales[[#This Row],[Sales]]-tblSales[[#This Row],[Budget]]</f>
        <v>-4000</v>
      </c>
      <c r="L1912" s="3">
        <f>(tblSales[[#This Row],[Sales]]-tblSales[[#This Row],[Budget]])/tblSales[[#This Row],[Budget]]</f>
        <v>-8.2600256060793784E-2</v>
      </c>
      <c r="M1912" s="2">
        <f>tblSales[[#This Row],[Sales]]/tblSales[[#This Row],[Transactions]]</f>
        <v>229</v>
      </c>
    </row>
    <row r="1913" spans="1:13" x14ac:dyDescent="0.25">
      <c r="A1913" s="1">
        <v>46118</v>
      </c>
      <c r="B1913" t="s">
        <v>21</v>
      </c>
      <c r="C1913" t="s">
        <v>19</v>
      </c>
      <c r="D1913" t="str">
        <f>_xlfn.XLOOKUP(tblSales[[#This Row],[Store ID]],tblStores[Store ID],tblStores[Store Name])</f>
        <v>Canal Walk</v>
      </c>
      <c r="E1913" t="str">
        <f>_xlfn.XLOOKUP(tblSales[[#This Row],[Store ID]],tblStores[Store ID],tblStores[Province])</f>
        <v>Western Cape</v>
      </c>
      <c r="F1913" t="str">
        <f>_xlfn.XLOOKUP(tblSales[[#This Row],[Store ID]],tblStores[Store ID],tblStores[Manager])</f>
        <v>Megan Scott</v>
      </c>
      <c r="G1913" t="str">
        <f>_xlfn.XLOOKUP(tblSales[[#This Row],[Category ID]],tblCategories[Category ID],tblCategories[Category])</f>
        <v>Accessories</v>
      </c>
      <c r="H1913">
        <v>67298</v>
      </c>
      <c r="I1913">
        <v>63965</v>
      </c>
      <c r="J1913">
        <v>161</v>
      </c>
      <c r="K1913">
        <f>tblSales[[#This Row],[Sales]]-tblSales[[#This Row],[Budget]]</f>
        <v>3333</v>
      </c>
      <c r="L1913" s="3">
        <f>(tblSales[[#This Row],[Sales]]-tblSales[[#This Row],[Budget]])/tblSales[[#This Row],[Budget]]</f>
        <v>5.2106620808254511E-2</v>
      </c>
      <c r="M1913" s="2">
        <f>tblSales[[#This Row],[Sales]]/tblSales[[#This Row],[Transactions]]</f>
        <v>418</v>
      </c>
    </row>
    <row r="1914" spans="1:13" x14ac:dyDescent="0.25">
      <c r="A1914" s="1">
        <v>46118</v>
      </c>
      <c r="B1914" t="s">
        <v>23</v>
      </c>
      <c r="C1914" t="s">
        <v>11</v>
      </c>
      <c r="D1914" t="str">
        <f>_xlfn.XLOOKUP(tblSales[[#This Row],[Store ID]],tblStores[Store ID],tblStores[Store Name])</f>
        <v>Stellenbosch</v>
      </c>
      <c r="E1914" t="str">
        <f>_xlfn.XLOOKUP(tblSales[[#This Row],[Store ID]],tblStores[Store ID],tblStores[Province])</f>
        <v>Western Cape</v>
      </c>
      <c r="F1914" t="str">
        <f>_xlfn.XLOOKUP(tblSales[[#This Row],[Store ID]],tblStores[Store ID],tblStores[Manager])</f>
        <v>Jason King</v>
      </c>
      <c r="G1914" t="str">
        <f>_xlfn.XLOOKUP(tblSales[[#This Row],[Category ID]],tblCategories[Category ID],tblCategories[Category])</f>
        <v>Footwear</v>
      </c>
      <c r="H1914">
        <v>70080</v>
      </c>
      <c r="I1914">
        <v>67656</v>
      </c>
      <c r="J1914">
        <v>160</v>
      </c>
      <c r="K1914">
        <f>tblSales[[#This Row],[Sales]]-tblSales[[#This Row],[Budget]]</f>
        <v>2424</v>
      </c>
      <c r="L1914" s="3">
        <f>(tblSales[[#This Row],[Sales]]-tblSales[[#This Row],[Budget]])/tblSales[[#This Row],[Budget]]</f>
        <v>3.5828307910606601E-2</v>
      </c>
      <c r="M1914" s="2">
        <f>tblSales[[#This Row],[Sales]]/tblSales[[#This Row],[Transactions]]</f>
        <v>438</v>
      </c>
    </row>
    <row r="1915" spans="1:13" x14ac:dyDescent="0.25">
      <c r="A1915" s="1">
        <v>46118</v>
      </c>
      <c r="B1915" t="s">
        <v>24</v>
      </c>
      <c r="C1915" t="s">
        <v>22</v>
      </c>
      <c r="D1915" t="str">
        <f>_xlfn.XLOOKUP(tblSales[[#This Row],[Store ID]],tblStores[Store ID],tblStores[Store Name])</f>
        <v>George</v>
      </c>
      <c r="E1915" t="str">
        <f>_xlfn.XLOOKUP(tblSales[[#This Row],[Store ID]],tblStores[Store ID],tblStores[Province])</f>
        <v>Western Cape</v>
      </c>
      <c r="F1915" t="str">
        <f>_xlfn.XLOOKUP(tblSales[[#This Row],[Store ID]],tblStores[Store ID],tblStores[Manager])</f>
        <v>Chloe Hill</v>
      </c>
      <c r="G1915" t="str">
        <f>_xlfn.XLOOKUP(tblSales[[#This Row],[Category ID]],tblCategories[Category ID],tblCategories[Category])</f>
        <v>Kids</v>
      </c>
      <c r="H1915">
        <v>79407</v>
      </c>
      <c r="I1915">
        <v>71817</v>
      </c>
      <c r="J1915">
        <v>173</v>
      </c>
      <c r="K1915">
        <f>tblSales[[#This Row],[Sales]]-tblSales[[#This Row],[Budget]]</f>
        <v>7590</v>
      </c>
      <c r="L1915" s="3">
        <f>(tblSales[[#This Row],[Sales]]-tblSales[[#This Row],[Budget]])/tblSales[[#This Row],[Budget]]</f>
        <v>0.10568528342871465</v>
      </c>
      <c r="M1915" s="2">
        <f>tblSales[[#This Row],[Sales]]/tblSales[[#This Row],[Transactions]]</f>
        <v>459</v>
      </c>
    </row>
    <row r="1916" spans="1:13" x14ac:dyDescent="0.25">
      <c r="A1916" s="1">
        <v>46118</v>
      </c>
      <c r="B1916" t="s">
        <v>25</v>
      </c>
      <c r="C1916" t="s">
        <v>7</v>
      </c>
      <c r="D1916" t="str">
        <f>_xlfn.XLOOKUP(tblSales[[#This Row],[Store ID]],tblStores[Store ID],tblStores[Store Name])</f>
        <v>Paarl</v>
      </c>
      <c r="E1916" t="str">
        <f>_xlfn.XLOOKUP(tblSales[[#This Row],[Store ID]],tblStores[Store ID],tblStores[Province])</f>
        <v>Western Cape</v>
      </c>
      <c r="F1916" t="str">
        <f>_xlfn.XLOOKUP(tblSales[[#This Row],[Store ID]],tblStores[Store ID],tblStores[Manager])</f>
        <v>Andrew Lee</v>
      </c>
      <c r="G1916" t="str">
        <f>_xlfn.XLOOKUP(tblSales[[#This Row],[Category ID]],tblCategories[Category ID],tblCategories[Category])</f>
        <v>Menswear</v>
      </c>
      <c r="H1916">
        <v>34800</v>
      </c>
      <c r="I1916">
        <v>34657</v>
      </c>
      <c r="J1916">
        <v>145</v>
      </c>
      <c r="K1916">
        <f>tblSales[[#This Row],[Sales]]-tblSales[[#This Row],[Budget]]</f>
        <v>143</v>
      </c>
      <c r="L1916" s="3">
        <f>(tblSales[[#This Row],[Sales]]-tblSales[[#This Row],[Budget]])/tblSales[[#This Row],[Budget]]</f>
        <v>4.1261505612141848E-3</v>
      </c>
      <c r="M1916" s="2">
        <f>tblSales[[#This Row],[Sales]]/tblSales[[#This Row],[Transactions]]</f>
        <v>240</v>
      </c>
    </row>
    <row r="1917" spans="1:13" x14ac:dyDescent="0.25">
      <c r="A1917" s="1">
        <v>46118</v>
      </c>
      <c r="B1917" t="s">
        <v>26</v>
      </c>
      <c r="C1917" t="s">
        <v>22</v>
      </c>
      <c r="D1917" t="str">
        <f>_xlfn.XLOOKUP(tblSales[[#This Row],[Store ID]],tblStores[Store ID],tblStores[Store Name])</f>
        <v>Gqeberha</v>
      </c>
      <c r="E1917" t="str">
        <f>_xlfn.XLOOKUP(tblSales[[#This Row],[Store ID]],tblStores[Store ID],tblStores[Province])</f>
        <v>Eastern Cape</v>
      </c>
      <c r="F1917" t="str">
        <f>_xlfn.XLOOKUP(tblSales[[#This Row],[Store ID]],tblStores[Store ID],tblStores[Manager])</f>
        <v>Emma Baker</v>
      </c>
      <c r="G1917" t="str">
        <f>_xlfn.XLOOKUP(tblSales[[#This Row],[Category ID]],tblCategories[Category ID],tblCategories[Category])</f>
        <v>Kids</v>
      </c>
      <c r="H1917">
        <v>53186</v>
      </c>
      <c r="I1917">
        <v>53979</v>
      </c>
      <c r="J1917">
        <v>131</v>
      </c>
      <c r="K1917">
        <f>tblSales[[#This Row],[Sales]]-tblSales[[#This Row],[Budget]]</f>
        <v>-793</v>
      </c>
      <c r="L1917" s="3">
        <f>(tblSales[[#This Row],[Sales]]-tblSales[[#This Row],[Budget]])/tblSales[[#This Row],[Budget]]</f>
        <v>-1.4690898312306638E-2</v>
      </c>
      <c r="M1917" s="2">
        <f>tblSales[[#This Row],[Sales]]/tblSales[[#This Row],[Transactions]]</f>
        <v>406</v>
      </c>
    </row>
    <row r="1918" spans="1:13" x14ac:dyDescent="0.25">
      <c r="A1918" s="1">
        <v>46118</v>
      </c>
      <c r="B1918" t="s">
        <v>27</v>
      </c>
      <c r="C1918" t="s">
        <v>7</v>
      </c>
      <c r="D1918" t="str">
        <f>_xlfn.XLOOKUP(tblSales[[#This Row],[Store ID]],tblStores[Store ID],tblStores[Store Name])</f>
        <v>East London</v>
      </c>
      <c r="E1918" t="str">
        <f>_xlfn.XLOOKUP(tblSales[[#This Row],[Store ID]],tblStores[Store ID],tblStores[Province])</f>
        <v>Eastern Cape</v>
      </c>
      <c r="F1918" t="str">
        <f>_xlfn.XLOOKUP(tblSales[[#This Row],[Store ID]],tblStores[Store ID],tblStores[Manager])</f>
        <v>Daniel Evans</v>
      </c>
      <c r="G1918" t="str">
        <f>_xlfn.XLOOKUP(tblSales[[#This Row],[Category ID]],tblCategories[Category ID],tblCategories[Category])</f>
        <v>Menswear</v>
      </c>
      <c r="H1918">
        <v>37200</v>
      </c>
      <c r="I1918">
        <v>39612</v>
      </c>
      <c r="J1918">
        <v>80</v>
      </c>
      <c r="K1918">
        <f>tblSales[[#This Row],[Sales]]-tblSales[[#This Row],[Budget]]</f>
        <v>-2412</v>
      </c>
      <c r="L1918" s="3">
        <f>(tblSales[[#This Row],[Sales]]-tblSales[[#This Row],[Budget]])/tblSales[[#This Row],[Budget]]</f>
        <v>-6.0890639200242354E-2</v>
      </c>
      <c r="M1918" s="2">
        <f>tblSales[[#This Row],[Sales]]/tblSales[[#This Row],[Transactions]]</f>
        <v>465</v>
      </c>
    </row>
    <row r="1919" spans="1:13" x14ac:dyDescent="0.25">
      <c r="A1919" s="1">
        <v>46118</v>
      </c>
      <c r="B1919" t="s">
        <v>28</v>
      </c>
      <c r="C1919" t="s">
        <v>22</v>
      </c>
      <c r="D1919" t="str">
        <f>_xlfn.XLOOKUP(tblSales[[#This Row],[Store ID]],tblStores[Store ID],tblStores[Store Name])</f>
        <v>Bloemfontein</v>
      </c>
      <c r="E1919" t="str">
        <f>_xlfn.XLOOKUP(tblSales[[#This Row],[Store ID]],tblStores[Store ID],tblStores[Province])</f>
        <v>Free State</v>
      </c>
      <c r="F1919" t="str">
        <f>_xlfn.XLOOKUP(tblSales[[#This Row],[Store ID]],tblStores[Store ID],tblStores[Manager])</f>
        <v>Rachel Moore</v>
      </c>
      <c r="G1919" t="str">
        <f>_xlfn.XLOOKUP(tblSales[[#This Row],[Category ID]],tblCategories[Category ID],tblCategories[Category])</f>
        <v>Kids</v>
      </c>
      <c r="H1919">
        <v>56760</v>
      </c>
      <c r="I1919">
        <v>58058</v>
      </c>
      <c r="J1919">
        <v>215</v>
      </c>
      <c r="K1919">
        <f>tblSales[[#This Row],[Sales]]-tblSales[[#This Row],[Budget]]</f>
        <v>-1298</v>
      </c>
      <c r="L1919" s="3">
        <f>(tblSales[[#This Row],[Sales]]-tblSales[[#This Row],[Budget]])/tblSales[[#This Row],[Budget]]</f>
        <v>-2.235695339143615E-2</v>
      </c>
      <c r="M1919" s="2">
        <f>tblSales[[#This Row],[Sales]]/tblSales[[#This Row],[Transactions]]</f>
        <v>264</v>
      </c>
    </row>
    <row r="1920" spans="1:13" x14ac:dyDescent="0.25">
      <c r="A1920" s="1">
        <v>46118</v>
      </c>
      <c r="B1920" t="s">
        <v>29</v>
      </c>
      <c r="C1920" t="s">
        <v>9</v>
      </c>
      <c r="D1920" t="str">
        <f>_xlfn.XLOOKUP(tblSales[[#This Row],[Store ID]],tblStores[Store ID],tblStores[Store Name])</f>
        <v>Polokwane</v>
      </c>
      <c r="E1920" t="str">
        <f>_xlfn.XLOOKUP(tblSales[[#This Row],[Store ID]],tblStores[Store ID],tblStores[Province])</f>
        <v>Limpopo</v>
      </c>
      <c r="F1920" t="str">
        <f>_xlfn.XLOOKUP(tblSales[[#This Row],[Store ID]],tblStores[Store ID],tblStores[Manager])</f>
        <v>Kevin Harris</v>
      </c>
      <c r="G1920" t="str">
        <f>_xlfn.XLOOKUP(tblSales[[#This Row],[Category ID]],tblCategories[Category ID],tblCategories[Category])</f>
        <v>Ladieswear</v>
      </c>
      <c r="H1920">
        <v>43206</v>
      </c>
      <c r="I1920">
        <v>44150</v>
      </c>
      <c r="J1920">
        <v>114</v>
      </c>
      <c r="K1920">
        <f>tblSales[[#This Row],[Sales]]-tblSales[[#This Row],[Budget]]</f>
        <v>-944</v>
      </c>
      <c r="L1920" s="3">
        <f>(tblSales[[#This Row],[Sales]]-tblSales[[#This Row],[Budget]])/tblSales[[#This Row],[Budget]]</f>
        <v>-2.1381653454133634E-2</v>
      </c>
      <c r="M1920" s="2">
        <f>tblSales[[#This Row],[Sales]]/tblSales[[#This Row],[Transactions]]</f>
        <v>379</v>
      </c>
    </row>
    <row r="1921" spans="1:13" x14ac:dyDescent="0.25">
      <c r="A1921" s="1">
        <v>46118</v>
      </c>
      <c r="B1921" t="s">
        <v>30</v>
      </c>
      <c r="C1921" t="s">
        <v>7</v>
      </c>
      <c r="D1921" t="str">
        <f>_xlfn.XLOOKUP(tblSales[[#This Row],[Store ID]],tblStores[Store ID],tblStores[Store Name])</f>
        <v>Nelspruit</v>
      </c>
      <c r="E1921" t="str">
        <f>_xlfn.XLOOKUP(tblSales[[#This Row],[Store ID]],tblStores[Store ID],tblStores[Province])</f>
        <v>Mpumalanga</v>
      </c>
      <c r="F1921" t="str">
        <f>_xlfn.XLOOKUP(tblSales[[#This Row],[Store ID]],tblStores[Store ID],tblStores[Manager])</f>
        <v>Olivia Turner</v>
      </c>
      <c r="G1921" t="str">
        <f>_xlfn.XLOOKUP(tblSales[[#This Row],[Category ID]],tblCategories[Category ID],tblCategories[Category])</f>
        <v>Menswear</v>
      </c>
      <c r="H1921">
        <v>77580</v>
      </c>
      <c r="I1921">
        <v>82624</v>
      </c>
      <c r="J1921">
        <v>180</v>
      </c>
      <c r="K1921">
        <f>tblSales[[#This Row],[Sales]]-tblSales[[#This Row],[Budget]]</f>
        <v>-5044</v>
      </c>
      <c r="L1921" s="3">
        <f>(tblSales[[#This Row],[Sales]]-tblSales[[#This Row],[Budget]])/tblSales[[#This Row],[Budget]]</f>
        <v>-6.104763749031758E-2</v>
      </c>
      <c r="M1921" s="2">
        <f>tblSales[[#This Row],[Sales]]/tblSales[[#This Row],[Transactions]]</f>
        <v>431</v>
      </c>
    </row>
    <row r="1922" spans="1:13" x14ac:dyDescent="0.25">
      <c r="A1922" s="1">
        <v>46119</v>
      </c>
      <c r="B1922" t="s">
        <v>6</v>
      </c>
      <c r="C1922" t="s">
        <v>19</v>
      </c>
      <c r="D1922" t="str">
        <f>_xlfn.XLOOKUP(tblSales[[#This Row],[Store ID]],tblStores[Store ID],tblStores[Store Name])</f>
        <v>Durban CBD</v>
      </c>
      <c r="E1922" t="str">
        <f>_xlfn.XLOOKUP(tblSales[[#This Row],[Store ID]],tblStores[Store ID],tblStores[Province])</f>
        <v>KZN</v>
      </c>
      <c r="F1922" t="str">
        <f>_xlfn.XLOOKUP(tblSales[[#This Row],[Store ID]],tblStores[Store ID],tblStores[Manager])</f>
        <v>Sarah Adams</v>
      </c>
      <c r="G1922" t="str">
        <f>_xlfn.XLOOKUP(tblSales[[#This Row],[Category ID]],tblCategories[Category ID],tblCategories[Category])</f>
        <v>Accessories</v>
      </c>
      <c r="H1922">
        <v>76020</v>
      </c>
      <c r="I1922">
        <v>77462</v>
      </c>
      <c r="J1922">
        <v>181</v>
      </c>
      <c r="K1922">
        <f>tblSales[[#This Row],[Sales]]-tblSales[[#This Row],[Budget]]</f>
        <v>-1442</v>
      </c>
      <c r="L1922" s="3">
        <f>(tblSales[[#This Row],[Sales]]-tblSales[[#This Row],[Budget]])/tblSales[[#This Row],[Budget]]</f>
        <v>-1.8615579251762153E-2</v>
      </c>
      <c r="M1922" s="2">
        <f>tblSales[[#This Row],[Sales]]/tblSales[[#This Row],[Transactions]]</f>
        <v>420</v>
      </c>
    </row>
    <row r="1923" spans="1:13" x14ac:dyDescent="0.25">
      <c r="A1923" s="1">
        <v>46119</v>
      </c>
      <c r="B1923" t="s">
        <v>8</v>
      </c>
      <c r="C1923" t="s">
        <v>9</v>
      </c>
      <c r="D1923" t="str">
        <f>_xlfn.XLOOKUP(tblSales[[#This Row],[Store ID]],tblStores[Store ID],tblStores[Store Name])</f>
        <v>Gateway</v>
      </c>
      <c r="E1923" t="str">
        <f>_xlfn.XLOOKUP(tblSales[[#This Row],[Store ID]],tblStores[Store ID],tblStores[Province])</f>
        <v>KZN</v>
      </c>
      <c r="F1923" t="str">
        <f>_xlfn.XLOOKUP(tblSales[[#This Row],[Store ID]],tblStores[Store ID],tblStores[Manager])</f>
        <v>Michael Jones</v>
      </c>
      <c r="G1923" t="str">
        <f>_xlfn.XLOOKUP(tblSales[[#This Row],[Category ID]],tblCategories[Category ID],tblCategories[Category])</f>
        <v>Ladieswear</v>
      </c>
      <c r="H1923">
        <v>34112</v>
      </c>
      <c r="I1923">
        <v>34038</v>
      </c>
      <c r="J1923">
        <v>164</v>
      </c>
      <c r="K1923">
        <f>tblSales[[#This Row],[Sales]]-tblSales[[#This Row],[Budget]]</f>
        <v>74</v>
      </c>
      <c r="L1923" s="3">
        <f>(tblSales[[#This Row],[Sales]]-tblSales[[#This Row],[Budget]])/tblSales[[#This Row],[Budget]]</f>
        <v>2.1740407779540514E-3</v>
      </c>
      <c r="M1923" s="2">
        <f>tblSales[[#This Row],[Sales]]/tblSales[[#This Row],[Transactions]]</f>
        <v>208</v>
      </c>
    </row>
    <row r="1924" spans="1:13" x14ac:dyDescent="0.25">
      <c r="A1924" s="1">
        <v>46119</v>
      </c>
      <c r="B1924" t="s">
        <v>10</v>
      </c>
      <c r="C1924" t="s">
        <v>11</v>
      </c>
      <c r="D1924" t="str">
        <f>_xlfn.XLOOKUP(tblSales[[#This Row],[Store ID]],tblStores[Store ID],tblStores[Store Name])</f>
        <v>Ballito</v>
      </c>
      <c r="E1924" t="str">
        <f>_xlfn.XLOOKUP(tblSales[[#This Row],[Store ID]],tblStores[Store ID],tblStores[Province])</f>
        <v>KZN</v>
      </c>
      <c r="F1924" t="str">
        <f>_xlfn.XLOOKUP(tblSales[[#This Row],[Store ID]],tblStores[Store ID],tblStores[Manager])</f>
        <v>Linda Smith</v>
      </c>
      <c r="G1924" t="str">
        <f>_xlfn.XLOOKUP(tblSales[[#This Row],[Category ID]],tblCategories[Category ID],tblCategories[Category])</f>
        <v>Footwear</v>
      </c>
      <c r="H1924">
        <v>69378</v>
      </c>
      <c r="I1924">
        <v>73140</v>
      </c>
      <c r="J1924">
        <v>186</v>
      </c>
      <c r="K1924">
        <f>tblSales[[#This Row],[Sales]]-tblSales[[#This Row],[Budget]]</f>
        <v>-3762</v>
      </c>
      <c r="L1924" s="3">
        <f>(tblSales[[#This Row],[Sales]]-tblSales[[#This Row],[Budget]])/tblSales[[#This Row],[Budget]]</f>
        <v>-5.1435602953240359E-2</v>
      </c>
      <c r="M1924" s="2">
        <f>tblSales[[#This Row],[Sales]]/tblSales[[#This Row],[Transactions]]</f>
        <v>373</v>
      </c>
    </row>
    <row r="1925" spans="1:13" x14ac:dyDescent="0.25">
      <c r="A1925" s="1">
        <v>46119</v>
      </c>
      <c r="B1925" t="s">
        <v>12</v>
      </c>
      <c r="C1925" t="s">
        <v>22</v>
      </c>
      <c r="D1925" t="str">
        <f>_xlfn.XLOOKUP(tblSales[[#This Row],[Store ID]],tblStores[Store ID],tblStores[Store Name])</f>
        <v>Pietermaritzburg</v>
      </c>
      <c r="E1925" t="str">
        <f>_xlfn.XLOOKUP(tblSales[[#This Row],[Store ID]],tblStores[Store ID],tblStores[Province])</f>
        <v>KZN</v>
      </c>
      <c r="F1925" t="str">
        <f>_xlfn.XLOOKUP(tblSales[[#This Row],[Store ID]],tblStores[Store ID],tblStores[Manager])</f>
        <v>Peter Brown</v>
      </c>
      <c r="G1925" t="str">
        <f>_xlfn.XLOOKUP(tblSales[[#This Row],[Category ID]],tblCategories[Category ID],tblCategories[Category])</f>
        <v>Kids</v>
      </c>
      <c r="H1925">
        <v>36808</v>
      </c>
      <c r="I1925">
        <v>33692</v>
      </c>
      <c r="J1925">
        <v>107</v>
      </c>
      <c r="K1925">
        <f>tblSales[[#This Row],[Sales]]-tblSales[[#This Row],[Budget]]</f>
        <v>3116</v>
      </c>
      <c r="L1925" s="3">
        <f>(tblSales[[#This Row],[Sales]]-tblSales[[#This Row],[Budget]])/tblSales[[#This Row],[Budget]]</f>
        <v>9.2484862875460053E-2</v>
      </c>
      <c r="M1925" s="2">
        <f>tblSales[[#This Row],[Sales]]/tblSales[[#This Row],[Transactions]]</f>
        <v>344</v>
      </c>
    </row>
    <row r="1926" spans="1:13" x14ac:dyDescent="0.25">
      <c r="A1926" s="1">
        <v>46119</v>
      </c>
      <c r="B1926" t="s">
        <v>13</v>
      </c>
      <c r="C1926" t="s">
        <v>19</v>
      </c>
      <c r="D1926" t="str">
        <f>_xlfn.XLOOKUP(tblSales[[#This Row],[Store ID]],tblStores[Store ID],tblStores[Store Name])</f>
        <v>Richards Bay</v>
      </c>
      <c r="E1926" t="str">
        <f>_xlfn.XLOOKUP(tblSales[[#This Row],[Store ID]],tblStores[Store ID],tblStores[Province])</f>
        <v>KZN</v>
      </c>
      <c r="F1926" t="str">
        <f>_xlfn.XLOOKUP(tblSales[[#This Row],[Store ID]],tblStores[Store ID],tblStores[Manager])</f>
        <v>David Green</v>
      </c>
      <c r="G1926" t="str">
        <f>_xlfn.XLOOKUP(tblSales[[#This Row],[Category ID]],tblCategories[Category ID],tblCategories[Category])</f>
        <v>Accessories</v>
      </c>
      <c r="H1926">
        <v>11270</v>
      </c>
      <c r="I1926">
        <v>12501</v>
      </c>
      <c r="J1926">
        <v>46</v>
      </c>
      <c r="K1926">
        <f>tblSales[[#This Row],[Sales]]-tblSales[[#This Row],[Budget]]</f>
        <v>-1231</v>
      </c>
      <c r="L1926" s="3">
        <f>(tblSales[[#This Row],[Sales]]-tblSales[[#This Row],[Budget]])/tblSales[[#This Row],[Budget]]</f>
        <v>-9.8472122230221587E-2</v>
      </c>
      <c r="M1926" s="2">
        <f>tblSales[[#This Row],[Sales]]/tblSales[[#This Row],[Transactions]]</f>
        <v>245</v>
      </c>
    </row>
    <row r="1927" spans="1:13" x14ac:dyDescent="0.25">
      <c r="A1927" s="1">
        <v>46119</v>
      </c>
      <c r="B1927" t="s">
        <v>14</v>
      </c>
      <c r="C1927" t="s">
        <v>22</v>
      </c>
      <c r="D1927" t="str">
        <f>_xlfn.XLOOKUP(tblSales[[#This Row],[Store ID]],tblStores[Store ID],tblStores[Store Name])</f>
        <v>Sandton</v>
      </c>
      <c r="E1927" t="str">
        <f>_xlfn.XLOOKUP(tblSales[[#This Row],[Store ID]],tblStores[Store ID],tblStores[Province])</f>
        <v>Gauteng</v>
      </c>
      <c r="F1927" t="str">
        <f>_xlfn.XLOOKUP(tblSales[[#This Row],[Store ID]],tblStores[Store ID],tblStores[Manager])</f>
        <v>Karen White</v>
      </c>
      <c r="G1927" t="str">
        <f>_xlfn.XLOOKUP(tblSales[[#This Row],[Category ID]],tblCategories[Category ID],tblCategories[Category])</f>
        <v>Kids</v>
      </c>
      <c r="H1927">
        <v>35512</v>
      </c>
      <c r="I1927">
        <v>38754</v>
      </c>
      <c r="J1927">
        <v>184</v>
      </c>
      <c r="K1927">
        <f>tblSales[[#This Row],[Sales]]-tblSales[[#This Row],[Budget]]</f>
        <v>-3242</v>
      </c>
      <c r="L1927" s="3">
        <f>(tblSales[[#This Row],[Sales]]-tblSales[[#This Row],[Budget]])/tblSales[[#This Row],[Budget]]</f>
        <v>-8.3655880683284306E-2</v>
      </c>
      <c r="M1927" s="2">
        <f>tblSales[[#This Row],[Sales]]/tblSales[[#This Row],[Transactions]]</f>
        <v>193</v>
      </c>
    </row>
    <row r="1928" spans="1:13" x14ac:dyDescent="0.25">
      <c r="A1928" s="1">
        <v>46119</v>
      </c>
      <c r="B1928" t="s">
        <v>15</v>
      </c>
      <c r="C1928" t="s">
        <v>22</v>
      </c>
      <c r="D1928" t="str">
        <f>_xlfn.XLOOKUP(tblSales[[#This Row],[Store ID]],tblStores[Store ID],tblStores[Store Name])</f>
        <v>Rosebank</v>
      </c>
      <c r="E1928" t="str">
        <f>_xlfn.XLOOKUP(tblSales[[#This Row],[Store ID]],tblStores[Store ID],tblStores[Province])</f>
        <v>Gauteng</v>
      </c>
      <c r="F1928" t="str">
        <f>_xlfn.XLOOKUP(tblSales[[#This Row],[Store ID]],tblStores[Store ID],tblStores[Manager])</f>
        <v>James Taylor</v>
      </c>
      <c r="G1928" t="str">
        <f>_xlfn.XLOOKUP(tblSales[[#This Row],[Category ID]],tblCategories[Category ID],tblCategories[Category])</f>
        <v>Kids</v>
      </c>
      <c r="H1928">
        <v>30228</v>
      </c>
      <c r="I1928">
        <v>30440</v>
      </c>
      <c r="J1928">
        <v>132</v>
      </c>
      <c r="K1928">
        <f>tblSales[[#This Row],[Sales]]-tblSales[[#This Row],[Budget]]</f>
        <v>-212</v>
      </c>
      <c r="L1928" s="3">
        <f>(tblSales[[#This Row],[Sales]]-tblSales[[#This Row],[Budget]])/tblSales[[#This Row],[Budget]]</f>
        <v>-6.9645203679369249E-3</v>
      </c>
      <c r="M1928" s="2">
        <f>tblSales[[#This Row],[Sales]]/tblSales[[#This Row],[Transactions]]</f>
        <v>229</v>
      </c>
    </row>
    <row r="1929" spans="1:13" x14ac:dyDescent="0.25">
      <c r="A1929" s="1">
        <v>46119</v>
      </c>
      <c r="B1929" t="s">
        <v>16</v>
      </c>
      <c r="C1929" t="s">
        <v>22</v>
      </c>
      <c r="D1929" t="str">
        <f>_xlfn.XLOOKUP(tblSales[[#This Row],[Store ID]],tblStores[Store ID],tblStores[Store Name])</f>
        <v>Pretoria</v>
      </c>
      <c r="E1929" t="str">
        <f>_xlfn.XLOOKUP(tblSales[[#This Row],[Store ID]],tblStores[Store ID],tblStores[Province])</f>
        <v>Gauteng</v>
      </c>
      <c r="F1929" t="str">
        <f>_xlfn.XLOOKUP(tblSales[[#This Row],[Store ID]],tblStores[Store ID],tblStores[Manager])</f>
        <v>Susan Clark</v>
      </c>
      <c r="G1929" t="str">
        <f>_xlfn.XLOOKUP(tblSales[[#This Row],[Category ID]],tblCategories[Category ID],tblCategories[Category])</f>
        <v>Kids</v>
      </c>
      <c r="H1929">
        <v>50260</v>
      </c>
      <c r="I1929">
        <v>45943</v>
      </c>
      <c r="J1929">
        <v>140</v>
      </c>
      <c r="K1929">
        <f>tblSales[[#This Row],[Sales]]-tblSales[[#This Row],[Budget]]</f>
        <v>4317</v>
      </c>
      <c r="L1929" s="3">
        <f>(tblSales[[#This Row],[Sales]]-tblSales[[#This Row],[Budget]])/tblSales[[#This Row],[Budget]]</f>
        <v>9.3964260061380409E-2</v>
      </c>
      <c r="M1929" s="2">
        <f>tblSales[[#This Row],[Sales]]/tblSales[[#This Row],[Transactions]]</f>
        <v>359</v>
      </c>
    </row>
    <row r="1930" spans="1:13" x14ac:dyDescent="0.25">
      <c r="A1930" s="1">
        <v>46119</v>
      </c>
      <c r="B1930" t="s">
        <v>17</v>
      </c>
      <c r="C1930" t="s">
        <v>9</v>
      </c>
      <c r="D1930" t="str">
        <f>_xlfn.XLOOKUP(tblSales[[#This Row],[Store ID]],tblStores[Store ID],tblStores[Store Name])</f>
        <v>Centurion</v>
      </c>
      <c r="E1930" t="str">
        <f>_xlfn.XLOOKUP(tblSales[[#This Row],[Store ID]],tblStores[Store ID],tblStores[Province])</f>
        <v>Gauteng</v>
      </c>
      <c r="F1930" t="str">
        <f>_xlfn.XLOOKUP(tblSales[[#This Row],[Store ID]],tblStores[Store ID],tblStores[Manager])</f>
        <v>Mark Wilson</v>
      </c>
      <c r="G1930" t="str">
        <f>_xlfn.XLOOKUP(tblSales[[#This Row],[Category ID]],tblCategories[Category ID],tblCategories[Category])</f>
        <v>Ladieswear</v>
      </c>
      <c r="H1930">
        <v>29400</v>
      </c>
      <c r="I1930">
        <v>31223</v>
      </c>
      <c r="J1930">
        <v>98</v>
      </c>
      <c r="K1930">
        <f>tblSales[[#This Row],[Sales]]-tblSales[[#This Row],[Budget]]</f>
        <v>-1823</v>
      </c>
      <c r="L1930" s="3">
        <f>(tblSales[[#This Row],[Sales]]-tblSales[[#This Row],[Budget]])/tblSales[[#This Row],[Budget]]</f>
        <v>-5.8386445889248309E-2</v>
      </c>
      <c r="M1930" s="2">
        <f>tblSales[[#This Row],[Sales]]/tblSales[[#This Row],[Transactions]]</f>
        <v>300</v>
      </c>
    </row>
    <row r="1931" spans="1:13" x14ac:dyDescent="0.25">
      <c r="A1931" s="1">
        <v>46119</v>
      </c>
      <c r="B1931" t="s">
        <v>18</v>
      </c>
      <c r="C1931" t="s">
        <v>19</v>
      </c>
      <c r="D1931" t="str">
        <f>_xlfn.XLOOKUP(tblSales[[#This Row],[Store ID]],tblStores[Store ID],tblStores[Store Name])</f>
        <v>East Rand</v>
      </c>
      <c r="E1931" t="str">
        <f>_xlfn.XLOOKUP(tblSales[[#This Row],[Store ID]],tblStores[Store ID],tblStores[Province])</f>
        <v>Gauteng</v>
      </c>
      <c r="F1931" t="str">
        <f>_xlfn.XLOOKUP(tblSales[[#This Row],[Store ID]],tblStores[Store ID],tblStores[Manager])</f>
        <v>Lisa Young</v>
      </c>
      <c r="G1931" t="str">
        <f>_xlfn.XLOOKUP(tblSales[[#This Row],[Category ID]],tblCategories[Category ID],tblCategories[Category])</f>
        <v>Accessories</v>
      </c>
      <c r="H1931">
        <v>11928</v>
      </c>
      <c r="I1931">
        <v>13326</v>
      </c>
      <c r="J1931">
        <v>56</v>
      </c>
      <c r="K1931">
        <f>tblSales[[#This Row],[Sales]]-tblSales[[#This Row],[Budget]]</f>
        <v>-1398</v>
      </c>
      <c r="L1931" s="3">
        <f>(tblSales[[#This Row],[Sales]]-tblSales[[#This Row],[Budget]])/tblSales[[#This Row],[Budget]]</f>
        <v>-0.10490769923457902</v>
      </c>
      <c r="M1931" s="2">
        <f>tblSales[[#This Row],[Sales]]/tblSales[[#This Row],[Transactions]]</f>
        <v>213</v>
      </c>
    </row>
    <row r="1932" spans="1:13" x14ac:dyDescent="0.25">
      <c r="A1932" s="1">
        <v>46119</v>
      </c>
      <c r="B1932" t="s">
        <v>20</v>
      </c>
      <c r="C1932" t="s">
        <v>7</v>
      </c>
      <c r="D1932" t="str">
        <f>_xlfn.XLOOKUP(tblSales[[#This Row],[Store ID]],tblStores[Store ID],tblStores[Store Name])</f>
        <v>Cape Town CBD</v>
      </c>
      <c r="E1932" t="str">
        <f>_xlfn.XLOOKUP(tblSales[[#This Row],[Store ID]],tblStores[Store ID],tblStores[Province])</f>
        <v>Western Cape</v>
      </c>
      <c r="F1932" t="str">
        <f>_xlfn.XLOOKUP(tblSales[[#This Row],[Store ID]],tblStores[Store ID],tblStores[Manager])</f>
        <v>Brian Hall</v>
      </c>
      <c r="G1932" t="str">
        <f>_xlfn.XLOOKUP(tblSales[[#This Row],[Category ID]],tblCategories[Category ID],tblCategories[Category])</f>
        <v>Menswear</v>
      </c>
      <c r="H1932">
        <v>32186</v>
      </c>
      <c r="I1932">
        <v>29126</v>
      </c>
      <c r="J1932">
        <v>121</v>
      </c>
      <c r="K1932">
        <f>tblSales[[#This Row],[Sales]]-tblSales[[#This Row],[Budget]]</f>
        <v>3060</v>
      </c>
      <c r="L1932" s="3">
        <f>(tblSales[[#This Row],[Sales]]-tblSales[[#This Row],[Budget]])/tblSales[[#This Row],[Budget]]</f>
        <v>0.10506077044564993</v>
      </c>
      <c r="M1932" s="2">
        <f>tblSales[[#This Row],[Sales]]/tblSales[[#This Row],[Transactions]]</f>
        <v>266</v>
      </c>
    </row>
    <row r="1933" spans="1:13" x14ac:dyDescent="0.25">
      <c r="A1933" s="1">
        <v>46119</v>
      </c>
      <c r="B1933" t="s">
        <v>21</v>
      </c>
      <c r="C1933" t="s">
        <v>22</v>
      </c>
      <c r="D1933" t="str">
        <f>_xlfn.XLOOKUP(tblSales[[#This Row],[Store ID]],tblStores[Store ID],tblStores[Store Name])</f>
        <v>Canal Walk</v>
      </c>
      <c r="E1933" t="str">
        <f>_xlfn.XLOOKUP(tblSales[[#This Row],[Store ID]],tblStores[Store ID],tblStores[Province])</f>
        <v>Western Cape</v>
      </c>
      <c r="F1933" t="str">
        <f>_xlfn.XLOOKUP(tblSales[[#This Row],[Store ID]],tblStores[Store ID],tblStores[Manager])</f>
        <v>Megan Scott</v>
      </c>
      <c r="G1933" t="str">
        <f>_xlfn.XLOOKUP(tblSales[[#This Row],[Category ID]],tblCategories[Category ID],tblCategories[Category])</f>
        <v>Kids</v>
      </c>
      <c r="H1933">
        <v>18260</v>
      </c>
      <c r="I1933">
        <v>19436</v>
      </c>
      <c r="J1933">
        <v>44</v>
      </c>
      <c r="K1933">
        <f>tblSales[[#This Row],[Sales]]-tblSales[[#This Row],[Budget]]</f>
        <v>-1176</v>
      </c>
      <c r="L1933" s="3">
        <f>(tblSales[[#This Row],[Sales]]-tblSales[[#This Row],[Budget]])/tblSales[[#This Row],[Budget]]</f>
        <v>-6.0506277011730808E-2</v>
      </c>
      <c r="M1933" s="2">
        <f>tblSales[[#This Row],[Sales]]/tblSales[[#This Row],[Transactions]]</f>
        <v>415</v>
      </c>
    </row>
    <row r="1934" spans="1:13" x14ac:dyDescent="0.25">
      <c r="A1934" s="1">
        <v>46119</v>
      </c>
      <c r="B1934" t="s">
        <v>23</v>
      </c>
      <c r="C1934" t="s">
        <v>11</v>
      </c>
      <c r="D1934" t="str">
        <f>_xlfn.XLOOKUP(tblSales[[#This Row],[Store ID]],tblStores[Store ID],tblStores[Store Name])</f>
        <v>Stellenbosch</v>
      </c>
      <c r="E1934" t="str">
        <f>_xlfn.XLOOKUP(tblSales[[#This Row],[Store ID]],tblStores[Store ID],tblStores[Province])</f>
        <v>Western Cape</v>
      </c>
      <c r="F1934" t="str">
        <f>_xlfn.XLOOKUP(tblSales[[#This Row],[Store ID]],tblStores[Store ID],tblStores[Manager])</f>
        <v>Jason King</v>
      </c>
      <c r="G1934" t="str">
        <f>_xlfn.XLOOKUP(tblSales[[#This Row],[Category ID]],tblCategories[Category ID],tblCategories[Category])</f>
        <v>Footwear</v>
      </c>
      <c r="H1934">
        <v>79740</v>
      </c>
      <c r="I1934">
        <v>89735</v>
      </c>
      <c r="J1934">
        <v>180</v>
      </c>
      <c r="K1934">
        <f>tblSales[[#This Row],[Sales]]-tblSales[[#This Row],[Budget]]</f>
        <v>-9995</v>
      </c>
      <c r="L1934" s="3">
        <f>(tblSales[[#This Row],[Sales]]-tblSales[[#This Row],[Budget]])/tblSales[[#This Row],[Budget]]</f>
        <v>-0.11138351813673594</v>
      </c>
      <c r="M1934" s="2">
        <f>tblSales[[#This Row],[Sales]]/tblSales[[#This Row],[Transactions]]</f>
        <v>443</v>
      </c>
    </row>
    <row r="1935" spans="1:13" x14ac:dyDescent="0.25">
      <c r="A1935" s="1">
        <v>46119</v>
      </c>
      <c r="B1935" t="s">
        <v>24</v>
      </c>
      <c r="C1935" t="s">
        <v>22</v>
      </c>
      <c r="D1935" t="str">
        <f>_xlfn.XLOOKUP(tblSales[[#This Row],[Store ID]],tblStores[Store ID],tblStores[Store Name])</f>
        <v>George</v>
      </c>
      <c r="E1935" t="str">
        <f>_xlfn.XLOOKUP(tblSales[[#This Row],[Store ID]],tblStores[Store ID],tblStores[Province])</f>
        <v>Western Cape</v>
      </c>
      <c r="F1935" t="str">
        <f>_xlfn.XLOOKUP(tblSales[[#This Row],[Store ID]],tblStores[Store ID],tblStores[Manager])</f>
        <v>Chloe Hill</v>
      </c>
      <c r="G1935" t="str">
        <f>_xlfn.XLOOKUP(tblSales[[#This Row],[Category ID]],tblCategories[Category ID],tblCategories[Category])</f>
        <v>Kids</v>
      </c>
      <c r="H1935">
        <v>16800</v>
      </c>
      <c r="I1935">
        <v>17589</v>
      </c>
      <c r="J1935">
        <v>40</v>
      </c>
      <c r="K1935">
        <f>tblSales[[#This Row],[Sales]]-tblSales[[#This Row],[Budget]]</f>
        <v>-789</v>
      </c>
      <c r="L1935" s="3">
        <f>(tblSales[[#This Row],[Sales]]-tblSales[[#This Row],[Budget]])/tblSales[[#This Row],[Budget]]</f>
        <v>-4.4857581442947297E-2</v>
      </c>
      <c r="M1935" s="2">
        <f>tblSales[[#This Row],[Sales]]/tblSales[[#This Row],[Transactions]]</f>
        <v>420</v>
      </c>
    </row>
    <row r="1936" spans="1:13" x14ac:dyDescent="0.25">
      <c r="A1936" s="1">
        <v>46119</v>
      </c>
      <c r="B1936" t="s">
        <v>25</v>
      </c>
      <c r="C1936" t="s">
        <v>22</v>
      </c>
      <c r="D1936" t="str">
        <f>_xlfn.XLOOKUP(tblSales[[#This Row],[Store ID]],tblStores[Store ID],tblStores[Store Name])</f>
        <v>Paarl</v>
      </c>
      <c r="E1936" t="str">
        <f>_xlfn.XLOOKUP(tblSales[[#This Row],[Store ID]],tblStores[Store ID],tblStores[Province])</f>
        <v>Western Cape</v>
      </c>
      <c r="F1936" t="str">
        <f>_xlfn.XLOOKUP(tblSales[[#This Row],[Store ID]],tblStores[Store ID],tblStores[Manager])</f>
        <v>Andrew Lee</v>
      </c>
      <c r="G1936" t="str">
        <f>_xlfn.XLOOKUP(tblSales[[#This Row],[Category ID]],tblCategories[Category ID],tblCategories[Category])</f>
        <v>Kids</v>
      </c>
      <c r="H1936">
        <v>61832</v>
      </c>
      <c r="I1936">
        <v>61682</v>
      </c>
      <c r="J1936">
        <v>131</v>
      </c>
      <c r="K1936">
        <f>tblSales[[#This Row],[Sales]]-tblSales[[#This Row],[Budget]]</f>
        <v>150</v>
      </c>
      <c r="L1936" s="3">
        <f>(tblSales[[#This Row],[Sales]]-tblSales[[#This Row],[Budget]])/tblSales[[#This Row],[Budget]]</f>
        <v>2.4318277617457282E-3</v>
      </c>
      <c r="M1936" s="2">
        <f>tblSales[[#This Row],[Sales]]/tblSales[[#This Row],[Transactions]]</f>
        <v>472</v>
      </c>
    </row>
    <row r="1937" spans="1:13" x14ac:dyDescent="0.25">
      <c r="A1937" s="1">
        <v>46119</v>
      </c>
      <c r="B1937" t="s">
        <v>26</v>
      </c>
      <c r="C1937" t="s">
        <v>19</v>
      </c>
      <c r="D1937" t="str">
        <f>_xlfn.XLOOKUP(tblSales[[#This Row],[Store ID]],tblStores[Store ID],tblStores[Store Name])</f>
        <v>Gqeberha</v>
      </c>
      <c r="E1937" t="str">
        <f>_xlfn.XLOOKUP(tblSales[[#This Row],[Store ID]],tblStores[Store ID],tblStores[Province])</f>
        <v>Eastern Cape</v>
      </c>
      <c r="F1937" t="str">
        <f>_xlfn.XLOOKUP(tblSales[[#This Row],[Store ID]],tblStores[Store ID],tblStores[Manager])</f>
        <v>Emma Baker</v>
      </c>
      <c r="G1937" t="str">
        <f>_xlfn.XLOOKUP(tblSales[[#This Row],[Category ID]],tblCategories[Category ID],tblCategories[Category])</f>
        <v>Accessories</v>
      </c>
      <c r="H1937">
        <v>25800</v>
      </c>
      <c r="I1937">
        <v>23865</v>
      </c>
      <c r="J1937">
        <v>60</v>
      </c>
      <c r="K1937">
        <f>tblSales[[#This Row],[Sales]]-tblSales[[#This Row],[Budget]]</f>
        <v>1935</v>
      </c>
      <c r="L1937" s="3">
        <f>(tblSales[[#This Row],[Sales]]-tblSales[[#This Row],[Budget]])/tblSales[[#This Row],[Budget]]</f>
        <v>8.1081081081081086E-2</v>
      </c>
      <c r="M1937" s="2">
        <f>tblSales[[#This Row],[Sales]]/tblSales[[#This Row],[Transactions]]</f>
        <v>430</v>
      </c>
    </row>
    <row r="1938" spans="1:13" x14ac:dyDescent="0.25">
      <c r="A1938" s="1">
        <v>46119</v>
      </c>
      <c r="B1938" t="s">
        <v>27</v>
      </c>
      <c r="C1938" t="s">
        <v>9</v>
      </c>
      <c r="D1938" t="str">
        <f>_xlfn.XLOOKUP(tblSales[[#This Row],[Store ID]],tblStores[Store ID],tblStores[Store Name])</f>
        <v>East London</v>
      </c>
      <c r="E1938" t="str">
        <f>_xlfn.XLOOKUP(tblSales[[#This Row],[Store ID]],tblStores[Store ID],tblStores[Province])</f>
        <v>Eastern Cape</v>
      </c>
      <c r="F1938" t="str">
        <f>_xlfn.XLOOKUP(tblSales[[#This Row],[Store ID]],tblStores[Store ID],tblStores[Manager])</f>
        <v>Daniel Evans</v>
      </c>
      <c r="G1938" t="str">
        <f>_xlfn.XLOOKUP(tblSales[[#This Row],[Category ID]],tblCategories[Category ID],tblCategories[Category])</f>
        <v>Ladieswear</v>
      </c>
      <c r="H1938">
        <v>52514</v>
      </c>
      <c r="I1938">
        <v>53863</v>
      </c>
      <c r="J1938">
        <v>121</v>
      </c>
      <c r="K1938">
        <f>tblSales[[#This Row],[Sales]]-tblSales[[#This Row],[Budget]]</f>
        <v>-1349</v>
      </c>
      <c r="L1938" s="3">
        <f>(tblSales[[#This Row],[Sales]]-tblSales[[#This Row],[Budget]])/tblSales[[#This Row],[Budget]]</f>
        <v>-2.5045021628947516E-2</v>
      </c>
      <c r="M1938" s="2">
        <f>tblSales[[#This Row],[Sales]]/tblSales[[#This Row],[Transactions]]</f>
        <v>434</v>
      </c>
    </row>
    <row r="1939" spans="1:13" x14ac:dyDescent="0.25">
      <c r="A1939" s="1">
        <v>46119</v>
      </c>
      <c r="B1939" t="s">
        <v>28</v>
      </c>
      <c r="C1939" t="s">
        <v>22</v>
      </c>
      <c r="D1939" t="str">
        <f>_xlfn.XLOOKUP(tblSales[[#This Row],[Store ID]],tblStores[Store ID],tblStores[Store Name])</f>
        <v>Bloemfontein</v>
      </c>
      <c r="E1939" t="str">
        <f>_xlfn.XLOOKUP(tblSales[[#This Row],[Store ID]],tblStores[Store ID],tblStores[Province])</f>
        <v>Free State</v>
      </c>
      <c r="F1939" t="str">
        <f>_xlfn.XLOOKUP(tblSales[[#This Row],[Store ID]],tblStores[Store ID],tblStores[Manager])</f>
        <v>Rachel Moore</v>
      </c>
      <c r="G1939" t="str">
        <f>_xlfn.XLOOKUP(tblSales[[#This Row],[Category ID]],tblCategories[Category ID],tblCategories[Category])</f>
        <v>Kids</v>
      </c>
      <c r="H1939">
        <v>38038</v>
      </c>
      <c r="I1939">
        <v>37082</v>
      </c>
      <c r="J1939">
        <v>77</v>
      </c>
      <c r="K1939">
        <f>tblSales[[#This Row],[Sales]]-tblSales[[#This Row],[Budget]]</f>
        <v>956</v>
      </c>
      <c r="L1939" s="3">
        <f>(tblSales[[#This Row],[Sales]]-tblSales[[#This Row],[Budget]])/tblSales[[#This Row],[Budget]]</f>
        <v>2.578070222749582E-2</v>
      </c>
      <c r="M1939" s="2">
        <f>tblSales[[#This Row],[Sales]]/tblSales[[#This Row],[Transactions]]</f>
        <v>494</v>
      </c>
    </row>
    <row r="1940" spans="1:13" x14ac:dyDescent="0.25">
      <c r="A1940" s="1">
        <v>46119</v>
      </c>
      <c r="B1940" t="s">
        <v>29</v>
      </c>
      <c r="C1940" t="s">
        <v>11</v>
      </c>
      <c r="D1940" t="str">
        <f>_xlfn.XLOOKUP(tblSales[[#This Row],[Store ID]],tblStores[Store ID],tblStores[Store Name])</f>
        <v>Polokwane</v>
      </c>
      <c r="E1940" t="str">
        <f>_xlfn.XLOOKUP(tblSales[[#This Row],[Store ID]],tblStores[Store ID],tblStores[Province])</f>
        <v>Limpopo</v>
      </c>
      <c r="F1940" t="str">
        <f>_xlfn.XLOOKUP(tblSales[[#This Row],[Store ID]],tblStores[Store ID],tblStores[Manager])</f>
        <v>Kevin Harris</v>
      </c>
      <c r="G1940" t="str">
        <f>_xlfn.XLOOKUP(tblSales[[#This Row],[Category ID]],tblCategories[Category ID],tblCategories[Category])</f>
        <v>Footwear</v>
      </c>
      <c r="H1940">
        <v>37324</v>
      </c>
      <c r="I1940">
        <v>39520</v>
      </c>
      <c r="J1940">
        <v>86</v>
      </c>
      <c r="K1940">
        <f>tblSales[[#This Row],[Sales]]-tblSales[[#This Row],[Budget]]</f>
        <v>-2196</v>
      </c>
      <c r="L1940" s="3">
        <f>(tblSales[[#This Row],[Sales]]-tblSales[[#This Row],[Budget]])/tblSales[[#This Row],[Budget]]</f>
        <v>-5.5566801619433198E-2</v>
      </c>
      <c r="M1940" s="2">
        <f>tblSales[[#This Row],[Sales]]/tblSales[[#This Row],[Transactions]]</f>
        <v>434</v>
      </c>
    </row>
    <row r="1941" spans="1:13" x14ac:dyDescent="0.25">
      <c r="A1941" s="1">
        <v>46119</v>
      </c>
      <c r="B1941" t="s">
        <v>30</v>
      </c>
      <c r="C1941" t="s">
        <v>7</v>
      </c>
      <c r="D1941" t="str">
        <f>_xlfn.XLOOKUP(tblSales[[#This Row],[Store ID]],tblStores[Store ID],tblStores[Store Name])</f>
        <v>Nelspruit</v>
      </c>
      <c r="E1941" t="str">
        <f>_xlfn.XLOOKUP(tblSales[[#This Row],[Store ID]],tblStores[Store ID],tblStores[Province])</f>
        <v>Mpumalanga</v>
      </c>
      <c r="F1941" t="str">
        <f>_xlfn.XLOOKUP(tblSales[[#This Row],[Store ID]],tblStores[Store ID],tblStores[Manager])</f>
        <v>Olivia Turner</v>
      </c>
      <c r="G1941" t="str">
        <f>_xlfn.XLOOKUP(tblSales[[#This Row],[Category ID]],tblCategories[Category ID],tblCategories[Category])</f>
        <v>Menswear</v>
      </c>
      <c r="H1941">
        <v>49708</v>
      </c>
      <c r="I1941">
        <v>48308</v>
      </c>
      <c r="J1941">
        <v>172</v>
      </c>
      <c r="K1941">
        <f>tblSales[[#This Row],[Sales]]-tblSales[[#This Row],[Budget]]</f>
        <v>1400</v>
      </c>
      <c r="L1941" s="3">
        <f>(tblSales[[#This Row],[Sales]]-tblSales[[#This Row],[Budget]])/tblSales[[#This Row],[Budget]]</f>
        <v>2.8980707129253953E-2</v>
      </c>
      <c r="M1941" s="2">
        <f>tblSales[[#This Row],[Sales]]/tblSales[[#This Row],[Transactions]]</f>
        <v>289</v>
      </c>
    </row>
    <row r="1942" spans="1:13" x14ac:dyDescent="0.25">
      <c r="A1942" s="1">
        <v>46120</v>
      </c>
      <c r="B1942" t="s">
        <v>6</v>
      </c>
      <c r="C1942" t="s">
        <v>7</v>
      </c>
      <c r="D1942" t="str">
        <f>_xlfn.XLOOKUP(tblSales[[#This Row],[Store ID]],tblStores[Store ID],tblStores[Store Name])</f>
        <v>Durban CBD</v>
      </c>
      <c r="E1942" t="str">
        <f>_xlfn.XLOOKUP(tblSales[[#This Row],[Store ID]],tblStores[Store ID],tblStores[Province])</f>
        <v>KZN</v>
      </c>
      <c r="F1942" t="str">
        <f>_xlfn.XLOOKUP(tblSales[[#This Row],[Store ID]],tblStores[Store ID],tblStores[Manager])</f>
        <v>Sarah Adams</v>
      </c>
      <c r="G1942" t="str">
        <f>_xlfn.XLOOKUP(tblSales[[#This Row],[Category ID]],tblCategories[Category ID],tblCategories[Category])</f>
        <v>Menswear</v>
      </c>
      <c r="H1942">
        <v>52503</v>
      </c>
      <c r="I1942">
        <v>52529</v>
      </c>
      <c r="J1942">
        <v>111</v>
      </c>
      <c r="K1942">
        <f>tblSales[[#This Row],[Sales]]-tblSales[[#This Row],[Budget]]</f>
        <v>-26</v>
      </c>
      <c r="L1942" s="3">
        <f>(tblSales[[#This Row],[Sales]]-tblSales[[#This Row],[Budget]])/tblSales[[#This Row],[Budget]]</f>
        <v>-4.9496468617335183E-4</v>
      </c>
      <c r="M1942" s="2">
        <f>tblSales[[#This Row],[Sales]]/tblSales[[#This Row],[Transactions]]</f>
        <v>473</v>
      </c>
    </row>
    <row r="1943" spans="1:13" x14ac:dyDescent="0.25">
      <c r="A1943" s="1">
        <v>46120</v>
      </c>
      <c r="B1943" t="s">
        <v>8</v>
      </c>
      <c r="C1943" t="s">
        <v>9</v>
      </c>
      <c r="D1943" t="str">
        <f>_xlfn.XLOOKUP(tblSales[[#This Row],[Store ID]],tblStores[Store ID],tblStores[Store Name])</f>
        <v>Gateway</v>
      </c>
      <c r="E1943" t="str">
        <f>_xlfn.XLOOKUP(tblSales[[#This Row],[Store ID]],tblStores[Store ID],tblStores[Province])</f>
        <v>KZN</v>
      </c>
      <c r="F1943" t="str">
        <f>_xlfn.XLOOKUP(tblSales[[#This Row],[Store ID]],tblStores[Store ID],tblStores[Manager])</f>
        <v>Michael Jones</v>
      </c>
      <c r="G1943" t="str">
        <f>_xlfn.XLOOKUP(tblSales[[#This Row],[Category ID]],tblCategories[Category ID],tblCategories[Category])</f>
        <v>Ladieswear</v>
      </c>
      <c r="H1943">
        <v>44038</v>
      </c>
      <c r="I1943">
        <v>47535</v>
      </c>
      <c r="J1943">
        <v>194</v>
      </c>
      <c r="K1943">
        <f>tblSales[[#This Row],[Sales]]-tblSales[[#This Row],[Budget]]</f>
        <v>-3497</v>
      </c>
      <c r="L1943" s="3">
        <f>(tblSales[[#This Row],[Sales]]-tblSales[[#This Row],[Budget]])/tblSales[[#This Row],[Budget]]</f>
        <v>-7.3566845482276211E-2</v>
      </c>
      <c r="M1943" s="2">
        <f>tblSales[[#This Row],[Sales]]/tblSales[[#This Row],[Transactions]]</f>
        <v>227</v>
      </c>
    </row>
    <row r="1944" spans="1:13" x14ac:dyDescent="0.25">
      <c r="A1944" s="1">
        <v>46120</v>
      </c>
      <c r="B1944" t="s">
        <v>10</v>
      </c>
      <c r="C1944" t="s">
        <v>19</v>
      </c>
      <c r="D1944" t="str">
        <f>_xlfn.XLOOKUP(tblSales[[#This Row],[Store ID]],tblStores[Store ID],tblStores[Store Name])</f>
        <v>Ballito</v>
      </c>
      <c r="E1944" t="str">
        <f>_xlfn.XLOOKUP(tblSales[[#This Row],[Store ID]],tblStores[Store ID],tblStores[Province])</f>
        <v>KZN</v>
      </c>
      <c r="F1944" t="str">
        <f>_xlfn.XLOOKUP(tblSales[[#This Row],[Store ID]],tblStores[Store ID],tblStores[Manager])</f>
        <v>Linda Smith</v>
      </c>
      <c r="G1944" t="str">
        <f>_xlfn.XLOOKUP(tblSales[[#This Row],[Category ID]],tblCategories[Category ID],tblCategories[Category])</f>
        <v>Accessories</v>
      </c>
      <c r="H1944">
        <v>28497</v>
      </c>
      <c r="I1944">
        <v>28047</v>
      </c>
      <c r="J1944">
        <v>59</v>
      </c>
      <c r="K1944">
        <f>tblSales[[#This Row],[Sales]]-tblSales[[#This Row],[Budget]]</f>
        <v>450</v>
      </c>
      <c r="L1944" s="3">
        <f>(tblSales[[#This Row],[Sales]]-tblSales[[#This Row],[Budget]])/tblSales[[#This Row],[Budget]]</f>
        <v>1.6044496737618996E-2</v>
      </c>
      <c r="M1944" s="2">
        <f>tblSales[[#This Row],[Sales]]/tblSales[[#This Row],[Transactions]]</f>
        <v>483</v>
      </c>
    </row>
    <row r="1945" spans="1:13" x14ac:dyDescent="0.25">
      <c r="A1945" s="1">
        <v>46120</v>
      </c>
      <c r="B1945" t="s">
        <v>12</v>
      </c>
      <c r="C1945" t="s">
        <v>7</v>
      </c>
      <c r="D1945" t="str">
        <f>_xlfn.XLOOKUP(tblSales[[#This Row],[Store ID]],tblStores[Store ID],tblStores[Store Name])</f>
        <v>Pietermaritzburg</v>
      </c>
      <c r="E1945" t="str">
        <f>_xlfn.XLOOKUP(tblSales[[#This Row],[Store ID]],tblStores[Store ID],tblStores[Province])</f>
        <v>KZN</v>
      </c>
      <c r="F1945" t="str">
        <f>_xlfn.XLOOKUP(tblSales[[#This Row],[Store ID]],tblStores[Store ID],tblStores[Manager])</f>
        <v>Peter Brown</v>
      </c>
      <c r="G1945" t="str">
        <f>_xlfn.XLOOKUP(tblSales[[#This Row],[Category ID]],tblCategories[Category ID],tblCategories[Category])</f>
        <v>Menswear</v>
      </c>
      <c r="H1945">
        <v>81180</v>
      </c>
      <c r="I1945">
        <v>82707</v>
      </c>
      <c r="J1945">
        <v>180</v>
      </c>
      <c r="K1945">
        <f>tblSales[[#This Row],[Sales]]-tblSales[[#This Row],[Budget]]</f>
        <v>-1527</v>
      </c>
      <c r="L1945" s="3">
        <f>(tblSales[[#This Row],[Sales]]-tblSales[[#This Row],[Budget]])/tblSales[[#This Row],[Budget]]</f>
        <v>-1.8462766150386303E-2</v>
      </c>
      <c r="M1945" s="2">
        <f>tblSales[[#This Row],[Sales]]/tblSales[[#This Row],[Transactions]]</f>
        <v>451</v>
      </c>
    </row>
    <row r="1946" spans="1:13" x14ac:dyDescent="0.25">
      <c r="A1946" s="1">
        <v>46120</v>
      </c>
      <c r="B1946" t="s">
        <v>13</v>
      </c>
      <c r="C1946" t="s">
        <v>9</v>
      </c>
      <c r="D1946" t="str">
        <f>_xlfn.XLOOKUP(tblSales[[#This Row],[Store ID]],tblStores[Store ID],tblStores[Store Name])</f>
        <v>Richards Bay</v>
      </c>
      <c r="E1946" t="str">
        <f>_xlfn.XLOOKUP(tblSales[[#This Row],[Store ID]],tblStores[Store ID],tblStores[Province])</f>
        <v>KZN</v>
      </c>
      <c r="F1946" t="str">
        <f>_xlfn.XLOOKUP(tblSales[[#This Row],[Store ID]],tblStores[Store ID],tblStores[Manager])</f>
        <v>David Green</v>
      </c>
      <c r="G1946" t="str">
        <f>_xlfn.XLOOKUP(tblSales[[#This Row],[Category ID]],tblCategories[Category ID],tblCategories[Category])</f>
        <v>Ladieswear</v>
      </c>
      <c r="H1946">
        <v>26937</v>
      </c>
      <c r="I1946">
        <v>28630</v>
      </c>
      <c r="J1946">
        <v>123</v>
      </c>
      <c r="K1946">
        <f>tblSales[[#This Row],[Sales]]-tblSales[[#This Row],[Budget]]</f>
        <v>-1693</v>
      </c>
      <c r="L1946" s="3">
        <f>(tblSales[[#This Row],[Sales]]-tblSales[[#This Row],[Budget]])/tblSales[[#This Row],[Budget]]</f>
        <v>-5.9133775759692628E-2</v>
      </c>
      <c r="M1946" s="2">
        <f>tblSales[[#This Row],[Sales]]/tblSales[[#This Row],[Transactions]]</f>
        <v>219</v>
      </c>
    </row>
    <row r="1947" spans="1:13" x14ac:dyDescent="0.25">
      <c r="A1947" s="1">
        <v>46120</v>
      </c>
      <c r="B1947" t="s">
        <v>14</v>
      </c>
      <c r="C1947" t="s">
        <v>22</v>
      </c>
      <c r="D1947" t="str">
        <f>_xlfn.XLOOKUP(tblSales[[#This Row],[Store ID]],tblStores[Store ID],tblStores[Store Name])</f>
        <v>Sandton</v>
      </c>
      <c r="E1947" t="str">
        <f>_xlfn.XLOOKUP(tblSales[[#This Row],[Store ID]],tblStores[Store ID],tblStores[Province])</f>
        <v>Gauteng</v>
      </c>
      <c r="F1947" t="str">
        <f>_xlfn.XLOOKUP(tblSales[[#This Row],[Store ID]],tblStores[Store ID],tblStores[Manager])</f>
        <v>Karen White</v>
      </c>
      <c r="G1947" t="str">
        <f>_xlfn.XLOOKUP(tblSales[[#This Row],[Category ID]],tblCategories[Category ID],tblCategories[Category])</f>
        <v>Kids</v>
      </c>
      <c r="H1947">
        <v>54612</v>
      </c>
      <c r="I1947">
        <v>55061</v>
      </c>
      <c r="J1947">
        <v>164</v>
      </c>
      <c r="K1947">
        <f>tblSales[[#This Row],[Sales]]-tblSales[[#This Row],[Budget]]</f>
        <v>-449</v>
      </c>
      <c r="L1947" s="3">
        <f>(tblSales[[#This Row],[Sales]]-tblSales[[#This Row],[Budget]])/tblSales[[#This Row],[Budget]]</f>
        <v>-8.1545921795826443E-3</v>
      </c>
      <c r="M1947" s="2">
        <f>tblSales[[#This Row],[Sales]]/tblSales[[#This Row],[Transactions]]</f>
        <v>333</v>
      </c>
    </row>
    <row r="1948" spans="1:13" x14ac:dyDescent="0.25">
      <c r="A1948" s="1">
        <v>46120</v>
      </c>
      <c r="B1948" t="s">
        <v>15</v>
      </c>
      <c r="C1948" t="s">
        <v>19</v>
      </c>
      <c r="D1948" t="str">
        <f>_xlfn.XLOOKUP(tblSales[[#This Row],[Store ID]],tblStores[Store ID],tblStores[Store Name])</f>
        <v>Rosebank</v>
      </c>
      <c r="E1948" t="str">
        <f>_xlfn.XLOOKUP(tblSales[[#This Row],[Store ID]],tblStores[Store ID],tblStores[Province])</f>
        <v>Gauteng</v>
      </c>
      <c r="F1948" t="str">
        <f>_xlfn.XLOOKUP(tblSales[[#This Row],[Store ID]],tblStores[Store ID],tblStores[Manager])</f>
        <v>James Taylor</v>
      </c>
      <c r="G1948" t="str">
        <f>_xlfn.XLOOKUP(tblSales[[#This Row],[Category ID]],tblCategories[Category ID],tblCategories[Category])</f>
        <v>Accessories</v>
      </c>
      <c r="H1948">
        <v>32430</v>
      </c>
      <c r="I1948">
        <v>32546</v>
      </c>
      <c r="J1948">
        <v>115</v>
      </c>
      <c r="K1948">
        <f>tblSales[[#This Row],[Sales]]-tblSales[[#This Row],[Budget]]</f>
        <v>-116</v>
      </c>
      <c r="L1948" s="3">
        <f>(tblSales[[#This Row],[Sales]]-tblSales[[#This Row],[Budget]])/tblSales[[#This Row],[Budget]]</f>
        <v>-3.5641860750937134E-3</v>
      </c>
      <c r="M1948" s="2">
        <f>tblSales[[#This Row],[Sales]]/tblSales[[#This Row],[Transactions]]</f>
        <v>282</v>
      </c>
    </row>
    <row r="1949" spans="1:13" x14ac:dyDescent="0.25">
      <c r="A1949" s="1">
        <v>46120</v>
      </c>
      <c r="B1949" t="s">
        <v>16</v>
      </c>
      <c r="C1949" t="s">
        <v>22</v>
      </c>
      <c r="D1949" t="str">
        <f>_xlfn.XLOOKUP(tblSales[[#This Row],[Store ID]],tblStores[Store ID],tblStores[Store Name])</f>
        <v>Pretoria</v>
      </c>
      <c r="E1949" t="str">
        <f>_xlfn.XLOOKUP(tblSales[[#This Row],[Store ID]],tblStores[Store ID],tblStores[Province])</f>
        <v>Gauteng</v>
      </c>
      <c r="F1949" t="str">
        <f>_xlfn.XLOOKUP(tblSales[[#This Row],[Store ID]],tblStores[Store ID],tblStores[Manager])</f>
        <v>Susan Clark</v>
      </c>
      <c r="G1949" t="str">
        <f>_xlfn.XLOOKUP(tblSales[[#This Row],[Category ID]],tblCategories[Category ID],tblCategories[Category])</f>
        <v>Kids</v>
      </c>
      <c r="H1949">
        <v>85942</v>
      </c>
      <c r="I1949">
        <v>87085</v>
      </c>
      <c r="J1949">
        <v>194</v>
      </c>
      <c r="K1949">
        <f>tblSales[[#This Row],[Sales]]-tblSales[[#This Row],[Budget]]</f>
        <v>-1143</v>
      </c>
      <c r="L1949" s="3">
        <f>(tblSales[[#This Row],[Sales]]-tblSales[[#This Row],[Budget]])/tblSales[[#This Row],[Budget]]</f>
        <v>-1.3125107653442039E-2</v>
      </c>
      <c r="M1949" s="2">
        <f>tblSales[[#This Row],[Sales]]/tblSales[[#This Row],[Transactions]]</f>
        <v>443</v>
      </c>
    </row>
    <row r="1950" spans="1:13" x14ac:dyDescent="0.25">
      <c r="A1950" s="1">
        <v>46120</v>
      </c>
      <c r="B1950" t="s">
        <v>17</v>
      </c>
      <c r="C1950" t="s">
        <v>19</v>
      </c>
      <c r="D1950" t="str">
        <f>_xlfn.XLOOKUP(tblSales[[#This Row],[Store ID]],tblStores[Store ID],tblStores[Store Name])</f>
        <v>Centurion</v>
      </c>
      <c r="E1950" t="str">
        <f>_xlfn.XLOOKUP(tblSales[[#This Row],[Store ID]],tblStores[Store ID],tblStores[Province])</f>
        <v>Gauteng</v>
      </c>
      <c r="F1950" t="str">
        <f>_xlfn.XLOOKUP(tblSales[[#This Row],[Store ID]],tblStores[Store ID],tblStores[Manager])</f>
        <v>Mark Wilson</v>
      </c>
      <c r="G1950" t="str">
        <f>_xlfn.XLOOKUP(tblSales[[#This Row],[Category ID]],tblCategories[Category ID],tblCategories[Category])</f>
        <v>Accessories</v>
      </c>
      <c r="H1950">
        <v>15309</v>
      </c>
      <c r="I1950">
        <v>16181</v>
      </c>
      <c r="J1950">
        <v>81</v>
      </c>
      <c r="K1950">
        <f>tblSales[[#This Row],[Sales]]-tblSales[[#This Row],[Budget]]</f>
        <v>-872</v>
      </c>
      <c r="L1950" s="3">
        <f>(tblSales[[#This Row],[Sales]]-tblSales[[#This Row],[Budget]])/tblSales[[#This Row],[Budget]]</f>
        <v>-5.3890365243186453E-2</v>
      </c>
      <c r="M1950" s="2">
        <f>tblSales[[#This Row],[Sales]]/tblSales[[#This Row],[Transactions]]</f>
        <v>189</v>
      </c>
    </row>
    <row r="1951" spans="1:13" x14ac:dyDescent="0.25">
      <c r="A1951" s="1">
        <v>46120</v>
      </c>
      <c r="B1951" t="s">
        <v>18</v>
      </c>
      <c r="C1951" t="s">
        <v>19</v>
      </c>
      <c r="D1951" t="str">
        <f>_xlfn.XLOOKUP(tblSales[[#This Row],[Store ID]],tblStores[Store ID],tblStores[Store Name])</f>
        <v>East Rand</v>
      </c>
      <c r="E1951" t="str">
        <f>_xlfn.XLOOKUP(tblSales[[#This Row],[Store ID]],tblStores[Store ID],tblStores[Province])</f>
        <v>Gauteng</v>
      </c>
      <c r="F1951" t="str">
        <f>_xlfn.XLOOKUP(tblSales[[#This Row],[Store ID]],tblStores[Store ID],tblStores[Manager])</f>
        <v>Lisa Young</v>
      </c>
      <c r="G1951" t="str">
        <f>_xlfn.XLOOKUP(tblSales[[#This Row],[Category ID]],tblCategories[Category ID],tblCategories[Category])</f>
        <v>Accessories</v>
      </c>
      <c r="H1951">
        <v>38950</v>
      </c>
      <c r="I1951">
        <v>39915</v>
      </c>
      <c r="J1951">
        <v>82</v>
      </c>
      <c r="K1951">
        <f>tblSales[[#This Row],[Sales]]-tblSales[[#This Row],[Budget]]</f>
        <v>-965</v>
      </c>
      <c r="L1951" s="3">
        <f>(tblSales[[#This Row],[Sales]]-tblSales[[#This Row],[Budget]])/tblSales[[#This Row],[Budget]]</f>
        <v>-2.417637479644244E-2</v>
      </c>
      <c r="M1951" s="2">
        <f>tblSales[[#This Row],[Sales]]/tblSales[[#This Row],[Transactions]]</f>
        <v>475</v>
      </c>
    </row>
    <row r="1952" spans="1:13" x14ac:dyDescent="0.25">
      <c r="A1952" s="1">
        <v>46120</v>
      </c>
      <c r="B1952" t="s">
        <v>20</v>
      </c>
      <c r="C1952" t="s">
        <v>11</v>
      </c>
      <c r="D1952" t="str">
        <f>_xlfn.XLOOKUP(tblSales[[#This Row],[Store ID]],tblStores[Store ID],tblStores[Store Name])</f>
        <v>Cape Town CBD</v>
      </c>
      <c r="E1952" t="str">
        <f>_xlfn.XLOOKUP(tblSales[[#This Row],[Store ID]],tblStores[Store ID],tblStores[Province])</f>
        <v>Western Cape</v>
      </c>
      <c r="F1952" t="str">
        <f>_xlfn.XLOOKUP(tblSales[[#This Row],[Store ID]],tblStores[Store ID],tblStores[Manager])</f>
        <v>Brian Hall</v>
      </c>
      <c r="G1952" t="str">
        <f>_xlfn.XLOOKUP(tblSales[[#This Row],[Category ID]],tblCategories[Category ID],tblCategories[Category])</f>
        <v>Footwear</v>
      </c>
      <c r="H1952">
        <v>52118</v>
      </c>
      <c r="I1952">
        <v>53847</v>
      </c>
      <c r="J1952">
        <v>103</v>
      </c>
      <c r="K1952">
        <f>tblSales[[#This Row],[Sales]]-tblSales[[#This Row],[Budget]]</f>
        <v>-1729</v>
      </c>
      <c r="L1952" s="3">
        <f>(tblSales[[#This Row],[Sales]]-tblSales[[#This Row],[Budget]])/tblSales[[#This Row],[Budget]]</f>
        <v>-3.2109495422214793E-2</v>
      </c>
      <c r="M1952" s="2">
        <f>tblSales[[#This Row],[Sales]]/tblSales[[#This Row],[Transactions]]</f>
        <v>506</v>
      </c>
    </row>
    <row r="1953" spans="1:13" x14ac:dyDescent="0.25">
      <c r="A1953" s="1">
        <v>46120</v>
      </c>
      <c r="B1953" t="s">
        <v>21</v>
      </c>
      <c r="C1953" t="s">
        <v>19</v>
      </c>
      <c r="D1953" t="str">
        <f>_xlfn.XLOOKUP(tblSales[[#This Row],[Store ID]],tblStores[Store ID],tblStores[Store Name])</f>
        <v>Canal Walk</v>
      </c>
      <c r="E1953" t="str">
        <f>_xlfn.XLOOKUP(tblSales[[#This Row],[Store ID]],tblStores[Store ID],tblStores[Province])</f>
        <v>Western Cape</v>
      </c>
      <c r="F1953" t="str">
        <f>_xlfn.XLOOKUP(tblSales[[#This Row],[Store ID]],tblStores[Store ID],tblStores[Manager])</f>
        <v>Megan Scott</v>
      </c>
      <c r="G1953" t="str">
        <f>_xlfn.XLOOKUP(tblSales[[#This Row],[Category ID]],tblCategories[Category ID],tblCategories[Category])</f>
        <v>Accessories</v>
      </c>
      <c r="H1953">
        <v>68474</v>
      </c>
      <c r="I1953">
        <v>74065</v>
      </c>
      <c r="J1953">
        <v>146</v>
      </c>
      <c r="K1953">
        <f>tblSales[[#This Row],[Sales]]-tblSales[[#This Row],[Budget]]</f>
        <v>-5591</v>
      </c>
      <c r="L1953" s="3">
        <f>(tblSales[[#This Row],[Sales]]-tblSales[[#This Row],[Budget]])/tblSales[[#This Row],[Budget]]</f>
        <v>-7.5487747249038006E-2</v>
      </c>
      <c r="M1953" s="2">
        <f>tblSales[[#This Row],[Sales]]/tblSales[[#This Row],[Transactions]]</f>
        <v>469</v>
      </c>
    </row>
    <row r="1954" spans="1:13" x14ac:dyDescent="0.25">
      <c r="A1954" s="1">
        <v>46120</v>
      </c>
      <c r="B1954" t="s">
        <v>23</v>
      </c>
      <c r="C1954" t="s">
        <v>7</v>
      </c>
      <c r="D1954" t="str">
        <f>_xlfn.XLOOKUP(tblSales[[#This Row],[Store ID]],tblStores[Store ID],tblStores[Store Name])</f>
        <v>Stellenbosch</v>
      </c>
      <c r="E1954" t="str">
        <f>_xlfn.XLOOKUP(tblSales[[#This Row],[Store ID]],tblStores[Store ID],tblStores[Province])</f>
        <v>Western Cape</v>
      </c>
      <c r="F1954" t="str">
        <f>_xlfn.XLOOKUP(tblSales[[#This Row],[Store ID]],tblStores[Store ID],tblStores[Manager])</f>
        <v>Jason King</v>
      </c>
      <c r="G1954" t="str">
        <f>_xlfn.XLOOKUP(tblSales[[#This Row],[Category ID]],tblCategories[Category ID],tblCategories[Category])</f>
        <v>Menswear</v>
      </c>
      <c r="H1954">
        <v>47376</v>
      </c>
      <c r="I1954">
        <v>46952</v>
      </c>
      <c r="J1954">
        <v>168</v>
      </c>
      <c r="K1954">
        <f>tblSales[[#This Row],[Sales]]-tblSales[[#This Row],[Budget]]</f>
        <v>424</v>
      </c>
      <c r="L1954" s="3">
        <f>(tblSales[[#This Row],[Sales]]-tblSales[[#This Row],[Budget]])/tblSales[[#This Row],[Budget]]</f>
        <v>9.0304992332594994E-3</v>
      </c>
      <c r="M1954" s="2">
        <f>tblSales[[#This Row],[Sales]]/tblSales[[#This Row],[Transactions]]</f>
        <v>282</v>
      </c>
    </row>
    <row r="1955" spans="1:13" x14ac:dyDescent="0.25">
      <c r="A1955" s="1">
        <v>46120</v>
      </c>
      <c r="B1955" t="s">
        <v>24</v>
      </c>
      <c r="C1955" t="s">
        <v>9</v>
      </c>
      <c r="D1955" t="str">
        <f>_xlfn.XLOOKUP(tblSales[[#This Row],[Store ID]],tblStores[Store ID],tblStores[Store Name])</f>
        <v>George</v>
      </c>
      <c r="E1955" t="str">
        <f>_xlfn.XLOOKUP(tblSales[[#This Row],[Store ID]],tblStores[Store ID],tblStores[Province])</f>
        <v>Western Cape</v>
      </c>
      <c r="F1955" t="str">
        <f>_xlfn.XLOOKUP(tblSales[[#This Row],[Store ID]],tblStores[Store ID],tblStores[Manager])</f>
        <v>Chloe Hill</v>
      </c>
      <c r="G1955" t="str">
        <f>_xlfn.XLOOKUP(tblSales[[#This Row],[Category ID]],tblCategories[Category ID],tblCategories[Category])</f>
        <v>Ladieswear</v>
      </c>
      <c r="H1955">
        <v>24672</v>
      </c>
      <c r="I1955">
        <v>26808</v>
      </c>
      <c r="J1955">
        <v>96</v>
      </c>
      <c r="K1955">
        <f>tblSales[[#This Row],[Sales]]-tblSales[[#This Row],[Budget]]</f>
        <v>-2136</v>
      </c>
      <c r="L1955" s="3">
        <f>(tblSales[[#This Row],[Sales]]-tblSales[[#This Row],[Budget]])/tblSales[[#This Row],[Budget]]</f>
        <v>-7.9677708146821846E-2</v>
      </c>
      <c r="M1955" s="2">
        <f>tblSales[[#This Row],[Sales]]/tblSales[[#This Row],[Transactions]]</f>
        <v>257</v>
      </c>
    </row>
    <row r="1956" spans="1:13" x14ac:dyDescent="0.25">
      <c r="A1956" s="1">
        <v>46120</v>
      </c>
      <c r="B1956" t="s">
        <v>25</v>
      </c>
      <c r="C1956" t="s">
        <v>22</v>
      </c>
      <c r="D1956" t="str">
        <f>_xlfn.XLOOKUP(tblSales[[#This Row],[Store ID]],tblStores[Store ID],tblStores[Store Name])</f>
        <v>Paarl</v>
      </c>
      <c r="E1956" t="str">
        <f>_xlfn.XLOOKUP(tblSales[[#This Row],[Store ID]],tblStores[Store ID],tblStores[Province])</f>
        <v>Western Cape</v>
      </c>
      <c r="F1956" t="str">
        <f>_xlfn.XLOOKUP(tblSales[[#This Row],[Store ID]],tblStores[Store ID],tblStores[Manager])</f>
        <v>Andrew Lee</v>
      </c>
      <c r="G1956" t="str">
        <f>_xlfn.XLOOKUP(tblSales[[#This Row],[Category ID]],tblCategories[Category ID],tblCategories[Category])</f>
        <v>Kids</v>
      </c>
      <c r="H1956">
        <v>56940</v>
      </c>
      <c r="I1956">
        <v>55782</v>
      </c>
      <c r="J1956">
        <v>146</v>
      </c>
      <c r="K1956">
        <f>tblSales[[#This Row],[Sales]]-tblSales[[#This Row],[Budget]]</f>
        <v>1158</v>
      </c>
      <c r="L1956" s="3">
        <f>(tblSales[[#This Row],[Sales]]-tblSales[[#This Row],[Budget]])/tblSales[[#This Row],[Budget]]</f>
        <v>2.0759384747768096E-2</v>
      </c>
      <c r="M1956" s="2">
        <f>tblSales[[#This Row],[Sales]]/tblSales[[#This Row],[Transactions]]</f>
        <v>390</v>
      </c>
    </row>
    <row r="1957" spans="1:13" x14ac:dyDescent="0.25">
      <c r="A1957" s="1">
        <v>46120</v>
      </c>
      <c r="B1957" t="s">
        <v>26</v>
      </c>
      <c r="C1957" t="s">
        <v>7</v>
      </c>
      <c r="D1957" t="str">
        <f>_xlfn.XLOOKUP(tblSales[[#This Row],[Store ID]],tblStores[Store ID],tblStores[Store Name])</f>
        <v>Gqeberha</v>
      </c>
      <c r="E1957" t="str">
        <f>_xlfn.XLOOKUP(tblSales[[#This Row],[Store ID]],tblStores[Store ID],tblStores[Province])</f>
        <v>Eastern Cape</v>
      </c>
      <c r="F1957" t="str">
        <f>_xlfn.XLOOKUP(tblSales[[#This Row],[Store ID]],tblStores[Store ID],tblStores[Manager])</f>
        <v>Emma Baker</v>
      </c>
      <c r="G1957" t="str">
        <f>_xlfn.XLOOKUP(tblSales[[#This Row],[Category ID]],tblCategories[Category ID],tblCategories[Category])</f>
        <v>Menswear</v>
      </c>
      <c r="H1957">
        <v>55948</v>
      </c>
      <c r="I1957">
        <v>62185</v>
      </c>
      <c r="J1957">
        <v>197</v>
      </c>
      <c r="K1957">
        <f>tblSales[[#This Row],[Sales]]-tblSales[[#This Row],[Budget]]</f>
        <v>-6237</v>
      </c>
      <c r="L1957" s="3">
        <f>(tblSales[[#This Row],[Sales]]-tblSales[[#This Row],[Budget]])/tblSales[[#This Row],[Budget]]</f>
        <v>-0.10029749939696068</v>
      </c>
      <c r="M1957" s="2">
        <f>tblSales[[#This Row],[Sales]]/tblSales[[#This Row],[Transactions]]</f>
        <v>284</v>
      </c>
    </row>
    <row r="1958" spans="1:13" x14ac:dyDescent="0.25">
      <c r="A1958" s="1">
        <v>46120</v>
      </c>
      <c r="B1958" t="s">
        <v>27</v>
      </c>
      <c r="C1958" t="s">
        <v>22</v>
      </c>
      <c r="D1958" t="str">
        <f>_xlfn.XLOOKUP(tblSales[[#This Row],[Store ID]],tblStores[Store ID],tblStores[Store Name])</f>
        <v>East London</v>
      </c>
      <c r="E1958" t="str">
        <f>_xlfn.XLOOKUP(tblSales[[#This Row],[Store ID]],tblStores[Store ID],tblStores[Province])</f>
        <v>Eastern Cape</v>
      </c>
      <c r="F1958" t="str">
        <f>_xlfn.XLOOKUP(tblSales[[#This Row],[Store ID]],tblStores[Store ID],tblStores[Manager])</f>
        <v>Daniel Evans</v>
      </c>
      <c r="G1958" t="str">
        <f>_xlfn.XLOOKUP(tblSales[[#This Row],[Category ID]],tblCategories[Category ID],tblCategories[Category])</f>
        <v>Kids</v>
      </c>
      <c r="H1958">
        <v>55080</v>
      </c>
      <c r="I1958">
        <v>51783</v>
      </c>
      <c r="J1958">
        <v>108</v>
      </c>
      <c r="K1958">
        <f>tblSales[[#This Row],[Sales]]-tblSales[[#This Row],[Budget]]</f>
        <v>3297</v>
      </c>
      <c r="L1958" s="3">
        <f>(tblSales[[#This Row],[Sales]]-tblSales[[#This Row],[Budget]])/tblSales[[#This Row],[Budget]]</f>
        <v>6.3669544058861022E-2</v>
      </c>
      <c r="M1958" s="2">
        <f>tblSales[[#This Row],[Sales]]/tblSales[[#This Row],[Transactions]]</f>
        <v>510</v>
      </c>
    </row>
    <row r="1959" spans="1:13" x14ac:dyDescent="0.25">
      <c r="A1959" s="1">
        <v>46120</v>
      </c>
      <c r="B1959" t="s">
        <v>28</v>
      </c>
      <c r="C1959" t="s">
        <v>19</v>
      </c>
      <c r="D1959" t="str">
        <f>_xlfn.XLOOKUP(tblSales[[#This Row],[Store ID]],tblStores[Store ID],tblStores[Store Name])</f>
        <v>Bloemfontein</v>
      </c>
      <c r="E1959" t="str">
        <f>_xlfn.XLOOKUP(tblSales[[#This Row],[Store ID]],tblStores[Store ID],tblStores[Province])</f>
        <v>Free State</v>
      </c>
      <c r="F1959" t="str">
        <f>_xlfn.XLOOKUP(tblSales[[#This Row],[Store ID]],tblStores[Store ID],tblStores[Manager])</f>
        <v>Rachel Moore</v>
      </c>
      <c r="G1959" t="str">
        <f>_xlfn.XLOOKUP(tblSales[[#This Row],[Category ID]],tblCategories[Category ID],tblCategories[Category])</f>
        <v>Accessories</v>
      </c>
      <c r="H1959">
        <v>36765</v>
      </c>
      <c r="I1959">
        <v>35280</v>
      </c>
      <c r="J1959">
        <v>95</v>
      </c>
      <c r="K1959">
        <f>tblSales[[#This Row],[Sales]]-tblSales[[#This Row],[Budget]]</f>
        <v>1485</v>
      </c>
      <c r="L1959" s="3">
        <f>(tblSales[[#This Row],[Sales]]-tblSales[[#This Row],[Budget]])/tblSales[[#This Row],[Budget]]</f>
        <v>4.2091836734693876E-2</v>
      </c>
      <c r="M1959" s="2">
        <f>tblSales[[#This Row],[Sales]]/tblSales[[#This Row],[Transactions]]</f>
        <v>387</v>
      </c>
    </row>
    <row r="1960" spans="1:13" x14ac:dyDescent="0.25">
      <c r="A1960" s="1">
        <v>46120</v>
      </c>
      <c r="B1960" t="s">
        <v>29</v>
      </c>
      <c r="C1960" t="s">
        <v>9</v>
      </c>
      <c r="D1960" t="str">
        <f>_xlfn.XLOOKUP(tblSales[[#This Row],[Store ID]],tblStores[Store ID],tblStores[Store Name])</f>
        <v>Polokwane</v>
      </c>
      <c r="E1960" t="str">
        <f>_xlfn.XLOOKUP(tblSales[[#This Row],[Store ID]],tblStores[Store ID],tblStores[Province])</f>
        <v>Limpopo</v>
      </c>
      <c r="F1960" t="str">
        <f>_xlfn.XLOOKUP(tblSales[[#This Row],[Store ID]],tblStores[Store ID],tblStores[Manager])</f>
        <v>Kevin Harris</v>
      </c>
      <c r="G1960" t="str">
        <f>_xlfn.XLOOKUP(tblSales[[#This Row],[Category ID]],tblCategories[Category ID],tblCategories[Category])</f>
        <v>Ladieswear</v>
      </c>
      <c r="H1960">
        <v>16296</v>
      </c>
      <c r="I1960">
        <v>15666</v>
      </c>
      <c r="J1960">
        <v>84</v>
      </c>
      <c r="K1960">
        <f>tblSales[[#This Row],[Sales]]-tblSales[[#This Row],[Budget]]</f>
        <v>630</v>
      </c>
      <c r="L1960" s="3">
        <f>(tblSales[[#This Row],[Sales]]-tblSales[[#This Row],[Budget]])/tblSales[[#This Row],[Budget]]</f>
        <v>4.0214477211796246E-2</v>
      </c>
      <c r="M1960" s="2">
        <f>tblSales[[#This Row],[Sales]]/tblSales[[#This Row],[Transactions]]</f>
        <v>194</v>
      </c>
    </row>
    <row r="1961" spans="1:13" x14ac:dyDescent="0.25">
      <c r="A1961" s="1">
        <v>46120</v>
      </c>
      <c r="B1961" t="s">
        <v>30</v>
      </c>
      <c r="C1961" t="s">
        <v>22</v>
      </c>
      <c r="D1961" t="str">
        <f>_xlfn.XLOOKUP(tblSales[[#This Row],[Store ID]],tblStores[Store ID],tblStores[Store Name])</f>
        <v>Nelspruit</v>
      </c>
      <c r="E1961" t="str">
        <f>_xlfn.XLOOKUP(tblSales[[#This Row],[Store ID]],tblStores[Store ID],tblStores[Province])</f>
        <v>Mpumalanga</v>
      </c>
      <c r="F1961" t="str">
        <f>_xlfn.XLOOKUP(tblSales[[#This Row],[Store ID]],tblStores[Store ID],tblStores[Manager])</f>
        <v>Olivia Turner</v>
      </c>
      <c r="G1961" t="str">
        <f>_xlfn.XLOOKUP(tblSales[[#This Row],[Category ID]],tblCategories[Category ID],tblCategories[Category])</f>
        <v>Kids</v>
      </c>
      <c r="H1961">
        <v>65484</v>
      </c>
      <c r="I1961">
        <v>68100</v>
      </c>
      <c r="J1961">
        <v>153</v>
      </c>
      <c r="K1961">
        <f>tblSales[[#This Row],[Sales]]-tblSales[[#This Row],[Budget]]</f>
        <v>-2616</v>
      </c>
      <c r="L1961" s="3">
        <f>(tblSales[[#This Row],[Sales]]-tblSales[[#This Row],[Budget]])/tblSales[[#This Row],[Budget]]</f>
        <v>-3.8414096916299559E-2</v>
      </c>
      <c r="M1961" s="2">
        <f>tblSales[[#This Row],[Sales]]/tblSales[[#This Row],[Transactions]]</f>
        <v>428</v>
      </c>
    </row>
    <row r="1962" spans="1:13" x14ac:dyDescent="0.25">
      <c r="A1962" s="1">
        <v>46121</v>
      </c>
      <c r="B1962" t="s">
        <v>6</v>
      </c>
      <c r="C1962" t="s">
        <v>11</v>
      </c>
      <c r="D1962" t="str">
        <f>_xlfn.XLOOKUP(tblSales[[#This Row],[Store ID]],tblStores[Store ID],tblStores[Store Name])</f>
        <v>Durban CBD</v>
      </c>
      <c r="E1962" t="str">
        <f>_xlfn.XLOOKUP(tblSales[[#This Row],[Store ID]],tblStores[Store ID],tblStores[Province])</f>
        <v>KZN</v>
      </c>
      <c r="F1962" t="str">
        <f>_xlfn.XLOOKUP(tblSales[[#This Row],[Store ID]],tblStores[Store ID],tblStores[Manager])</f>
        <v>Sarah Adams</v>
      </c>
      <c r="G1962" t="str">
        <f>_xlfn.XLOOKUP(tblSales[[#This Row],[Category ID]],tblCategories[Category ID],tblCategories[Category])</f>
        <v>Footwear</v>
      </c>
      <c r="H1962">
        <v>73073</v>
      </c>
      <c r="I1962">
        <v>82310</v>
      </c>
      <c r="J1962">
        <v>143</v>
      </c>
      <c r="K1962">
        <f>tblSales[[#This Row],[Sales]]-tblSales[[#This Row],[Budget]]</f>
        <v>-9237</v>
      </c>
      <c r="L1962" s="3">
        <f>(tblSales[[#This Row],[Sales]]-tblSales[[#This Row],[Budget]])/tblSales[[#This Row],[Budget]]</f>
        <v>-0.11222208723119913</v>
      </c>
      <c r="M1962" s="2">
        <f>tblSales[[#This Row],[Sales]]/tblSales[[#This Row],[Transactions]]</f>
        <v>511</v>
      </c>
    </row>
    <row r="1963" spans="1:13" x14ac:dyDescent="0.25">
      <c r="A1963" s="1">
        <v>46121</v>
      </c>
      <c r="B1963" t="s">
        <v>8</v>
      </c>
      <c r="C1963" t="s">
        <v>9</v>
      </c>
      <c r="D1963" t="str">
        <f>_xlfn.XLOOKUP(tblSales[[#This Row],[Store ID]],tblStores[Store ID],tblStores[Store Name])</f>
        <v>Gateway</v>
      </c>
      <c r="E1963" t="str">
        <f>_xlfn.XLOOKUP(tblSales[[#This Row],[Store ID]],tblStores[Store ID],tblStores[Province])</f>
        <v>KZN</v>
      </c>
      <c r="F1963" t="str">
        <f>_xlfn.XLOOKUP(tblSales[[#This Row],[Store ID]],tblStores[Store ID],tblStores[Manager])</f>
        <v>Michael Jones</v>
      </c>
      <c r="G1963" t="str">
        <f>_xlfn.XLOOKUP(tblSales[[#This Row],[Category ID]],tblCategories[Category ID],tblCategories[Category])</f>
        <v>Ladieswear</v>
      </c>
      <c r="H1963">
        <v>23925</v>
      </c>
      <c r="I1963">
        <v>22348</v>
      </c>
      <c r="J1963">
        <v>75</v>
      </c>
      <c r="K1963">
        <f>tblSales[[#This Row],[Sales]]-tblSales[[#This Row],[Budget]]</f>
        <v>1577</v>
      </c>
      <c r="L1963" s="3">
        <f>(tblSales[[#This Row],[Sales]]-tblSales[[#This Row],[Budget]])/tblSales[[#This Row],[Budget]]</f>
        <v>7.0565598711294072E-2</v>
      </c>
      <c r="M1963" s="2">
        <f>tblSales[[#This Row],[Sales]]/tblSales[[#This Row],[Transactions]]</f>
        <v>319</v>
      </c>
    </row>
    <row r="1964" spans="1:13" x14ac:dyDescent="0.25">
      <c r="A1964" s="1">
        <v>46121</v>
      </c>
      <c r="B1964" t="s">
        <v>10</v>
      </c>
      <c r="C1964" t="s">
        <v>22</v>
      </c>
      <c r="D1964" t="str">
        <f>_xlfn.XLOOKUP(tblSales[[#This Row],[Store ID]],tblStores[Store ID],tblStores[Store Name])</f>
        <v>Ballito</v>
      </c>
      <c r="E1964" t="str">
        <f>_xlfn.XLOOKUP(tblSales[[#This Row],[Store ID]],tblStores[Store ID],tblStores[Province])</f>
        <v>KZN</v>
      </c>
      <c r="F1964" t="str">
        <f>_xlfn.XLOOKUP(tblSales[[#This Row],[Store ID]],tblStores[Store ID],tblStores[Manager])</f>
        <v>Linda Smith</v>
      </c>
      <c r="G1964" t="str">
        <f>_xlfn.XLOOKUP(tblSales[[#This Row],[Category ID]],tblCategories[Category ID],tblCategories[Category])</f>
        <v>Kids</v>
      </c>
      <c r="H1964">
        <v>54802</v>
      </c>
      <c r="I1964">
        <v>56866</v>
      </c>
      <c r="J1964">
        <v>106</v>
      </c>
      <c r="K1964">
        <f>tblSales[[#This Row],[Sales]]-tblSales[[#This Row],[Budget]]</f>
        <v>-2064</v>
      </c>
      <c r="L1964" s="3">
        <f>(tblSales[[#This Row],[Sales]]-tblSales[[#This Row],[Budget]])/tblSales[[#This Row],[Budget]]</f>
        <v>-3.6295853409770339E-2</v>
      </c>
      <c r="M1964" s="2">
        <f>tblSales[[#This Row],[Sales]]/tblSales[[#This Row],[Transactions]]</f>
        <v>517</v>
      </c>
    </row>
    <row r="1965" spans="1:13" x14ac:dyDescent="0.25">
      <c r="A1965" s="1">
        <v>46121</v>
      </c>
      <c r="B1965" t="s">
        <v>12</v>
      </c>
      <c r="C1965" t="s">
        <v>7</v>
      </c>
      <c r="D1965" t="str">
        <f>_xlfn.XLOOKUP(tblSales[[#This Row],[Store ID]],tblStores[Store ID],tblStores[Store Name])</f>
        <v>Pietermaritzburg</v>
      </c>
      <c r="E1965" t="str">
        <f>_xlfn.XLOOKUP(tblSales[[#This Row],[Store ID]],tblStores[Store ID],tblStores[Province])</f>
        <v>KZN</v>
      </c>
      <c r="F1965" t="str">
        <f>_xlfn.XLOOKUP(tblSales[[#This Row],[Store ID]],tblStores[Store ID],tblStores[Manager])</f>
        <v>Peter Brown</v>
      </c>
      <c r="G1965" t="str">
        <f>_xlfn.XLOOKUP(tblSales[[#This Row],[Category ID]],tblCategories[Category ID],tblCategories[Category])</f>
        <v>Menswear</v>
      </c>
      <c r="H1965">
        <v>93732</v>
      </c>
      <c r="I1965">
        <v>102688</v>
      </c>
      <c r="J1965">
        <v>219</v>
      </c>
      <c r="K1965">
        <f>tblSales[[#This Row],[Sales]]-tblSales[[#This Row],[Budget]]</f>
        <v>-8956</v>
      </c>
      <c r="L1965" s="3">
        <f>(tblSales[[#This Row],[Sales]]-tblSales[[#This Row],[Budget]])/tblSales[[#This Row],[Budget]]</f>
        <v>-8.7215643502648807E-2</v>
      </c>
      <c r="M1965" s="2">
        <f>tblSales[[#This Row],[Sales]]/tblSales[[#This Row],[Transactions]]</f>
        <v>428</v>
      </c>
    </row>
    <row r="1966" spans="1:13" x14ac:dyDescent="0.25">
      <c r="A1966" s="1">
        <v>46121</v>
      </c>
      <c r="B1966" t="s">
        <v>13</v>
      </c>
      <c r="C1966" t="s">
        <v>7</v>
      </c>
      <c r="D1966" t="str">
        <f>_xlfn.XLOOKUP(tblSales[[#This Row],[Store ID]],tblStores[Store ID],tblStores[Store Name])</f>
        <v>Richards Bay</v>
      </c>
      <c r="E1966" t="str">
        <f>_xlfn.XLOOKUP(tblSales[[#This Row],[Store ID]],tblStores[Store ID],tblStores[Province])</f>
        <v>KZN</v>
      </c>
      <c r="F1966" t="str">
        <f>_xlfn.XLOOKUP(tblSales[[#This Row],[Store ID]],tblStores[Store ID],tblStores[Manager])</f>
        <v>David Green</v>
      </c>
      <c r="G1966" t="str">
        <f>_xlfn.XLOOKUP(tblSales[[#This Row],[Category ID]],tblCategories[Category ID],tblCategories[Category])</f>
        <v>Menswear</v>
      </c>
      <c r="H1966">
        <v>19040</v>
      </c>
      <c r="I1966">
        <v>19999</v>
      </c>
      <c r="J1966">
        <v>56</v>
      </c>
      <c r="K1966">
        <f>tblSales[[#This Row],[Sales]]-tblSales[[#This Row],[Budget]]</f>
        <v>-959</v>
      </c>
      <c r="L1966" s="3">
        <f>(tblSales[[#This Row],[Sales]]-tblSales[[#This Row],[Budget]])/tblSales[[#This Row],[Budget]]</f>
        <v>-4.7952397619880995E-2</v>
      </c>
      <c r="M1966" s="2">
        <f>tblSales[[#This Row],[Sales]]/tblSales[[#This Row],[Transactions]]</f>
        <v>340</v>
      </c>
    </row>
    <row r="1967" spans="1:13" x14ac:dyDescent="0.25">
      <c r="A1967" s="1">
        <v>46121</v>
      </c>
      <c r="B1967" t="s">
        <v>14</v>
      </c>
      <c r="C1967" t="s">
        <v>7</v>
      </c>
      <c r="D1967" t="str">
        <f>_xlfn.XLOOKUP(tblSales[[#This Row],[Store ID]],tblStores[Store ID],tblStores[Store Name])</f>
        <v>Sandton</v>
      </c>
      <c r="E1967" t="str">
        <f>_xlfn.XLOOKUP(tblSales[[#This Row],[Store ID]],tblStores[Store ID],tblStores[Province])</f>
        <v>Gauteng</v>
      </c>
      <c r="F1967" t="str">
        <f>_xlfn.XLOOKUP(tblSales[[#This Row],[Store ID]],tblStores[Store ID],tblStores[Manager])</f>
        <v>Karen White</v>
      </c>
      <c r="G1967" t="str">
        <f>_xlfn.XLOOKUP(tblSales[[#This Row],[Category ID]],tblCategories[Category ID],tblCategories[Category])</f>
        <v>Menswear</v>
      </c>
      <c r="H1967">
        <v>50874</v>
      </c>
      <c r="I1967">
        <v>54329</v>
      </c>
      <c r="J1967">
        <v>139</v>
      </c>
      <c r="K1967">
        <f>tblSales[[#This Row],[Sales]]-tblSales[[#This Row],[Budget]]</f>
        <v>-3455</v>
      </c>
      <c r="L1967" s="3">
        <f>(tblSales[[#This Row],[Sales]]-tblSales[[#This Row],[Budget]])/tblSales[[#This Row],[Budget]]</f>
        <v>-6.3594028971635769E-2</v>
      </c>
      <c r="M1967" s="2">
        <f>tblSales[[#This Row],[Sales]]/tblSales[[#This Row],[Transactions]]</f>
        <v>366</v>
      </c>
    </row>
    <row r="1968" spans="1:13" x14ac:dyDescent="0.25">
      <c r="A1968" s="1">
        <v>46121</v>
      </c>
      <c r="B1968" t="s">
        <v>15</v>
      </c>
      <c r="C1968" t="s">
        <v>7</v>
      </c>
      <c r="D1968" t="str">
        <f>_xlfn.XLOOKUP(tblSales[[#This Row],[Store ID]],tblStores[Store ID],tblStores[Store Name])</f>
        <v>Rosebank</v>
      </c>
      <c r="E1968" t="str">
        <f>_xlfn.XLOOKUP(tblSales[[#This Row],[Store ID]],tblStores[Store ID],tblStores[Province])</f>
        <v>Gauteng</v>
      </c>
      <c r="F1968" t="str">
        <f>_xlfn.XLOOKUP(tblSales[[#This Row],[Store ID]],tblStores[Store ID],tblStores[Manager])</f>
        <v>James Taylor</v>
      </c>
      <c r="G1968" t="str">
        <f>_xlfn.XLOOKUP(tblSales[[#This Row],[Category ID]],tblCategories[Category ID],tblCategories[Category])</f>
        <v>Menswear</v>
      </c>
      <c r="H1968">
        <v>34136</v>
      </c>
      <c r="I1968">
        <v>32736</v>
      </c>
      <c r="J1968">
        <v>136</v>
      </c>
      <c r="K1968">
        <f>tblSales[[#This Row],[Sales]]-tblSales[[#This Row],[Budget]]</f>
        <v>1400</v>
      </c>
      <c r="L1968" s="3">
        <f>(tblSales[[#This Row],[Sales]]-tblSales[[#This Row],[Budget]])/tblSales[[#This Row],[Budget]]</f>
        <v>4.2766373411534699E-2</v>
      </c>
      <c r="M1968" s="2">
        <f>tblSales[[#This Row],[Sales]]/tblSales[[#This Row],[Transactions]]</f>
        <v>251</v>
      </c>
    </row>
    <row r="1969" spans="1:13" x14ac:dyDescent="0.25">
      <c r="A1969" s="1">
        <v>46121</v>
      </c>
      <c r="B1969" t="s">
        <v>16</v>
      </c>
      <c r="C1969" t="s">
        <v>19</v>
      </c>
      <c r="D1969" t="str">
        <f>_xlfn.XLOOKUP(tblSales[[#This Row],[Store ID]],tblStores[Store ID],tblStores[Store Name])</f>
        <v>Pretoria</v>
      </c>
      <c r="E1969" t="str">
        <f>_xlfn.XLOOKUP(tblSales[[#This Row],[Store ID]],tblStores[Store ID],tblStores[Province])</f>
        <v>Gauteng</v>
      </c>
      <c r="F1969" t="str">
        <f>_xlfn.XLOOKUP(tblSales[[#This Row],[Store ID]],tblStores[Store ID],tblStores[Manager])</f>
        <v>Susan Clark</v>
      </c>
      <c r="G1969" t="str">
        <f>_xlfn.XLOOKUP(tblSales[[#This Row],[Category ID]],tblCategories[Category ID],tblCategories[Category])</f>
        <v>Accessories</v>
      </c>
      <c r="H1969">
        <v>39283</v>
      </c>
      <c r="I1969">
        <v>40480</v>
      </c>
      <c r="J1969">
        <v>163</v>
      </c>
      <c r="K1969">
        <f>tblSales[[#This Row],[Sales]]-tblSales[[#This Row],[Budget]]</f>
        <v>-1197</v>
      </c>
      <c r="L1969" s="3">
        <f>(tblSales[[#This Row],[Sales]]-tblSales[[#This Row],[Budget]])/tblSales[[#This Row],[Budget]]</f>
        <v>-2.9570158102766798E-2</v>
      </c>
      <c r="M1969" s="2">
        <f>tblSales[[#This Row],[Sales]]/tblSales[[#This Row],[Transactions]]</f>
        <v>241</v>
      </c>
    </row>
    <row r="1970" spans="1:13" x14ac:dyDescent="0.25">
      <c r="A1970" s="1">
        <v>46121</v>
      </c>
      <c r="B1970" t="s">
        <v>17</v>
      </c>
      <c r="C1970" t="s">
        <v>19</v>
      </c>
      <c r="D1970" t="str">
        <f>_xlfn.XLOOKUP(tblSales[[#This Row],[Store ID]],tblStores[Store ID],tblStores[Store Name])</f>
        <v>Centurion</v>
      </c>
      <c r="E1970" t="str">
        <f>_xlfn.XLOOKUP(tblSales[[#This Row],[Store ID]],tblStores[Store ID],tblStores[Province])</f>
        <v>Gauteng</v>
      </c>
      <c r="F1970" t="str">
        <f>_xlfn.XLOOKUP(tblSales[[#This Row],[Store ID]],tblStores[Store ID],tblStores[Manager])</f>
        <v>Mark Wilson</v>
      </c>
      <c r="G1970" t="str">
        <f>_xlfn.XLOOKUP(tblSales[[#This Row],[Category ID]],tblCategories[Category ID],tblCategories[Category])</f>
        <v>Accessories</v>
      </c>
      <c r="H1970">
        <v>52052</v>
      </c>
      <c r="I1970">
        <v>53307</v>
      </c>
      <c r="J1970">
        <v>169</v>
      </c>
      <c r="K1970">
        <f>tblSales[[#This Row],[Sales]]-tblSales[[#This Row],[Budget]]</f>
        <v>-1255</v>
      </c>
      <c r="L1970" s="3">
        <f>(tblSales[[#This Row],[Sales]]-tblSales[[#This Row],[Budget]])/tblSales[[#This Row],[Budget]]</f>
        <v>-2.3542874294182753E-2</v>
      </c>
      <c r="M1970" s="2">
        <f>tblSales[[#This Row],[Sales]]/tblSales[[#This Row],[Transactions]]</f>
        <v>308</v>
      </c>
    </row>
    <row r="1971" spans="1:13" x14ac:dyDescent="0.25">
      <c r="A1971" s="1">
        <v>46121</v>
      </c>
      <c r="B1971" t="s">
        <v>18</v>
      </c>
      <c r="C1971" t="s">
        <v>7</v>
      </c>
      <c r="D1971" t="str">
        <f>_xlfn.XLOOKUP(tblSales[[#This Row],[Store ID]],tblStores[Store ID],tblStores[Store Name])</f>
        <v>East Rand</v>
      </c>
      <c r="E1971" t="str">
        <f>_xlfn.XLOOKUP(tblSales[[#This Row],[Store ID]],tblStores[Store ID],tblStores[Province])</f>
        <v>Gauteng</v>
      </c>
      <c r="F1971" t="str">
        <f>_xlfn.XLOOKUP(tblSales[[#This Row],[Store ID]],tblStores[Store ID],tblStores[Manager])</f>
        <v>Lisa Young</v>
      </c>
      <c r="G1971" t="str">
        <f>_xlfn.XLOOKUP(tblSales[[#This Row],[Category ID]],tblCategories[Category ID],tblCategories[Category])</f>
        <v>Menswear</v>
      </c>
      <c r="H1971">
        <v>46265</v>
      </c>
      <c r="I1971">
        <v>43052</v>
      </c>
      <c r="J1971">
        <v>95</v>
      </c>
      <c r="K1971">
        <f>tblSales[[#This Row],[Sales]]-tblSales[[#This Row],[Budget]]</f>
        <v>3213</v>
      </c>
      <c r="L1971" s="3">
        <f>(tblSales[[#This Row],[Sales]]-tblSales[[#This Row],[Budget]])/tblSales[[#This Row],[Budget]]</f>
        <v>7.4630679178667655E-2</v>
      </c>
      <c r="M1971" s="2">
        <f>tblSales[[#This Row],[Sales]]/tblSales[[#This Row],[Transactions]]</f>
        <v>487</v>
      </c>
    </row>
    <row r="1972" spans="1:13" x14ac:dyDescent="0.25">
      <c r="A1972" s="1">
        <v>46121</v>
      </c>
      <c r="B1972" t="s">
        <v>20</v>
      </c>
      <c r="C1972" t="s">
        <v>22</v>
      </c>
      <c r="D1972" t="str">
        <f>_xlfn.XLOOKUP(tblSales[[#This Row],[Store ID]],tblStores[Store ID],tblStores[Store Name])</f>
        <v>Cape Town CBD</v>
      </c>
      <c r="E1972" t="str">
        <f>_xlfn.XLOOKUP(tblSales[[#This Row],[Store ID]],tblStores[Store ID],tblStores[Province])</f>
        <v>Western Cape</v>
      </c>
      <c r="F1972" t="str">
        <f>_xlfn.XLOOKUP(tblSales[[#This Row],[Store ID]],tblStores[Store ID],tblStores[Manager])</f>
        <v>Brian Hall</v>
      </c>
      <c r="G1972" t="str">
        <f>_xlfn.XLOOKUP(tblSales[[#This Row],[Category ID]],tblCategories[Category ID],tblCategories[Category])</f>
        <v>Kids</v>
      </c>
      <c r="H1972">
        <v>57001</v>
      </c>
      <c r="I1972">
        <v>61806</v>
      </c>
      <c r="J1972">
        <v>119</v>
      </c>
      <c r="K1972">
        <f>tblSales[[#This Row],[Sales]]-tblSales[[#This Row],[Budget]]</f>
        <v>-4805</v>
      </c>
      <c r="L1972" s="3">
        <f>(tblSales[[#This Row],[Sales]]-tblSales[[#This Row],[Budget]])/tblSales[[#This Row],[Budget]]</f>
        <v>-7.774326117205449E-2</v>
      </c>
      <c r="M1972" s="2">
        <f>tblSales[[#This Row],[Sales]]/tblSales[[#This Row],[Transactions]]</f>
        <v>479</v>
      </c>
    </row>
    <row r="1973" spans="1:13" x14ac:dyDescent="0.25">
      <c r="A1973" s="1">
        <v>46121</v>
      </c>
      <c r="B1973" t="s">
        <v>21</v>
      </c>
      <c r="C1973" t="s">
        <v>9</v>
      </c>
      <c r="D1973" t="str">
        <f>_xlfn.XLOOKUP(tblSales[[#This Row],[Store ID]],tblStores[Store ID],tblStores[Store Name])</f>
        <v>Canal Walk</v>
      </c>
      <c r="E1973" t="str">
        <f>_xlfn.XLOOKUP(tblSales[[#This Row],[Store ID]],tblStores[Store ID],tblStores[Province])</f>
        <v>Western Cape</v>
      </c>
      <c r="F1973" t="str">
        <f>_xlfn.XLOOKUP(tblSales[[#This Row],[Store ID]],tblStores[Store ID],tblStores[Manager])</f>
        <v>Megan Scott</v>
      </c>
      <c r="G1973" t="str">
        <f>_xlfn.XLOOKUP(tblSales[[#This Row],[Category ID]],tblCategories[Category ID],tblCategories[Category])</f>
        <v>Ladieswear</v>
      </c>
      <c r="H1973">
        <v>41613</v>
      </c>
      <c r="I1973">
        <v>38952</v>
      </c>
      <c r="J1973">
        <v>143</v>
      </c>
      <c r="K1973">
        <f>tblSales[[#This Row],[Sales]]-tblSales[[#This Row],[Budget]]</f>
        <v>2661</v>
      </c>
      <c r="L1973" s="3">
        <f>(tblSales[[#This Row],[Sales]]-tblSales[[#This Row],[Budget]])/tblSales[[#This Row],[Budget]]</f>
        <v>6.8314849044978435E-2</v>
      </c>
      <c r="M1973" s="2">
        <f>tblSales[[#This Row],[Sales]]/tblSales[[#This Row],[Transactions]]</f>
        <v>291</v>
      </c>
    </row>
    <row r="1974" spans="1:13" x14ac:dyDescent="0.25">
      <c r="A1974" s="1">
        <v>46121</v>
      </c>
      <c r="B1974" t="s">
        <v>23</v>
      </c>
      <c r="C1974" t="s">
        <v>9</v>
      </c>
      <c r="D1974" t="str">
        <f>_xlfn.XLOOKUP(tblSales[[#This Row],[Store ID]],tblStores[Store ID],tblStores[Store Name])</f>
        <v>Stellenbosch</v>
      </c>
      <c r="E1974" t="str">
        <f>_xlfn.XLOOKUP(tblSales[[#This Row],[Store ID]],tblStores[Store ID],tblStores[Province])</f>
        <v>Western Cape</v>
      </c>
      <c r="F1974" t="str">
        <f>_xlfn.XLOOKUP(tblSales[[#This Row],[Store ID]],tblStores[Store ID],tblStores[Manager])</f>
        <v>Jason King</v>
      </c>
      <c r="G1974" t="str">
        <f>_xlfn.XLOOKUP(tblSales[[#This Row],[Category ID]],tblCategories[Category ID],tblCategories[Category])</f>
        <v>Ladieswear</v>
      </c>
      <c r="H1974">
        <v>28480</v>
      </c>
      <c r="I1974">
        <v>28761</v>
      </c>
      <c r="J1974">
        <v>89</v>
      </c>
      <c r="K1974">
        <f>tblSales[[#This Row],[Sales]]-tblSales[[#This Row],[Budget]]</f>
        <v>-281</v>
      </c>
      <c r="L1974" s="3">
        <f>(tblSales[[#This Row],[Sales]]-tblSales[[#This Row],[Budget]])/tblSales[[#This Row],[Budget]]</f>
        <v>-9.7701748896074549E-3</v>
      </c>
      <c r="M1974" s="2">
        <f>tblSales[[#This Row],[Sales]]/tblSales[[#This Row],[Transactions]]</f>
        <v>320</v>
      </c>
    </row>
    <row r="1975" spans="1:13" x14ac:dyDescent="0.25">
      <c r="A1975" s="1">
        <v>46121</v>
      </c>
      <c r="B1975" t="s">
        <v>24</v>
      </c>
      <c r="C1975" t="s">
        <v>22</v>
      </c>
      <c r="D1975" t="str">
        <f>_xlfn.XLOOKUP(tblSales[[#This Row],[Store ID]],tblStores[Store ID],tblStores[Store Name])</f>
        <v>George</v>
      </c>
      <c r="E1975" t="str">
        <f>_xlfn.XLOOKUP(tblSales[[#This Row],[Store ID]],tblStores[Store ID],tblStores[Province])</f>
        <v>Western Cape</v>
      </c>
      <c r="F1975" t="str">
        <f>_xlfn.XLOOKUP(tblSales[[#This Row],[Store ID]],tblStores[Store ID],tblStores[Manager])</f>
        <v>Chloe Hill</v>
      </c>
      <c r="G1975" t="str">
        <f>_xlfn.XLOOKUP(tblSales[[#This Row],[Category ID]],tblCategories[Category ID],tblCategories[Category])</f>
        <v>Kids</v>
      </c>
      <c r="H1975">
        <v>38480</v>
      </c>
      <c r="I1975">
        <v>39349</v>
      </c>
      <c r="J1975">
        <v>185</v>
      </c>
      <c r="K1975">
        <f>tblSales[[#This Row],[Sales]]-tblSales[[#This Row],[Budget]]</f>
        <v>-869</v>
      </c>
      <c r="L1975" s="3">
        <f>(tblSales[[#This Row],[Sales]]-tblSales[[#This Row],[Budget]])/tblSales[[#This Row],[Budget]]</f>
        <v>-2.2084424000609927E-2</v>
      </c>
      <c r="M1975" s="2">
        <f>tblSales[[#This Row],[Sales]]/tblSales[[#This Row],[Transactions]]</f>
        <v>208</v>
      </c>
    </row>
    <row r="1976" spans="1:13" x14ac:dyDescent="0.25">
      <c r="A1976" s="1">
        <v>46121</v>
      </c>
      <c r="B1976" t="s">
        <v>25</v>
      </c>
      <c r="C1976" t="s">
        <v>22</v>
      </c>
      <c r="D1976" t="str">
        <f>_xlfn.XLOOKUP(tblSales[[#This Row],[Store ID]],tblStores[Store ID],tblStores[Store Name])</f>
        <v>Paarl</v>
      </c>
      <c r="E1976" t="str">
        <f>_xlfn.XLOOKUP(tblSales[[#This Row],[Store ID]],tblStores[Store ID],tblStores[Province])</f>
        <v>Western Cape</v>
      </c>
      <c r="F1976" t="str">
        <f>_xlfn.XLOOKUP(tblSales[[#This Row],[Store ID]],tblStores[Store ID],tblStores[Manager])</f>
        <v>Andrew Lee</v>
      </c>
      <c r="G1976" t="str">
        <f>_xlfn.XLOOKUP(tblSales[[#This Row],[Category ID]],tblCategories[Category ID],tblCategories[Category])</f>
        <v>Kids</v>
      </c>
      <c r="H1976">
        <v>50718</v>
      </c>
      <c r="I1976">
        <v>49659</v>
      </c>
      <c r="J1976">
        <v>214</v>
      </c>
      <c r="K1976">
        <f>tblSales[[#This Row],[Sales]]-tblSales[[#This Row],[Budget]]</f>
        <v>1059</v>
      </c>
      <c r="L1976" s="3">
        <f>(tblSales[[#This Row],[Sales]]-tblSales[[#This Row],[Budget]])/tblSales[[#This Row],[Budget]]</f>
        <v>2.1325439497372079E-2</v>
      </c>
      <c r="M1976" s="2">
        <f>tblSales[[#This Row],[Sales]]/tblSales[[#This Row],[Transactions]]</f>
        <v>237</v>
      </c>
    </row>
    <row r="1977" spans="1:13" x14ac:dyDescent="0.25">
      <c r="A1977" s="1">
        <v>46121</v>
      </c>
      <c r="B1977" t="s">
        <v>26</v>
      </c>
      <c r="C1977" t="s">
        <v>11</v>
      </c>
      <c r="D1977" t="str">
        <f>_xlfn.XLOOKUP(tblSales[[#This Row],[Store ID]],tblStores[Store ID],tblStores[Store Name])</f>
        <v>Gqeberha</v>
      </c>
      <c r="E1977" t="str">
        <f>_xlfn.XLOOKUP(tblSales[[#This Row],[Store ID]],tblStores[Store ID],tblStores[Province])</f>
        <v>Eastern Cape</v>
      </c>
      <c r="F1977" t="str">
        <f>_xlfn.XLOOKUP(tblSales[[#This Row],[Store ID]],tblStores[Store ID],tblStores[Manager])</f>
        <v>Emma Baker</v>
      </c>
      <c r="G1977" t="str">
        <f>_xlfn.XLOOKUP(tblSales[[#This Row],[Category ID]],tblCategories[Category ID],tblCategories[Category])</f>
        <v>Footwear</v>
      </c>
      <c r="H1977">
        <v>47736</v>
      </c>
      <c r="I1977">
        <v>54458</v>
      </c>
      <c r="J1977">
        <v>156</v>
      </c>
      <c r="K1977">
        <f>tblSales[[#This Row],[Sales]]-tblSales[[#This Row],[Budget]]</f>
        <v>-6722</v>
      </c>
      <c r="L1977" s="3">
        <f>(tblSales[[#This Row],[Sales]]-tblSales[[#This Row],[Budget]])/tblSales[[#This Row],[Budget]]</f>
        <v>-0.12343457343273716</v>
      </c>
      <c r="M1977" s="2">
        <f>tblSales[[#This Row],[Sales]]/tblSales[[#This Row],[Transactions]]</f>
        <v>306</v>
      </c>
    </row>
    <row r="1978" spans="1:13" x14ac:dyDescent="0.25">
      <c r="A1978" s="1">
        <v>46121</v>
      </c>
      <c r="B1978" t="s">
        <v>27</v>
      </c>
      <c r="C1978" t="s">
        <v>9</v>
      </c>
      <c r="D1978" t="str">
        <f>_xlfn.XLOOKUP(tblSales[[#This Row],[Store ID]],tblStores[Store ID],tblStores[Store Name])</f>
        <v>East London</v>
      </c>
      <c r="E1978" t="str">
        <f>_xlfn.XLOOKUP(tblSales[[#This Row],[Store ID]],tblStores[Store ID],tblStores[Province])</f>
        <v>Eastern Cape</v>
      </c>
      <c r="F1978" t="str">
        <f>_xlfn.XLOOKUP(tblSales[[#This Row],[Store ID]],tblStores[Store ID],tblStores[Manager])</f>
        <v>Daniel Evans</v>
      </c>
      <c r="G1978" t="str">
        <f>_xlfn.XLOOKUP(tblSales[[#This Row],[Category ID]],tblCategories[Category ID],tblCategories[Category])</f>
        <v>Ladieswear</v>
      </c>
      <c r="H1978">
        <v>53721</v>
      </c>
      <c r="I1978">
        <v>57960</v>
      </c>
      <c r="J1978">
        <v>127</v>
      </c>
      <c r="K1978">
        <f>tblSales[[#This Row],[Sales]]-tblSales[[#This Row],[Budget]]</f>
        <v>-4239</v>
      </c>
      <c r="L1978" s="3">
        <f>(tblSales[[#This Row],[Sales]]-tblSales[[#This Row],[Budget]])/tblSales[[#This Row],[Budget]]</f>
        <v>-7.3136645962732921E-2</v>
      </c>
      <c r="M1978" s="2">
        <f>tblSales[[#This Row],[Sales]]/tblSales[[#This Row],[Transactions]]</f>
        <v>423</v>
      </c>
    </row>
    <row r="1979" spans="1:13" x14ac:dyDescent="0.25">
      <c r="A1979" s="1">
        <v>46121</v>
      </c>
      <c r="B1979" t="s">
        <v>28</v>
      </c>
      <c r="C1979" t="s">
        <v>22</v>
      </c>
      <c r="D1979" t="str">
        <f>_xlfn.XLOOKUP(tblSales[[#This Row],[Store ID]],tblStores[Store ID],tblStores[Store Name])</f>
        <v>Bloemfontein</v>
      </c>
      <c r="E1979" t="str">
        <f>_xlfn.XLOOKUP(tblSales[[#This Row],[Store ID]],tblStores[Store ID],tblStores[Province])</f>
        <v>Free State</v>
      </c>
      <c r="F1979" t="str">
        <f>_xlfn.XLOOKUP(tblSales[[#This Row],[Store ID]],tblStores[Store ID],tblStores[Manager])</f>
        <v>Rachel Moore</v>
      </c>
      <c r="G1979" t="str">
        <f>_xlfn.XLOOKUP(tblSales[[#This Row],[Category ID]],tblCategories[Category ID],tblCategories[Category])</f>
        <v>Kids</v>
      </c>
      <c r="H1979">
        <v>20400</v>
      </c>
      <c r="I1979">
        <v>23290</v>
      </c>
      <c r="J1979">
        <v>40</v>
      </c>
      <c r="K1979">
        <f>tblSales[[#This Row],[Sales]]-tblSales[[#This Row],[Budget]]</f>
        <v>-2890</v>
      </c>
      <c r="L1979" s="3">
        <f>(tblSales[[#This Row],[Sales]]-tblSales[[#This Row],[Budget]])/tblSales[[#This Row],[Budget]]</f>
        <v>-0.12408759124087591</v>
      </c>
      <c r="M1979" s="2">
        <f>tblSales[[#This Row],[Sales]]/tblSales[[#This Row],[Transactions]]</f>
        <v>510</v>
      </c>
    </row>
    <row r="1980" spans="1:13" x14ac:dyDescent="0.25">
      <c r="A1980" s="1">
        <v>46121</v>
      </c>
      <c r="B1980" t="s">
        <v>29</v>
      </c>
      <c r="C1980" t="s">
        <v>19</v>
      </c>
      <c r="D1980" t="str">
        <f>_xlfn.XLOOKUP(tblSales[[#This Row],[Store ID]],tblStores[Store ID],tblStores[Store Name])</f>
        <v>Polokwane</v>
      </c>
      <c r="E1980" t="str">
        <f>_xlfn.XLOOKUP(tblSales[[#This Row],[Store ID]],tblStores[Store ID],tblStores[Province])</f>
        <v>Limpopo</v>
      </c>
      <c r="F1980" t="str">
        <f>_xlfn.XLOOKUP(tblSales[[#This Row],[Store ID]],tblStores[Store ID],tblStores[Manager])</f>
        <v>Kevin Harris</v>
      </c>
      <c r="G1980" t="str">
        <f>_xlfn.XLOOKUP(tblSales[[#This Row],[Category ID]],tblCategories[Category ID],tblCategories[Category])</f>
        <v>Accessories</v>
      </c>
      <c r="H1980">
        <v>22317</v>
      </c>
      <c r="I1980">
        <v>24542</v>
      </c>
      <c r="J1980">
        <v>43</v>
      </c>
      <c r="K1980">
        <f>tblSales[[#This Row],[Sales]]-tblSales[[#This Row],[Budget]]</f>
        <v>-2225</v>
      </c>
      <c r="L1980" s="3">
        <f>(tblSales[[#This Row],[Sales]]-tblSales[[#This Row],[Budget]])/tblSales[[#This Row],[Budget]]</f>
        <v>-9.0660907831472584E-2</v>
      </c>
      <c r="M1980" s="2">
        <f>tblSales[[#This Row],[Sales]]/tblSales[[#This Row],[Transactions]]</f>
        <v>519</v>
      </c>
    </row>
    <row r="1981" spans="1:13" x14ac:dyDescent="0.25">
      <c r="A1981" s="1">
        <v>46121</v>
      </c>
      <c r="B1981" t="s">
        <v>30</v>
      </c>
      <c r="C1981" t="s">
        <v>7</v>
      </c>
      <c r="D1981" t="str">
        <f>_xlfn.XLOOKUP(tblSales[[#This Row],[Store ID]],tblStores[Store ID],tblStores[Store Name])</f>
        <v>Nelspruit</v>
      </c>
      <c r="E1981" t="str">
        <f>_xlfn.XLOOKUP(tblSales[[#This Row],[Store ID]],tblStores[Store ID],tblStores[Province])</f>
        <v>Mpumalanga</v>
      </c>
      <c r="F1981" t="str">
        <f>_xlfn.XLOOKUP(tblSales[[#This Row],[Store ID]],tblStores[Store ID],tblStores[Manager])</f>
        <v>Olivia Turner</v>
      </c>
      <c r="G1981" t="str">
        <f>_xlfn.XLOOKUP(tblSales[[#This Row],[Category ID]],tblCategories[Category ID],tblCategories[Category])</f>
        <v>Menswear</v>
      </c>
      <c r="H1981">
        <v>63722</v>
      </c>
      <c r="I1981">
        <v>61379</v>
      </c>
      <c r="J1981">
        <v>211</v>
      </c>
      <c r="K1981">
        <f>tblSales[[#This Row],[Sales]]-tblSales[[#This Row],[Budget]]</f>
        <v>2343</v>
      </c>
      <c r="L1981" s="3">
        <f>(tblSales[[#This Row],[Sales]]-tblSales[[#This Row],[Budget]])/tblSales[[#This Row],[Budget]]</f>
        <v>3.8172664917968689E-2</v>
      </c>
      <c r="M1981" s="2">
        <f>tblSales[[#This Row],[Sales]]/tblSales[[#This Row],[Transactions]]</f>
        <v>302</v>
      </c>
    </row>
    <row r="1982" spans="1:13" x14ac:dyDescent="0.25">
      <c r="A1982" s="1">
        <v>46122</v>
      </c>
      <c r="B1982" t="s">
        <v>6</v>
      </c>
      <c r="C1982" t="s">
        <v>11</v>
      </c>
      <c r="D1982" t="str">
        <f>_xlfn.XLOOKUP(tblSales[[#This Row],[Store ID]],tblStores[Store ID],tblStores[Store Name])</f>
        <v>Durban CBD</v>
      </c>
      <c r="E1982" t="str">
        <f>_xlfn.XLOOKUP(tblSales[[#This Row],[Store ID]],tblStores[Store ID],tblStores[Province])</f>
        <v>KZN</v>
      </c>
      <c r="F1982" t="str">
        <f>_xlfn.XLOOKUP(tblSales[[#This Row],[Store ID]],tblStores[Store ID],tblStores[Manager])</f>
        <v>Sarah Adams</v>
      </c>
      <c r="G1982" t="str">
        <f>_xlfn.XLOOKUP(tblSales[[#This Row],[Category ID]],tblCategories[Category ID],tblCategories[Category])</f>
        <v>Footwear</v>
      </c>
      <c r="H1982">
        <v>57798</v>
      </c>
      <c r="I1982">
        <v>65867</v>
      </c>
      <c r="J1982">
        <v>114</v>
      </c>
      <c r="K1982">
        <f>tblSales[[#This Row],[Sales]]-tblSales[[#This Row],[Budget]]</f>
        <v>-8069</v>
      </c>
      <c r="L1982" s="3">
        <f>(tblSales[[#This Row],[Sales]]-tblSales[[#This Row],[Budget]])/tblSales[[#This Row],[Budget]]</f>
        <v>-0.12250444076700016</v>
      </c>
      <c r="M1982" s="2">
        <f>tblSales[[#This Row],[Sales]]/tblSales[[#This Row],[Transactions]]</f>
        <v>507</v>
      </c>
    </row>
    <row r="1983" spans="1:13" x14ac:dyDescent="0.25">
      <c r="A1983" s="1">
        <v>46122</v>
      </c>
      <c r="B1983" t="s">
        <v>8</v>
      </c>
      <c r="C1983" t="s">
        <v>22</v>
      </c>
      <c r="D1983" t="str">
        <f>_xlfn.XLOOKUP(tblSales[[#This Row],[Store ID]],tblStores[Store ID],tblStores[Store Name])</f>
        <v>Gateway</v>
      </c>
      <c r="E1983" t="str">
        <f>_xlfn.XLOOKUP(tblSales[[#This Row],[Store ID]],tblStores[Store ID],tblStores[Province])</f>
        <v>KZN</v>
      </c>
      <c r="F1983" t="str">
        <f>_xlfn.XLOOKUP(tblSales[[#This Row],[Store ID]],tblStores[Store ID],tblStores[Manager])</f>
        <v>Michael Jones</v>
      </c>
      <c r="G1983" t="str">
        <f>_xlfn.XLOOKUP(tblSales[[#This Row],[Category ID]],tblCategories[Category ID],tblCategories[Category])</f>
        <v>Kids</v>
      </c>
      <c r="H1983">
        <v>50820</v>
      </c>
      <c r="I1983">
        <v>52534</v>
      </c>
      <c r="J1983">
        <v>210</v>
      </c>
      <c r="K1983">
        <f>tblSales[[#This Row],[Sales]]-tblSales[[#This Row],[Budget]]</f>
        <v>-1714</v>
      </c>
      <c r="L1983" s="3">
        <f>(tblSales[[#This Row],[Sales]]-tblSales[[#This Row],[Budget]])/tblSales[[#This Row],[Budget]]</f>
        <v>-3.2626489511554418E-2</v>
      </c>
      <c r="M1983" s="2">
        <f>tblSales[[#This Row],[Sales]]/tblSales[[#This Row],[Transactions]]</f>
        <v>242</v>
      </c>
    </row>
    <row r="1984" spans="1:13" x14ac:dyDescent="0.25">
      <c r="A1984" s="1">
        <v>46122</v>
      </c>
      <c r="B1984" t="s">
        <v>10</v>
      </c>
      <c r="C1984" t="s">
        <v>9</v>
      </c>
      <c r="D1984" t="str">
        <f>_xlfn.XLOOKUP(tblSales[[#This Row],[Store ID]],tblStores[Store ID],tblStores[Store Name])</f>
        <v>Ballito</v>
      </c>
      <c r="E1984" t="str">
        <f>_xlfn.XLOOKUP(tblSales[[#This Row],[Store ID]],tblStores[Store ID],tblStores[Province])</f>
        <v>KZN</v>
      </c>
      <c r="F1984" t="str">
        <f>_xlfn.XLOOKUP(tblSales[[#This Row],[Store ID]],tblStores[Store ID],tblStores[Manager])</f>
        <v>Linda Smith</v>
      </c>
      <c r="G1984" t="str">
        <f>_xlfn.XLOOKUP(tblSales[[#This Row],[Category ID]],tblCategories[Category ID],tblCategories[Category])</f>
        <v>Ladieswear</v>
      </c>
      <c r="H1984">
        <v>55944</v>
      </c>
      <c r="I1984">
        <v>50459</v>
      </c>
      <c r="J1984">
        <v>148</v>
      </c>
      <c r="K1984">
        <f>tblSales[[#This Row],[Sales]]-tblSales[[#This Row],[Budget]]</f>
        <v>5485</v>
      </c>
      <c r="L1984" s="3">
        <f>(tblSales[[#This Row],[Sales]]-tblSales[[#This Row],[Budget]])/tblSales[[#This Row],[Budget]]</f>
        <v>0.10870211458808142</v>
      </c>
      <c r="M1984" s="2">
        <f>tblSales[[#This Row],[Sales]]/tblSales[[#This Row],[Transactions]]</f>
        <v>378</v>
      </c>
    </row>
    <row r="1985" spans="1:13" x14ac:dyDescent="0.25">
      <c r="A1985" s="1">
        <v>46122</v>
      </c>
      <c r="B1985" t="s">
        <v>12</v>
      </c>
      <c r="C1985" t="s">
        <v>11</v>
      </c>
      <c r="D1985" t="str">
        <f>_xlfn.XLOOKUP(tblSales[[#This Row],[Store ID]],tblStores[Store ID],tblStores[Store Name])</f>
        <v>Pietermaritzburg</v>
      </c>
      <c r="E1985" t="str">
        <f>_xlfn.XLOOKUP(tblSales[[#This Row],[Store ID]],tblStores[Store ID],tblStores[Province])</f>
        <v>KZN</v>
      </c>
      <c r="F1985" t="str">
        <f>_xlfn.XLOOKUP(tblSales[[#This Row],[Store ID]],tblStores[Store ID],tblStores[Manager])</f>
        <v>Peter Brown</v>
      </c>
      <c r="G1985" t="str">
        <f>_xlfn.XLOOKUP(tblSales[[#This Row],[Category ID]],tblCategories[Category ID],tblCategories[Category])</f>
        <v>Footwear</v>
      </c>
      <c r="H1985">
        <v>33400</v>
      </c>
      <c r="I1985">
        <v>30813</v>
      </c>
      <c r="J1985">
        <v>100</v>
      </c>
      <c r="K1985">
        <f>tblSales[[#This Row],[Sales]]-tblSales[[#This Row],[Budget]]</f>
        <v>2587</v>
      </c>
      <c r="L1985" s="3">
        <f>(tblSales[[#This Row],[Sales]]-tblSales[[#This Row],[Budget]])/tblSales[[#This Row],[Budget]]</f>
        <v>8.3958069645928668E-2</v>
      </c>
      <c r="M1985" s="2">
        <f>tblSales[[#This Row],[Sales]]/tblSales[[#This Row],[Transactions]]</f>
        <v>334</v>
      </c>
    </row>
    <row r="1986" spans="1:13" x14ac:dyDescent="0.25">
      <c r="A1986" s="1">
        <v>46122</v>
      </c>
      <c r="B1986" t="s">
        <v>13</v>
      </c>
      <c r="C1986" t="s">
        <v>9</v>
      </c>
      <c r="D1986" t="str">
        <f>_xlfn.XLOOKUP(tblSales[[#This Row],[Store ID]],tblStores[Store ID],tblStores[Store Name])</f>
        <v>Richards Bay</v>
      </c>
      <c r="E1986" t="str">
        <f>_xlfn.XLOOKUP(tblSales[[#This Row],[Store ID]],tblStores[Store ID],tblStores[Province])</f>
        <v>KZN</v>
      </c>
      <c r="F1986" t="str">
        <f>_xlfn.XLOOKUP(tblSales[[#This Row],[Store ID]],tblStores[Store ID],tblStores[Manager])</f>
        <v>David Green</v>
      </c>
      <c r="G1986" t="str">
        <f>_xlfn.XLOOKUP(tblSales[[#This Row],[Category ID]],tblCategories[Category ID],tblCategories[Category])</f>
        <v>Ladieswear</v>
      </c>
      <c r="H1986">
        <v>31857</v>
      </c>
      <c r="I1986">
        <v>35515</v>
      </c>
      <c r="J1986">
        <v>111</v>
      </c>
      <c r="K1986">
        <f>tblSales[[#This Row],[Sales]]-tblSales[[#This Row],[Budget]]</f>
        <v>-3658</v>
      </c>
      <c r="L1986" s="3">
        <f>(tblSales[[#This Row],[Sales]]-tblSales[[#This Row],[Budget]])/tblSales[[#This Row],[Budget]]</f>
        <v>-0.102998732929748</v>
      </c>
      <c r="M1986" s="2">
        <f>tblSales[[#This Row],[Sales]]/tblSales[[#This Row],[Transactions]]</f>
        <v>287</v>
      </c>
    </row>
    <row r="1987" spans="1:13" x14ac:dyDescent="0.25">
      <c r="A1987" s="1">
        <v>46122</v>
      </c>
      <c r="B1987" t="s">
        <v>14</v>
      </c>
      <c r="C1987" t="s">
        <v>9</v>
      </c>
      <c r="D1987" t="str">
        <f>_xlfn.XLOOKUP(tblSales[[#This Row],[Store ID]],tblStores[Store ID],tblStores[Store Name])</f>
        <v>Sandton</v>
      </c>
      <c r="E1987" t="str">
        <f>_xlfn.XLOOKUP(tblSales[[#This Row],[Store ID]],tblStores[Store ID],tblStores[Province])</f>
        <v>Gauteng</v>
      </c>
      <c r="F1987" t="str">
        <f>_xlfn.XLOOKUP(tblSales[[#This Row],[Store ID]],tblStores[Store ID],tblStores[Manager])</f>
        <v>Karen White</v>
      </c>
      <c r="G1987" t="str">
        <f>_xlfn.XLOOKUP(tblSales[[#This Row],[Category ID]],tblCategories[Category ID],tblCategories[Category])</f>
        <v>Ladieswear</v>
      </c>
      <c r="H1987">
        <v>73941</v>
      </c>
      <c r="I1987">
        <v>72410</v>
      </c>
      <c r="J1987">
        <v>147</v>
      </c>
      <c r="K1987">
        <f>tblSales[[#This Row],[Sales]]-tblSales[[#This Row],[Budget]]</f>
        <v>1531</v>
      </c>
      <c r="L1987" s="3">
        <f>(tblSales[[#This Row],[Sales]]-tblSales[[#This Row],[Budget]])/tblSales[[#This Row],[Budget]]</f>
        <v>2.1143488468443584E-2</v>
      </c>
      <c r="M1987" s="2">
        <f>tblSales[[#This Row],[Sales]]/tblSales[[#This Row],[Transactions]]</f>
        <v>503</v>
      </c>
    </row>
    <row r="1988" spans="1:13" x14ac:dyDescent="0.25">
      <c r="A1988" s="1">
        <v>46122</v>
      </c>
      <c r="B1988" t="s">
        <v>15</v>
      </c>
      <c r="C1988" t="s">
        <v>11</v>
      </c>
      <c r="D1988" t="str">
        <f>_xlfn.XLOOKUP(tblSales[[#This Row],[Store ID]],tblStores[Store ID],tblStores[Store Name])</f>
        <v>Rosebank</v>
      </c>
      <c r="E1988" t="str">
        <f>_xlfn.XLOOKUP(tblSales[[#This Row],[Store ID]],tblStores[Store ID],tblStores[Province])</f>
        <v>Gauteng</v>
      </c>
      <c r="F1988" t="str">
        <f>_xlfn.XLOOKUP(tblSales[[#This Row],[Store ID]],tblStores[Store ID],tblStores[Manager])</f>
        <v>James Taylor</v>
      </c>
      <c r="G1988" t="str">
        <f>_xlfn.XLOOKUP(tblSales[[#This Row],[Category ID]],tblCategories[Category ID],tblCategories[Category])</f>
        <v>Footwear</v>
      </c>
      <c r="H1988">
        <v>13760</v>
      </c>
      <c r="I1988">
        <v>15364</v>
      </c>
      <c r="J1988">
        <v>43</v>
      </c>
      <c r="K1988">
        <f>tblSales[[#This Row],[Sales]]-tblSales[[#This Row],[Budget]]</f>
        <v>-1604</v>
      </c>
      <c r="L1988" s="3">
        <f>(tblSales[[#This Row],[Sales]]-tblSales[[#This Row],[Budget]])/tblSales[[#This Row],[Budget]]</f>
        <v>-0.10439989586045301</v>
      </c>
      <c r="M1988" s="2">
        <f>tblSales[[#This Row],[Sales]]/tblSales[[#This Row],[Transactions]]</f>
        <v>320</v>
      </c>
    </row>
    <row r="1989" spans="1:13" x14ac:dyDescent="0.25">
      <c r="A1989" s="1">
        <v>46122</v>
      </c>
      <c r="B1989" t="s">
        <v>16</v>
      </c>
      <c r="C1989" t="s">
        <v>11</v>
      </c>
      <c r="D1989" t="str">
        <f>_xlfn.XLOOKUP(tblSales[[#This Row],[Store ID]],tblStores[Store ID],tblStores[Store Name])</f>
        <v>Pretoria</v>
      </c>
      <c r="E1989" t="str">
        <f>_xlfn.XLOOKUP(tblSales[[#This Row],[Store ID]],tblStores[Store ID],tblStores[Province])</f>
        <v>Gauteng</v>
      </c>
      <c r="F1989" t="str">
        <f>_xlfn.XLOOKUP(tblSales[[#This Row],[Store ID]],tblStores[Store ID],tblStores[Manager])</f>
        <v>Susan Clark</v>
      </c>
      <c r="G1989" t="str">
        <f>_xlfn.XLOOKUP(tblSales[[#This Row],[Category ID]],tblCategories[Category ID],tblCategories[Category])</f>
        <v>Footwear</v>
      </c>
      <c r="H1989">
        <v>60605</v>
      </c>
      <c r="I1989">
        <v>68582</v>
      </c>
      <c r="J1989">
        <v>155</v>
      </c>
      <c r="K1989">
        <f>tblSales[[#This Row],[Sales]]-tblSales[[#This Row],[Budget]]</f>
        <v>-7977</v>
      </c>
      <c r="L1989" s="3">
        <f>(tblSales[[#This Row],[Sales]]-tblSales[[#This Row],[Budget]])/tblSales[[#This Row],[Budget]]</f>
        <v>-0.11631331836341897</v>
      </c>
      <c r="M1989" s="2">
        <f>tblSales[[#This Row],[Sales]]/tblSales[[#This Row],[Transactions]]</f>
        <v>391</v>
      </c>
    </row>
    <row r="1990" spans="1:13" x14ac:dyDescent="0.25">
      <c r="A1990" s="1">
        <v>46122</v>
      </c>
      <c r="B1990" t="s">
        <v>17</v>
      </c>
      <c r="C1990" t="s">
        <v>22</v>
      </c>
      <c r="D1990" t="str">
        <f>_xlfn.XLOOKUP(tblSales[[#This Row],[Store ID]],tblStores[Store ID],tblStores[Store Name])</f>
        <v>Centurion</v>
      </c>
      <c r="E1990" t="str">
        <f>_xlfn.XLOOKUP(tblSales[[#This Row],[Store ID]],tblStores[Store ID],tblStores[Province])</f>
        <v>Gauteng</v>
      </c>
      <c r="F1990" t="str">
        <f>_xlfn.XLOOKUP(tblSales[[#This Row],[Store ID]],tblStores[Store ID],tblStores[Manager])</f>
        <v>Mark Wilson</v>
      </c>
      <c r="G1990" t="str">
        <f>_xlfn.XLOOKUP(tblSales[[#This Row],[Category ID]],tblCategories[Category ID],tblCategories[Category])</f>
        <v>Kids</v>
      </c>
      <c r="H1990">
        <v>86328</v>
      </c>
      <c r="I1990">
        <v>96617</v>
      </c>
      <c r="J1990">
        <v>218</v>
      </c>
      <c r="K1990">
        <f>tblSales[[#This Row],[Sales]]-tblSales[[#This Row],[Budget]]</f>
        <v>-10289</v>
      </c>
      <c r="L1990" s="3">
        <f>(tblSales[[#This Row],[Sales]]-tblSales[[#This Row],[Budget]])/tblSales[[#This Row],[Budget]]</f>
        <v>-0.10649264622167942</v>
      </c>
      <c r="M1990" s="2">
        <f>tblSales[[#This Row],[Sales]]/tblSales[[#This Row],[Transactions]]</f>
        <v>396</v>
      </c>
    </row>
    <row r="1991" spans="1:13" x14ac:dyDescent="0.25">
      <c r="A1991" s="1">
        <v>46122</v>
      </c>
      <c r="B1991" t="s">
        <v>18</v>
      </c>
      <c r="C1991" t="s">
        <v>7</v>
      </c>
      <c r="D1991" t="str">
        <f>_xlfn.XLOOKUP(tblSales[[#This Row],[Store ID]],tblStores[Store ID],tblStores[Store Name])</f>
        <v>East Rand</v>
      </c>
      <c r="E1991" t="str">
        <f>_xlfn.XLOOKUP(tblSales[[#This Row],[Store ID]],tblStores[Store ID],tblStores[Province])</f>
        <v>Gauteng</v>
      </c>
      <c r="F1991" t="str">
        <f>_xlfn.XLOOKUP(tblSales[[#This Row],[Store ID]],tblStores[Store ID],tblStores[Manager])</f>
        <v>Lisa Young</v>
      </c>
      <c r="G1991" t="str">
        <f>_xlfn.XLOOKUP(tblSales[[#This Row],[Category ID]],tblCategories[Category ID],tblCategories[Category])</f>
        <v>Menswear</v>
      </c>
      <c r="H1991">
        <v>23788</v>
      </c>
      <c r="I1991">
        <v>24420</v>
      </c>
      <c r="J1991">
        <v>76</v>
      </c>
      <c r="K1991">
        <f>tblSales[[#This Row],[Sales]]-tblSales[[#This Row],[Budget]]</f>
        <v>-632</v>
      </c>
      <c r="L1991" s="3">
        <f>(tblSales[[#This Row],[Sales]]-tblSales[[#This Row],[Budget]])/tblSales[[#This Row],[Budget]]</f>
        <v>-2.588042588042588E-2</v>
      </c>
      <c r="M1991" s="2">
        <f>tblSales[[#This Row],[Sales]]/tblSales[[#This Row],[Transactions]]</f>
        <v>313</v>
      </c>
    </row>
    <row r="1992" spans="1:13" x14ac:dyDescent="0.25">
      <c r="A1992" s="1">
        <v>46122</v>
      </c>
      <c r="B1992" t="s">
        <v>20</v>
      </c>
      <c r="C1992" t="s">
        <v>22</v>
      </c>
      <c r="D1992" t="str">
        <f>_xlfn.XLOOKUP(tblSales[[#This Row],[Store ID]],tblStores[Store ID],tblStores[Store Name])</f>
        <v>Cape Town CBD</v>
      </c>
      <c r="E1992" t="str">
        <f>_xlfn.XLOOKUP(tblSales[[#This Row],[Store ID]],tblStores[Store ID],tblStores[Province])</f>
        <v>Western Cape</v>
      </c>
      <c r="F1992" t="str">
        <f>_xlfn.XLOOKUP(tblSales[[#This Row],[Store ID]],tblStores[Store ID],tblStores[Manager])</f>
        <v>Brian Hall</v>
      </c>
      <c r="G1992" t="str">
        <f>_xlfn.XLOOKUP(tblSales[[#This Row],[Category ID]],tblCategories[Category ID],tblCategories[Category])</f>
        <v>Kids</v>
      </c>
      <c r="H1992">
        <v>69296</v>
      </c>
      <c r="I1992">
        <v>74999</v>
      </c>
      <c r="J1992">
        <v>142</v>
      </c>
      <c r="K1992">
        <f>tblSales[[#This Row],[Sales]]-tblSales[[#This Row],[Budget]]</f>
        <v>-5703</v>
      </c>
      <c r="L1992" s="3">
        <f>(tblSales[[#This Row],[Sales]]-tblSales[[#This Row],[Budget]])/tblSales[[#This Row],[Budget]]</f>
        <v>-7.6041013880185068E-2</v>
      </c>
      <c r="M1992" s="2">
        <f>tblSales[[#This Row],[Sales]]/tblSales[[#This Row],[Transactions]]</f>
        <v>488</v>
      </c>
    </row>
    <row r="1993" spans="1:13" x14ac:dyDescent="0.25">
      <c r="A1993" s="1">
        <v>46122</v>
      </c>
      <c r="B1993" t="s">
        <v>21</v>
      </c>
      <c r="C1993" t="s">
        <v>19</v>
      </c>
      <c r="D1993" t="str">
        <f>_xlfn.XLOOKUP(tblSales[[#This Row],[Store ID]],tblStores[Store ID],tblStores[Store Name])</f>
        <v>Canal Walk</v>
      </c>
      <c r="E1993" t="str">
        <f>_xlfn.XLOOKUP(tblSales[[#This Row],[Store ID]],tblStores[Store ID],tblStores[Province])</f>
        <v>Western Cape</v>
      </c>
      <c r="F1993" t="str">
        <f>_xlfn.XLOOKUP(tblSales[[#This Row],[Store ID]],tblStores[Store ID],tblStores[Manager])</f>
        <v>Megan Scott</v>
      </c>
      <c r="G1993" t="str">
        <f>_xlfn.XLOOKUP(tblSales[[#This Row],[Category ID]],tblCategories[Category ID],tblCategories[Category])</f>
        <v>Accessories</v>
      </c>
      <c r="H1993">
        <v>48616</v>
      </c>
      <c r="I1993">
        <v>52203</v>
      </c>
      <c r="J1993">
        <v>118</v>
      </c>
      <c r="K1993">
        <f>tblSales[[#This Row],[Sales]]-tblSales[[#This Row],[Budget]]</f>
        <v>-3587</v>
      </c>
      <c r="L1993" s="3">
        <f>(tblSales[[#This Row],[Sales]]-tblSales[[#This Row],[Budget]])/tblSales[[#This Row],[Budget]]</f>
        <v>-6.8712526100032562E-2</v>
      </c>
      <c r="M1993" s="2">
        <f>tblSales[[#This Row],[Sales]]/tblSales[[#This Row],[Transactions]]</f>
        <v>412</v>
      </c>
    </row>
    <row r="1994" spans="1:13" x14ac:dyDescent="0.25">
      <c r="A1994" s="1">
        <v>46122</v>
      </c>
      <c r="B1994" t="s">
        <v>23</v>
      </c>
      <c r="C1994" t="s">
        <v>7</v>
      </c>
      <c r="D1994" t="str">
        <f>_xlfn.XLOOKUP(tblSales[[#This Row],[Store ID]],tblStores[Store ID],tblStores[Store Name])</f>
        <v>Stellenbosch</v>
      </c>
      <c r="E1994" t="str">
        <f>_xlfn.XLOOKUP(tblSales[[#This Row],[Store ID]],tblStores[Store ID],tblStores[Province])</f>
        <v>Western Cape</v>
      </c>
      <c r="F1994" t="str">
        <f>_xlfn.XLOOKUP(tblSales[[#This Row],[Store ID]],tblStores[Store ID],tblStores[Manager])</f>
        <v>Jason King</v>
      </c>
      <c r="G1994" t="str">
        <f>_xlfn.XLOOKUP(tblSales[[#This Row],[Category ID]],tblCategories[Category ID],tblCategories[Category])</f>
        <v>Menswear</v>
      </c>
      <c r="H1994">
        <v>101092</v>
      </c>
      <c r="I1994">
        <v>95626</v>
      </c>
      <c r="J1994">
        <v>199</v>
      </c>
      <c r="K1994">
        <f>tblSales[[#This Row],[Sales]]-tblSales[[#This Row],[Budget]]</f>
        <v>5466</v>
      </c>
      <c r="L1994" s="3">
        <f>(tblSales[[#This Row],[Sales]]-tblSales[[#This Row],[Budget]])/tblSales[[#This Row],[Budget]]</f>
        <v>5.7160186560140547E-2</v>
      </c>
      <c r="M1994" s="2">
        <f>tblSales[[#This Row],[Sales]]/tblSales[[#This Row],[Transactions]]</f>
        <v>508</v>
      </c>
    </row>
    <row r="1995" spans="1:13" x14ac:dyDescent="0.25">
      <c r="A1995" s="1">
        <v>46122</v>
      </c>
      <c r="B1995" t="s">
        <v>24</v>
      </c>
      <c r="C1995" t="s">
        <v>11</v>
      </c>
      <c r="D1995" t="str">
        <f>_xlfn.XLOOKUP(tblSales[[#This Row],[Store ID]],tblStores[Store ID],tblStores[Store Name])</f>
        <v>George</v>
      </c>
      <c r="E1995" t="str">
        <f>_xlfn.XLOOKUP(tblSales[[#This Row],[Store ID]],tblStores[Store ID],tblStores[Province])</f>
        <v>Western Cape</v>
      </c>
      <c r="F1995" t="str">
        <f>_xlfn.XLOOKUP(tblSales[[#This Row],[Store ID]],tblStores[Store ID],tblStores[Manager])</f>
        <v>Chloe Hill</v>
      </c>
      <c r="G1995" t="str">
        <f>_xlfn.XLOOKUP(tblSales[[#This Row],[Category ID]],tblCategories[Category ID],tblCategories[Category])</f>
        <v>Footwear</v>
      </c>
      <c r="H1995">
        <v>49551</v>
      </c>
      <c r="I1995">
        <v>44634</v>
      </c>
      <c r="J1995">
        <v>199</v>
      </c>
      <c r="K1995">
        <f>tblSales[[#This Row],[Sales]]-tblSales[[#This Row],[Budget]]</f>
        <v>4917</v>
      </c>
      <c r="L1995" s="3">
        <f>(tblSales[[#This Row],[Sales]]-tblSales[[#This Row],[Budget]])/tblSales[[#This Row],[Budget]]</f>
        <v>0.11016265627100416</v>
      </c>
      <c r="M1995" s="2">
        <f>tblSales[[#This Row],[Sales]]/tblSales[[#This Row],[Transactions]]</f>
        <v>249</v>
      </c>
    </row>
    <row r="1996" spans="1:13" x14ac:dyDescent="0.25">
      <c r="A1996" s="1">
        <v>46122</v>
      </c>
      <c r="B1996" t="s">
        <v>25</v>
      </c>
      <c r="C1996" t="s">
        <v>9</v>
      </c>
      <c r="D1996" t="str">
        <f>_xlfn.XLOOKUP(tblSales[[#This Row],[Store ID]],tblStores[Store ID],tblStores[Store Name])</f>
        <v>Paarl</v>
      </c>
      <c r="E1996" t="str">
        <f>_xlfn.XLOOKUP(tblSales[[#This Row],[Store ID]],tblStores[Store ID],tblStores[Province])</f>
        <v>Western Cape</v>
      </c>
      <c r="F1996" t="str">
        <f>_xlfn.XLOOKUP(tblSales[[#This Row],[Store ID]],tblStores[Store ID],tblStores[Manager])</f>
        <v>Andrew Lee</v>
      </c>
      <c r="G1996" t="str">
        <f>_xlfn.XLOOKUP(tblSales[[#This Row],[Category ID]],tblCategories[Category ID],tblCategories[Category])</f>
        <v>Ladieswear</v>
      </c>
      <c r="H1996">
        <v>65520</v>
      </c>
      <c r="I1996">
        <v>64106</v>
      </c>
      <c r="J1996">
        <v>195</v>
      </c>
      <c r="K1996">
        <f>tblSales[[#This Row],[Sales]]-tblSales[[#This Row],[Budget]]</f>
        <v>1414</v>
      </c>
      <c r="L1996" s="3">
        <f>(tblSales[[#This Row],[Sales]]-tblSales[[#This Row],[Budget]])/tblSales[[#This Row],[Budget]]</f>
        <v>2.2057217733129506E-2</v>
      </c>
      <c r="M1996" s="2">
        <f>tblSales[[#This Row],[Sales]]/tblSales[[#This Row],[Transactions]]</f>
        <v>336</v>
      </c>
    </row>
    <row r="1997" spans="1:13" x14ac:dyDescent="0.25">
      <c r="A1997" s="1">
        <v>46122</v>
      </c>
      <c r="B1997" t="s">
        <v>26</v>
      </c>
      <c r="C1997" t="s">
        <v>7</v>
      </c>
      <c r="D1997" t="str">
        <f>_xlfn.XLOOKUP(tblSales[[#This Row],[Store ID]],tblStores[Store ID],tblStores[Store Name])</f>
        <v>Gqeberha</v>
      </c>
      <c r="E1997" t="str">
        <f>_xlfn.XLOOKUP(tblSales[[#This Row],[Store ID]],tblStores[Store ID],tblStores[Province])</f>
        <v>Eastern Cape</v>
      </c>
      <c r="F1997" t="str">
        <f>_xlfn.XLOOKUP(tblSales[[#This Row],[Store ID]],tblStores[Store ID],tblStores[Manager])</f>
        <v>Emma Baker</v>
      </c>
      <c r="G1997" t="str">
        <f>_xlfn.XLOOKUP(tblSales[[#This Row],[Category ID]],tblCategories[Category ID],tblCategories[Category])</f>
        <v>Menswear</v>
      </c>
      <c r="H1997">
        <v>16380</v>
      </c>
      <c r="I1997">
        <v>15764</v>
      </c>
      <c r="J1997">
        <v>63</v>
      </c>
      <c r="K1997">
        <f>tblSales[[#This Row],[Sales]]-tblSales[[#This Row],[Budget]]</f>
        <v>616</v>
      </c>
      <c r="L1997" s="3">
        <f>(tblSales[[#This Row],[Sales]]-tblSales[[#This Row],[Budget]])/tblSales[[#This Row],[Budget]]</f>
        <v>3.9076376554174071E-2</v>
      </c>
      <c r="M1997" s="2">
        <f>tblSales[[#This Row],[Sales]]/tblSales[[#This Row],[Transactions]]</f>
        <v>260</v>
      </c>
    </row>
    <row r="1998" spans="1:13" x14ac:dyDescent="0.25">
      <c r="A1998" s="1">
        <v>46122</v>
      </c>
      <c r="B1998" t="s">
        <v>27</v>
      </c>
      <c r="C1998" t="s">
        <v>9</v>
      </c>
      <c r="D1998" t="str">
        <f>_xlfn.XLOOKUP(tblSales[[#This Row],[Store ID]],tblStores[Store ID],tblStores[Store Name])</f>
        <v>East London</v>
      </c>
      <c r="E1998" t="str">
        <f>_xlfn.XLOOKUP(tblSales[[#This Row],[Store ID]],tblStores[Store ID],tblStores[Province])</f>
        <v>Eastern Cape</v>
      </c>
      <c r="F1998" t="str">
        <f>_xlfn.XLOOKUP(tblSales[[#This Row],[Store ID]],tblStores[Store ID],tblStores[Manager])</f>
        <v>Daniel Evans</v>
      </c>
      <c r="G1998" t="str">
        <f>_xlfn.XLOOKUP(tblSales[[#This Row],[Category ID]],tblCategories[Category ID],tblCategories[Category])</f>
        <v>Ladieswear</v>
      </c>
      <c r="H1998">
        <v>72930</v>
      </c>
      <c r="I1998">
        <v>80088</v>
      </c>
      <c r="J1998">
        <v>187</v>
      </c>
      <c r="K1998">
        <f>tblSales[[#This Row],[Sales]]-tblSales[[#This Row],[Budget]]</f>
        <v>-7158</v>
      </c>
      <c r="L1998" s="3">
        <f>(tblSales[[#This Row],[Sales]]-tblSales[[#This Row],[Budget]])/tblSales[[#This Row],[Budget]]</f>
        <v>-8.9376685645789627E-2</v>
      </c>
      <c r="M1998" s="2">
        <f>tblSales[[#This Row],[Sales]]/tblSales[[#This Row],[Transactions]]</f>
        <v>390</v>
      </c>
    </row>
    <row r="1999" spans="1:13" x14ac:dyDescent="0.25">
      <c r="A1999" s="1">
        <v>46122</v>
      </c>
      <c r="B1999" t="s">
        <v>28</v>
      </c>
      <c r="C1999" t="s">
        <v>22</v>
      </c>
      <c r="D1999" t="str">
        <f>_xlfn.XLOOKUP(tblSales[[#This Row],[Store ID]],tblStores[Store ID],tblStores[Store Name])</f>
        <v>Bloemfontein</v>
      </c>
      <c r="E1999" t="str">
        <f>_xlfn.XLOOKUP(tblSales[[#This Row],[Store ID]],tblStores[Store ID],tblStores[Province])</f>
        <v>Free State</v>
      </c>
      <c r="F1999" t="str">
        <f>_xlfn.XLOOKUP(tblSales[[#This Row],[Store ID]],tblStores[Store ID],tblStores[Manager])</f>
        <v>Rachel Moore</v>
      </c>
      <c r="G1999" t="str">
        <f>_xlfn.XLOOKUP(tblSales[[#This Row],[Category ID]],tblCategories[Category ID],tblCategories[Category])</f>
        <v>Kids</v>
      </c>
      <c r="H1999">
        <v>63600</v>
      </c>
      <c r="I1999">
        <v>71128</v>
      </c>
      <c r="J1999">
        <v>150</v>
      </c>
      <c r="K1999">
        <f>tblSales[[#This Row],[Sales]]-tblSales[[#This Row],[Budget]]</f>
        <v>-7528</v>
      </c>
      <c r="L1999" s="3">
        <f>(tblSales[[#This Row],[Sales]]-tblSales[[#This Row],[Budget]])/tblSales[[#This Row],[Budget]]</f>
        <v>-0.1058373636261388</v>
      </c>
      <c r="M1999" s="2">
        <f>tblSales[[#This Row],[Sales]]/tblSales[[#This Row],[Transactions]]</f>
        <v>424</v>
      </c>
    </row>
    <row r="2000" spans="1:13" x14ac:dyDescent="0.25">
      <c r="A2000" s="1">
        <v>46122</v>
      </c>
      <c r="B2000" t="s">
        <v>29</v>
      </c>
      <c r="C2000" t="s">
        <v>9</v>
      </c>
      <c r="D2000" t="str">
        <f>_xlfn.XLOOKUP(tblSales[[#This Row],[Store ID]],tblStores[Store ID],tblStores[Store Name])</f>
        <v>Polokwane</v>
      </c>
      <c r="E2000" t="str">
        <f>_xlfn.XLOOKUP(tblSales[[#This Row],[Store ID]],tblStores[Store ID],tblStores[Province])</f>
        <v>Limpopo</v>
      </c>
      <c r="F2000" t="str">
        <f>_xlfn.XLOOKUP(tblSales[[#This Row],[Store ID]],tblStores[Store ID],tblStores[Manager])</f>
        <v>Kevin Harris</v>
      </c>
      <c r="G2000" t="str">
        <f>_xlfn.XLOOKUP(tblSales[[#This Row],[Category ID]],tblCategories[Category ID],tblCategories[Category])</f>
        <v>Ladieswear</v>
      </c>
      <c r="H2000">
        <v>27068</v>
      </c>
      <c r="I2000">
        <v>29013</v>
      </c>
      <c r="J2000">
        <v>101</v>
      </c>
      <c r="K2000">
        <f>tblSales[[#This Row],[Sales]]-tblSales[[#This Row],[Budget]]</f>
        <v>-1945</v>
      </c>
      <c r="L2000" s="3">
        <f>(tblSales[[#This Row],[Sales]]-tblSales[[#This Row],[Budget]])/tblSales[[#This Row],[Budget]]</f>
        <v>-6.7038913590459451E-2</v>
      </c>
      <c r="M2000" s="2">
        <f>tblSales[[#This Row],[Sales]]/tblSales[[#This Row],[Transactions]]</f>
        <v>268</v>
      </c>
    </row>
    <row r="2001" spans="1:13" x14ac:dyDescent="0.25">
      <c r="A2001" s="1">
        <v>46122</v>
      </c>
      <c r="B2001" t="s">
        <v>30</v>
      </c>
      <c r="C2001" t="s">
        <v>22</v>
      </c>
      <c r="D2001" t="str">
        <f>_xlfn.XLOOKUP(tblSales[[#This Row],[Store ID]],tblStores[Store ID],tblStores[Store Name])</f>
        <v>Nelspruit</v>
      </c>
      <c r="E2001" t="str">
        <f>_xlfn.XLOOKUP(tblSales[[#This Row],[Store ID]],tblStores[Store ID],tblStores[Province])</f>
        <v>Mpumalanga</v>
      </c>
      <c r="F2001" t="str">
        <f>_xlfn.XLOOKUP(tblSales[[#This Row],[Store ID]],tblStores[Store ID],tblStores[Manager])</f>
        <v>Olivia Turner</v>
      </c>
      <c r="G2001" t="str">
        <f>_xlfn.XLOOKUP(tblSales[[#This Row],[Category ID]],tblCategories[Category ID],tblCategories[Category])</f>
        <v>Kids</v>
      </c>
      <c r="H2001">
        <v>30067</v>
      </c>
      <c r="I2001">
        <v>27694</v>
      </c>
      <c r="J2001">
        <v>107</v>
      </c>
      <c r="K2001">
        <f>tblSales[[#This Row],[Sales]]-tblSales[[#This Row],[Budget]]</f>
        <v>2373</v>
      </c>
      <c r="L2001" s="3">
        <f>(tblSales[[#This Row],[Sales]]-tblSales[[#This Row],[Budget]])/tblSales[[#This Row],[Budget]]</f>
        <v>8.5686430273705497E-2</v>
      </c>
      <c r="M2001" s="2">
        <f>tblSales[[#This Row],[Sales]]/tblSales[[#This Row],[Transactions]]</f>
        <v>281</v>
      </c>
    </row>
    <row r="2002" spans="1:13" x14ac:dyDescent="0.25">
      <c r="A2002" s="1">
        <v>46123</v>
      </c>
      <c r="B2002" t="s">
        <v>6</v>
      </c>
      <c r="C2002" t="s">
        <v>22</v>
      </c>
      <c r="D2002" t="str">
        <f>_xlfn.XLOOKUP(tblSales[[#This Row],[Store ID]],tblStores[Store ID],tblStores[Store Name])</f>
        <v>Durban CBD</v>
      </c>
      <c r="E2002" t="str">
        <f>_xlfn.XLOOKUP(tblSales[[#This Row],[Store ID]],tblStores[Store ID],tblStores[Province])</f>
        <v>KZN</v>
      </c>
      <c r="F2002" t="str">
        <f>_xlfn.XLOOKUP(tblSales[[#This Row],[Store ID]],tblStores[Store ID],tblStores[Manager])</f>
        <v>Sarah Adams</v>
      </c>
      <c r="G2002" t="str">
        <f>_xlfn.XLOOKUP(tblSales[[#This Row],[Category ID]],tblCategories[Category ID],tblCategories[Category])</f>
        <v>Kids</v>
      </c>
      <c r="H2002">
        <v>30861</v>
      </c>
      <c r="I2002">
        <v>34536</v>
      </c>
      <c r="J2002">
        <v>81</v>
      </c>
      <c r="K2002">
        <f>tblSales[[#This Row],[Sales]]-tblSales[[#This Row],[Budget]]</f>
        <v>-3675</v>
      </c>
      <c r="L2002" s="3">
        <f>(tblSales[[#This Row],[Sales]]-tblSales[[#This Row],[Budget]])/tblSales[[#This Row],[Budget]]</f>
        <v>-0.10641070187630298</v>
      </c>
      <c r="M2002" s="2">
        <f>tblSales[[#This Row],[Sales]]/tblSales[[#This Row],[Transactions]]</f>
        <v>381</v>
      </c>
    </row>
    <row r="2003" spans="1:13" x14ac:dyDescent="0.25">
      <c r="A2003" s="1">
        <v>46123</v>
      </c>
      <c r="B2003" t="s">
        <v>8</v>
      </c>
      <c r="C2003" t="s">
        <v>19</v>
      </c>
      <c r="D2003" t="str">
        <f>_xlfn.XLOOKUP(tblSales[[#This Row],[Store ID]],tblStores[Store ID],tblStores[Store Name])</f>
        <v>Gateway</v>
      </c>
      <c r="E2003" t="str">
        <f>_xlfn.XLOOKUP(tblSales[[#This Row],[Store ID]],tblStores[Store ID],tblStores[Province])</f>
        <v>KZN</v>
      </c>
      <c r="F2003" t="str">
        <f>_xlfn.XLOOKUP(tblSales[[#This Row],[Store ID]],tblStores[Store ID],tblStores[Manager])</f>
        <v>Michael Jones</v>
      </c>
      <c r="G2003" t="str">
        <f>_xlfn.XLOOKUP(tblSales[[#This Row],[Category ID]],tblCategories[Category ID],tblCategories[Category])</f>
        <v>Accessories</v>
      </c>
      <c r="H2003">
        <v>17480</v>
      </c>
      <c r="I2003">
        <v>19875</v>
      </c>
      <c r="J2003">
        <v>92</v>
      </c>
      <c r="K2003">
        <f>tblSales[[#This Row],[Sales]]-tblSales[[#This Row],[Budget]]</f>
        <v>-2395</v>
      </c>
      <c r="L2003" s="3">
        <f>(tblSales[[#This Row],[Sales]]-tblSales[[#This Row],[Budget]])/tblSales[[#This Row],[Budget]]</f>
        <v>-0.12050314465408805</v>
      </c>
      <c r="M2003" s="2">
        <f>tblSales[[#This Row],[Sales]]/tblSales[[#This Row],[Transactions]]</f>
        <v>190</v>
      </c>
    </row>
    <row r="2004" spans="1:13" x14ac:dyDescent="0.25">
      <c r="A2004" s="1">
        <v>46123</v>
      </c>
      <c r="B2004" t="s">
        <v>10</v>
      </c>
      <c r="C2004" t="s">
        <v>19</v>
      </c>
      <c r="D2004" t="str">
        <f>_xlfn.XLOOKUP(tblSales[[#This Row],[Store ID]],tblStores[Store ID],tblStores[Store Name])</f>
        <v>Ballito</v>
      </c>
      <c r="E2004" t="str">
        <f>_xlfn.XLOOKUP(tblSales[[#This Row],[Store ID]],tblStores[Store ID],tblStores[Province])</f>
        <v>KZN</v>
      </c>
      <c r="F2004" t="str">
        <f>_xlfn.XLOOKUP(tblSales[[#This Row],[Store ID]],tblStores[Store ID],tblStores[Manager])</f>
        <v>Linda Smith</v>
      </c>
      <c r="G2004" t="str">
        <f>_xlfn.XLOOKUP(tblSales[[#This Row],[Category ID]],tblCategories[Category ID],tblCategories[Category])</f>
        <v>Accessories</v>
      </c>
      <c r="H2004">
        <v>98600</v>
      </c>
      <c r="I2004">
        <v>104186</v>
      </c>
      <c r="J2004">
        <v>200</v>
      </c>
      <c r="K2004">
        <f>tblSales[[#This Row],[Sales]]-tblSales[[#This Row],[Budget]]</f>
        <v>-5586</v>
      </c>
      <c r="L2004" s="3">
        <f>(tblSales[[#This Row],[Sales]]-tblSales[[#This Row],[Budget]])/tblSales[[#This Row],[Budget]]</f>
        <v>-5.3615648935557564E-2</v>
      </c>
      <c r="M2004" s="2">
        <f>tblSales[[#This Row],[Sales]]/tblSales[[#This Row],[Transactions]]</f>
        <v>493</v>
      </c>
    </row>
    <row r="2005" spans="1:13" x14ac:dyDescent="0.25">
      <c r="A2005" s="1">
        <v>46123</v>
      </c>
      <c r="B2005" t="s">
        <v>12</v>
      </c>
      <c r="C2005" t="s">
        <v>7</v>
      </c>
      <c r="D2005" t="str">
        <f>_xlfn.XLOOKUP(tblSales[[#This Row],[Store ID]],tblStores[Store ID],tblStores[Store Name])</f>
        <v>Pietermaritzburg</v>
      </c>
      <c r="E2005" t="str">
        <f>_xlfn.XLOOKUP(tblSales[[#This Row],[Store ID]],tblStores[Store ID],tblStores[Province])</f>
        <v>KZN</v>
      </c>
      <c r="F2005" t="str">
        <f>_xlfn.XLOOKUP(tblSales[[#This Row],[Store ID]],tblStores[Store ID],tblStores[Manager])</f>
        <v>Peter Brown</v>
      </c>
      <c r="G2005" t="str">
        <f>_xlfn.XLOOKUP(tblSales[[#This Row],[Category ID]],tblCategories[Category ID],tblCategories[Category])</f>
        <v>Menswear</v>
      </c>
      <c r="H2005">
        <v>42993</v>
      </c>
      <c r="I2005">
        <v>41507</v>
      </c>
      <c r="J2005">
        <v>153</v>
      </c>
      <c r="K2005">
        <f>tblSales[[#This Row],[Sales]]-tblSales[[#This Row],[Budget]]</f>
        <v>1486</v>
      </c>
      <c r="L2005" s="3">
        <f>(tblSales[[#This Row],[Sales]]-tblSales[[#This Row],[Budget]])/tblSales[[#This Row],[Budget]]</f>
        <v>3.5801190160695787E-2</v>
      </c>
      <c r="M2005" s="2">
        <f>tblSales[[#This Row],[Sales]]/tblSales[[#This Row],[Transactions]]</f>
        <v>281</v>
      </c>
    </row>
    <row r="2006" spans="1:13" x14ac:dyDescent="0.25">
      <c r="A2006" s="1">
        <v>46123</v>
      </c>
      <c r="B2006" t="s">
        <v>13</v>
      </c>
      <c r="C2006" t="s">
        <v>9</v>
      </c>
      <c r="D2006" t="str">
        <f>_xlfn.XLOOKUP(tblSales[[#This Row],[Store ID]],tblStores[Store ID],tblStores[Store Name])</f>
        <v>Richards Bay</v>
      </c>
      <c r="E2006" t="str">
        <f>_xlfn.XLOOKUP(tblSales[[#This Row],[Store ID]],tblStores[Store ID],tblStores[Province])</f>
        <v>KZN</v>
      </c>
      <c r="F2006" t="str">
        <f>_xlfn.XLOOKUP(tblSales[[#This Row],[Store ID]],tblStores[Store ID],tblStores[Manager])</f>
        <v>David Green</v>
      </c>
      <c r="G2006" t="str">
        <f>_xlfn.XLOOKUP(tblSales[[#This Row],[Category ID]],tblCategories[Category ID],tblCategories[Category])</f>
        <v>Ladieswear</v>
      </c>
      <c r="H2006">
        <v>18095</v>
      </c>
      <c r="I2006">
        <v>19081</v>
      </c>
      <c r="J2006">
        <v>47</v>
      </c>
      <c r="K2006">
        <f>tblSales[[#This Row],[Sales]]-tblSales[[#This Row],[Budget]]</f>
        <v>-986</v>
      </c>
      <c r="L2006" s="3">
        <f>(tblSales[[#This Row],[Sales]]-tblSales[[#This Row],[Budget]])/tblSales[[#This Row],[Budget]]</f>
        <v>-5.167444054294848E-2</v>
      </c>
      <c r="M2006" s="2">
        <f>tblSales[[#This Row],[Sales]]/tblSales[[#This Row],[Transactions]]</f>
        <v>385</v>
      </c>
    </row>
    <row r="2007" spans="1:13" x14ac:dyDescent="0.25">
      <c r="A2007" s="1">
        <v>46123</v>
      </c>
      <c r="B2007" t="s">
        <v>14</v>
      </c>
      <c r="C2007" t="s">
        <v>19</v>
      </c>
      <c r="D2007" t="str">
        <f>_xlfn.XLOOKUP(tblSales[[#This Row],[Store ID]],tblStores[Store ID],tblStores[Store Name])</f>
        <v>Sandton</v>
      </c>
      <c r="E2007" t="str">
        <f>_xlfn.XLOOKUP(tblSales[[#This Row],[Store ID]],tblStores[Store ID],tblStores[Province])</f>
        <v>Gauteng</v>
      </c>
      <c r="F2007" t="str">
        <f>_xlfn.XLOOKUP(tblSales[[#This Row],[Store ID]],tblStores[Store ID],tblStores[Manager])</f>
        <v>Karen White</v>
      </c>
      <c r="G2007" t="str">
        <f>_xlfn.XLOOKUP(tblSales[[#This Row],[Category ID]],tblCategories[Category ID],tblCategories[Category])</f>
        <v>Accessories</v>
      </c>
      <c r="H2007">
        <v>25856</v>
      </c>
      <c r="I2007">
        <v>23846</v>
      </c>
      <c r="J2007">
        <v>101</v>
      </c>
      <c r="K2007">
        <f>tblSales[[#This Row],[Sales]]-tblSales[[#This Row],[Budget]]</f>
        <v>2010</v>
      </c>
      <c r="L2007" s="3">
        <f>(tblSales[[#This Row],[Sales]]-tblSales[[#This Row],[Budget]])/tblSales[[#This Row],[Budget]]</f>
        <v>8.4290866392686403E-2</v>
      </c>
      <c r="M2007" s="2">
        <f>tblSales[[#This Row],[Sales]]/tblSales[[#This Row],[Transactions]]</f>
        <v>256</v>
      </c>
    </row>
    <row r="2008" spans="1:13" x14ac:dyDescent="0.25">
      <c r="A2008" s="1">
        <v>46123</v>
      </c>
      <c r="B2008" t="s">
        <v>15</v>
      </c>
      <c r="C2008" t="s">
        <v>22</v>
      </c>
      <c r="D2008" t="str">
        <f>_xlfn.XLOOKUP(tblSales[[#This Row],[Store ID]],tblStores[Store ID],tblStores[Store Name])</f>
        <v>Rosebank</v>
      </c>
      <c r="E2008" t="str">
        <f>_xlfn.XLOOKUP(tblSales[[#This Row],[Store ID]],tblStores[Store ID],tblStores[Province])</f>
        <v>Gauteng</v>
      </c>
      <c r="F2008" t="str">
        <f>_xlfn.XLOOKUP(tblSales[[#This Row],[Store ID]],tblStores[Store ID],tblStores[Manager])</f>
        <v>James Taylor</v>
      </c>
      <c r="G2008" t="str">
        <f>_xlfn.XLOOKUP(tblSales[[#This Row],[Category ID]],tblCategories[Category ID],tblCategories[Category])</f>
        <v>Kids</v>
      </c>
      <c r="H2008">
        <v>36660</v>
      </c>
      <c r="I2008">
        <v>34069</v>
      </c>
      <c r="J2008">
        <v>78</v>
      </c>
      <c r="K2008">
        <f>tblSales[[#This Row],[Sales]]-tblSales[[#This Row],[Budget]]</f>
        <v>2591</v>
      </c>
      <c r="L2008" s="3">
        <f>(tblSales[[#This Row],[Sales]]-tblSales[[#This Row],[Budget]])/tblSales[[#This Row],[Budget]]</f>
        <v>7.6051542457952981E-2</v>
      </c>
      <c r="M2008" s="2">
        <f>tblSales[[#This Row],[Sales]]/tblSales[[#This Row],[Transactions]]</f>
        <v>470</v>
      </c>
    </row>
    <row r="2009" spans="1:13" x14ac:dyDescent="0.25">
      <c r="A2009" s="1">
        <v>46123</v>
      </c>
      <c r="B2009" t="s">
        <v>16</v>
      </c>
      <c r="C2009" t="s">
        <v>19</v>
      </c>
      <c r="D2009" t="str">
        <f>_xlfn.XLOOKUP(tblSales[[#This Row],[Store ID]],tblStores[Store ID],tblStores[Store Name])</f>
        <v>Pretoria</v>
      </c>
      <c r="E2009" t="str">
        <f>_xlfn.XLOOKUP(tblSales[[#This Row],[Store ID]],tblStores[Store ID],tblStores[Province])</f>
        <v>Gauteng</v>
      </c>
      <c r="F2009" t="str">
        <f>_xlfn.XLOOKUP(tblSales[[#This Row],[Store ID]],tblStores[Store ID],tblStores[Manager])</f>
        <v>Susan Clark</v>
      </c>
      <c r="G2009" t="str">
        <f>_xlfn.XLOOKUP(tblSales[[#This Row],[Category ID]],tblCategories[Category ID],tblCategories[Category])</f>
        <v>Accessories</v>
      </c>
      <c r="H2009">
        <v>60152</v>
      </c>
      <c r="I2009">
        <v>66577</v>
      </c>
      <c r="J2009">
        <v>146</v>
      </c>
      <c r="K2009">
        <f>tblSales[[#This Row],[Sales]]-tblSales[[#This Row],[Budget]]</f>
        <v>-6425</v>
      </c>
      <c r="L2009" s="3">
        <f>(tblSales[[#This Row],[Sales]]-tblSales[[#This Row],[Budget]])/tblSales[[#This Row],[Budget]]</f>
        <v>-9.6504798954593934E-2</v>
      </c>
      <c r="M2009" s="2">
        <f>tblSales[[#This Row],[Sales]]/tblSales[[#This Row],[Transactions]]</f>
        <v>412</v>
      </c>
    </row>
    <row r="2010" spans="1:13" x14ac:dyDescent="0.25">
      <c r="A2010" s="1">
        <v>46123</v>
      </c>
      <c r="B2010" t="s">
        <v>17</v>
      </c>
      <c r="C2010" t="s">
        <v>11</v>
      </c>
      <c r="D2010" t="str">
        <f>_xlfn.XLOOKUP(tblSales[[#This Row],[Store ID]],tblStores[Store ID],tblStores[Store Name])</f>
        <v>Centurion</v>
      </c>
      <c r="E2010" t="str">
        <f>_xlfn.XLOOKUP(tblSales[[#This Row],[Store ID]],tblStores[Store ID],tblStores[Province])</f>
        <v>Gauteng</v>
      </c>
      <c r="F2010" t="str">
        <f>_xlfn.XLOOKUP(tblSales[[#This Row],[Store ID]],tblStores[Store ID],tblStores[Manager])</f>
        <v>Mark Wilson</v>
      </c>
      <c r="G2010" t="str">
        <f>_xlfn.XLOOKUP(tblSales[[#This Row],[Category ID]],tblCategories[Category ID],tblCategories[Category])</f>
        <v>Footwear</v>
      </c>
      <c r="H2010">
        <v>19110</v>
      </c>
      <c r="I2010">
        <v>20608</v>
      </c>
      <c r="J2010">
        <v>65</v>
      </c>
      <c r="K2010">
        <f>tblSales[[#This Row],[Sales]]-tblSales[[#This Row],[Budget]]</f>
        <v>-1498</v>
      </c>
      <c r="L2010" s="3">
        <f>(tblSales[[#This Row],[Sales]]-tblSales[[#This Row],[Budget]])/tblSales[[#This Row],[Budget]]</f>
        <v>-7.2690217391304351E-2</v>
      </c>
      <c r="M2010" s="2">
        <f>tblSales[[#This Row],[Sales]]/tblSales[[#This Row],[Transactions]]</f>
        <v>294</v>
      </c>
    </row>
    <row r="2011" spans="1:13" x14ac:dyDescent="0.25">
      <c r="A2011" s="1">
        <v>46123</v>
      </c>
      <c r="B2011" t="s">
        <v>18</v>
      </c>
      <c r="C2011" t="s">
        <v>9</v>
      </c>
      <c r="D2011" t="str">
        <f>_xlfn.XLOOKUP(tblSales[[#This Row],[Store ID]],tblStores[Store ID],tblStores[Store Name])</f>
        <v>East Rand</v>
      </c>
      <c r="E2011" t="str">
        <f>_xlfn.XLOOKUP(tblSales[[#This Row],[Store ID]],tblStores[Store ID],tblStores[Province])</f>
        <v>Gauteng</v>
      </c>
      <c r="F2011" t="str">
        <f>_xlfn.XLOOKUP(tblSales[[#This Row],[Store ID]],tblStores[Store ID],tblStores[Manager])</f>
        <v>Lisa Young</v>
      </c>
      <c r="G2011" t="str">
        <f>_xlfn.XLOOKUP(tblSales[[#This Row],[Category ID]],tblCategories[Category ID],tblCategories[Category])</f>
        <v>Ladieswear</v>
      </c>
      <c r="H2011">
        <v>33681</v>
      </c>
      <c r="I2011">
        <v>36598</v>
      </c>
      <c r="J2011">
        <v>103</v>
      </c>
      <c r="K2011">
        <f>tblSales[[#This Row],[Sales]]-tblSales[[#This Row],[Budget]]</f>
        <v>-2917</v>
      </c>
      <c r="L2011" s="3">
        <f>(tblSales[[#This Row],[Sales]]-tblSales[[#This Row],[Budget]])/tblSales[[#This Row],[Budget]]</f>
        <v>-7.970380895130881E-2</v>
      </c>
      <c r="M2011" s="2">
        <f>tblSales[[#This Row],[Sales]]/tblSales[[#This Row],[Transactions]]</f>
        <v>327</v>
      </c>
    </row>
    <row r="2012" spans="1:13" x14ac:dyDescent="0.25">
      <c r="A2012" s="1">
        <v>46123</v>
      </c>
      <c r="B2012" t="s">
        <v>20</v>
      </c>
      <c r="C2012" t="s">
        <v>11</v>
      </c>
      <c r="D2012" t="str">
        <f>_xlfn.XLOOKUP(tblSales[[#This Row],[Store ID]],tblStores[Store ID],tblStores[Store Name])</f>
        <v>Cape Town CBD</v>
      </c>
      <c r="E2012" t="str">
        <f>_xlfn.XLOOKUP(tblSales[[#This Row],[Store ID]],tblStores[Store ID],tblStores[Province])</f>
        <v>Western Cape</v>
      </c>
      <c r="F2012" t="str">
        <f>_xlfn.XLOOKUP(tblSales[[#This Row],[Store ID]],tblStores[Store ID],tblStores[Manager])</f>
        <v>Brian Hall</v>
      </c>
      <c r="G2012" t="str">
        <f>_xlfn.XLOOKUP(tblSales[[#This Row],[Category ID]],tblCategories[Category ID],tblCategories[Category])</f>
        <v>Footwear</v>
      </c>
      <c r="H2012">
        <v>27200</v>
      </c>
      <c r="I2012">
        <v>30303</v>
      </c>
      <c r="J2012">
        <v>68</v>
      </c>
      <c r="K2012">
        <f>tblSales[[#This Row],[Sales]]-tblSales[[#This Row],[Budget]]</f>
        <v>-3103</v>
      </c>
      <c r="L2012" s="3">
        <f>(tblSales[[#This Row],[Sales]]-tblSales[[#This Row],[Budget]])/tblSales[[#This Row],[Budget]]</f>
        <v>-0.1023991023991024</v>
      </c>
      <c r="M2012" s="2">
        <f>tblSales[[#This Row],[Sales]]/tblSales[[#This Row],[Transactions]]</f>
        <v>400</v>
      </c>
    </row>
    <row r="2013" spans="1:13" x14ac:dyDescent="0.25">
      <c r="A2013" s="1">
        <v>46123</v>
      </c>
      <c r="B2013" t="s">
        <v>21</v>
      </c>
      <c r="C2013" t="s">
        <v>19</v>
      </c>
      <c r="D2013" t="str">
        <f>_xlfn.XLOOKUP(tblSales[[#This Row],[Store ID]],tblStores[Store ID],tblStores[Store Name])</f>
        <v>Canal Walk</v>
      </c>
      <c r="E2013" t="str">
        <f>_xlfn.XLOOKUP(tblSales[[#This Row],[Store ID]],tblStores[Store ID],tblStores[Province])</f>
        <v>Western Cape</v>
      </c>
      <c r="F2013" t="str">
        <f>_xlfn.XLOOKUP(tblSales[[#This Row],[Store ID]],tblStores[Store ID],tblStores[Manager])</f>
        <v>Megan Scott</v>
      </c>
      <c r="G2013" t="str">
        <f>_xlfn.XLOOKUP(tblSales[[#This Row],[Category ID]],tblCategories[Category ID],tblCategories[Category])</f>
        <v>Accessories</v>
      </c>
      <c r="H2013">
        <v>29160</v>
      </c>
      <c r="I2013">
        <v>31541</v>
      </c>
      <c r="J2013">
        <v>90</v>
      </c>
      <c r="K2013">
        <f>tblSales[[#This Row],[Sales]]-tblSales[[#This Row],[Budget]]</f>
        <v>-2381</v>
      </c>
      <c r="L2013" s="3">
        <f>(tblSales[[#This Row],[Sales]]-tblSales[[#This Row],[Budget]])/tblSales[[#This Row],[Budget]]</f>
        <v>-7.5489046003614349E-2</v>
      </c>
      <c r="M2013" s="2">
        <f>tblSales[[#This Row],[Sales]]/tblSales[[#This Row],[Transactions]]</f>
        <v>324</v>
      </c>
    </row>
    <row r="2014" spans="1:13" x14ac:dyDescent="0.25">
      <c r="A2014" s="1">
        <v>46123</v>
      </c>
      <c r="B2014" t="s">
        <v>23</v>
      </c>
      <c r="C2014" t="s">
        <v>9</v>
      </c>
      <c r="D2014" t="str">
        <f>_xlfn.XLOOKUP(tblSales[[#This Row],[Store ID]],tblStores[Store ID],tblStores[Store Name])</f>
        <v>Stellenbosch</v>
      </c>
      <c r="E2014" t="str">
        <f>_xlfn.XLOOKUP(tblSales[[#This Row],[Store ID]],tblStores[Store ID],tblStores[Province])</f>
        <v>Western Cape</v>
      </c>
      <c r="F2014" t="str">
        <f>_xlfn.XLOOKUP(tblSales[[#This Row],[Store ID]],tblStores[Store ID],tblStores[Manager])</f>
        <v>Jason King</v>
      </c>
      <c r="G2014" t="str">
        <f>_xlfn.XLOOKUP(tblSales[[#This Row],[Category ID]],tblCategories[Category ID],tblCategories[Category])</f>
        <v>Ladieswear</v>
      </c>
      <c r="H2014">
        <v>38624</v>
      </c>
      <c r="I2014">
        <v>38706</v>
      </c>
      <c r="J2014">
        <v>142</v>
      </c>
      <c r="K2014">
        <f>tblSales[[#This Row],[Sales]]-tblSales[[#This Row],[Budget]]</f>
        <v>-82</v>
      </c>
      <c r="L2014" s="3">
        <f>(tblSales[[#This Row],[Sales]]-tblSales[[#This Row],[Budget]])/tblSales[[#This Row],[Budget]]</f>
        <v>-2.1185345941197747E-3</v>
      </c>
      <c r="M2014" s="2">
        <f>tblSales[[#This Row],[Sales]]/tblSales[[#This Row],[Transactions]]</f>
        <v>272</v>
      </c>
    </row>
    <row r="2015" spans="1:13" x14ac:dyDescent="0.25">
      <c r="A2015" s="1">
        <v>46123</v>
      </c>
      <c r="B2015" t="s">
        <v>24</v>
      </c>
      <c r="C2015" t="s">
        <v>9</v>
      </c>
      <c r="D2015" t="str">
        <f>_xlfn.XLOOKUP(tblSales[[#This Row],[Store ID]],tblStores[Store ID],tblStores[Store Name])</f>
        <v>George</v>
      </c>
      <c r="E2015" t="str">
        <f>_xlfn.XLOOKUP(tblSales[[#This Row],[Store ID]],tblStores[Store ID],tblStores[Province])</f>
        <v>Western Cape</v>
      </c>
      <c r="F2015" t="str">
        <f>_xlfn.XLOOKUP(tblSales[[#This Row],[Store ID]],tblStores[Store ID],tblStores[Manager])</f>
        <v>Chloe Hill</v>
      </c>
      <c r="G2015" t="str">
        <f>_xlfn.XLOOKUP(tblSales[[#This Row],[Category ID]],tblCategories[Category ID],tblCategories[Category])</f>
        <v>Ladieswear</v>
      </c>
      <c r="H2015">
        <v>13776</v>
      </c>
      <c r="I2015">
        <v>15760</v>
      </c>
      <c r="J2015">
        <v>42</v>
      </c>
      <c r="K2015">
        <f>tblSales[[#This Row],[Sales]]-tblSales[[#This Row],[Budget]]</f>
        <v>-1984</v>
      </c>
      <c r="L2015" s="3">
        <f>(tblSales[[#This Row],[Sales]]-tblSales[[#This Row],[Budget]])/tblSales[[#This Row],[Budget]]</f>
        <v>-0.12588832487309645</v>
      </c>
      <c r="M2015" s="2">
        <f>tblSales[[#This Row],[Sales]]/tblSales[[#This Row],[Transactions]]</f>
        <v>328</v>
      </c>
    </row>
    <row r="2016" spans="1:13" x14ac:dyDescent="0.25">
      <c r="A2016" s="1">
        <v>46123</v>
      </c>
      <c r="B2016" t="s">
        <v>25</v>
      </c>
      <c r="C2016" t="s">
        <v>9</v>
      </c>
      <c r="D2016" t="str">
        <f>_xlfn.XLOOKUP(tblSales[[#This Row],[Store ID]],tblStores[Store ID],tblStores[Store Name])</f>
        <v>Paarl</v>
      </c>
      <c r="E2016" t="str">
        <f>_xlfn.XLOOKUP(tblSales[[#This Row],[Store ID]],tblStores[Store ID],tblStores[Province])</f>
        <v>Western Cape</v>
      </c>
      <c r="F2016" t="str">
        <f>_xlfn.XLOOKUP(tblSales[[#This Row],[Store ID]],tblStores[Store ID],tblStores[Manager])</f>
        <v>Andrew Lee</v>
      </c>
      <c r="G2016" t="str">
        <f>_xlfn.XLOOKUP(tblSales[[#This Row],[Category ID]],tblCategories[Category ID],tblCategories[Category])</f>
        <v>Ladieswear</v>
      </c>
      <c r="H2016">
        <v>79130</v>
      </c>
      <c r="I2016">
        <v>89166</v>
      </c>
      <c r="J2016">
        <v>193</v>
      </c>
      <c r="K2016">
        <f>tblSales[[#This Row],[Sales]]-tblSales[[#This Row],[Budget]]</f>
        <v>-10036</v>
      </c>
      <c r="L2016" s="3">
        <f>(tblSales[[#This Row],[Sales]]-tblSales[[#This Row],[Budget]])/tblSales[[#This Row],[Budget]]</f>
        <v>-0.11255411255411256</v>
      </c>
      <c r="M2016" s="2">
        <f>tblSales[[#This Row],[Sales]]/tblSales[[#This Row],[Transactions]]</f>
        <v>410</v>
      </c>
    </row>
    <row r="2017" spans="1:13" x14ac:dyDescent="0.25">
      <c r="A2017" s="1">
        <v>46123</v>
      </c>
      <c r="B2017" t="s">
        <v>26</v>
      </c>
      <c r="C2017" t="s">
        <v>22</v>
      </c>
      <c r="D2017" t="str">
        <f>_xlfn.XLOOKUP(tblSales[[#This Row],[Store ID]],tblStores[Store ID],tblStores[Store Name])</f>
        <v>Gqeberha</v>
      </c>
      <c r="E2017" t="str">
        <f>_xlfn.XLOOKUP(tblSales[[#This Row],[Store ID]],tblStores[Store ID],tblStores[Province])</f>
        <v>Eastern Cape</v>
      </c>
      <c r="F2017" t="str">
        <f>_xlfn.XLOOKUP(tblSales[[#This Row],[Store ID]],tblStores[Store ID],tblStores[Manager])</f>
        <v>Emma Baker</v>
      </c>
      <c r="G2017" t="str">
        <f>_xlfn.XLOOKUP(tblSales[[#This Row],[Category ID]],tblCategories[Category ID],tblCategories[Category])</f>
        <v>Kids</v>
      </c>
      <c r="H2017">
        <v>94024</v>
      </c>
      <c r="I2017">
        <v>95391</v>
      </c>
      <c r="J2017">
        <v>184</v>
      </c>
      <c r="K2017">
        <f>tblSales[[#This Row],[Sales]]-tblSales[[#This Row],[Budget]]</f>
        <v>-1367</v>
      </c>
      <c r="L2017" s="3">
        <f>(tblSales[[#This Row],[Sales]]-tblSales[[#This Row],[Budget]])/tblSales[[#This Row],[Budget]]</f>
        <v>-1.4330492394460694E-2</v>
      </c>
      <c r="M2017" s="2">
        <f>tblSales[[#This Row],[Sales]]/tblSales[[#This Row],[Transactions]]</f>
        <v>511</v>
      </c>
    </row>
    <row r="2018" spans="1:13" x14ac:dyDescent="0.25">
      <c r="A2018" s="1">
        <v>46123</v>
      </c>
      <c r="B2018" t="s">
        <v>27</v>
      </c>
      <c r="C2018" t="s">
        <v>7</v>
      </c>
      <c r="D2018" t="str">
        <f>_xlfn.XLOOKUP(tblSales[[#This Row],[Store ID]],tblStores[Store ID],tblStores[Store Name])</f>
        <v>East London</v>
      </c>
      <c r="E2018" t="str">
        <f>_xlfn.XLOOKUP(tblSales[[#This Row],[Store ID]],tblStores[Store ID],tblStores[Province])</f>
        <v>Eastern Cape</v>
      </c>
      <c r="F2018" t="str">
        <f>_xlfn.XLOOKUP(tblSales[[#This Row],[Store ID]],tblStores[Store ID],tblStores[Manager])</f>
        <v>Daniel Evans</v>
      </c>
      <c r="G2018" t="str">
        <f>_xlfn.XLOOKUP(tblSales[[#This Row],[Category ID]],tblCategories[Category ID],tblCategories[Category])</f>
        <v>Menswear</v>
      </c>
      <c r="H2018">
        <v>38440</v>
      </c>
      <c r="I2018">
        <v>42970</v>
      </c>
      <c r="J2018">
        <v>155</v>
      </c>
      <c r="K2018">
        <f>tblSales[[#This Row],[Sales]]-tblSales[[#This Row],[Budget]]</f>
        <v>-4530</v>
      </c>
      <c r="L2018" s="3">
        <f>(tblSales[[#This Row],[Sales]]-tblSales[[#This Row],[Budget]])/tblSales[[#This Row],[Budget]]</f>
        <v>-0.10542238771235746</v>
      </c>
      <c r="M2018" s="2">
        <f>tblSales[[#This Row],[Sales]]/tblSales[[#This Row],[Transactions]]</f>
        <v>248</v>
      </c>
    </row>
    <row r="2019" spans="1:13" x14ac:dyDescent="0.25">
      <c r="A2019" s="1">
        <v>46123</v>
      </c>
      <c r="B2019" t="s">
        <v>28</v>
      </c>
      <c r="C2019" t="s">
        <v>11</v>
      </c>
      <c r="D2019" t="str">
        <f>_xlfn.XLOOKUP(tblSales[[#This Row],[Store ID]],tblStores[Store ID],tblStores[Store Name])</f>
        <v>Bloemfontein</v>
      </c>
      <c r="E2019" t="str">
        <f>_xlfn.XLOOKUP(tblSales[[#This Row],[Store ID]],tblStores[Store ID],tblStores[Province])</f>
        <v>Free State</v>
      </c>
      <c r="F2019" t="str">
        <f>_xlfn.XLOOKUP(tblSales[[#This Row],[Store ID]],tblStores[Store ID],tblStores[Manager])</f>
        <v>Rachel Moore</v>
      </c>
      <c r="G2019" t="str">
        <f>_xlfn.XLOOKUP(tblSales[[#This Row],[Category ID]],tblCategories[Category ID],tblCategories[Category])</f>
        <v>Footwear</v>
      </c>
      <c r="H2019">
        <v>60480</v>
      </c>
      <c r="I2019">
        <v>65217</v>
      </c>
      <c r="J2019">
        <v>210</v>
      </c>
      <c r="K2019">
        <f>tblSales[[#This Row],[Sales]]-tblSales[[#This Row],[Budget]]</f>
        <v>-4737</v>
      </c>
      <c r="L2019" s="3">
        <f>(tblSales[[#This Row],[Sales]]-tblSales[[#This Row],[Budget]])/tblSales[[#This Row],[Budget]]</f>
        <v>-7.2634435806614842E-2</v>
      </c>
      <c r="M2019" s="2">
        <f>tblSales[[#This Row],[Sales]]/tblSales[[#This Row],[Transactions]]</f>
        <v>288</v>
      </c>
    </row>
    <row r="2020" spans="1:13" x14ac:dyDescent="0.25">
      <c r="A2020" s="1">
        <v>46123</v>
      </c>
      <c r="B2020" t="s">
        <v>29</v>
      </c>
      <c r="C2020" t="s">
        <v>11</v>
      </c>
      <c r="D2020" t="str">
        <f>_xlfn.XLOOKUP(tblSales[[#This Row],[Store ID]],tblStores[Store ID],tblStores[Store Name])</f>
        <v>Polokwane</v>
      </c>
      <c r="E2020" t="str">
        <f>_xlfn.XLOOKUP(tblSales[[#This Row],[Store ID]],tblStores[Store ID],tblStores[Province])</f>
        <v>Limpopo</v>
      </c>
      <c r="F2020" t="str">
        <f>_xlfn.XLOOKUP(tblSales[[#This Row],[Store ID]],tblStores[Store ID],tblStores[Manager])</f>
        <v>Kevin Harris</v>
      </c>
      <c r="G2020" t="str">
        <f>_xlfn.XLOOKUP(tblSales[[#This Row],[Category ID]],tblCategories[Category ID],tblCategories[Category])</f>
        <v>Footwear</v>
      </c>
      <c r="H2020">
        <v>58157</v>
      </c>
      <c r="I2020">
        <v>53403</v>
      </c>
      <c r="J2020">
        <v>187</v>
      </c>
      <c r="K2020">
        <f>tblSales[[#This Row],[Sales]]-tblSales[[#This Row],[Budget]]</f>
        <v>4754</v>
      </c>
      <c r="L2020" s="3">
        <f>(tblSales[[#This Row],[Sales]]-tblSales[[#This Row],[Budget]])/tblSales[[#This Row],[Budget]]</f>
        <v>8.9021216036552248E-2</v>
      </c>
      <c r="M2020" s="2">
        <f>tblSales[[#This Row],[Sales]]/tblSales[[#This Row],[Transactions]]</f>
        <v>311</v>
      </c>
    </row>
    <row r="2021" spans="1:13" x14ac:dyDescent="0.25">
      <c r="A2021" s="1">
        <v>46123</v>
      </c>
      <c r="B2021" t="s">
        <v>30</v>
      </c>
      <c r="C2021" t="s">
        <v>19</v>
      </c>
      <c r="D2021" t="str">
        <f>_xlfn.XLOOKUP(tblSales[[#This Row],[Store ID]],tblStores[Store ID],tblStores[Store Name])</f>
        <v>Nelspruit</v>
      </c>
      <c r="E2021" t="str">
        <f>_xlfn.XLOOKUP(tblSales[[#This Row],[Store ID]],tblStores[Store ID],tblStores[Province])</f>
        <v>Mpumalanga</v>
      </c>
      <c r="F2021" t="str">
        <f>_xlfn.XLOOKUP(tblSales[[#This Row],[Store ID]],tblStores[Store ID],tblStores[Manager])</f>
        <v>Olivia Turner</v>
      </c>
      <c r="G2021" t="str">
        <f>_xlfn.XLOOKUP(tblSales[[#This Row],[Category ID]],tblCategories[Category ID],tblCategories[Category])</f>
        <v>Accessories</v>
      </c>
      <c r="H2021">
        <v>10300</v>
      </c>
      <c r="I2021">
        <v>10127</v>
      </c>
      <c r="J2021">
        <v>50</v>
      </c>
      <c r="K2021">
        <f>tblSales[[#This Row],[Sales]]-tblSales[[#This Row],[Budget]]</f>
        <v>173</v>
      </c>
      <c r="L2021" s="3">
        <f>(tblSales[[#This Row],[Sales]]-tblSales[[#This Row],[Budget]])/tblSales[[#This Row],[Budget]]</f>
        <v>1.7083045324380368E-2</v>
      </c>
      <c r="M2021" s="2">
        <f>tblSales[[#This Row],[Sales]]/tblSales[[#This Row],[Transactions]]</f>
        <v>206</v>
      </c>
    </row>
    <row r="2022" spans="1:13" x14ac:dyDescent="0.25">
      <c r="A2022" s="1">
        <v>46124</v>
      </c>
      <c r="B2022" t="s">
        <v>6</v>
      </c>
      <c r="C2022" t="s">
        <v>9</v>
      </c>
      <c r="D2022" t="str">
        <f>_xlfn.XLOOKUP(tblSales[[#This Row],[Store ID]],tblStores[Store ID],tblStores[Store Name])</f>
        <v>Durban CBD</v>
      </c>
      <c r="E2022" t="str">
        <f>_xlfn.XLOOKUP(tblSales[[#This Row],[Store ID]],tblStores[Store ID],tblStores[Province])</f>
        <v>KZN</v>
      </c>
      <c r="F2022" t="str">
        <f>_xlfn.XLOOKUP(tblSales[[#This Row],[Store ID]],tblStores[Store ID],tblStores[Manager])</f>
        <v>Sarah Adams</v>
      </c>
      <c r="G2022" t="str">
        <f>_xlfn.XLOOKUP(tblSales[[#This Row],[Category ID]],tblCategories[Category ID],tblCategories[Category])</f>
        <v>Ladieswear</v>
      </c>
      <c r="H2022">
        <v>55955</v>
      </c>
      <c r="I2022">
        <v>64302</v>
      </c>
      <c r="J2022">
        <v>155</v>
      </c>
      <c r="K2022">
        <f>tblSales[[#This Row],[Sales]]-tblSales[[#This Row],[Budget]]</f>
        <v>-8347</v>
      </c>
      <c r="L2022" s="3">
        <f>(tblSales[[#This Row],[Sales]]-tblSales[[#This Row],[Budget]])/tblSales[[#This Row],[Budget]]</f>
        <v>-0.12980933719013404</v>
      </c>
      <c r="M2022" s="2">
        <f>tblSales[[#This Row],[Sales]]/tblSales[[#This Row],[Transactions]]</f>
        <v>361</v>
      </c>
    </row>
    <row r="2023" spans="1:13" x14ac:dyDescent="0.25">
      <c r="A2023" s="1">
        <v>46124</v>
      </c>
      <c r="B2023" t="s">
        <v>8</v>
      </c>
      <c r="C2023" t="s">
        <v>19</v>
      </c>
      <c r="D2023" t="str">
        <f>_xlfn.XLOOKUP(tblSales[[#This Row],[Store ID]],tblStores[Store ID],tblStores[Store Name])</f>
        <v>Gateway</v>
      </c>
      <c r="E2023" t="str">
        <f>_xlfn.XLOOKUP(tblSales[[#This Row],[Store ID]],tblStores[Store ID],tblStores[Province])</f>
        <v>KZN</v>
      </c>
      <c r="F2023" t="str">
        <f>_xlfn.XLOOKUP(tblSales[[#This Row],[Store ID]],tblStores[Store ID],tblStores[Manager])</f>
        <v>Michael Jones</v>
      </c>
      <c r="G2023" t="str">
        <f>_xlfn.XLOOKUP(tblSales[[#This Row],[Category ID]],tblCategories[Category ID],tblCategories[Category])</f>
        <v>Accessories</v>
      </c>
      <c r="H2023">
        <v>43848</v>
      </c>
      <c r="I2023">
        <v>39521</v>
      </c>
      <c r="J2023">
        <v>216</v>
      </c>
      <c r="K2023">
        <f>tblSales[[#This Row],[Sales]]-tblSales[[#This Row],[Budget]]</f>
        <v>4327</v>
      </c>
      <c r="L2023" s="3">
        <f>(tblSales[[#This Row],[Sales]]-tblSales[[#This Row],[Budget]])/tblSales[[#This Row],[Budget]]</f>
        <v>0.10948609599959515</v>
      </c>
      <c r="M2023" s="2">
        <f>tblSales[[#This Row],[Sales]]/tblSales[[#This Row],[Transactions]]</f>
        <v>203</v>
      </c>
    </row>
    <row r="2024" spans="1:13" x14ac:dyDescent="0.25">
      <c r="A2024" s="1">
        <v>46124</v>
      </c>
      <c r="B2024" t="s">
        <v>10</v>
      </c>
      <c r="C2024" t="s">
        <v>19</v>
      </c>
      <c r="D2024" t="str">
        <f>_xlfn.XLOOKUP(tblSales[[#This Row],[Store ID]],tblStores[Store ID],tblStores[Store Name])</f>
        <v>Ballito</v>
      </c>
      <c r="E2024" t="str">
        <f>_xlfn.XLOOKUP(tblSales[[#This Row],[Store ID]],tblStores[Store ID],tblStores[Province])</f>
        <v>KZN</v>
      </c>
      <c r="F2024" t="str">
        <f>_xlfn.XLOOKUP(tblSales[[#This Row],[Store ID]],tblStores[Store ID],tblStores[Manager])</f>
        <v>Linda Smith</v>
      </c>
      <c r="G2024" t="str">
        <f>_xlfn.XLOOKUP(tblSales[[#This Row],[Category ID]],tblCategories[Category ID],tblCategories[Category])</f>
        <v>Accessories</v>
      </c>
      <c r="H2024">
        <v>72375</v>
      </c>
      <c r="I2024">
        <v>70610</v>
      </c>
      <c r="J2024">
        <v>193</v>
      </c>
      <c r="K2024">
        <f>tblSales[[#This Row],[Sales]]-tblSales[[#This Row],[Budget]]</f>
        <v>1765</v>
      </c>
      <c r="L2024" s="3">
        <f>(tblSales[[#This Row],[Sales]]-tblSales[[#This Row],[Budget]])/tblSales[[#This Row],[Budget]]</f>
        <v>2.4996459425010623E-2</v>
      </c>
      <c r="M2024" s="2">
        <f>tblSales[[#This Row],[Sales]]/tblSales[[#This Row],[Transactions]]</f>
        <v>375</v>
      </c>
    </row>
    <row r="2025" spans="1:13" x14ac:dyDescent="0.25">
      <c r="A2025" s="1">
        <v>46124</v>
      </c>
      <c r="B2025" t="s">
        <v>12</v>
      </c>
      <c r="C2025" t="s">
        <v>11</v>
      </c>
      <c r="D2025" t="str">
        <f>_xlfn.XLOOKUP(tblSales[[#This Row],[Store ID]],tblStores[Store ID],tblStores[Store Name])</f>
        <v>Pietermaritzburg</v>
      </c>
      <c r="E2025" t="str">
        <f>_xlfn.XLOOKUP(tblSales[[#This Row],[Store ID]],tblStores[Store ID],tblStores[Province])</f>
        <v>KZN</v>
      </c>
      <c r="F2025" t="str">
        <f>_xlfn.XLOOKUP(tblSales[[#This Row],[Store ID]],tblStores[Store ID],tblStores[Manager])</f>
        <v>Peter Brown</v>
      </c>
      <c r="G2025" t="str">
        <f>_xlfn.XLOOKUP(tblSales[[#This Row],[Category ID]],tblCategories[Category ID],tblCategories[Category])</f>
        <v>Footwear</v>
      </c>
      <c r="H2025">
        <v>76014</v>
      </c>
      <c r="I2025">
        <v>70925</v>
      </c>
      <c r="J2025">
        <v>206</v>
      </c>
      <c r="K2025">
        <f>tblSales[[#This Row],[Sales]]-tblSales[[#This Row],[Budget]]</f>
        <v>5089</v>
      </c>
      <c r="L2025" s="3">
        <f>(tblSales[[#This Row],[Sales]]-tblSales[[#This Row],[Budget]])/tblSales[[#This Row],[Budget]]</f>
        <v>7.1751850546351775E-2</v>
      </c>
      <c r="M2025" s="2">
        <f>tblSales[[#This Row],[Sales]]/tblSales[[#This Row],[Transactions]]</f>
        <v>369</v>
      </c>
    </row>
    <row r="2026" spans="1:13" x14ac:dyDescent="0.25">
      <c r="A2026" s="1">
        <v>46124</v>
      </c>
      <c r="B2026" t="s">
        <v>13</v>
      </c>
      <c r="C2026" t="s">
        <v>19</v>
      </c>
      <c r="D2026" t="str">
        <f>_xlfn.XLOOKUP(tblSales[[#This Row],[Store ID]],tblStores[Store ID],tblStores[Store Name])</f>
        <v>Richards Bay</v>
      </c>
      <c r="E2026" t="str">
        <f>_xlfn.XLOOKUP(tblSales[[#This Row],[Store ID]],tblStores[Store ID],tblStores[Province])</f>
        <v>KZN</v>
      </c>
      <c r="F2026" t="str">
        <f>_xlfn.XLOOKUP(tblSales[[#This Row],[Store ID]],tblStores[Store ID],tblStores[Manager])</f>
        <v>David Green</v>
      </c>
      <c r="G2026" t="str">
        <f>_xlfn.XLOOKUP(tblSales[[#This Row],[Category ID]],tblCategories[Category ID],tblCategories[Category])</f>
        <v>Accessories</v>
      </c>
      <c r="H2026">
        <v>21465</v>
      </c>
      <c r="I2026">
        <v>20281</v>
      </c>
      <c r="J2026">
        <v>45</v>
      </c>
      <c r="K2026">
        <f>tblSales[[#This Row],[Sales]]-tblSales[[#This Row],[Budget]]</f>
        <v>1184</v>
      </c>
      <c r="L2026" s="3">
        <f>(tblSales[[#This Row],[Sales]]-tblSales[[#This Row],[Budget]])/tblSales[[#This Row],[Budget]]</f>
        <v>5.8379764311424484E-2</v>
      </c>
      <c r="M2026" s="2">
        <f>tblSales[[#This Row],[Sales]]/tblSales[[#This Row],[Transactions]]</f>
        <v>477</v>
      </c>
    </row>
    <row r="2027" spans="1:13" x14ac:dyDescent="0.25">
      <c r="A2027" s="1">
        <v>46124</v>
      </c>
      <c r="B2027" t="s">
        <v>14</v>
      </c>
      <c r="C2027" t="s">
        <v>9</v>
      </c>
      <c r="D2027" t="str">
        <f>_xlfn.XLOOKUP(tblSales[[#This Row],[Store ID]],tblStores[Store ID],tblStores[Store Name])</f>
        <v>Sandton</v>
      </c>
      <c r="E2027" t="str">
        <f>_xlfn.XLOOKUP(tblSales[[#This Row],[Store ID]],tblStores[Store ID],tblStores[Province])</f>
        <v>Gauteng</v>
      </c>
      <c r="F2027" t="str">
        <f>_xlfn.XLOOKUP(tblSales[[#This Row],[Store ID]],tblStores[Store ID],tblStores[Manager])</f>
        <v>Karen White</v>
      </c>
      <c r="G2027" t="str">
        <f>_xlfn.XLOOKUP(tblSales[[#This Row],[Category ID]],tblCategories[Category ID],tblCategories[Category])</f>
        <v>Ladieswear</v>
      </c>
      <c r="H2027">
        <v>70416</v>
      </c>
      <c r="I2027">
        <v>79751</v>
      </c>
      <c r="J2027">
        <v>163</v>
      </c>
      <c r="K2027">
        <f>tblSales[[#This Row],[Sales]]-tblSales[[#This Row],[Budget]]</f>
        <v>-9335</v>
      </c>
      <c r="L2027" s="3">
        <f>(tblSales[[#This Row],[Sales]]-tblSales[[#This Row],[Budget]])/tblSales[[#This Row],[Budget]]</f>
        <v>-0.11705182380158242</v>
      </c>
      <c r="M2027" s="2">
        <f>tblSales[[#This Row],[Sales]]/tblSales[[#This Row],[Transactions]]</f>
        <v>432</v>
      </c>
    </row>
    <row r="2028" spans="1:13" x14ac:dyDescent="0.25">
      <c r="A2028" s="1">
        <v>46124</v>
      </c>
      <c r="B2028" t="s">
        <v>15</v>
      </c>
      <c r="C2028" t="s">
        <v>11</v>
      </c>
      <c r="D2028" t="str">
        <f>_xlfn.XLOOKUP(tblSales[[#This Row],[Store ID]],tblStores[Store ID],tblStores[Store Name])</f>
        <v>Rosebank</v>
      </c>
      <c r="E2028" t="str">
        <f>_xlfn.XLOOKUP(tblSales[[#This Row],[Store ID]],tblStores[Store ID],tblStores[Province])</f>
        <v>Gauteng</v>
      </c>
      <c r="F2028" t="str">
        <f>_xlfn.XLOOKUP(tblSales[[#This Row],[Store ID]],tblStores[Store ID],tblStores[Manager])</f>
        <v>James Taylor</v>
      </c>
      <c r="G2028" t="str">
        <f>_xlfn.XLOOKUP(tblSales[[#This Row],[Category ID]],tblCategories[Category ID],tblCategories[Category])</f>
        <v>Footwear</v>
      </c>
      <c r="H2028">
        <v>15300</v>
      </c>
      <c r="I2028">
        <v>14983</v>
      </c>
      <c r="J2028">
        <v>68</v>
      </c>
      <c r="K2028">
        <f>tblSales[[#This Row],[Sales]]-tblSales[[#This Row],[Budget]]</f>
        <v>317</v>
      </c>
      <c r="L2028" s="3">
        <f>(tblSales[[#This Row],[Sales]]-tblSales[[#This Row],[Budget]])/tblSales[[#This Row],[Budget]]</f>
        <v>2.1157311619835813E-2</v>
      </c>
      <c r="M2028" s="2">
        <f>tblSales[[#This Row],[Sales]]/tblSales[[#This Row],[Transactions]]</f>
        <v>225</v>
      </c>
    </row>
    <row r="2029" spans="1:13" x14ac:dyDescent="0.25">
      <c r="A2029" s="1">
        <v>46124</v>
      </c>
      <c r="B2029" t="s">
        <v>16</v>
      </c>
      <c r="C2029" t="s">
        <v>19</v>
      </c>
      <c r="D2029" t="str">
        <f>_xlfn.XLOOKUP(tblSales[[#This Row],[Store ID]],tblStores[Store ID],tblStores[Store Name])</f>
        <v>Pretoria</v>
      </c>
      <c r="E2029" t="str">
        <f>_xlfn.XLOOKUP(tblSales[[#This Row],[Store ID]],tblStores[Store ID],tblStores[Province])</f>
        <v>Gauteng</v>
      </c>
      <c r="F2029" t="str">
        <f>_xlfn.XLOOKUP(tblSales[[#This Row],[Store ID]],tblStores[Store ID],tblStores[Manager])</f>
        <v>Susan Clark</v>
      </c>
      <c r="G2029" t="str">
        <f>_xlfn.XLOOKUP(tblSales[[#This Row],[Category ID]],tblCategories[Category ID],tblCategories[Category])</f>
        <v>Accessories</v>
      </c>
      <c r="H2029">
        <v>36540</v>
      </c>
      <c r="I2029">
        <v>35264</v>
      </c>
      <c r="J2029">
        <v>145</v>
      </c>
      <c r="K2029">
        <f>tblSales[[#This Row],[Sales]]-tblSales[[#This Row],[Budget]]</f>
        <v>1276</v>
      </c>
      <c r="L2029" s="3">
        <f>(tblSales[[#This Row],[Sales]]-tblSales[[#This Row],[Budget]])/tblSales[[#This Row],[Budget]]</f>
        <v>3.6184210526315791E-2</v>
      </c>
      <c r="M2029" s="2">
        <f>tblSales[[#This Row],[Sales]]/tblSales[[#This Row],[Transactions]]</f>
        <v>252</v>
      </c>
    </row>
    <row r="2030" spans="1:13" x14ac:dyDescent="0.25">
      <c r="A2030" s="1">
        <v>46124</v>
      </c>
      <c r="B2030" t="s">
        <v>17</v>
      </c>
      <c r="C2030" t="s">
        <v>22</v>
      </c>
      <c r="D2030" t="str">
        <f>_xlfn.XLOOKUP(tblSales[[#This Row],[Store ID]],tblStores[Store ID],tblStores[Store Name])</f>
        <v>Centurion</v>
      </c>
      <c r="E2030" t="str">
        <f>_xlfn.XLOOKUP(tblSales[[#This Row],[Store ID]],tblStores[Store ID],tblStores[Province])</f>
        <v>Gauteng</v>
      </c>
      <c r="F2030" t="str">
        <f>_xlfn.XLOOKUP(tblSales[[#This Row],[Store ID]],tblStores[Store ID],tblStores[Manager])</f>
        <v>Mark Wilson</v>
      </c>
      <c r="G2030" t="str">
        <f>_xlfn.XLOOKUP(tblSales[[#This Row],[Category ID]],tblCategories[Category ID],tblCategories[Category])</f>
        <v>Kids</v>
      </c>
      <c r="H2030">
        <v>11270</v>
      </c>
      <c r="I2030">
        <v>11549</v>
      </c>
      <c r="J2030">
        <v>46</v>
      </c>
      <c r="K2030">
        <f>tblSales[[#This Row],[Sales]]-tblSales[[#This Row],[Budget]]</f>
        <v>-279</v>
      </c>
      <c r="L2030" s="3">
        <f>(tblSales[[#This Row],[Sales]]-tblSales[[#This Row],[Budget]])/tblSales[[#This Row],[Budget]]</f>
        <v>-2.4157935752013162E-2</v>
      </c>
      <c r="M2030" s="2">
        <f>tblSales[[#This Row],[Sales]]/tblSales[[#This Row],[Transactions]]</f>
        <v>245</v>
      </c>
    </row>
    <row r="2031" spans="1:13" x14ac:dyDescent="0.25">
      <c r="A2031" s="1">
        <v>46124</v>
      </c>
      <c r="B2031" t="s">
        <v>18</v>
      </c>
      <c r="C2031" t="s">
        <v>22</v>
      </c>
      <c r="D2031" t="str">
        <f>_xlfn.XLOOKUP(tblSales[[#This Row],[Store ID]],tblStores[Store ID],tblStores[Store Name])</f>
        <v>East Rand</v>
      </c>
      <c r="E2031" t="str">
        <f>_xlfn.XLOOKUP(tblSales[[#This Row],[Store ID]],tblStores[Store ID],tblStores[Province])</f>
        <v>Gauteng</v>
      </c>
      <c r="F2031" t="str">
        <f>_xlfn.XLOOKUP(tblSales[[#This Row],[Store ID]],tblStores[Store ID],tblStores[Manager])</f>
        <v>Lisa Young</v>
      </c>
      <c r="G2031" t="str">
        <f>_xlfn.XLOOKUP(tblSales[[#This Row],[Category ID]],tblCategories[Category ID],tblCategories[Category])</f>
        <v>Kids</v>
      </c>
      <c r="H2031">
        <v>50800</v>
      </c>
      <c r="I2031">
        <v>49313</v>
      </c>
      <c r="J2031">
        <v>127</v>
      </c>
      <c r="K2031">
        <f>tblSales[[#This Row],[Sales]]-tblSales[[#This Row],[Budget]]</f>
        <v>1487</v>
      </c>
      <c r="L2031" s="3">
        <f>(tblSales[[#This Row],[Sales]]-tblSales[[#This Row],[Budget]])/tblSales[[#This Row],[Budget]]</f>
        <v>3.015432036177073E-2</v>
      </c>
      <c r="M2031" s="2">
        <f>tblSales[[#This Row],[Sales]]/tblSales[[#This Row],[Transactions]]</f>
        <v>400</v>
      </c>
    </row>
    <row r="2032" spans="1:13" x14ac:dyDescent="0.25">
      <c r="A2032" s="1">
        <v>46124</v>
      </c>
      <c r="B2032" t="s">
        <v>20</v>
      </c>
      <c r="C2032" t="s">
        <v>22</v>
      </c>
      <c r="D2032" t="str">
        <f>_xlfn.XLOOKUP(tblSales[[#This Row],[Store ID]],tblStores[Store ID],tblStores[Store Name])</f>
        <v>Cape Town CBD</v>
      </c>
      <c r="E2032" t="str">
        <f>_xlfn.XLOOKUP(tblSales[[#This Row],[Store ID]],tblStores[Store ID],tblStores[Province])</f>
        <v>Western Cape</v>
      </c>
      <c r="F2032" t="str">
        <f>_xlfn.XLOOKUP(tblSales[[#This Row],[Store ID]],tblStores[Store ID],tblStores[Manager])</f>
        <v>Brian Hall</v>
      </c>
      <c r="G2032" t="str">
        <f>_xlfn.XLOOKUP(tblSales[[#This Row],[Category ID]],tblCategories[Category ID],tblCategories[Category])</f>
        <v>Kids</v>
      </c>
      <c r="H2032">
        <v>60165</v>
      </c>
      <c r="I2032">
        <v>61924</v>
      </c>
      <c r="J2032">
        <v>191</v>
      </c>
      <c r="K2032">
        <f>tblSales[[#This Row],[Sales]]-tblSales[[#This Row],[Budget]]</f>
        <v>-1759</v>
      </c>
      <c r="L2032" s="3">
        <f>(tblSales[[#This Row],[Sales]]-tblSales[[#This Row],[Budget]])/tblSales[[#This Row],[Budget]]</f>
        <v>-2.840578773981009E-2</v>
      </c>
      <c r="M2032" s="2">
        <f>tblSales[[#This Row],[Sales]]/tblSales[[#This Row],[Transactions]]</f>
        <v>315</v>
      </c>
    </row>
    <row r="2033" spans="1:13" x14ac:dyDescent="0.25">
      <c r="A2033" s="1">
        <v>46124</v>
      </c>
      <c r="B2033" t="s">
        <v>21</v>
      </c>
      <c r="C2033" t="s">
        <v>11</v>
      </c>
      <c r="D2033" t="str">
        <f>_xlfn.XLOOKUP(tblSales[[#This Row],[Store ID]],tblStores[Store ID],tblStores[Store Name])</f>
        <v>Canal Walk</v>
      </c>
      <c r="E2033" t="str">
        <f>_xlfn.XLOOKUP(tblSales[[#This Row],[Store ID]],tblStores[Store ID],tblStores[Province])</f>
        <v>Western Cape</v>
      </c>
      <c r="F2033" t="str">
        <f>_xlfn.XLOOKUP(tblSales[[#This Row],[Store ID]],tblStores[Store ID],tblStores[Manager])</f>
        <v>Megan Scott</v>
      </c>
      <c r="G2033" t="str">
        <f>_xlfn.XLOOKUP(tblSales[[#This Row],[Category ID]],tblCategories[Category ID],tblCategories[Category])</f>
        <v>Footwear</v>
      </c>
      <c r="H2033">
        <v>26257</v>
      </c>
      <c r="I2033">
        <v>28468</v>
      </c>
      <c r="J2033">
        <v>77</v>
      </c>
      <c r="K2033">
        <f>tblSales[[#This Row],[Sales]]-tblSales[[#This Row],[Budget]]</f>
        <v>-2211</v>
      </c>
      <c r="L2033" s="3">
        <f>(tblSales[[#This Row],[Sales]]-tblSales[[#This Row],[Budget]])/tblSales[[#This Row],[Budget]]</f>
        <v>-7.7666151468315306E-2</v>
      </c>
      <c r="M2033" s="2">
        <f>tblSales[[#This Row],[Sales]]/tblSales[[#This Row],[Transactions]]</f>
        <v>341</v>
      </c>
    </row>
    <row r="2034" spans="1:13" x14ac:dyDescent="0.25">
      <c r="A2034" s="1">
        <v>46124</v>
      </c>
      <c r="B2034" t="s">
        <v>23</v>
      </c>
      <c r="C2034" t="s">
        <v>11</v>
      </c>
      <c r="D2034" t="str">
        <f>_xlfn.XLOOKUP(tblSales[[#This Row],[Store ID]],tblStores[Store ID],tblStores[Store Name])</f>
        <v>Stellenbosch</v>
      </c>
      <c r="E2034" t="str">
        <f>_xlfn.XLOOKUP(tblSales[[#This Row],[Store ID]],tblStores[Store ID],tblStores[Province])</f>
        <v>Western Cape</v>
      </c>
      <c r="F2034" t="str">
        <f>_xlfn.XLOOKUP(tblSales[[#This Row],[Store ID]],tblStores[Store ID],tblStores[Manager])</f>
        <v>Jason King</v>
      </c>
      <c r="G2034" t="str">
        <f>_xlfn.XLOOKUP(tblSales[[#This Row],[Category ID]],tblCategories[Category ID],tblCategories[Category])</f>
        <v>Footwear</v>
      </c>
      <c r="H2034">
        <v>33872</v>
      </c>
      <c r="I2034">
        <v>37708</v>
      </c>
      <c r="J2034">
        <v>73</v>
      </c>
      <c r="K2034">
        <f>tblSales[[#This Row],[Sales]]-tblSales[[#This Row],[Budget]]</f>
        <v>-3836</v>
      </c>
      <c r="L2034" s="3">
        <f>(tblSales[[#This Row],[Sales]]-tblSales[[#This Row],[Budget]])/tblSales[[#This Row],[Budget]]</f>
        <v>-0.1017290760581309</v>
      </c>
      <c r="M2034" s="2">
        <f>tblSales[[#This Row],[Sales]]/tblSales[[#This Row],[Transactions]]</f>
        <v>464</v>
      </c>
    </row>
    <row r="2035" spans="1:13" x14ac:dyDescent="0.25">
      <c r="A2035" s="1">
        <v>46124</v>
      </c>
      <c r="B2035" t="s">
        <v>24</v>
      </c>
      <c r="C2035" t="s">
        <v>11</v>
      </c>
      <c r="D2035" t="str">
        <f>_xlfn.XLOOKUP(tblSales[[#This Row],[Store ID]],tblStores[Store ID],tblStores[Store Name])</f>
        <v>George</v>
      </c>
      <c r="E2035" t="str">
        <f>_xlfn.XLOOKUP(tblSales[[#This Row],[Store ID]],tblStores[Store ID],tblStores[Province])</f>
        <v>Western Cape</v>
      </c>
      <c r="F2035" t="str">
        <f>_xlfn.XLOOKUP(tblSales[[#This Row],[Store ID]],tblStores[Store ID],tblStores[Manager])</f>
        <v>Chloe Hill</v>
      </c>
      <c r="G2035" t="str">
        <f>_xlfn.XLOOKUP(tblSales[[#This Row],[Category ID]],tblCategories[Category ID],tblCategories[Category])</f>
        <v>Footwear</v>
      </c>
      <c r="H2035">
        <v>13248</v>
      </c>
      <c r="I2035">
        <v>12415</v>
      </c>
      <c r="J2035">
        <v>48</v>
      </c>
      <c r="K2035">
        <f>tblSales[[#This Row],[Sales]]-tblSales[[#This Row],[Budget]]</f>
        <v>833</v>
      </c>
      <c r="L2035" s="3">
        <f>(tblSales[[#This Row],[Sales]]-tblSales[[#This Row],[Budget]])/tblSales[[#This Row],[Budget]]</f>
        <v>6.7096254530809502E-2</v>
      </c>
      <c r="M2035" s="2">
        <f>tblSales[[#This Row],[Sales]]/tblSales[[#This Row],[Transactions]]</f>
        <v>276</v>
      </c>
    </row>
    <row r="2036" spans="1:13" x14ac:dyDescent="0.25">
      <c r="A2036" s="1">
        <v>46124</v>
      </c>
      <c r="B2036" t="s">
        <v>25</v>
      </c>
      <c r="C2036" t="s">
        <v>9</v>
      </c>
      <c r="D2036" t="str">
        <f>_xlfn.XLOOKUP(tblSales[[#This Row],[Store ID]],tblStores[Store ID],tblStores[Store Name])</f>
        <v>Paarl</v>
      </c>
      <c r="E2036" t="str">
        <f>_xlfn.XLOOKUP(tblSales[[#This Row],[Store ID]],tblStores[Store ID],tblStores[Province])</f>
        <v>Western Cape</v>
      </c>
      <c r="F2036" t="str">
        <f>_xlfn.XLOOKUP(tblSales[[#This Row],[Store ID]],tblStores[Store ID],tblStores[Manager])</f>
        <v>Andrew Lee</v>
      </c>
      <c r="G2036" t="str">
        <f>_xlfn.XLOOKUP(tblSales[[#This Row],[Category ID]],tblCategories[Category ID],tblCategories[Category])</f>
        <v>Ladieswear</v>
      </c>
      <c r="H2036">
        <v>16038</v>
      </c>
      <c r="I2036">
        <v>16319</v>
      </c>
      <c r="J2036">
        <v>81</v>
      </c>
      <c r="K2036">
        <f>tblSales[[#This Row],[Sales]]-tblSales[[#This Row],[Budget]]</f>
        <v>-281</v>
      </c>
      <c r="L2036" s="3">
        <f>(tblSales[[#This Row],[Sales]]-tblSales[[#This Row],[Budget]])/tblSales[[#This Row],[Budget]]</f>
        <v>-1.7219192352472577E-2</v>
      </c>
      <c r="M2036" s="2">
        <f>tblSales[[#This Row],[Sales]]/tblSales[[#This Row],[Transactions]]</f>
        <v>198</v>
      </c>
    </row>
    <row r="2037" spans="1:13" x14ac:dyDescent="0.25">
      <c r="A2037" s="1">
        <v>46124</v>
      </c>
      <c r="B2037" t="s">
        <v>26</v>
      </c>
      <c r="C2037" t="s">
        <v>9</v>
      </c>
      <c r="D2037" t="str">
        <f>_xlfn.XLOOKUP(tblSales[[#This Row],[Store ID]],tblStores[Store ID],tblStores[Store Name])</f>
        <v>Gqeberha</v>
      </c>
      <c r="E2037" t="str">
        <f>_xlfn.XLOOKUP(tblSales[[#This Row],[Store ID]],tblStores[Store ID],tblStores[Province])</f>
        <v>Eastern Cape</v>
      </c>
      <c r="F2037" t="str">
        <f>_xlfn.XLOOKUP(tblSales[[#This Row],[Store ID]],tblStores[Store ID],tblStores[Manager])</f>
        <v>Emma Baker</v>
      </c>
      <c r="G2037" t="str">
        <f>_xlfn.XLOOKUP(tblSales[[#This Row],[Category ID]],tblCategories[Category ID],tblCategories[Category])</f>
        <v>Ladieswear</v>
      </c>
      <c r="H2037">
        <v>90085</v>
      </c>
      <c r="I2037">
        <v>90905</v>
      </c>
      <c r="J2037">
        <v>215</v>
      </c>
      <c r="K2037">
        <f>tblSales[[#This Row],[Sales]]-tblSales[[#This Row],[Budget]]</f>
        <v>-820</v>
      </c>
      <c r="L2037" s="3">
        <f>(tblSales[[#This Row],[Sales]]-tblSales[[#This Row],[Budget]])/tblSales[[#This Row],[Budget]]</f>
        <v>-9.0204059182663228E-3</v>
      </c>
      <c r="M2037" s="2">
        <f>tblSales[[#This Row],[Sales]]/tblSales[[#This Row],[Transactions]]</f>
        <v>419</v>
      </c>
    </row>
    <row r="2038" spans="1:13" x14ac:dyDescent="0.25">
      <c r="A2038" s="1">
        <v>46124</v>
      </c>
      <c r="B2038" t="s">
        <v>27</v>
      </c>
      <c r="C2038" t="s">
        <v>11</v>
      </c>
      <c r="D2038" t="str">
        <f>_xlfn.XLOOKUP(tblSales[[#This Row],[Store ID]],tblStores[Store ID],tblStores[Store Name])</f>
        <v>East London</v>
      </c>
      <c r="E2038" t="str">
        <f>_xlfn.XLOOKUP(tblSales[[#This Row],[Store ID]],tblStores[Store ID],tblStores[Province])</f>
        <v>Eastern Cape</v>
      </c>
      <c r="F2038" t="str">
        <f>_xlfn.XLOOKUP(tblSales[[#This Row],[Store ID]],tblStores[Store ID],tblStores[Manager])</f>
        <v>Daniel Evans</v>
      </c>
      <c r="G2038" t="str">
        <f>_xlfn.XLOOKUP(tblSales[[#This Row],[Category ID]],tblCategories[Category ID],tblCategories[Category])</f>
        <v>Footwear</v>
      </c>
      <c r="H2038">
        <v>18270</v>
      </c>
      <c r="I2038">
        <v>18071</v>
      </c>
      <c r="J2038">
        <v>45</v>
      </c>
      <c r="K2038">
        <f>tblSales[[#This Row],[Sales]]-tblSales[[#This Row],[Budget]]</f>
        <v>199</v>
      </c>
      <c r="L2038" s="3">
        <f>(tblSales[[#This Row],[Sales]]-tblSales[[#This Row],[Budget]])/tblSales[[#This Row],[Budget]]</f>
        <v>1.1012118864479E-2</v>
      </c>
      <c r="M2038" s="2">
        <f>tblSales[[#This Row],[Sales]]/tblSales[[#This Row],[Transactions]]</f>
        <v>406</v>
      </c>
    </row>
    <row r="2039" spans="1:13" x14ac:dyDescent="0.25">
      <c r="A2039" s="1">
        <v>46124</v>
      </c>
      <c r="B2039" t="s">
        <v>28</v>
      </c>
      <c r="C2039" t="s">
        <v>19</v>
      </c>
      <c r="D2039" t="str">
        <f>_xlfn.XLOOKUP(tblSales[[#This Row],[Store ID]],tblStores[Store ID],tblStores[Store Name])</f>
        <v>Bloemfontein</v>
      </c>
      <c r="E2039" t="str">
        <f>_xlfn.XLOOKUP(tblSales[[#This Row],[Store ID]],tblStores[Store ID],tblStores[Province])</f>
        <v>Free State</v>
      </c>
      <c r="F2039" t="str">
        <f>_xlfn.XLOOKUP(tblSales[[#This Row],[Store ID]],tblStores[Store ID],tblStores[Manager])</f>
        <v>Rachel Moore</v>
      </c>
      <c r="G2039" t="str">
        <f>_xlfn.XLOOKUP(tblSales[[#This Row],[Category ID]],tblCategories[Category ID],tblCategories[Category])</f>
        <v>Accessories</v>
      </c>
      <c r="H2039">
        <v>65826</v>
      </c>
      <c r="I2039">
        <v>67356</v>
      </c>
      <c r="J2039">
        <v>159</v>
      </c>
      <c r="K2039">
        <f>tblSales[[#This Row],[Sales]]-tblSales[[#This Row],[Budget]]</f>
        <v>-1530</v>
      </c>
      <c r="L2039" s="3">
        <f>(tblSales[[#This Row],[Sales]]-tblSales[[#This Row],[Budget]])/tblSales[[#This Row],[Budget]]</f>
        <v>-2.2715125601282738E-2</v>
      </c>
      <c r="M2039" s="2">
        <f>tblSales[[#This Row],[Sales]]/tblSales[[#This Row],[Transactions]]</f>
        <v>414</v>
      </c>
    </row>
    <row r="2040" spans="1:13" x14ac:dyDescent="0.25">
      <c r="A2040" s="1">
        <v>46124</v>
      </c>
      <c r="B2040" t="s">
        <v>29</v>
      </c>
      <c r="C2040" t="s">
        <v>9</v>
      </c>
      <c r="D2040" t="str">
        <f>_xlfn.XLOOKUP(tblSales[[#This Row],[Store ID]],tblStores[Store ID],tblStores[Store Name])</f>
        <v>Polokwane</v>
      </c>
      <c r="E2040" t="str">
        <f>_xlfn.XLOOKUP(tblSales[[#This Row],[Store ID]],tblStores[Store ID],tblStores[Province])</f>
        <v>Limpopo</v>
      </c>
      <c r="F2040" t="str">
        <f>_xlfn.XLOOKUP(tblSales[[#This Row],[Store ID]],tblStores[Store ID],tblStores[Manager])</f>
        <v>Kevin Harris</v>
      </c>
      <c r="G2040" t="str">
        <f>_xlfn.XLOOKUP(tblSales[[#This Row],[Category ID]],tblCategories[Category ID],tblCategories[Category])</f>
        <v>Ladieswear</v>
      </c>
      <c r="H2040">
        <v>23628</v>
      </c>
      <c r="I2040">
        <v>21817</v>
      </c>
      <c r="J2040">
        <v>66</v>
      </c>
      <c r="K2040">
        <f>tblSales[[#This Row],[Sales]]-tblSales[[#This Row],[Budget]]</f>
        <v>1811</v>
      </c>
      <c r="L2040" s="3">
        <f>(tblSales[[#This Row],[Sales]]-tblSales[[#This Row],[Budget]])/tblSales[[#This Row],[Budget]]</f>
        <v>8.3008662969244168E-2</v>
      </c>
      <c r="M2040" s="2">
        <f>tblSales[[#This Row],[Sales]]/tblSales[[#This Row],[Transactions]]</f>
        <v>358</v>
      </c>
    </row>
    <row r="2041" spans="1:13" x14ac:dyDescent="0.25">
      <c r="A2041" s="1">
        <v>46124</v>
      </c>
      <c r="B2041" t="s">
        <v>30</v>
      </c>
      <c r="C2041" t="s">
        <v>22</v>
      </c>
      <c r="D2041" t="str">
        <f>_xlfn.XLOOKUP(tblSales[[#This Row],[Store ID]],tblStores[Store ID],tblStores[Store Name])</f>
        <v>Nelspruit</v>
      </c>
      <c r="E2041" t="str">
        <f>_xlfn.XLOOKUP(tblSales[[#This Row],[Store ID]],tblStores[Store ID],tblStores[Province])</f>
        <v>Mpumalanga</v>
      </c>
      <c r="F2041" t="str">
        <f>_xlfn.XLOOKUP(tblSales[[#This Row],[Store ID]],tblStores[Store ID],tblStores[Manager])</f>
        <v>Olivia Turner</v>
      </c>
      <c r="G2041" t="str">
        <f>_xlfn.XLOOKUP(tblSales[[#This Row],[Category ID]],tblCategories[Category ID],tblCategories[Category])</f>
        <v>Kids</v>
      </c>
      <c r="H2041">
        <v>21546</v>
      </c>
      <c r="I2041">
        <v>23430</v>
      </c>
      <c r="J2041">
        <v>81</v>
      </c>
      <c r="K2041">
        <f>tblSales[[#This Row],[Sales]]-tblSales[[#This Row],[Budget]]</f>
        <v>-1884</v>
      </c>
      <c r="L2041" s="3">
        <f>(tblSales[[#This Row],[Sales]]-tblSales[[#This Row],[Budget]])/tblSales[[#This Row],[Budget]]</f>
        <v>-8.0409731113956467E-2</v>
      </c>
      <c r="M2041" s="2">
        <f>tblSales[[#This Row],[Sales]]/tblSales[[#This Row],[Transactions]]</f>
        <v>266</v>
      </c>
    </row>
    <row r="2042" spans="1:13" x14ac:dyDescent="0.25">
      <c r="A2042" s="1">
        <v>46125</v>
      </c>
      <c r="B2042" t="s">
        <v>6</v>
      </c>
      <c r="C2042" t="s">
        <v>22</v>
      </c>
      <c r="D2042" t="str">
        <f>_xlfn.XLOOKUP(tblSales[[#This Row],[Store ID]],tblStores[Store ID],tblStores[Store Name])</f>
        <v>Durban CBD</v>
      </c>
      <c r="E2042" t="str">
        <f>_xlfn.XLOOKUP(tblSales[[#This Row],[Store ID]],tblStores[Store ID],tblStores[Province])</f>
        <v>KZN</v>
      </c>
      <c r="F2042" t="str">
        <f>_xlfn.XLOOKUP(tblSales[[#This Row],[Store ID]],tblStores[Store ID],tblStores[Manager])</f>
        <v>Sarah Adams</v>
      </c>
      <c r="G2042" t="str">
        <f>_xlfn.XLOOKUP(tblSales[[#This Row],[Category ID]],tblCategories[Category ID],tblCategories[Category])</f>
        <v>Kids</v>
      </c>
      <c r="H2042">
        <v>92901</v>
      </c>
      <c r="I2042">
        <v>97213</v>
      </c>
      <c r="J2042">
        <v>179</v>
      </c>
      <c r="K2042">
        <f>tblSales[[#This Row],[Sales]]-tblSales[[#This Row],[Budget]]</f>
        <v>-4312</v>
      </c>
      <c r="L2042" s="3">
        <f>(tblSales[[#This Row],[Sales]]-tblSales[[#This Row],[Budget]])/tblSales[[#This Row],[Budget]]</f>
        <v>-4.4356207503111721E-2</v>
      </c>
      <c r="M2042" s="2">
        <f>tblSales[[#This Row],[Sales]]/tblSales[[#This Row],[Transactions]]</f>
        <v>519</v>
      </c>
    </row>
    <row r="2043" spans="1:13" x14ac:dyDescent="0.25">
      <c r="A2043" s="1">
        <v>46125</v>
      </c>
      <c r="B2043" t="s">
        <v>8</v>
      </c>
      <c r="C2043" t="s">
        <v>19</v>
      </c>
      <c r="D2043" t="str">
        <f>_xlfn.XLOOKUP(tblSales[[#This Row],[Store ID]],tblStores[Store ID],tblStores[Store Name])</f>
        <v>Gateway</v>
      </c>
      <c r="E2043" t="str">
        <f>_xlfn.XLOOKUP(tblSales[[#This Row],[Store ID]],tblStores[Store ID],tblStores[Province])</f>
        <v>KZN</v>
      </c>
      <c r="F2043" t="str">
        <f>_xlfn.XLOOKUP(tblSales[[#This Row],[Store ID]],tblStores[Store ID],tblStores[Manager])</f>
        <v>Michael Jones</v>
      </c>
      <c r="G2043" t="str">
        <f>_xlfn.XLOOKUP(tblSales[[#This Row],[Category ID]],tblCategories[Category ID],tblCategories[Category])</f>
        <v>Accessories</v>
      </c>
      <c r="H2043">
        <v>16164</v>
      </c>
      <c r="I2043">
        <v>17646</v>
      </c>
      <c r="J2043">
        <v>36</v>
      </c>
      <c r="K2043">
        <f>tblSales[[#This Row],[Sales]]-tblSales[[#This Row],[Budget]]</f>
        <v>-1482</v>
      </c>
      <c r="L2043" s="3">
        <f>(tblSales[[#This Row],[Sales]]-tblSales[[#This Row],[Budget]])/tblSales[[#This Row],[Budget]]</f>
        <v>-8.3985039102346143E-2</v>
      </c>
      <c r="M2043" s="2">
        <f>tblSales[[#This Row],[Sales]]/tblSales[[#This Row],[Transactions]]</f>
        <v>449</v>
      </c>
    </row>
    <row r="2044" spans="1:13" x14ac:dyDescent="0.25">
      <c r="A2044" s="1">
        <v>46125</v>
      </c>
      <c r="B2044" t="s">
        <v>10</v>
      </c>
      <c r="C2044" t="s">
        <v>9</v>
      </c>
      <c r="D2044" t="str">
        <f>_xlfn.XLOOKUP(tblSales[[#This Row],[Store ID]],tblStores[Store ID],tblStores[Store Name])</f>
        <v>Ballito</v>
      </c>
      <c r="E2044" t="str">
        <f>_xlfn.XLOOKUP(tblSales[[#This Row],[Store ID]],tblStores[Store ID],tblStores[Province])</f>
        <v>KZN</v>
      </c>
      <c r="F2044" t="str">
        <f>_xlfn.XLOOKUP(tblSales[[#This Row],[Store ID]],tblStores[Store ID],tblStores[Manager])</f>
        <v>Linda Smith</v>
      </c>
      <c r="G2044" t="str">
        <f>_xlfn.XLOOKUP(tblSales[[#This Row],[Category ID]],tblCategories[Category ID],tblCategories[Category])</f>
        <v>Ladieswear</v>
      </c>
      <c r="H2044">
        <v>30879</v>
      </c>
      <c r="I2044">
        <v>29691</v>
      </c>
      <c r="J2044">
        <v>141</v>
      </c>
      <c r="K2044">
        <f>tblSales[[#This Row],[Sales]]-tblSales[[#This Row],[Budget]]</f>
        <v>1188</v>
      </c>
      <c r="L2044" s="3">
        <f>(tblSales[[#This Row],[Sales]]-tblSales[[#This Row],[Budget]])/tblSales[[#This Row],[Budget]]</f>
        <v>4.0012124886329194E-2</v>
      </c>
      <c r="M2044" s="2">
        <f>tblSales[[#This Row],[Sales]]/tblSales[[#This Row],[Transactions]]</f>
        <v>219</v>
      </c>
    </row>
    <row r="2045" spans="1:13" x14ac:dyDescent="0.25">
      <c r="A2045" s="1">
        <v>46125</v>
      </c>
      <c r="B2045" t="s">
        <v>12</v>
      </c>
      <c r="C2045" t="s">
        <v>11</v>
      </c>
      <c r="D2045" t="str">
        <f>_xlfn.XLOOKUP(tblSales[[#This Row],[Store ID]],tblStores[Store ID],tblStores[Store Name])</f>
        <v>Pietermaritzburg</v>
      </c>
      <c r="E2045" t="str">
        <f>_xlfn.XLOOKUP(tblSales[[#This Row],[Store ID]],tblStores[Store ID],tblStores[Province])</f>
        <v>KZN</v>
      </c>
      <c r="F2045" t="str">
        <f>_xlfn.XLOOKUP(tblSales[[#This Row],[Store ID]],tblStores[Store ID],tblStores[Manager])</f>
        <v>Peter Brown</v>
      </c>
      <c r="G2045" t="str">
        <f>_xlfn.XLOOKUP(tblSales[[#This Row],[Category ID]],tblCategories[Category ID],tblCategories[Category])</f>
        <v>Footwear</v>
      </c>
      <c r="H2045">
        <v>47424</v>
      </c>
      <c r="I2045">
        <v>53202</v>
      </c>
      <c r="J2045">
        <v>208</v>
      </c>
      <c r="K2045">
        <f>tblSales[[#This Row],[Sales]]-tblSales[[#This Row],[Budget]]</f>
        <v>-5778</v>
      </c>
      <c r="L2045" s="3">
        <f>(tblSales[[#This Row],[Sales]]-tblSales[[#This Row],[Budget]])/tblSales[[#This Row],[Budget]]</f>
        <v>-0.10860493966392241</v>
      </c>
      <c r="M2045" s="2">
        <f>tblSales[[#This Row],[Sales]]/tblSales[[#This Row],[Transactions]]</f>
        <v>228</v>
      </c>
    </row>
    <row r="2046" spans="1:13" x14ac:dyDescent="0.25">
      <c r="A2046" s="1">
        <v>46125</v>
      </c>
      <c r="B2046" t="s">
        <v>13</v>
      </c>
      <c r="C2046" t="s">
        <v>7</v>
      </c>
      <c r="D2046" t="str">
        <f>_xlfn.XLOOKUP(tblSales[[#This Row],[Store ID]],tblStores[Store ID],tblStores[Store Name])</f>
        <v>Richards Bay</v>
      </c>
      <c r="E2046" t="str">
        <f>_xlfn.XLOOKUP(tblSales[[#This Row],[Store ID]],tblStores[Store ID],tblStores[Province])</f>
        <v>KZN</v>
      </c>
      <c r="F2046" t="str">
        <f>_xlfn.XLOOKUP(tblSales[[#This Row],[Store ID]],tblStores[Store ID],tblStores[Manager])</f>
        <v>David Green</v>
      </c>
      <c r="G2046" t="str">
        <f>_xlfn.XLOOKUP(tblSales[[#This Row],[Category ID]],tblCategories[Category ID],tblCategories[Category])</f>
        <v>Menswear</v>
      </c>
      <c r="H2046">
        <v>25894</v>
      </c>
      <c r="I2046">
        <v>25856</v>
      </c>
      <c r="J2046">
        <v>107</v>
      </c>
      <c r="K2046">
        <f>tblSales[[#This Row],[Sales]]-tblSales[[#This Row],[Budget]]</f>
        <v>38</v>
      </c>
      <c r="L2046" s="3">
        <f>(tblSales[[#This Row],[Sales]]-tblSales[[#This Row],[Budget]])/tblSales[[#This Row],[Budget]]</f>
        <v>1.4696782178217822E-3</v>
      </c>
      <c r="M2046" s="2">
        <f>tblSales[[#This Row],[Sales]]/tblSales[[#This Row],[Transactions]]</f>
        <v>242</v>
      </c>
    </row>
    <row r="2047" spans="1:13" x14ac:dyDescent="0.25">
      <c r="A2047" s="1">
        <v>46125</v>
      </c>
      <c r="B2047" t="s">
        <v>14</v>
      </c>
      <c r="C2047" t="s">
        <v>19</v>
      </c>
      <c r="D2047" t="str">
        <f>_xlfn.XLOOKUP(tblSales[[#This Row],[Store ID]],tblStores[Store ID],tblStores[Store Name])</f>
        <v>Sandton</v>
      </c>
      <c r="E2047" t="str">
        <f>_xlfn.XLOOKUP(tblSales[[#This Row],[Store ID]],tblStores[Store ID],tblStores[Province])</f>
        <v>Gauteng</v>
      </c>
      <c r="F2047" t="str">
        <f>_xlfn.XLOOKUP(tblSales[[#This Row],[Store ID]],tblStores[Store ID],tblStores[Manager])</f>
        <v>Karen White</v>
      </c>
      <c r="G2047" t="str">
        <f>_xlfn.XLOOKUP(tblSales[[#This Row],[Category ID]],tblCategories[Category ID],tblCategories[Category])</f>
        <v>Accessories</v>
      </c>
      <c r="H2047">
        <v>21390</v>
      </c>
      <c r="I2047">
        <v>20073</v>
      </c>
      <c r="J2047">
        <v>62</v>
      </c>
      <c r="K2047">
        <f>tblSales[[#This Row],[Sales]]-tblSales[[#This Row],[Budget]]</f>
        <v>1317</v>
      </c>
      <c r="L2047" s="3">
        <f>(tblSales[[#This Row],[Sales]]-tblSales[[#This Row],[Budget]])/tblSales[[#This Row],[Budget]]</f>
        <v>6.5610521596173962E-2</v>
      </c>
      <c r="M2047" s="2">
        <f>tblSales[[#This Row],[Sales]]/tblSales[[#This Row],[Transactions]]</f>
        <v>345</v>
      </c>
    </row>
    <row r="2048" spans="1:13" x14ac:dyDescent="0.25">
      <c r="A2048" s="1">
        <v>46125</v>
      </c>
      <c r="B2048" t="s">
        <v>15</v>
      </c>
      <c r="C2048" t="s">
        <v>7</v>
      </c>
      <c r="D2048" t="str">
        <f>_xlfn.XLOOKUP(tblSales[[#This Row],[Store ID]],tblStores[Store ID],tblStores[Store Name])</f>
        <v>Rosebank</v>
      </c>
      <c r="E2048" t="str">
        <f>_xlfn.XLOOKUP(tblSales[[#This Row],[Store ID]],tblStores[Store ID],tblStores[Province])</f>
        <v>Gauteng</v>
      </c>
      <c r="F2048" t="str">
        <f>_xlfn.XLOOKUP(tblSales[[#This Row],[Store ID]],tblStores[Store ID],tblStores[Manager])</f>
        <v>James Taylor</v>
      </c>
      <c r="G2048" t="str">
        <f>_xlfn.XLOOKUP(tblSales[[#This Row],[Category ID]],tblCategories[Category ID],tblCategories[Category])</f>
        <v>Menswear</v>
      </c>
      <c r="H2048">
        <v>78584</v>
      </c>
      <c r="I2048">
        <v>80152</v>
      </c>
      <c r="J2048">
        <v>152</v>
      </c>
      <c r="K2048">
        <f>tblSales[[#This Row],[Sales]]-tblSales[[#This Row],[Budget]]</f>
        <v>-1568</v>
      </c>
      <c r="L2048" s="3">
        <f>(tblSales[[#This Row],[Sales]]-tblSales[[#This Row],[Budget]])/tblSales[[#This Row],[Budget]]</f>
        <v>-1.9562830621818544E-2</v>
      </c>
      <c r="M2048" s="2">
        <f>tblSales[[#This Row],[Sales]]/tblSales[[#This Row],[Transactions]]</f>
        <v>517</v>
      </c>
    </row>
    <row r="2049" spans="1:13" x14ac:dyDescent="0.25">
      <c r="A2049" s="1">
        <v>46125</v>
      </c>
      <c r="B2049" t="s">
        <v>16</v>
      </c>
      <c r="C2049" t="s">
        <v>22</v>
      </c>
      <c r="D2049" t="str">
        <f>_xlfn.XLOOKUP(tblSales[[#This Row],[Store ID]],tblStores[Store ID],tblStores[Store Name])</f>
        <v>Pretoria</v>
      </c>
      <c r="E2049" t="str">
        <f>_xlfn.XLOOKUP(tblSales[[#This Row],[Store ID]],tblStores[Store ID],tblStores[Province])</f>
        <v>Gauteng</v>
      </c>
      <c r="F2049" t="str">
        <f>_xlfn.XLOOKUP(tblSales[[#This Row],[Store ID]],tblStores[Store ID],tblStores[Manager])</f>
        <v>Susan Clark</v>
      </c>
      <c r="G2049" t="str">
        <f>_xlfn.XLOOKUP(tblSales[[#This Row],[Category ID]],tblCategories[Category ID],tblCategories[Category])</f>
        <v>Kids</v>
      </c>
      <c r="H2049">
        <v>96492</v>
      </c>
      <c r="I2049">
        <v>86982</v>
      </c>
      <c r="J2049">
        <v>187</v>
      </c>
      <c r="K2049">
        <f>tblSales[[#This Row],[Sales]]-tblSales[[#This Row],[Budget]]</f>
        <v>9510</v>
      </c>
      <c r="L2049" s="3">
        <f>(tblSales[[#This Row],[Sales]]-tblSales[[#This Row],[Budget]])/tblSales[[#This Row],[Budget]]</f>
        <v>0.10933296544112575</v>
      </c>
      <c r="M2049" s="2">
        <f>tblSales[[#This Row],[Sales]]/tblSales[[#This Row],[Transactions]]</f>
        <v>516</v>
      </c>
    </row>
    <row r="2050" spans="1:13" x14ac:dyDescent="0.25">
      <c r="A2050" s="1">
        <v>46125</v>
      </c>
      <c r="B2050" t="s">
        <v>17</v>
      </c>
      <c r="C2050" t="s">
        <v>7</v>
      </c>
      <c r="D2050" t="str">
        <f>_xlfn.XLOOKUP(tblSales[[#This Row],[Store ID]],tblStores[Store ID],tblStores[Store Name])</f>
        <v>Centurion</v>
      </c>
      <c r="E2050" t="str">
        <f>_xlfn.XLOOKUP(tblSales[[#This Row],[Store ID]],tblStores[Store ID],tblStores[Province])</f>
        <v>Gauteng</v>
      </c>
      <c r="F2050" t="str">
        <f>_xlfn.XLOOKUP(tblSales[[#This Row],[Store ID]],tblStores[Store ID],tblStores[Manager])</f>
        <v>Mark Wilson</v>
      </c>
      <c r="G2050" t="str">
        <f>_xlfn.XLOOKUP(tblSales[[#This Row],[Category ID]],tblCategories[Category ID],tblCategories[Category])</f>
        <v>Menswear</v>
      </c>
      <c r="H2050">
        <v>100596</v>
      </c>
      <c r="I2050">
        <v>114450</v>
      </c>
      <c r="J2050">
        <v>202</v>
      </c>
      <c r="K2050">
        <f>tblSales[[#This Row],[Sales]]-tblSales[[#This Row],[Budget]]</f>
        <v>-13854</v>
      </c>
      <c r="L2050" s="3">
        <f>(tblSales[[#This Row],[Sales]]-tblSales[[#This Row],[Budget]])/tblSales[[#This Row],[Budget]]</f>
        <v>-0.12104849279161206</v>
      </c>
      <c r="M2050" s="2">
        <f>tblSales[[#This Row],[Sales]]/tblSales[[#This Row],[Transactions]]</f>
        <v>498</v>
      </c>
    </row>
    <row r="2051" spans="1:13" x14ac:dyDescent="0.25">
      <c r="A2051" s="1">
        <v>46125</v>
      </c>
      <c r="B2051" t="s">
        <v>18</v>
      </c>
      <c r="C2051" t="s">
        <v>22</v>
      </c>
      <c r="D2051" t="str">
        <f>_xlfn.XLOOKUP(tblSales[[#This Row],[Store ID]],tblStores[Store ID],tblStores[Store Name])</f>
        <v>East Rand</v>
      </c>
      <c r="E2051" t="str">
        <f>_xlfn.XLOOKUP(tblSales[[#This Row],[Store ID]],tblStores[Store ID],tblStores[Province])</f>
        <v>Gauteng</v>
      </c>
      <c r="F2051" t="str">
        <f>_xlfn.XLOOKUP(tblSales[[#This Row],[Store ID]],tblStores[Store ID],tblStores[Manager])</f>
        <v>Lisa Young</v>
      </c>
      <c r="G2051" t="str">
        <f>_xlfn.XLOOKUP(tblSales[[#This Row],[Category ID]],tblCategories[Category ID],tblCategories[Category])</f>
        <v>Kids</v>
      </c>
      <c r="H2051">
        <v>44280</v>
      </c>
      <c r="I2051">
        <v>42191</v>
      </c>
      <c r="J2051">
        <v>180</v>
      </c>
      <c r="K2051">
        <f>tblSales[[#This Row],[Sales]]-tblSales[[#This Row],[Budget]]</f>
        <v>2089</v>
      </c>
      <c r="L2051" s="3">
        <f>(tblSales[[#This Row],[Sales]]-tblSales[[#This Row],[Budget]])/tblSales[[#This Row],[Budget]]</f>
        <v>4.9512929297717521E-2</v>
      </c>
      <c r="M2051" s="2">
        <f>tblSales[[#This Row],[Sales]]/tblSales[[#This Row],[Transactions]]</f>
        <v>246</v>
      </c>
    </row>
    <row r="2052" spans="1:13" x14ac:dyDescent="0.25">
      <c r="A2052" s="1">
        <v>46125</v>
      </c>
      <c r="B2052" t="s">
        <v>20</v>
      </c>
      <c r="C2052" t="s">
        <v>7</v>
      </c>
      <c r="D2052" t="str">
        <f>_xlfn.XLOOKUP(tblSales[[#This Row],[Store ID]],tblStores[Store ID],tblStores[Store Name])</f>
        <v>Cape Town CBD</v>
      </c>
      <c r="E2052" t="str">
        <f>_xlfn.XLOOKUP(tblSales[[#This Row],[Store ID]],tblStores[Store ID],tblStores[Province])</f>
        <v>Western Cape</v>
      </c>
      <c r="F2052" t="str">
        <f>_xlfn.XLOOKUP(tblSales[[#This Row],[Store ID]],tblStores[Store ID],tblStores[Manager])</f>
        <v>Brian Hall</v>
      </c>
      <c r="G2052" t="str">
        <f>_xlfn.XLOOKUP(tblSales[[#This Row],[Category ID]],tblCategories[Category ID],tblCategories[Category])</f>
        <v>Menswear</v>
      </c>
      <c r="H2052">
        <v>64476</v>
      </c>
      <c r="I2052">
        <v>63237</v>
      </c>
      <c r="J2052">
        <v>199</v>
      </c>
      <c r="K2052">
        <f>tblSales[[#This Row],[Sales]]-tblSales[[#This Row],[Budget]]</f>
        <v>1239</v>
      </c>
      <c r="L2052" s="3">
        <f>(tblSales[[#This Row],[Sales]]-tblSales[[#This Row],[Budget]])/tblSales[[#This Row],[Budget]]</f>
        <v>1.959295981782817E-2</v>
      </c>
      <c r="M2052" s="2">
        <f>tblSales[[#This Row],[Sales]]/tblSales[[#This Row],[Transactions]]</f>
        <v>324</v>
      </c>
    </row>
    <row r="2053" spans="1:13" x14ac:dyDescent="0.25">
      <c r="A2053" s="1">
        <v>46125</v>
      </c>
      <c r="B2053" t="s">
        <v>21</v>
      </c>
      <c r="C2053" t="s">
        <v>7</v>
      </c>
      <c r="D2053" t="str">
        <f>_xlfn.XLOOKUP(tblSales[[#This Row],[Store ID]],tblStores[Store ID],tblStores[Store Name])</f>
        <v>Canal Walk</v>
      </c>
      <c r="E2053" t="str">
        <f>_xlfn.XLOOKUP(tblSales[[#This Row],[Store ID]],tblStores[Store ID],tblStores[Province])</f>
        <v>Western Cape</v>
      </c>
      <c r="F2053" t="str">
        <f>_xlfn.XLOOKUP(tblSales[[#This Row],[Store ID]],tblStores[Store ID],tblStores[Manager])</f>
        <v>Megan Scott</v>
      </c>
      <c r="G2053" t="str">
        <f>_xlfn.XLOOKUP(tblSales[[#This Row],[Category ID]],tblCategories[Category ID],tblCategories[Category])</f>
        <v>Menswear</v>
      </c>
      <c r="H2053">
        <v>24380</v>
      </c>
      <c r="I2053">
        <v>27743</v>
      </c>
      <c r="J2053">
        <v>53</v>
      </c>
      <c r="K2053">
        <f>tblSales[[#This Row],[Sales]]-tblSales[[#This Row],[Budget]]</f>
        <v>-3363</v>
      </c>
      <c r="L2053" s="3">
        <f>(tblSales[[#This Row],[Sales]]-tblSales[[#This Row],[Budget]])/tblSales[[#This Row],[Budget]]</f>
        <v>-0.12121976714846988</v>
      </c>
      <c r="M2053" s="2">
        <f>tblSales[[#This Row],[Sales]]/tblSales[[#This Row],[Transactions]]</f>
        <v>460</v>
      </c>
    </row>
    <row r="2054" spans="1:13" x14ac:dyDescent="0.25">
      <c r="A2054" s="1">
        <v>46125</v>
      </c>
      <c r="B2054" t="s">
        <v>23</v>
      </c>
      <c r="C2054" t="s">
        <v>11</v>
      </c>
      <c r="D2054" t="str">
        <f>_xlfn.XLOOKUP(tblSales[[#This Row],[Store ID]],tblStores[Store ID],tblStores[Store Name])</f>
        <v>Stellenbosch</v>
      </c>
      <c r="E2054" t="str">
        <f>_xlfn.XLOOKUP(tblSales[[#This Row],[Store ID]],tblStores[Store ID],tblStores[Province])</f>
        <v>Western Cape</v>
      </c>
      <c r="F2054" t="str">
        <f>_xlfn.XLOOKUP(tblSales[[#This Row],[Store ID]],tblStores[Store ID],tblStores[Manager])</f>
        <v>Jason King</v>
      </c>
      <c r="G2054" t="str">
        <f>_xlfn.XLOOKUP(tblSales[[#This Row],[Category ID]],tblCategories[Category ID],tblCategories[Category])</f>
        <v>Footwear</v>
      </c>
      <c r="H2054">
        <v>22272</v>
      </c>
      <c r="I2054">
        <v>21465</v>
      </c>
      <c r="J2054">
        <v>58</v>
      </c>
      <c r="K2054">
        <f>tblSales[[#This Row],[Sales]]-tblSales[[#This Row],[Budget]]</f>
        <v>807</v>
      </c>
      <c r="L2054" s="3">
        <f>(tblSales[[#This Row],[Sales]]-tblSales[[#This Row],[Budget]])/tblSales[[#This Row],[Budget]]</f>
        <v>3.7596086652690423E-2</v>
      </c>
      <c r="M2054" s="2">
        <f>tblSales[[#This Row],[Sales]]/tblSales[[#This Row],[Transactions]]</f>
        <v>384</v>
      </c>
    </row>
    <row r="2055" spans="1:13" x14ac:dyDescent="0.25">
      <c r="A2055" s="1">
        <v>46125</v>
      </c>
      <c r="B2055" t="s">
        <v>24</v>
      </c>
      <c r="C2055" t="s">
        <v>9</v>
      </c>
      <c r="D2055" t="str">
        <f>_xlfn.XLOOKUP(tblSales[[#This Row],[Store ID]],tblStores[Store ID],tblStores[Store Name])</f>
        <v>George</v>
      </c>
      <c r="E2055" t="str">
        <f>_xlfn.XLOOKUP(tblSales[[#This Row],[Store ID]],tblStores[Store ID],tblStores[Province])</f>
        <v>Western Cape</v>
      </c>
      <c r="F2055" t="str">
        <f>_xlfn.XLOOKUP(tblSales[[#This Row],[Store ID]],tblStores[Store ID],tblStores[Manager])</f>
        <v>Chloe Hill</v>
      </c>
      <c r="G2055" t="str">
        <f>_xlfn.XLOOKUP(tblSales[[#This Row],[Category ID]],tblCategories[Category ID],tblCategories[Category])</f>
        <v>Ladieswear</v>
      </c>
      <c r="H2055">
        <v>30825</v>
      </c>
      <c r="I2055">
        <v>27900</v>
      </c>
      <c r="J2055">
        <v>137</v>
      </c>
      <c r="K2055">
        <f>tblSales[[#This Row],[Sales]]-tblSales[[#This Row],[Budget]]</f>
        <v>2925</v>
      </c>
      <c r="L2055" s="3">
        <f>(tblSales[[#This Row],[Sales]]-tblSales[[#This Row],[Budget]])/tblSales[[#This Row],[Budget]]</f>
        <v>0.10483870967741936</v>
      </c>
      <c r="M2055" s="2">
        <f>tblSales[[#This Row],[Sales]]/tblSales[[#This Row],[Transactions]]</f>
        <v>225</v>
      </c>
    </row>
    <row r="2056" spans="1:13" x14ac:dyDescent="0.25">
      <c r="A2056" s="1">
        <v>46125</v>
      </c>
      <c r="B2056" t="s">
        <v>25</v>
      </c>
      <c r="C2056" t="s">
        <v>9</v>
      </c>
      <c r="D2056" t="str">
        <f>_xlfn.XLOOKUP(tblSales[[#This Row],[Store ID]],tblStores[Store ID],tblStores[Store Name])</f>
        <v>Paarl</v>
      </c>
      <c r="E2056" t="str">
        <f>_xlfn.XLOOKUP(tblSales[[#This Row],[Store ID]],tblStores[Store ID],tblStores[Province])</f>
        <v>Western Cape</v>
      </c>
      <c r="F2056" t="str">
        <f>_xlfn.XLOOKUP(tblSales[[#This Row],[Store ID]],tblStores[Store ID],tblStores[Manager])</f>
        <v>Andrew Lee</v>
      </c>
      <c r="G2056" t="str">
        <f>_xlfn.XLOOKUP(tblSales[[#This Row],[Category ID]],tblCategories[Category ID],tblCategories[Category])</f>
        <v>Ladieswear</v>
      </c>
      <c r="H2056">
        <v>28728</v>
      </c>
      <c r="I2056">
        <v>31453</v>
      </c>
      <c r="J2056">
        <v>76</v>
      </c>
      <c r="K2056">
        <f>tblSales[[#This Row],[Sales]]-tblSales[[#This Row],[Budget]]</f>
        <v>-2725</v>
      </c>
      <c r="L2056" s="3">
        <f>(tblSales[[#This Row],[Sales]]-tblSales[[#This Row],[Budget]])/tblSales[[#This Row],[Budget]]</f>
        <v>-8.6637204718150895E-2</v>
      </c>
      <c r="M2056" s="2">
        <f>tblSales[[#This Row],[Sales]]/tblSales[[#This Row],[Transactions]]</f>
        <v>378</v>
      </c>
    </row>
    <row r="2057" spans="1:13" x14ac:dyDescent="0.25">
      <c r="A2057" s="1">
        <v>46125</v>
      </c>
      <c r="B2057" t="s">
        <v>26</v>
      </c>
      <c r="C2057" t="s">
        <v>22</v>
      </c>
      <c r="D2057" t="str">
        <f>_xlfn.XLOOKUP(tblSales[[#This Row],[Store ID]],tblStores[Store ID],tblStores[Store Name])</f>
        <v>Gqeberha</v>
      </c>
      <c r="E2057" t="str">
        <f>_xlfn.XLOOKUP(tblSales[[#This Row],[Store ID]],tblStores[Store ID],tblStores[Province])</f>
        <v>Eastern Cape</v>
      </c>
      <c r="F2057" t="str">
        <f>_xlfn.XLOOKUP(tblSales[[#This Row],[Store ID]],tblStores[Store ID],tblStores[Manager])</f>
        <v>Emma Baker</v>
      </c>
      <c r="G2057" t="str">
        <f>_xlfn.XLOOKUP(tblSales[[#This Row],[Category ID]],tblCategories[Category ID],tblCategories[Category])</f>
        <v>Kids</v>
      </c>
      <c r="H2057">
        <v>102800</v>
      </c>
      <c r="I2057">
        <v>96481</v>
      </c>
      <c r="J2057">
        <v>200</v>
      </c>
      <c r="K2057">
        <f>tblSales[[#This Row],[Sales]]-tblSales[[#This Row],[Budget]]</f>
        <v>6319</v>
      </c>
      <c r="L2057" s="3">
        <f>(tblSales[[#This Row],[Sales]]-tblSales[[#This Row],[Budget]])/tblSales[[#This Row],[Budget]]</f>
        <v>6.549476062644459E-2</v>
      </c>
      <c r="M2057" s="2">
        <f>tblSales[[#This Row],[Sales]]/tblSales[[#This Row],[Transactions]]</f>
        <v>514</v>
      </c>
    </row>
    <row r="2058" spans="1:13" x14ac:dyDescent="0.25">
      <c r="A2058" s="1">
        <v>46125</v>
      </c>
      <c r="B2058" t="s">
        <v>27</v>
      </c>
      <c r="C2058" t="s">
        <v>22</v>
      </c>
      <c r="D2058" t="str">
        <f>_xlfn.XLOOKUP(tblSales[[#This Row],[Store ID]],tblStores[Store ID],tblStores[Store Name])</f>
        <v>East London</v>
      </c>
      <c r="E2058" t="str">
        <f>_xlfn.XLOOKUP(tblSales[[#This Row],[Store ID]],tblStores[Store ID],tblStores[Province])</f>
        <v>Eastern Cape</v>
      </c>
      <c r="F2058" t="str">
        <f>_xlfn.XLOOKUP(tblSales[[#This Row],[Store ID]],tblStores[Store ID],tblStores[Manager])</f>
        <v>Daniel Evans</v>
      </c>
      <c r="G2058" t="str">
        <f>_xlfn.XLOOKUP(tblSales[[#This Row],[Category ID]],tblCategories[Category ID],tblCategories[Category])</f>
        <v>Kids</v>
      </c>
      <c r="H2058">
        <v>64160</v>
      </c>
      <c r="I2058">
        <v>69547</v>
      </c>
      <c r="J2058">
        <v>160</v>
      </c>
      <c r="K2058">
        <f>tblSales[[#This Row],[Sales]]-tblSales[[#This Row],[Budget]]</f>
        <v>-5387</v>
      </c>
      <c r="L2058" s="3">
        <f>(tblSales[[#This Row],[Sales]]-tblSales[[#This Row],[Budget]])/tblSales[[#This Row],[Budget]]</f>
        <v>-7.7458409420967114E-2</v>
      </c>
      <c r="M2058" s="2">
        <f>tblSales[[#This Row],[Sales]]/tblSales[[#This Row],[Transactions]]</f>
        <v>401</v>
      </c>
    </row>
    <row r="2059" spans="1:13" x14ac:dyDescent="0.25">
      <c r="A2059" s="1">
        <v>46125</v>
      </c>
      <c r="B2059" t="s">
        <v>28</v>
      </c>
      <c r="C2059" t="s">
        <v>22</v>
      </c>
      <c r="D2059" t="str">
        <f>_xlfn.XLOOKUP(tblSales[[#This Row],[Store ID]],tblStores[Store ID],tblStores[Store Name])</f>
        <v>Bloemfontein</v>
      </c>
      <c r="E2059" t="str">
        <f>_xlfn.XLOOKUP(tblSales[[#This Row],[Store ID]],tblStores[Store ID],tblStores[Province])</f>
        <v>Free State</v>
      </c>
      <c r="F2059" t="str">
        <f>_xlfn.XLOOKUP(tblSales[[#This Row],[Store ID]],tblStores[Store ID],tblStores[Manager])</f>
        <v>Rachel Moore</v>
      </c>
      <c r="G2059" t="str">
        <f>_xlfn.XLOOKUP(tblSales[[#This Row],[Category ID]],tblCategories[Category ID],tblCategories[Category])</f>
        <v>Kids</v>
      </c>
      <c r="H2059">
        <v>102480</v>
      </c>
      <c r="I2059">
        <v>95595</v>
      </c>
      <c r="J2059">
        <v>210</v>
      </c>
      <c r="K2059">
        <f>tblSales[[#This Row],[Sales]]-tblSales[[#This Row],[Budget]]</f>
        <v>6885</v>
      </c>
      <c r="L2059" s="3">
        <f>(tblSales[[#This Row],[Sales]]-tblSales[[#This Row],[Budget]])/tblSales[[#This Row],[Budget]]</f>
        <v>7.202259532402322E-2</v>
      </c>
      <c r="M2059" s="2">
        <f>tblSales[[#This Row],[Sales]]/tblSales[[#This Row],[Transactions]]</f>
        <v>488</v>
      </c>
    </row>
    <row r="2060" spans="1:13" x14ac:dyDescent="0.25">
      <c r="A2060" s="1">
        <v>46125</v>
      </c>
      <c r="B2060" t="s">
        <v>29</v>
      </c>
      <c r="C2060" t="s">
        <v>7</v>
      </c>
      <c r="D2060" t="str">
        <f>_xlfn.XLOOKUP(tblSales[[#This Row],[Store ID]],tblStores[Store ID],tblStores[Store Name])</f>
        <v>Polokwane</v>
      </c>
      <c r="E2060" t="str">
        <f>_xlfn.XLOOKUP(tblSales[[#This Row],[Store ID]],tblStores[Store ID],tblStores[Province])</f>
        <v>Limpopo</v>
      </c>
      <c r="F2060" t="str">
        <f>_xlfn.XLOOKUP(tblSales[[#This Row],[Store ID]],tblStores[Store ID],tblStores[Manager])</f>
        <v>Kevin Harris</v>
      </c>
      <c r="G2060" t="str">
        <f>_xlfn.XLOOKUP(tblSales[[#This Row],[Category ID]],tblCategories[Category ID],tblCategories[Category])</f>
        <v>Menswear</v>
      </c>
      <c r="H2060">
        <v>57018</v>
      </c>
      <c r="I2060">
        <v>54165</v>
      </c>
      <c r="J2060">
        <v>129</v>
      </c>
      <c r="K2060">
        <f>tblSales[[#This Row],[Sales]]-tblSales[[#This Row],[Budget]]</f>
        <v>2853</v>
      </c>
      <c r="L2060" s="3">
        <f>(tblSales[[#This Row],[Sales]]-tblSales[[#This Row],[Budget]])/tblSales[[#This Row],[Budget]]</f>
        <v>5.2672389919689838E-2</v>
      </c>
      <c r="M2060" s="2">
        <f>tblSales[[#This Row],[Sales]]/tblSales[[#This Row],[Transactions]]</f>
        <v>442</v>
      </c>
    </row>
    <row r="2061" spans="1:13" x14ac:dyDescent="0.25">
      <c r="A2061" s="1">
        <v>46125</v>
      </c>
      <c r="B2061" t="s">
        <v>30</v>
      </c>
      <c r="C2061" t="s">
        <v>11</v>
      </c>
      <c r="D2061" t="str">
        <f>_xlfn.XLOOKUP(tblSales[[#This Row],[Store ID]],tblStores[Store ID],tblStores[Store Name])</f>
        <v>Nelspruit</v>
      </c>
      <c r="E2061" t="str">
        <f>_xlfn.XLOOKUP(tblSales[[#This Row],[Store ID]],tblStores[Store ID],tblStores[Province])</f>
        <v>Mpumalanga</v>
      </c>
      <c r="F2061" t="str">
        <f>_xlfn.XLOOKUP(tblSales[[#This Row],[Store ID]],tblStores[Store ID],tblStores[Manager])</f>
        <v>Olivia Turner</v>
      </c>
      <c r="G2061" t="str">
        <f>_xlfn.XLOOKUP(tblSales[[#This Row],[Category ID]],tblCategories[Category ID],tblCategories[Category])</f>
        <v>Footwear</v>
      </c>
      <c r="H2061">
        <v>56682</v>
      </c>
      <c r="I2061">
        <v>54818</v>
      </c>
      <c r="J2061">
        <v>134</v>
      </c>
      <c r="K2061">
        <f>tblSales[[#This Row],[Sales]]-tblSales[[#This Row],[Budget]]</f>
        <v>1864</v>
      </c>
      <c r="L2061" s="3">
        <f>(tblSales[[#This Row],[Sales]]-tblSales[[#This Row],[Budget]])/tblSales[[#This Row],[Budget]]</f>
        <v>3.4003429530446203E-2</v>
      </c>
      <c r="M2061" s="2">
        <f>tblSales[[#This Row],[Sales]]/tblSales[[#This Row],[Transactions]]</f>
        <v>423</v>
      </c>
    </row>
    <row r="2062" spans="1:13" x14ac:dyDescent="0.25">
      <c r="A2062" s="1">
        <v>46126</v>
      </c>
      <c r="B2062" t="s">
        <v>6</v>
      </c>
      <c r="C2062" t="s">
        <v>19</v>
      </c>
      <c r="D2062" t="str">
        <f>_xlfn.XLOOKUP(tblSales[[#This Row],[Store ID]],tblStores[Store ID],tblStores[Store Name])</f>
        <v>Durban CBD</v>
      </c>
      <c r="E2062" t="str">
        <f>_xlfn.XLOOKUP(tblSales[[#This Row],[Store ID]],tblStores[Store ID],tblStores[Province])</f>
        <v>KZN</v>
      </c>
      <c r="F2062" t="str">
        <f>_xlfn.XLOOKUP(tblSales[[#This Row],[Store ID]],tblStores[Store ID],tblStores[Manager])</f>
        <v>Sarah Adams</v>
      </c>
      <c r="G2062" t="str">
        <f>_xlfn.XLOOKUP(tblSales[[#This Row],[Category ID]],tblCategories[Category ID],tblCategories[Category])</f>
        <v>Accessories</v>
      </c>
      <c r="H2062">
        <v>32318</v>
      </c>
      <c r="I2062">
        <v>35198</v>
      </c>
      <c r="J2062">
        <v>143</v>
      </c>
      <c r="K2062">
        <f>tblSales[[#This Row],[Sales]]-tblSales[[#This Row],[Budget]]</f>
        <v>-2880</v>
      </c>
      <c r="L2062" s="3">
        <f>(tblSales[[#This Row],[Sales]]-tblSales[[#This Row],[Budget]])/tblSales[[#This Row],[Budget]]</f>
        <v>-8.1822830842661509E-2</v>
      </c>
      <c r="M2062" s="2">
        <f>tblSales[[#This Row],[Sales]]/tblSales[[#This Row],[Transactions]]</f>
        <v>226</v>
      </c>
    </row>
    <row r="2063" spans="1:13" x14ac:dyDescent="0.25">
      <c r="A2063" s="1">
        <v>46126</v>
      </c>
      <c r="B2063" t="s">
        <v>8</v>
      </c>
      <c r="C2063" t="s">
        <v>22</v>
      </c>
      <c r="D2063" t="str">
        <f>_xlfn.XLOOKUP(tblSales[[#This Row],[Store ID]],tblStores[Store ID],tblStores[Store Name])</f>
        <v>Gateway</v>
      </c>
      <c r="E2063" t="str">
        <f>_xlfn.XLOOKUP(tblSales[[#This Row],[Store ID]],tblStores[Store ID],tblStores[Province])</f>
        <v>KZN</v>
      </c>
      <c r="F2063" t="str">
        <f>_xlfn.XLOOKUP(tblSales[[#This Row],[Store ID]],tblStores[Store ID],tblStores[Manager])</f>
        <v>Michael Jones</v>
      </c>
      <c r="G2063" t="str">
        <f>_xlfn.XLOOKUP(tblSales[[#This Row],[Category ID]],tblCategories[Category ID],tblCategories[Category])</f>
        <v>Kids</v>
      </c>
      <c r="H2063">
        <v>52800</v>
      </c>
      <c r="I2063">
        <v>53250</v>
      </c>
      <c r="J2063">
        <v>192</v>
      </c>
      <c r="K2063">
        <f>tblSales[[#This Row],[Sales]]-tblSales[[#This Row],[Budget]]</f>
        <v>-450</v>
      </c>
      <c r="L2063" s="3">
        <f>(tblSales[[#This Row],[Sales]]-tblSales[[#This Row],[Budget]])/tblSales[[#This Row],[Budget]]</f>
        <v>-8.4507042253521118E-3</v>
      </c>
      <c r="M2063" s="2">
        <f>tblSales[[#This Row],[Sales]]/tblSales[[#This Row],[Transactions]]</f>
        <v>275</v>
      </c>
    </row>
    <row r="2064" spans="1:13" x14ac:dyDescent="0.25">
      <c r="A2064" s="1">
        <v>46126</v>
      </c>
      <c r="B2064" t="s">
        <v>10</v>
      </c>
      <c r="C2064" t="s">
        <v>11</v>
      </c>
      <c r="D2064" t="str">
        <f>_xlfn.XLOOKUP(tblSales[[#This Row],[Store ID]],tblStores[Store ID],tblStores[Store Name])</f>
        <v>Ballito</v>
      </c>
      <c r="E2064" t="str">
        <f>_xlfn.XLOOKUP(tblSales[[#This Row],[Store ID]],tblStores[Store ID],tblStores[Province])</f>
        <v>KZN</v>
      </c>
      <c r="F2064" t="str">
        <f>_xlfn.XLOOKUP(tblSales[[#This Row],[Store ID]],tblStores[Store ID],tblStores[Manager])</f>
        <v>Linda Smith</v>
      </c>
      <c r="G2064" t="str">
        <f>_xlfn.XLOOKUP(tblSales[[#This Row],[Category ID]],tblCategories[Category ID],tblCategories[Category])</f>
        <v>Footwear</v>
      </c>
      <c r="H2064">
        <v>11600</v>
      </c>
      <c r="I2064">
        <v>11928</v>
      </c>
      <c r="J2064">
        <v>58</v>
      </c>
      <c r="K2064">
        <f>tblSales[[#This Row],[Sales]]-tblSales[[#This Row],[Budget]]</f>
        <v>-328</v>
      </c>
      <c r="L2064" s="3">
        <f>(tblSales[[#This Row],[Sales]]-tblSales[[#This Row],[Budget]])/tblSales[[#This Row],[Budget]]</f>
        <v>-2.7498323272971161E-2</v>
      </c>
      <c r="M2064" s="2">
        <f>tblSales[[#This Row],[Sales]]/tblSales[[#This Row],[Transactions]]</f>
        <v>200</v>
      </c>
    </row>
    <row r="2065" spans="1:13" x14ac:dyDescent="0.25">
      <c r="A2065" s="1">
        <v>46126</v>
      </c>
      <c r="B2065" t="s">
        <v>12</v>
      </c>
      <c r="C2065" t="s">
        <v>11</v>
      </c>
      <c r="D2065" t="str">
        <f>_xlfn.XLOOKUP(tblSales[[#This Row],[Store ID]],tblStores[Store ID],tblStores[Store Name])</f>
        <v>Pietermaritzburg</v>
      </c>
      <c r="E2065" t="str">
        <f>_xlfn.XLOOKUP(tblSales[[#This Row],[Store ID]],tblStores[Store ID],tblStores[Province])</f>
        <v>KZN</v>
      </c>
      <c r="F2065" t="str">
        <f>_xlfn.XLOOKUP(tblSales[[#This Row],[Store ID]],tblStores[Store ID],tblStores[Manager])</f>
        <v>Peter Brown</v>
      </c>
      <c r="G2065" t="str">
        <f>_xlfn.XLOOKUP(tblSales[[#This Row],[Category ID]],tblCategories[Category ID],tblCategories[Category])</f>
        <v>Footwear</v>
      </c>
      <c r="H2065">
        <v>61152</v>
      </c>
      <c r="I2065">
        <v>64937</v>
      </c>
      <c r="J2065">
        <v>208</v>
      </c>
      <c r="K2065">
        <f>tblSales[[#This Row],[Sales]]-tblSales[[#This Row],[Budget]]</f>
        <v>-3785</v>
      </c>
      <c r="L2065" s="3">
        <f>(tblSales[[#This Row],[Sales]]-tblSales[[#This Row],[Budget]])/tblSales[[#This Row],[Budget]]</f>
        <v>-5.8287263039561422E-2</v>
      </c>
      <c r="M2065" s="2">
        <f>tblSales[[#This Row],[Sales]]/tblSales[[#This Row],[Transactions]]</f>
        <v>294</v>
      </c>
    </row>
    <row r="2066" spans="1:13" x14ac:dyDescent="0.25">
      <c r="A2066" s="1">
        <v>46126</v>
      </c>
      <c r="B2066" t="s">
        <v>13</v>
      </c>
      <c r="C2066" t="s">
        <v>9</v>
      </c>
      <c r="D2066" t="str">
        <f>_xlfn.XLOOKUP(tblSales[[#This Row],[Store ID]],tblStores[Store ID],tblStores[Store Name])</f>
        <v>Richards Bay</v>
      </c>
      <c r="E2066" t="str">
        <f>_xlfn.XLOOKUP(tblSales[[#This Row],[Store ID]],tblStores[Store ID],tblStores[Province])</f>
        <v>KZN</v>
      </c>
      <c r="F2066" t="str">
        <f>_xlfn.XLOOKUP(tblSales[[#This Row],[Store ID]],tblStores[Store ID],tblStores[Manager])</f>
        <v>David Green</v>
      </c>
      <c r="G2066" t="str">
        <f>_xlfn.XLOOKUP(tblSales[[#This Row],[Category ID]],tblCategories[Category ID],tblCategories[Category])</f>
        <v>Ladieswear</v>
      </c>
      <c r="H2066">
        <v>72289</v>
      </c>
      <c r="I2066">
        <v>76437</v>
      </c>
      <c r="J2066">
        <v>161</v>
      </c>
      <c r="K2066">
        <f>tblSales[[#This Row],[Sales]]-tblSales[[#This Row],[Budget]]</f>
        <v>-4148</v>
      </c>
      <c r="L2066" s="3">
        <f>(tblSales[[#This Row],[Sales]]-tblSales[[#This Row],[Budget]])/tblSales[[#This Row],[Budget]]</f>
        <v>-5.4266912620851156E-2</v>
      </c>
      <c r="M2066" s="2">
        <f>tblSales[[#This Row],[Sales]]/tblSales[[#This Row],[Transactions]]</f>
        <v>449</v>
      </c>
    </row>
    <row r="2067" spans="1:13" x14ac:dyDescent="0.25">
      <c r="A2067" s="1">
        <v>46126</v>
      </c>
      <c r="B2067" t="s">
        <v>14</v>
      </c>
      <c r="C2067" t="s">
        <v>19</v>
      </c>
      <c r="D2067" t="str">
        <f>_xlfn.XLOOKUP(tblSales[[#This Row],[Store ID]],tblStores[Store ID],tblStores[Store Name])</f>
        <v>Sandton</v>
      </c>
      <c r="E2067" t="str">
        <f>_xlfn.XLOOKUP(tblSales[[#This Row],[Store ID]],tblStores[Store ID],tblStores[Province])</f>
        <v>Gauteng</v>
      </c>
      <c r="F2067" t="str">
        <f>_xlfn.XLOOKUP(tblSales[[#This Row],[Store ID]],tblStores[Store ID],tblStores[Manager])</f>
        <v>Karen White</v>
      </c>
      <c r="G2067" t="str">
        <f>_xlfn.XLOOKUP(tblSales[[#This Row],[Category ID]],tblCategories[Category ID],tblCategories[Category])</f>
        <v>Accessories</v>
      </c>
      <c r="H2067">
        <v>18368</v>
      </c>
      <c r="I2067">
        <v>18681</v>
      </c>
      <c r="J2067">
        <v>56</v>
      </c>
      <c r="K2067">
        <f>tblSales[[#This Row],[Sales]]-tblSales[[#This Row],[Budget]]</f>
        <v>-313</v>
      </c>
      <c r="L2067" s="3">
        <f>(tblSales[[#This Row],[Sales]]-tblSales[[#This Row],[Budget]])/tblSales[[#This Row],[Budget]]</f>
        <v>-1.6754991702799635E-2</v>
      </c>
      <c r="M2067" s="2">
        <f>tblSales[[#This Row],[Sales]]/tblSales[[#This Row],[Transactions]]</f>
        <v>328</v>
      </c>
    </row>
    <row r="2068" spans="1:13" x14ac:dyDescent="0.25">
      <c r="A2068" s="1">
        <v>46126</v>
      </c>
      <c r="B2068" t="s">
        <v>15</v>
      </c>
      <c r="C2068" t="s">
        <v>7</v>
      </c>
      <c r="D2068" t="str">
        <f>_xlfn.XLOOKUP(tblSales[[#This Row],[Store ID]],tblStores[Store ID],tblStores[Store Name])</f>
        <v>Rosebank</v>
      </c>
      <c r="E2068" t="str">
        <f>_xlfn.XLOOKUP(tblSales[[#This Row],[Store ID]],tblStores[Store ID],tblStores[Province])</f>
        <v>Gauteng</v>
      </c>
      <c r="F2068" t="str">
        <f>_xlfn.XLOOKUP(tblSales[[#This Row],[Store ID]],tblStores[Store ID],tblStores[Manager])</f>
        <v>James Taylor</v>
      </c>
      <c r="G2068" t="str">
        <f>_xlfn.XLOOKUP(tblSales[[#This Row],[Category ID]],tblCategories[Category ID],tblCategories[Category])</f>
        <v>Menswear</v>
      </c>
      <c r="H2068">
        <v>52281</v>
      </c>
      <c r="I2068">
        <v>48995</v>
      </c>
      <c r="J2068">
        <v>157</v>
      </c>
      <c r="K2068">
        <f>tblSales[[#This Row],[Sales]]-tblSales[[#This Row],[Budget]]</f>
        <v>3286</v>
      </c>
      <c r="L2068" s="3">
        <f>(tblSales[[#This Row],[Sales]]-tblSales[[#This Row],[Budget]])/tblSales[[#This Row],[Budget]]</f>
        <v>6.7068068170221457E-2</v>
      </c>
      <c r="M2068" s="2">
        <f>tblSales[[#This Row],[Sales]]/tblSales[[#This Row],[Transactions]]</f>
        <v>333</v>
      </c>
    </row>
    <row r="2069" spans="1:13" x14ac:dyDescent="0.25">
      <c r="A2069" s="1">
        <v>46126</v>
      </c>
      <c r="B2069" t="s">
        <v>16</v>
      </c>
      <c r="C2069" t="s">
        <v>9</v>
      </c>
      <c r="D2069" t="str">
        <f>_xlfn.XLOOKUP(tblSales[[#This Row],[Store ID]],tblStores[Store ID],tblStores[Store Name])</f>
        <v>Pretoria</v>
      </c>
      <c r="E2069" t="str">
        <f>_xlfn.XLOOKUP(tblSales[[#This Row],[Store ID]],tblStores[Store ID],tblStores[Province])</f>
        <v>Gauteng</v>
      </c>
      <c r="F2069" t="str">
        <f>_xlfn.XLOOKUP(tblSales[[#This Row],[Store ID]],tblStores[Store ID],tblStores[Manager])</f>
        <v>Susan Clark</v>
      </c>
      <c r="G2069" t="str">
        <f>_xlfn.XLOOKUP(tblSales[[#This Row],[Category ID]],tblCategories[Category ID],tblCategories[Category])</f>
        <v>Ladieswear</v>
      </c>
      <c r="H2069">
        <v>69930</v>
      </c>
      <c r="I2069">
        <v>77649</v>
      </c>
      <c r="J2069">
        <v>210</v>
      </c>
      <c r="K2069">
        <f>tblSales[[#This Row],[Sales]]-tblSales[[#This Row],[Budget]]</f>
        <v>-7719</v>
      </c>
      <c r="L2069" s="3">
        <f>(tblSales[[#This Row],[Sales]]-tblSales[[#This Row],[Budget]])/tblSales[[#This Row],[Budget]]</f>
        <v>-9.9408878414403282E-2</v>
      </c>
      <c r="M2069" s="2">
        <f>tblSales[[#This Row],[Sales]]/tblSales[[#This Row],[Transactions]]</f>
        <v>333</v>
      </c>
    </row>
    <row r="2070" spans="1:13" x14ac:dyDescent="0.25">
      <c r="A2070" s="1">
        <v>46126</v>
      </c>
      <c r="B2070" t="s">
        <v>17</v>
      </c>
      <c r="C2070" t="s">
        <v>19</v>
      </c>
      <c r="D2070" t="str">
        <f>_xlfn.XLOOKUP(tblSales[[#This Row],[Store ID]],tblStores[Store ID],tblStores[Store Name])</f>
        <v>Centurion</v>
      </c>
      <c r="E2070" t="str">
        <f>_xlfn.XLOOKUP(tblSales[[#This Row],[Store ID]],tblStores[Store ID],tblStores[Province])</f>
        <v>Gauteng</v>
      </c>
      <c r="F2070" t="str">
        <f>_xlfn.XLOOKUP(tblSales[[#This Row],[Store ID]],tblStores[Store ID],tblStores[Manager])</f>
        <v>Mark Wilson</v>
      </c>
      <c r="G2070" t="str">
        <f>_xlfn.XLOOKUP(tblSales[[#This Row],[Category ID]],tblCategories[Category ID],tblCategories[Category])</f>
        <v>Accessories</v>
      </c>
      <c r="H2070">
        <v>47664</v>
      </c>
      <c r="I2070">
        <v>49672</v>
      </c>
      <c r="J2070">
        <v>144</v>
      </c>
      <c r="K2070">
        <f>tblSales[[#This Row],[Sales]]-tblSales[[#This Row],[Budget]]</f>
        <v>-2008</v>
      </c>
      <c r="L2070" s="3">
        <f>(tblSales[[#This Row],[Sales]]-tblSales[[#This Row],[Budget]])/tblSales[[#This Row],[Budget]]</f>
        <v>-4.0425189241423742E-2</v>
      </c>
      <c r="M2070" s="2">
        <f>tblSales[[#This Row],[Sales]]/tblSales[[#This Row],[Transactions]]</f>
        <v>331</v>
      </c>
    </row>
    <row r="2071" spans="1:13" x14ac:dyDescent="0.25">
      <c r="A2071" s="1">
        <v>46126</v>
      </c>
      <c r="B2071" t="s">
        <v>18</v>
      </c>
      <c r="C2071" t="s">
        <v>19</v>
      </c>
      <c r="D2071" t="str">
        <f>_xlfn.XLOOKUP(tblSales[[#This Row],[Store ID]],tblStores[Store ID],tblStores[Store Name])</f>
        <v>East Rand</v>
      </c>
      <c r="E2071" t="str">
        <f>_xlfn.XLOOKUP(tblSales[[#This Row],[Store ID]],tblStores[Store ID],tblStores[Province])</f>
        <v>Gauteng</v>
      </c>
      <c r="F2071" t="str">
        <f>_xlfn.XLOOKUP(tblSales[[#This Row],[Store ID]],tblStores[Store ID],tblStores[Manager])</f>
        <v>Lisa Young</v>
      </c>
      <c r="G2071" t="str">
        <f>_xlfn.XLOOKUP(tblSales[[#This Row],[Category ID]],tblCategories[Category ID],tblCategories[Category])</f>
        <v>Accessories</v>
      </c>
      <c r="H2071">
        <v>10962</v>
      </c>
      <c r="I2071">
        <v>11272</v>
      </c>
      <c r="J2071">
        <v>54</v>
      </c>
      <c r="K2071">
        <f>tblSales[[#This Row],[Sales]]-tblSales[[#This Row],[Budget]]</f>
        <v>-310</v>
      </c>
      <c r="L2071" s="3">
        <f>(tblSales[[#This Row],[Sales]]-tblSales[[#This Row],[Budget]])/tblSales[[#This Row],[Budget]]</f>
        <v>-2.7501774308019873E-2</v>
      </c>
      <c r="M2071" s="2">
        <f>tblSales[[#This Row],[Sales]]/tblSales[[#This Row],[Transactions]]</f>
        <v>203</v>
      </c>
    </row>
    <row r="2072" spans="1:13" x14ac:dyDescent="0.25">
      <c r="A2072" s="1">
        <v>46126</v>
      </c>
      <c r="B2072" t="s">
        <v>20</v>
      </c>
      <c r="C2072" t="s">
        <v>19</v>
      </c>
      <c r="D2072" t="str">
        <f>_xlfn.XLOOKUP(tblSales[[#This Row],[Store ID]],tblStores[Store ID],tblStores[Store Name])</f>
        <v>Cape Town CBD</v>
      </c>
      <c r="E2072" t="str">
        <f>_xlfn.XLOOKUP(tblSales[[#This Row],[Store ID]],tblStores[Store ID],tblStores[Province])</f>
        <v>Western Cape</v>
      </c>
      <c r="F2072" t="str">
        <f>_xlfn.XLOOKUP(tblSales[[#This Row],[Store ID]],tblStores[Store ID],tblStores[Manager])</f>
        <v>Brian Hall</v>
      </c>
      <c r="G2072" t="str">
        <f>_xlfn.XLOOKUP(tblSales[[#This Row],[Category ID]],tblCategories[Category ID],tblCategories[Category])</f>
        <v>Accessories</v>
      </c>
      <c r="H2072">
        <v>55913</v>
      </c>
      <c r="I2072">
        <v>51642</v>
      </c>
      <c r="J2072">
        <v>143</v>
      </c>
      <c r="K2072">
        <f>tblSales[[#This Row],[Sales]]-tblSales[[#This Row],[Budget]]</f>
        <v>4271</v>
      </c>
      <c r="L2072" s="3">
        <f>(tblSales[[#This Row],[Sales]]-tblSales[[#This Row],[Budget]])/tblSales[[#This Row],[Budget]]</f>
        <v>8.2704000619650678E-2</v>
      </c>
      <c r="M2072" s="2">
        <f>tblSales[[#This Row],[Sales]]/tblSales[[#This Row],[Transactions]]</f>
        <v>391</v>
      </c>
    </row>
    <row r="2073" spans="1:13" x14ac:dyDescent="0.25">
      <c r="A2073" s="1">
        <v>46126</v>
      </c>
      <c r="B2073" t="s">
        <v>21</v>
      </c>
      <c r="C2073" t="s">
        <v>19</v>
      </c>
      <c r="D2073" t="str">
        <f>_xlfn.XLOOKUP(tblSales[[#This Row],[Store ID]],tblStores[Store ID],tblStores[Store Name])</f>
        <v>Canal Walk</v>
      </c>
      <c r="E2073" t="str">
        <f>_xlfn.XLOOKUP(tblSales[[#This Row],[Store ID]],tblStores[Store ID],tblStores[Province])</f>
        <v>Western Cape</v>
      </c>
      <c r="F2073" t="str">
        <f>_xlfn.XLOOKUP(tblSales[[#This Row],[Store ID]],tblStores[Store ID],tblStores[Manager])</f>
        <v>Megan Scott</v>
      </c>
      <c r="G2073" t="str">
        <f>_xlfn.XLOOKUP(tblSales[[#This Row],[Category ID]],tblCategories[Category ID],tblCategories[Category])</f>
        <v>Accessories</v>
      </c>
      <c r="H2073">
        <v>35739</v>
      </c>
      <c r="I2073">
        <v>34442</v>
      </c>
      <c r="J2073">
        <v>99</v>
      </c>
      <c r="K2073">
        <f>tblSales[[#This Row],[Sales]]-tblSales[[#This Row],[Budget]]</f>
        <v>1297</v>
      </c>
      <c r="L2073" s="3">
        <f>(tblSales[[#This Row],[Sales]]-tblSales[[#This Row],[Budget]])/tblSales[[#This Row],[Budget]]</f>
        <v>3.7657511178212651E-2</v>
      </c>
      <c r="M2073" s="2">
        <f>tblSales[[#This Row],[Sales]]/tblSales[[#This Row],[Transactions]]</f>
        <v>361</v>
      </c>
    </row>
    <row r="2074" spans="1:13" x14ac:dyDescent="0.25">
      <c r="A2074" s="1">
        <v>46126</v>
      </c>
      <c r="B2074" t="s">
        <v>23</v>
      </c>
      <c r="C2074" t="s">
        <v>7</v>
      </c>
      <c r="D2074" t="str">
        <f>_xlfn.XLOOKUP(tblSales[[#This Row],[Store ID]],tblStores[Store ID],tblStores[Store Name])</f>
        <v>Stellenbosch</v>
      </c>
      <c r="E2074" t="str">
        <f>_xlfn.XLOOKUP(tblSales[[#This Row],[Store ID]],tblStores[Store ID],tblStores[Province])</f>
        <v>Western Cape</v>
      </c>
      <c r="F2074" t="str">
        <f>_xlfn.XLOOKUP(tblSales[[#This Row],[Store ID]],tblStores[Store ID],tblStores[Manager])</f>
        <v>Jason King</v>
      </c>
      <c r="G2074" t="str">
        <f>_xlfn.XLOOKUP(tblSales[[#This Row],[Category ID]],tblCategories[Category ID],tblCategories[Category])</f>
        <v>Menswear</v>
      </c>
      <c r="H2074">
        <v>30644</v>
      </c>
      <c r="I2074">
        <v>28452</v>
      </c>
      <c r="J2074">
        <v>163</v>
      </c>
      <c r="K2074">
        <f>tblSales[[#This Row],[Sales]]-tblSales[[#This Row],[Budget]]</f>
        <v>2192</v>
      </c>
      <c r="L2074" s="3">
        <f>(tblSales[[#This Row],[Sales]]-tblSales[[#This Row],[Budget]])/tblSales[[#This Row],[Budget]]</f>
        <v>7.7042035709264725E-2</v>
      </c>
      <c r="M2074" s="2">
        <f>tblSales[[#This Row],[Sales]]/tblSales[[#This Row],[Transactions]]</f>
        <v>188</v>
      </c>
    </row>
    <row r="2075" spans="1:13" x14ac:dyDescent="0.25">
      <c r="A2075" s="1">
        <v>46126</v>
      </c>
      <c r="B2075" t="s">
        <v>24</v>
      </c>
      <c r="C2075" t="s">
        <v>11</v>
      </c>
      <c r="D2075" t="str">
        <f>_xlfn.XLOOKUP(tblSales[[#This Row],[Store ID]],tblStores[Store ID],tblStores[Store Name])</f>
        <v>George</v>
      </c>
      <c r="E2075" t="str">
        <f>_xlfn.XLOOKUP(tblSales[[#This Row],[Store ID]],tblStores[Store ID],tblStores[Province])</f>
        <v>Western Cape</v>
      </c>
      <c r="F2075" t="str">
        <f>_xlfn.XLOOKUP(tblSales[[#This Row],[Store ID]],tblStores[Store ID],tblStores[Manager])</f>
        <v>Chloe Hill</v>
      </c>
      <c r="G2075" t="str">
        <f>_xlfn.XLOOKUP(tblSales[[#This Row],[Category ID]],tblCategories[Category ID],tblCategories[Category])</f>
        <v>Footwear</v>
      </c>
      <c r="H2075">
        <v>21840</v>
      </c>
      <c r="I2075">
        <v>24258</v>
      </c>
      <c r="J2075">
        <v>80</v>
      </c>
      <c r="K2075">
        <f>tblSales[[#This Row],[Sales]]-tblSales[[#This Row],[Budget]]</f>
        <v>-2418</v>
      </c>
      <c r="L2075" s="3">
        <f>(tblSales[[#This Row],[Sales]]-tblSales[[#This Row],[Budget]])/tblSales[[#This Row],[Budget]]</f>
        <v>-9.9678456591639875E-2</v>
      </c>
      <c r="M2075" s="2">
        <f>tblSales[[#This Row],[Sales]]/tblSales[[#This Row],[Transactions]]</f>
        <v>273</v>
      </c>
    </row>
    <row r="2076" spans="1:13" x14ac:dyDescent="0.25">
      <c r="A2076" s="1">
        <v>46126</v>
      </c>
      <c r="B2076" t="s">
        <v>25</v>
      </c>
      <c r="C2076" t="s">
        <v>7</v>
      </c>
      <c r="D2076" t="str">
        <f>_xlfn.XLOOKUP(tblSales[[#This Row],[Store ID]],tblStores[Store ID],tblStores[Store Name])</f>
        <v>Paarl</v>
      </c>
      <c r="E2076" t="str">
        <f>_xlfn.XLOOKUP(tblSales[[#This Row],[Store ID]],tblStores[Store ID],tblStores[Province])</f>
        <v>Western Cape</v>
      </c>
      <c r="F2076" t="str">
        <f>_xlfn.XLOOKUP(tblSales[[#This Row],[Store ID]],tblStores[Store ID],tblStores[Manager])</f>
        <v>Andrew Lee</v>
      </c>
      <c r="G2076" t="str">
        <f>_xlfn.XLOOKUP(tblSales[[#This Row],[Category ID]],tblCategories[Category ID],tblCategories[Category])</f>
        <v>Menswear</v>
      </c>
      <c r="H2076">
        <v>22008</v>
      </c>
      <c r="I2076">
        <v>24631</v>
      </c>
      <c r="J2076">
        <v>56</v>
      </c>
      <c r="K2076">
        <f>tblSales[[#This Row],[Sales]]-tblSales[[#This Row],[Budget]]</f>
        <v>-2623</v>
      </c>
      <c r="L2076" s="3">
        <f>(tblSales[[#This Row],[Sales]]-tblSales[[#This Row],[Budget]])/tblSales[[#This Row],[Budget]]</f>
        <v>-0.1064918192521619</v>
      </c>
      <c r="M2076" s="2">
        <f>tblSales[[#This Row],[Sales]]/tblSales[[#This Row],[Transactions]]</f>
        <v>393</v>
      </c>
    </row>
    <row r="2077" spans="1:13" x14ac:dyDescent="0.25">
      <c r="A2077" s="1">
        <v>46126</v>
      </c>
      <c r="B2077" t="s">
        <v>26</v>
      </c>
      <c r="C2077" t="s">
        <v>22</v>
      </c>
      <c r="D2077" t="str">
        <f>_xlfn.XLOOKUP(tblSales[[#This Row],[Store ID]],tblStores[Store ID],tblStores[Store Name])</f>
        <v>Gqeberha</v>
      </c>
      <c r="E2077" t="str">
        <f>_xlfn.XLOOKUP(tblSales[[#This Row],[Store ID]],tblStores[Store ID],tblStores[Province])</f>
        <v>Eastern Cape</v>
      </c>
      <c r="F2077" t="str">
        <f>_xlfn.XLOOKUP(tblSales[[#This Row],[Store ID]],tblStores[Store ID],tblStores[Manager])</f>
        <v>Emma Baker</v>
      </c>
      <c r="G2077" t="str">
        <f>_xlfn.XLOOKUP(tblSales[[#This Row],[Category ID]],tblCategories[Category ID],tblCategories[Category])</f>
        <v>Kids</v>
      </c>
      <c r="H2077">
        <v>55200</v>
      </c>
      <c r="I2077">
        <v>59672</v>
      </c>
      <c r="J2077">
        <v>115</v>
      </c>
      <c r="K2077">
        <f>tblSales[[#This Row],[Sales]]-tblSales[[#This Row],[Budget]]</f>
        <v>-4472</v>
      </c>
      <c r="L2077" s="3">
        <f>(tblSales[[#This Row],[Sales]]-tblSales[[#This Row],[Budget]])/tblSales[[#This Row],[Budget]]</f>
        <v>-7.4943021852795277E-2</v>
      </c>
      <c r="M2077" s="2">
        <f>tblSales[[#This Row],[Sales]]/tblSales[[#This Row],[Transactions]]</f>
        <v>480</v>
      </c>
    </row>
    <row r="2078" spans="1:13" x14ac:dyDescent="0.25">
      <c r="A2078" s="1">
        <v>46126</v>
      </c>
      <c r="B2078" t="s">
        <v>27</v>
      </c>
      <c r="C2078" t="s">
        <v>11</v>
      </c>
      <c r="D2078" t="str">
        <f>_xlfn.XLOOKUP(tblSales[[#This Row],[Store ID]],tblStores[Store ID],tblStores[Store Name])</f>
        <v>East London</v>
      </c>
      <c r="E2078" t="str">
        <f>_xlfn.XLOOKUP(tblSales[[#This Row],[Store ID]],tblStores[Store ID],tblStores[Province])</f>
        <v>Eastern Cape</v>
      </c>
      <c r="F2078" t="str">
        <f>_xlfn.XLOOKUP(tblSales[[#This Row],[Store ID]],tblStores[Store ID],tblStores[Manager])</f>
        <v>Daniel Evans</v>
      </c>
      <c r="G2078" t="str">
        <f>_xlfn.XLOOKUP(tblSales[[#This Row],[Category ID]],tblCategories[Category ID],tblCategories[Category])</f>
        <v>Footwear</v>
      </c>
      <c r="H2078">
        <v>61110</v>
      </c>
      <c r="I2078">
        <v>60213</v>
      </c>
      <c r="J2078">
        <v>194</v>
      </c>
      <c r="K2078">
        <f>tblSales[[#This Row],[Sales]]-tblSales[[#This Row],[Budget]]</f>
        <v>897</v>
      </c>
      <c r="L2078" s="3">
        <f>(tblSales[[#This Row],[Sales]]-tblSales[[#This Row],[Budget]])/tblSales[[#This Row],[Budget]]</f>
        <v>1.4897115240894824E-2</v>
      </c>
      <c r="M2078" s="2">
        <f>tblSales[[#This Row],[Sales]]/tblSales[[#This Row],[Transactions]]</f>
        <v>315</v>
      </c>
    </row>
    <row r="2079" spans="1:13" x14ac:dyDescent="0.25">
      <c r="A2079" s="1">
        <v>46126</v>
      </c>
      <c r="B2079" t="s">
        <v>28</v>
      </c>
      <c r="C2079" t="s">
        <v>9</v>
      </c>
      <c r="D2079" t="str">
        <f>_xlfn.XLOOKUP(tblSales[[#This Row],[Store ID]],tblStores[Store ID],tblStores[Store Name])</f>
        <v>Bloemfontein</v>
      </c>
      <c r="E2079" t="str">
        <f>_xlfn.XLOOKUP(tblSales[[#This Row],[Store ID]],tblStores[Store ID],tblStores[Province])</f>
        <v>Free State</v>
      </c>
      <c r="F2079" t="str">
        <f>_xlfn.XLOOKUP(tblSales[[#This Row],[Store ID]],tblStores[Store ID],tblStores[Manager])</f>
        <v>Rachel Moore</v>
      </c>
      <c r="G2079" t="str">
        <f>_xlfn.XLOOKUP(tblSales[[#This Row],[Category ID]],tblCategories[Category ID],tblCategories[Category])</f>
        <v>Ladieswear</v>
      </c>
      <c r="H2079">
        <v>24386</v>
      </c>
      <c r="I2079">
        <v>22424</v>
      </c>
      <c r="J2079">
        <v>89</v>
      </c>
      <c r="K2079">
        <f>tblSales[[#This Row],[Sales]]-tblSales[[#This Row],[Budget]]</f>
        <v>1962</v>
      </c>
      <c r="L2079" s="3">
        <f>(tblSales[[#This Row],[Sales]]-tblSales[[#This Row],[Budget]])/tblSales[[#This Row],[Budget]]</f>
        <v>8.7495540492329646E-2</v>
      </c>
      <c r="M2079" s="2">
        <f>tblSales[[#This Row],[Sales]]/tblSales[[#This Row],[Transactions]]</f>
        <v>274</v>
      </c>
    </row>
    <row r="2080" spans="1:13" x14ac:dyDescent="0.25">
      <c r="A2080" s="1">
        <v>46126</v>
      </c>
      <c r="B2080" t="s">
        <v>29</v>
      </c>
      <c r="C2080" t="s">
        <v>19</v>
      </c>
      <c r="D2080" t="str">
        <f>_xlfn.XLOOKUP(tblSales[[#This Row],[Store ID]],tblStores[Store ID],tblStores[Store Name])</f>
        <v>Polokwane</v>
      </c>
      <c r="E2080" t="str">
        <f>_xlfn.XLOOKUP(tblSales[[#This Row],[Store ID]],tblStores[Store ID],tblStores[Province])</f>
        <v>Limpopo</v>
      </c>
      <c r="F2080" t="str">
        <f>_xlfn.XLOOKUP(tblSales[[#This Row],[Store ID]],tblStores[Store ID],tblStores[Manager])</f>
        <v>Kevin Harris</v>
      </c>
      <c r="G2080" t="str">
        <f>_xlfn.XLOOKUP(tblSales[[#This Row],[Category ID]],tblCategories[Category ID],tblCategories[Category])</f>
        <v>Accessories</v>
      </c>
      <c r="H2080">
        <v>23634</v>
      </c>
      <c r="I2080">
        <v>23833</v>
      </c>
      <c r="J2080">
        <v>101</v>
      </c>
      <c r="K2080">
        <f>tblSales[[#This Row],[Sales]]-tblSales[[#This Row],[Budget]]</f>
        <v>-199</v>
      </c>
      <c r="L2080" s="3">
        <f>(tblSales[[#This Row],[Sales]]-tblSales[[#This Row],[Budget]])/tblSales[[#This Row],[Budget]]</f>
        <v>-8.3497671296102038E-3</v>
      </c>
      <c r="M2080" s="2">
        <f>tblSales[[#This Row],[Sales]]/tblSales[[#This Row],[Transactions]]</f>
        <v>234</v>
      </c>
    </row>
    <row r="2081" spans="1:13" x14ac:dyDescent="0.25">
      <c r="A2081" s="1">
        <v>46126</v>
      </c>
      <c r="B2081" t="s">
        <v>30</v>
      </c>
      <c r="C2081" t="s">
        <v>7</v>
      </c>
      <c r="D2081" t="str">
        <f>_xlfn.XLOOKUP(tblSales[[#This Row],[Store ID]],tblStores[Store ID],tblStores[Store Name])</f>
        <v>Nelspruit</v>
      </c>
      <c r="E2081" t="str">
        <f>_xlfn.XLOOKUP(tblSales[[#This Row],[Store ID]],tblStores[Store ID],tblStores[Province])</f>
        <v>Mpumalanga</v>
      </c>
      <c r="F2081" t="str">
        <f>_xlfn.XLOOKUP(tblSales[[#This Row],[Store ID]],tblStores[Store ID],tblStores[Manager])</f>
        <v>Olivia Turner</v>
      </c>
      <c r="G2081" t="str">
        <f>_xlfn.XLOOKUP(tblSales[[#This Row],[Category ID]],tblCategories[Category ID],tblCategories[Category])</f>
        <v>Menswear</v>
      </c>
      <c r="H2081">
        <v>13752</v>
      </c>
      <c r="I2081">
        <v>12777</v>
      </c>
      <c r="J2081">
        <v>36</v>
      </c>
      <c r="K2081">
        <f>tblSales[[#This Row],[Sales]]-tblSales[[#This Row],[Budget]]</f>
        <v>975</v>
      </c>
      <c r="L2081" s="3">
        <f>(tblSales[[#This Row],[Sales]]-tblSales[[#This Row],[Budget]])/tblSales[[#This Row],[Budget]]</f>
        <v>7.6308992721296084E-2</v>
      </c>
      <c r="M2081" s="2">
        <f>tblSales[[#This Row],[Sales]]/tblSales[[#This Row],[Transactions]]</f>
        <v>382</v>
      </c>
    </row>
    <row r="2082" spans="1:13" x14ac:dyDescent="0.25">
      <c r="A2082" s="1">
        <v>46127</v>
      </c>
      <c r="B2082" t="s">
        <v>6</v>
      </c>
      <c r="C2082" t="s">
        <v>9</v>
      </c>
      <c r="D2082" t="str">
        <f>_xlfn.XLOOKUP(tblSales[[#This Row],[Store ID]],tblStores[Store ID],tblStores[Store Name])</f>
        <v>Durban CBD</v>
      </c>
      <c r="E2082" t="str">
        <f>_xlfn.XLOOKUP(tblSales[[#This Row],[Store ID]],tblStores[Store ID],tblStores[Province])</f>
        <v>KZN</v>
      </c>
      <c r="F2082" t="str">
        <f>_xlfn.XLOOKUP(tblSales[[#This Row],[Store ID]],tblStores[Store ID],tblStores[Manager])</f>
        <v>Sarah Adams</v>
      </c>
      <c r="G2082" t="str">
        <f>_xlfn.XLOOKUP(tblSales[[#This Row],[Category ID]],tblCategories[Category ID],tblCategories[Category])</f>
        <v>Ladieswear</v>
      </c>
      <c r="H2082">
        <v>85648</v>
      </c>
      <c r="I2082">
        <v>86936</v>
      </c>
      <c r="J2082">
        <v>202</v>
      </c>
      <c r="K2082">
        <f>tblSales[[#This Row],[Sales]]-tblSales[[#This Row],[Budget]]</f>
        <v>-1288</v>
      </c>
      <c r="L2082" s="3">
        <f>(tblSales[[#This Row],[Sales]]-tblSales[[#This Row],[Budget]])/tblSales[[#This Row],[Budget]]</f>
        <v>-1.4815496457163891E-2</v>
      </c>
      <c r="M2082" s="2">
        <f>tblSales[[#This Row],[Sales]]/tblSales[[#This Row],[Transactions]]</f>
        <v>424</v>
      </c>
    </row>
    <row r="2083" spans="1:13" x14ac:dyDescent="0.25">
      <c r="A2083" s="1">
        <v>46127</v>
      </c>
      <c r="B2083" t="s">
        <v>8</v>
      </c>
      <c r="C2083" t="s">
        <v>11</v>
      </c>
      <c r="D2083" t="str">
        <f>_xlfn.XLOOKUP(tblSales[[#This Row],[Store ID]],tblStores[Store ID],tblStores[Store Name])</f>
        <v>Gateway</v>
      </c>
      <c r="E2083" t="str">
        <f>_xlfn.XLOOKUP(tblSales[[#This Row],[Store ID]],tblStores[Store ID],tblStores[Province])</f>
        <v>KZN</v>
      </c>
      <c r="F2083" t="str">
        <f>_xlfn.XLOOKUP(tblSales[[#This Row],[Store ID]],tblStores[Store ID],tblStores[Manager])</f>
        <v>Michael Jones</v>
      </c>
      <c r="G2083" t="str">
        <f>_xlfn.XLOOKUP(tblSales[[#This Row],[Category ID]],tblCategories[Category ID],tblCategories[Category])</f>
        <v>Footwear</v>
      </c>
      <c r="H2083">
        <v>99064</v>
      </c>
      <c r="I2083">
        <v>107135</v>
      </c>
      <c r="J2083">
        <v>203</v>
      </c>
      <c r="K2083">
        <f>tblSales[[#This Row],[Sales]]-tblSales[[#This Row],[Budget]]</f>
        <v>-8071</v>
      </c>
      <c r="L2083" s="3">
        <f>(tblSales[[#This Row],[Sales]]-tblSales[[#This Row],[Budget]])/tblSales[[#This Row],[Budget]]</f>
        <v>-7.5334857889578569E-2</v>
      </c>
      <c r="M2083" s="2">
        <f>tblSales[[#This Row],[Sales]]/tblSales[[#This Row],[Transactions]]</f>
        <v>488</v>
      </c>
    </row>
    <row r="2084" spans="1:13" x14ac:dyDescent="0.25">
      <c r="A2084" s="1">
        <v>46127</v>
      </c>
      <c r="B2084" t="s">
        <v>10</v>
      </c>
      <c r="C2084" t="s">
        <v>22</v>
      </c>
      <c r="D2084" t="str">
        <f>_xlfn.XLOOKUP(tblSales[[#This Row],[Store ID]],tblStores[Store ID],tblStores[Store Name])</f>
        <v>Ballito</v>
      </c>
      <c r="E2084" t="str">
        <f>_xlfn.XLOOKUP(tblSales[[#This Row],[Store ID]],tblStores[Store ID],tblStores[Province])</f>
        <v>KZN</v>
      </c>
      <c r="F2084" t="str">
        <f>_xlfn.XLOOKUP(tblSales[[#This Row],[Store ID]],tblStores[Store ID],tblStores[Manager])</f>
        <v>Linda Smith</v>
      </c>
      <c r="G2084" t="str">
        <f>_xlfn.XLOOKUP(tblSales[[#This Row],[Category ID]],tblCategories[Category ID],tblCategories[Category])</f>
        <v>Kids</v>
      </c>
      <c r="H2084">
        <v>95535</v>
      </c>
      <c r="I2084">
        <v>94597</v>
      </c>
      <c r="J2084">
        <v>193</v>
      </c>
      <c r="K2084">
        <f>tblSales[[#This Row],[Sales]]-tblSales[[#This Row],[Budget]]</f>
        <v>938</v>
      </c>
      <c r="L2084" s="3">
        <f>(tblSales[[#This Row],[Sales]]-tblSales[[#This Row],[Budget]])/tblSales[[#This Row],[Budget]]</f>
        <v>9.9157478566973579E-3</v>
      </c>
      <c r="M2084" s="2">
        <f>tblSales[[#This Row],[Sales]]/tblSales[[#This Row],[Transactions]]</f>
        <v>495</v>
      </c>
    </row>
    <row r="2085" spans="1:13" x14ac:dyDescent="0.25">
      <c r="A2085" s="1">
        <v>46127</v>
      </c>
      <c r="B2085" t="s">
        <v>12</v>
      </c>
      <c r="C2085" t="s">
        <v>11</v>
      </c>
      <c r="D2085" t="str">
        <f>_xlfn.XLOOKUP(tblSales[[#This Row],[Store ID]],tblStores[Store ID],tblStores[Store Name])</f>
        <v>Pietermaritzburg</v>
      </c>
      <c r="E2085" t="str">
        <f>_xlfn.XLOOKUP(tblSales[[#This Row],[Store ID]],tblStores[Store ID],tblStores[Province])</f>
        <v>KZN</v>
      </c>
      <c r="F2085" t="str">
        <f>_xlfn.XLOOKUP(tblSales[[#This Row],[Store ID]],tblStores[Store ID],tblStores[Manager])</f>
        <v>Peter Brown</v>
      </c>
      <c r="G2085" t="str">
        <f>_xlfn.XLOOKUP(tblSales[[#This Row],[Category ID]],tblCategories[Category ID],tblCategories[Category])</f>
        <v>Footwear</v>
      </c>
      <c r="H2085">
        <v>25088</v>
      </c>
      <c r="I2085">
        <v>23363</v>
      </c>
      <c r="J2085">
        <v>112</v>
      </c>
      <c r="K2085">
        <f>tblSales[[#This Row],[Sales]]-tblSales[[#This Row],[Budget]]</f>
        <v>1725</v>
      </c>
      <c r="L2085" s="3">
        <f>(tblSales[[#This Row],[Sales]]-tblSales[[#This Row],[Budget]])/tblSales[[#This Row],[Budget]]</f>
        <v>7.3834695886658391E-2</v>
      </c>
      <c r="M2085" s="2">
        <f>tblSales[[#This Row],[Sales]]/tblSales[[#This Row],[Transactions]]</f>
        <v>224</v>
      </c>
    </row>
    <row r="2086" spans="1:13" x14ac:dyDescent="0.25">
      <c r="A2086" s="1">
        <v>46127</v>
      </c>
      <c r="B2086" t="s">
        <v>13</v>
      </c>
      <c r="C2086" t="s">
        <v>7</v>
      </c>
      <c r="D2086" t="str">
        <f>_xlfn.XLOOKUP(tblSales[[#This Row],[Store ID]],tblStores[Store ID],tblStores[Store Name])</f>
        <v>Richards Bay</v>
      </c>
      <c r="E2086" t="str">
        <f>_xlfn.XLOOKUP(tblSales[[#This Row],[Store ID]],tblStores[Store ID],tblStores[Province])</f>
        <v>KZN</v>
      </c>
      <c r="F2086" t="str">
        <f>_xlfn.XLOOKUP(tblSales[[#This Row],[Store ID]],tblStores[Store ID],tblStores[Manager])</f>
        <v>David Green</v>
      </c>
      <c r="G2086" t="str">
        <f>_xlfn.XLOOKUP(tblSales[[#This Row],[Category ID]],tblCategories[Category ID],tblCategories[Category])</f>
        <v>Menswear</v>
      </c>
      <c r="H2086">
        <v>19671</v>
      </c>
      <c r="I2086">
        <v>21716</v>
      </c>
      <c r="J2086">
        <v>83</v>
      </c>
      <c r="K2086">
        <f>tblSales[[#This Row],[Sales]]-tblSales[[#This Row],[Budget]]</f>
        <v>-2045</v>
      </c>
      <c r="L2086" s="3">
        <f>(tblSales[[#This Row],[Sales]]-tblSales[[#This Row],[Budget]])/tblSales[[#This Row],[Budget]]</f>
        <v>-9.417019708970345E-2</v>
      </c>
      <c r="M2086" s="2">
        <f>tblSales[[#This Row],[Sales]]/tblSales[[#This Row],[Transactions]]</f>
        <v>237</v>
      </c>
    </row>
    <row r="2087" spans="1:13" x14ac:dyDescent="0.25">
      <c r="A2087" s="1">
        <v>46127</v>
      </c>
      <c r="B2087" t="s">
        <v>14</v>
      </c>
      <c r="C2087" t="s">
        <v>9</v>
      </c>
      <c r="D2087" t="str">
        <f>_xlfn.XLOOKUP(tblSales[[#This Row],[Store ID]],tblStores[Store ID],tblStores[Store Name])</f>
        <v>Sandton</v>
      </c>
      <c r="E2087" t="str">
        <f>_xlfn.XLOOKUP(tblSales[[#This Row],[Store ID]],tblStores[Store ID],tblStores[Province])</f>
        <v>Gauteng</v>
      </c>
      <c r="F2087" t="str">
        <f>_xlfn.XLOOKUP(tblSales[[#This Row],[Store ID]],tblStores[Store ID],tblStores[Manager])</f>
        <v>Karen White</v>
      </c>
      <c r="G2087" t="str">
        <f>_xlfn.XLOOKUP(tblSales[[#This Row],[Category ID]],tblCategories[Category ID],tblCategories[Category])</f>
        <v>Ladieswear</v>
      </c>
      <c r="H2087">
        <v>11767</v>
      </c>
      <c r="I2087">
        <v>12005</v>
      </c>
      <c r="J2087">
        <v>41</v>
      </c>
      <c r="K2087">
        <f>tblSales[[#This Row],[Sales]]-tblSales[[#This Row],[Budget]]</f>
        <v>-238</v>
      </c>
      <c r="L2087" s="3">
        <f>(tblSales[[#This Row],[Sales]]-tblSales[[#This Row],[Budget]])/tblSales[[#This Row],[Budget]]</f>
        <v>-1.9825072886297375E-2</v>
      </c>
      <c r="M2087" s="2">
        <f>tblSales[[#This Row],[Sales]]/tblSales[[#This Row],[Transactions]]</f>
        <v>287</v>
      </c>
    </row>
    <row r="2088" spans="1:13" x14ac:dyDescent="0.25">
      <c r="A2088" s="1">
        <v>46127</v>
      </c>
      <c r="B2088" t="s">
        <v>15</v>
      </c>
      <c r="C2088" t="s">
        <v>9</v>
      </c>
      <c r="D2088" t="str">
        <f>_xlfn.XLOOKUP(tblSales[[#This Row],[Store ID]],tblStores[Store ID],tblStores[Store Name])</f>
        <v>Rosebank</v>
      </c>
      <c r="E2088" t="str">
        <f>_xlfn.XLOOKUP(tblSales[[#This Row],[Store ID]],tblStores[Store ID],tblStores[Province])</f>
        <v>Gauteng</v>
      </c>
      <c r="F2088" t="str">
        <f>_xlfn.XLOOKUP(tblSales[[#This Row],[Store ID]],tblStores[Store ID],tblStores[Manager])</f>
        <v>James Taylor</v>
      </c>
      <c r="G2088" t="str">
        <f>_xlfn.XLOOKUP(tblSales[[#This Row],[Category ID]],tblCategories[Category ID],tblCategories[Category])</f>
        <v>Ladieswear</v>
      </c>
      <c r="H2088">
        <v>60903</v>
      </c>
      <c r="I2088">
        <v>61447</v>
      </c>
      <c r="J2088">
        <v>201</v>
      </c>
      <c r="K2088">
        <f>tblSales[[#This Row],[Sales]]-tblSales[[#This Row],[Budget]]</f>
        <v>-544</v>
      </c>
      <c r="L2088" s="3">
        <f>(tblSales[[#This Row],[Sales]]-tblSales[[#This Row],[Budget]])/tblSales[[#This Row],[Budget]]</f>
        <v>-8.8531580060865461E-3</v>
      </c>
      <c r="M2088" s="2">
        <f>tblSales[[#This Row],[Sales]]/tblSales[[#This Row],[Transactions]]</f>
        <v>303</v>
      </c>
    </row>
    <row r="2089" spans="1:13" x14ac:dyDescent="0.25">
      <c r="A2089" s="1">
        <v>46127</v>
      </c>
      <c r="B2089" t="s">
        <v>16</v>
      </c>
      <c r="C2089" t="s">
        <v>19</v>
      </c>
      <c r="D2089" t="str">
        <f>_xlfn.XLOOKUP(tblSales[[#This Row],[Store ID]],tblStores[Store ID],tblStores[Store Name])</f>
        <v>Pretoria</v>
      </c>
      <c r="E2089" t="str">
        <f>_xlfn.XLOOKUP(tblSales[[#This Row],[Store ID]],tblStores[Store ID],tblStores[Province])</f>
        <v>Gauteng</v>
      </c>
      <c r="F2089" t="str">
        <f>_xlfn.XLOOKUP(tblSales[[#This Row],[Store ID]],tblStores[Store ID],tblStores[Manager])</f>
        <v>Susan Clark</v>
      </c>
      <c r="G2089" t="str">
        <f>_xlfn.XLOOKUP(tblSales[[#This Row],[Category ID]],tblCategories[Category ID],tblCategories[Category])</f>
        <v>Accessories</v>
      </c>
      <c r="H2089">
        <v>18592</v>
      </c>
      <c r="I2089">
        <v>18131</v>
      </c>
      <c r="J2089">
        <v>83</v>
      </c>
      <c r="K2089">
        <f>tblSales[[#This Row],[Sales]]-tblSales[[#This Row],[Budget]]</f>
        <v>461</v>
      </c>
      <c r="L2089" s="3">
        <f>(tblSales[[#This Row],[Sales]]-tblSales[[#This Row],[Budget]])/tblSales[[#This Row],[Budget]]</f>
        <v>2.5426065854062103E-2</v>
      </c>
      <c r="M2089" s="2">
        <f>tblSales[[#This Row],[Sales]]/tblSales[[#This Row],[Transactions]]</f>
        <v>224</v>
      </c>
    </row>
    <row r="2090" spans="1:13" x14ac:dyDescent="0.25">
      <c r="A2090" s="1">
        <v>46127</v>
      </c>
      <c r="B2090" t="s">
        <v>17</v>
      </c>
      <c r="C2090" t="s">
        <v>11</v>
      </c>
      <c r="D2090" t="str">
        <f>_xlfn.XLOOKUP(tblSales[[#This Row],[Store ID]],tblStores[Store ID],tblStores[Store Name])</f>
        <v>Centurion</v>
      </c>
      <c r="E2090" t="str">
        <f>_xlfn.XLOOKUP(tblSales[[#This Row],[Store ID]],tblStores[Store ID],tblStores[Province])</f>
        <v>Gauteng</v>
      </c>
      <c r="F2090" t="str">
        <f>_xlfn.XLOOKUP(tblSales[[#This Row],[Store ID]],tblStores[Store ID],tblStores[Manager])</f>
        <v>Mark Wilson</v>
      </c>
      <c r="G2090" t="str">
        <f>_xlfn.XLOOKUP(tblSales[[#This Row],[Category ID]],tblCategories[Category ID],tblCategories[Category])</f>
        <v>Footwear</v>
      </c>
      <c r="H2090">
        <v>30384</v>
      </c>
      <c r="I2090">
        <v>30550</v>
      </c>
      <c r="J2090">
        <v>72</v>
      </c>
      <c r="K2090">
        <f>tblSales[[#This Row],[Sales]]-tblSales[[#This Row],[Budget]]</f>
        <v>-166</v>
      </c>
      <c r="L2090" s="3">
        <f>(tblSales[[#This Row],[Sales]]-tblSales[[#This Row],[Budget]])/tblSales[[#This Row],[Budget]]</f>
        <v>-5.4337152209492636E-3</v>
      </c>
      <c r="M2090" s="2">
        <f>tblSales[[#This Row],[Sales]]/tblSales[[#This Row],[Transactions]]</f>
        <v>422</v>
      </c>
    </row>
    <row r="2091" spans="1:13" x14ac:dyDescent="0.25">
      <c r="A2091" s="1">
        <v>46127</v>
      </c>
      <c r="B2091" t="s">
        <v>18</v>
      </c>
      <c r="C2091" t="s">
        <v>7</v>
      </c>
      <c r="D2091" t="str">
        <f>_xlfn.XLOOKUP(tblSales[[#This Row],[Store ID]],tblStores[Store ID],tblStores[Store Name])</f>
        <v>East Rand</v>
      </c>
      <c r="E2091" t="str">
        <f>_xlfn.XLOOKUP(tblSales[[#This Row],[Store ID]],tblStores[Store ID],tblStores[Province])</f>
        <v>Gauteng</v>
      </c>
      <c r="F2091" t="str">
        <f>_xlfn.XLOOKUP(tblSales[[#This Row],[Store ID]],tblStores[Store ID],tblStores[Manager])</f>
        <v>Lisa Young</v>
      </c>
      <c r="G2091" t="str">
        <f>_xlfn.XLOOKUP(tblSales[[#This Row],[Category ID]],tblCategories[Category ID],tblCategories[Category])</f>
        <v>Menswear</v>
      </c>
      <c r="H2091">
        <v>19866</v>
      </c>
      <c r="I2091">
        <v>21548</v>
      </c>
      <c r="J2091">
        <v>77</v>
      </c>
      <c r="K2091">
        <f>tblSales[[#This Row],[Sales]]-tblSales[[#This Row],[Budget]]</f>
        <v>-1682</v>
      </c>
      <c r="L2091" s="3">
        <f>(tblSales[[#This Row],[Sales]]-tblSales[[#This Row],[Budget]])/tblSales[[#This Row],[Budget]]</f>
        <v>-7.8058288472248008E-2</v>
      </c>
      <c r="M2091" s="2">
        <f>tblSales[[#This Row],[Sales]]/tblSales[[#This Row],[Transactions]]</f>
        <v>258</v>
      </c>
    </row>
    <row r="2092" spans="1:13" x14ac:dyDescent="0.25">
      <c r="A2092" s="1">
        <v>46127</v>
      </c>
      <c r="B2092" t="s">
        <v>20</v>
      </c>
      <c r="C2092" t="s">
        <v>11</v>
      </c>
      <c r="D2092" t="str">
        <f>_xlfn.XLOOKUP(tblSales[[#This Row],[Store ID]],tblStores[Store ID],tblStores[Store Name])</f>
        <v>Cape Town CBD</v>
      </c>
      <c r="E2092" t="str">
        <f>_xlfn.XLOOKUP(tblSales[[#This Row],[Store ID]],tblStores[Store ID],tblStores[Province])</f>
        <v>Western Cape</v>
      </c>
      <c r="F2092" t="str">
        <f>_xlfn.XLOOKUP(tblSales[[#This Row],[Store ID]],tblStores[Store ID],tblStores[Manager])</f>
        <v>Brian Hall</v>
      </c>
      <c r="G2092" t="str">
        <f>_xlfn.XLOOKUP(tblSales[[#This Row],[Category ID]],tblCategories[Category ID],tblCategories[Category])</f>
        <v>Footwear</v>
      </c>
      <c r="H2092">
        <v>66939</v>
      </c>
      <c r="I2092">
        <v>60573</v>
      </c>
      <c r="J2092">
        <v>159</v>
      </c>
      <c r="K2092">
        <f>tblSales[[#This Row],[Sales]]-tblSales[[#This Row],[Budget]]</f>
        <v>6366</v>
      </c>
      <c r="L2092" s="3">
        <f>(tblSales[[#This Row],[Sales]]-tblSales[[#This Row],[Budget]])/tblSales[[#This Row],[Budget]]</f>
        <v>0.10509633004804121</v>
      </c>
      <c r="M2092" s="2">
        <f>tblSales[[#This Row],[Sales]]/tblSales[[#This Row],[Transactions]]</f>
        <v>421</v>
      </c>
    </row>
    <row r="2093" spans="1:13" x14ac:dyDescent="0.25">
      <c r="A2093" s="1">
        <v>46127</v>
      </c>
      <c r="B2093" t="s">
        <v>21</v>
      </c>
      <c r="C2093" t="s">
        <v>11</v>
      </c>
      <c r="D2093" t="str">
        <f>_xlfn.XLOOKUP(tblSales[[#This Row],[Store ID]],tblStores[Store ID],tblStores[Store Name])</f>
        <v>Canal Walk</v>
      </c>
      <c r="E2093" t="str">
        <f>_xlfn.XLOOKUP(tblSales[[#This Row],[Store ID]],tblStores[Store ID],tblStores[Province])</f>
        <v>Western Cape</v>
      </c>
      <c r="F2093" t="str">
        <f>_xlfn.XLOOKUP(tblSales[[#This Row],[Store ID]],tblStores[Store ID],tblStores[Manager])</f>
        <v>Megan Scott</v>
      </c>
      <c r="G2093" t="str">
        <f>_xlfn.XLOOKUP(tblSales[[#This Row],[Category ID]],tblCategories[Category ID],tblCategories[Category])</f>
        <v>Footwear</v>
      </c>
      <c r="H2093">
        <v>55936</v>
      </c>
      <c r="I2093">
        <v>53157</v>
      </c>
      <c r="J2093">
        <v>184</v>
      </c>
      <c r="K2093">
        <f>tblSales[[#This Row],[Sales]]-tblSales[[#This Row],[Budget]]</f>
        <v>2779</v>
      </c>
      <c r="L2093" s="3">
        <f>(tblSales[[#This Row],[Sales]]-tblSales[[#This Row],[Budget]])/tblSales[[#This Row],[Budget]]</f>
        <v>5.2279097766992119E-2</v>
      </c>
      <c r="M2093" s="2">
        <f>tblSales[[#This Row],[Sales]]/tblSales[[#This Row],[Transactions]]</f>
        <v>304</v>
      </c>
    </row>
    <row r="2094" spans="1:13" x14ac:dyDescent="0.25">
      <c r="A2094" s="1">
        <v>46127</v>
      </c>
      <c r="B2094" t="s">
        <v>23</v>
      </c>
      <c r="C2094" t="s">
        <v>19</v>
      </c>
      <c r="D2094" t="str">
        <f>_xlfn.XLOOKUP(tblSales[[#This Row],[Store ID]],tblStores[Store ID],tblStores[Store Name])</f>
        <v>Stellenbosch</v>
      </c>
      <c r="E2094" t="str">
        <f>_xlfn.XLOOKUP(tblSales[[#This Row],[Store ID]],tblStores[Store ID],tblStores[Province])</f>
        <v>Western Cape</v>
      </c>
      <c r="F2094" t="str">
        <f>_xlfn.XLOOKUP(tblSales[[#This Row],[Store ID]],tblStores[Store ID],tblStores[Manager])</f>
        <v>Jason King</v>
      </c>
      <c r="G2094" t="str">
        <f>_xlfn.XLOOKUP(tblSales[[#This Row],[Category ID]],tblCategories[Category ID],tblCategories[Category])</f>
        <v>Accessories</v>
      </c>
      <c r="H2094">
        <v>27810</v>
      </c>
      <c r="I2094">
        <v>27350</v>
      </c>
      <c r="J2094">
        <v>135</v>
      </c>
      <c r="K2094">
        <f>tblSales[[#This Row],[Sales]]-tblSales[[#This Row],[Budget]]</f>
        <v>460</v>
      </c>
      <c r="L2094" s="3">
        <f>(tblSales[[#This Row],[Sales]]-tblSales[[#This Row],[Budget]])/tblSales[[#This Row],[Budget]]</f>
        <v>1.6819012797074956E-2</v>
      </c>
      <c r="M2094" s="2">
        <f>tblSales[[#This Row],[Sales]]/tblSales[[#This Row],[Transactions]]</f>
        <v>206</v>
      </c>
    </row>
    <row r="2095" spans="1:13" x14ac:dyDescent="0.25">
      <c r="A2095" s="1">
        <v>46127</v>
      </c>
      <c r="B2095" t="s">
        <v>24</v>
      </c>
      <c r="C2095" t="s">
        <v>7</v>
      </c>
      <c r="D2095" t="str">
        <f>_xlfn.XLOOKUP(tblSales[[#This Row],[Store ID]],tblStores[Store ID],tblStores[Store Name])</f>
        <v>George</v>
      </c>
      <c r="E2095" t="str">
        <f>_xlfn.XLOOKUP(tblSales[[#This Row],[Store ID]],tblStores[Store ID],tblStores[Province])</f>
        <v>Western Cape</v>
      </c>
      <c r="F2095" t="str">
        <f>_xlfn.XLOOKUP(tblSales[[#This Row],[Store ID]],tblStores[Store ID],tblStores[Manager])</f>
        <v>Chloe Hill</v>
      </c>
      <c r="G2095" t="str">
        <f>_xlfn.XLOOKUP(tblSales[[#This Row],[Category ID]],tblCategories[Category ID],tblCategories[Category])</f>
        <v>Menswear</v>
      </c>
      <c r="H2095">
        <v>78596</v>
      </c>
      <c r="I2095">
        <v>89982</v>
      </c>
      <c r="J2095">
        <v>196</v>
      </c>
      <c r="K2095">
        <f>tblSales[[#This Row],[Sales]]-tblSales[[#This Row],[Budget]]</f>
        <v>-11386</v>
      </c>
      <c r="L2095" s="3">
        <f>(tblSales[[#This Row],[Sales]]-tblSales[[#This Row],[Budget]])/tblSales[[#This Row],[Budget]]</f>
        <v>-0.12653641839479007</v>
      </c>
      <c r="M2095" s="2">
        <f>tblSales[[#This Row],[Sales]]/tblSales[[#This Row],[Transactions]]</f>
        <v>401</v>
      </c>
    </row>
    <row r="2096" spans="1:13" x14ac:dyDescent="0.25">
      <c r="A2096" s="1">
        <v>46127</v>
      </c>
      <c r="B2096" t="s">
        <v>25</v>
      </c>
      <c r="C2096" t="s">
        <v>11</v>
      </c>
      <c r="D2096" t="str">
        <f>_xlfn.XLOOKUP(tblSales[[#This Row],[Store ID]],tblStores[Store ID],tblStores[Store Name])</f>
        <v>Paarl</v>
      </c>
      <c r="E2096" t="str">
        <f>_xlfn.XLOOKUP(tblSales[[#This Row],[Store ID]],tblStores[Store ID],tblStores[Province])</f>
        <v>Western Cape</v>
      </c>
      <c r="F2096" t="str">
        <f>_xlfn.XLOOKUP(tblSales[[#This Row],[Store ID]],tblStores[Store ID],tblStores[Manager])</f>
        <v>Andrew Lee</v>
      </c>
      <c r="G2096" t="str">
        <f>_xlfn.XLOOKUP(tblSales[[#This Row],[Category ID]],tblCategories[Category ID],tblCategories[Category])</f>
        <v>Footwear</v>
      </c>
      <c r="H2096">
        <v>88755</v>
      </c>
      <c r="I2096">
        <v>96101</v>
      </c>
      <c r="J2096">
        <v>183</v>
      </c>
      <c r="K2096">
        <f>tblSales[[#This Row],[Sales]]-tblSales[[#This Row],[Budget]]</f>
        <v>-7346</v>
      </c>
      <c r="L2096" s="3">
        <f>(tblSales[[#This Row],[Sales]]-tblSales[[#This Row],[Budget]])/tblSales[[#This Row],[Budget]]</f>
        <v>-7.644041165024297E-2</v>
      </c>
      <c r="M2096" s="2">
        <f>tblSales[[#This Row],[Sales]]/tblSales[[#This Row],[Transactions]]</f>
        <v>485</v>
      </c>
    </row>
    <row r="2097" spans="1:13" x14ac:dyDescent="0.25">
      <c r="A2097" s="1">
        <v>46127</v>
      </c>
      <c r="B2097" t="s">
        <v>26</v>
      </c>
      <c r="C2097" t="s">
        <v>22</v>
      </c>
      <c r="D2097" t="str">
        <f>_xlfn.XLOOKUP(tblSales[[#This Row],[Store ID]],tblStores[Store ID],tblStores[Store Name])</f>
        <v>Gqeberha</v>
      </c>
      <c r="E2097" t="str">
        <f>_xlfn.XLOOKUP(tblSales[[#This Row],[Store ID]],tblStores[Store ID],tblStores[Province])</f>
        <v>Eastern Cape</v>
      </c>
      <c r="F2097" t="str">
        <f>_xlfn.XLOOKUP(tblSales[[#This Row],[Store ID]],tblStores[Store ID],tblStores[Manager])</f>
        <v>Emma Baker</v>
      </c>
      <c r="G2097" t="str">
        <f>_xlfn.XLOOKUP(tblSales[[#This Row],[Category ID]],tblCategories[Category ID],tblCategories[Category])</f>
        <v>Kids</v>
      </c>
      <c r="H2097">
        <v>18876</v>
      </c>
      <c r="I2097">
        <v>18874</v>
      </c>
      <c r="J2097">
        <v>44</v>
      </c>
      <c r="K2097">
        <f>tblSales[[#This Row],[Sales]]-tblSales[[#This Row],[Budget]]</f>
        <v>2</v>
      </c>
      <c r="L2097" s="3">
        <f>(tblSales[[#This Row],[Sales]]-tblSales[[#This Row],[Budget]])/tblSales[[#This Row],[Budget]]</f>
        <v>1.059658789869662E-4</v>
      </c>
      <c r="M2097" s="2">
        <f>tblSales[[#This Row],[Sales]]/tblSales[[#This Row],[Transactions]]</f>
        <v>429</v>
      </c>
    </row>
    <row r="2098" spans="1:13" x14ac:dyDescent="0.25">
      <c r="A2098" s="1">
        <v>46127</v>
      </c>
      <c r="B2098" t="s">
        <v>27</v>
      </c>
      <c r="C2098" t="s">
        <v>19</v>
      </c>
      <c r="D2098" t="str">
        <f>_xlfn.XLOOKUP(tblSales[[#This Row],[Store ID]],tblStores[Store ID],tblStores[Store Name])</f>
        <v>East London</v>
      </c>
      <c r="E2098" t="str">
        <f>_xlfn.XLOOKUP(tblSales[[#This Row],[Store ID]],tblStores[Store ID],tblStores[Province])</f>
        <v>Eastern Cape</v>
      </c>
      <c r="F2098" t="str">
        <f>_xlfn.XLOOKUP(tblSales[[#This Row],[Store ID]],tblStores[Store ID],tblStores[Manager])</f>
        <v>Daniel Evans</v>
      </c>
      <c r="G2098" t="str">
        <f>_xlfn.XLOOKUP(tblSales[[#This Row],[Category ID]],tblCategories[Category ID],tblCategories[Category])</f>
        <v>Accessories</v>
      </c>
      <c r="H2098">
        <v>91698</v>
      </c>
      <c r="I2098">
        <v>103969</v>
      </c>
      <c r="J2098">
        <v>186</v>
      </c>
      <c r="K2098">
        <f>tblSales[[#This Row],[Sales]]-tblSales[[#This Row],[Budget]]</f>
        <v>-12271</v>
      </c>
      <c r="L2098" s="3">
        <f>(tblSales[[#This Row],[Sales]]-tblSales[[#This Row],[Budget]])/tblSales[[#This Row],[Budget]]</f>
        <v>-0.11802556531273745</v>
      </c>
      <c r="M2098" s="2">
        <f>tblSales[[#This Row],[Sales]]/tblSales[[#This Row],[Transactions]]</f>
        <v>493</v>
      </c>
    </row>
    <row r="2099" spans="1:13" x14ac:dyDescent="0.25">
      <c r="A2099" s="1">
        <v>46127</v>
      </c>
      <c r="B2099" t="s">
        <v>28</v>
      </c>
      <c r="C2099" t="s">
        <v>11</v>
      </c>
      <c r="D2099" t="str">
        <f>_xlfn.XLOOKUP(tblSales[[#This Row],[Store ID]],tblStores[Store ID],tblStores[Store Name])</f>
        <v>Bloemfontein</v>
      </c>
      <c r="E2099" t="str">
        <f>_xlfn.XLOOKUP(tblSales[[#This Row],[Store ID]],tblStores[Store ID],tblStores[Province])</f>
        <v>Free State</v>
      </c>
      <c r="F2099" t="str">
        <f>_xlfn.XLOOKUP(tblSales[[#This Row],[Store ID]],tblStores[Store ID],tblStores[Manager])</f>
        <v>Rachel Moore</v>
      </c>
      <c r="G2099" t="str">
        <f>_xlfn.XLOOKUP(tblSales[[#This Row],[Category ID]],tblCategories[Category ID],tblCategories[Category])</f>
        <v>Footwear</v>
      </c>
      <c r="H2099">
        <v>19834</v>
      </c>
      <c r="I2099">
        <v>20470</v>
      </c>
      <c r="J2099">
        <v>94</v>
      </c>
      <c r="K2099">
        <f>tblSales[[#This Row],[Sales]]-tblSales[[#This Row],[Budget]]</f>
        <v>-636</v>
      </c>
      <c r="L2099" s="3">
        <f>(tblSales[[#This Row],[Sales]]-tblSales[[#This Row],[Budget]])/tblSales[[#This Row],[Budget]]</f>
        <v>-3.1069858329262335E-2</v>
      </c>
      <c r="M2099" s="2">
        <f>tblSales[[#This Row],[Sales]]/tblSales[[#This Row],[Transactions]]</f>
        <v>211</v>
      </c>
    </row>
    <row r="2100" spans="1:13" x14ac:dyDescent="0.25">
      <c r="A2100" s="1">
        <v>46127</v>
      </c>
      <c r="B2100" t="s">
        <v>29</v>
      </c>
      <c r="C2100" t="s">
        <v>11</v>
      </c>
      <c r="D2100" t="str">
        <f>_xlfn.XLOOKUP(tblSales[[#This Row],[Store ID]],tblStores[Store ID],tblStores[Store Name])</f>
        <v>Polokwane</v>
      </c>
      <c r="E2100" t="str">
        <f>_xlfn.XLOOKUP(tblSales[[#This Row],[Store ID]],tblStores[Store ID],tblStores[Province])</f>
        <v>Limpopo</v>
      </c>
      <c r="F2100" t="str">
        <f>_xlfn.XLOOKUP(tblSales[[#This Row],[Store ID]],tblStores[Store ID],tblStores[Manager])</f>
        <v>Kevin Harris</v>
      </c>
      <c r="G2100" t="str">
        <f>_xlfn.XLOOKUP(tblSales[[#This Row],[Category ID]],tblCategories[Category ID],tblCategories[Category])</f>
        <v>Footwear</v>
      </c>
      <c r="H2100">
        <v>62062</v>
      </c>
      <c r="I2100">
        <v>64439</v>
      </c>
      <c r="J2100">
        <v>182</v>
      </c>
      <c r="K2100">
        <f>tblSales[[#This Row],[Sales]]-tblSales[[#This Row],[Budget]]</f>
        <v>-2377</v>
      </c>
      <c r="L2100" s="3">
        <f>(tblSales[[#This Row],[Sales]]-tblSales[[#This Row],[Budget]])/tblSales[[#This Row],[Budget]]</f>
        <v>-3.6887599124753645E-2</v>
      </c>
      <c r="M2100" s="2">
        <f>tblSales[[#This Row],[Sales]]/tblSales[[#This Row],[Transactions]]</f>
        <v>341</v>
      </c>
    </row>
    <row r="2101" spans="1:13" x14ac:dyDescent="0.25">
      <c r="A2101" s="1">
        <v>46127</v>
      </c>
      <c r="B2101" t="s">
        <v>30</v>
      </c>
      <c r="C2101" t="s">
        <v>22</v>
      </c>
      <c r="D2101" t="str">
        <f>_xlfn.XLOOKUP(tblSales[[#This Row],[Store ID]],tblStores[Store ID],tblStores[Store Name])</f>
        <v>Nelspruit</v>
      </c>
      <c r="E2101" t="str">
        <f>_xlfn.XLOOKUP(tblSales[[#This Row],[Store ID]],tblStores[Store ID],tblStores[Province])</f>
        <v>Mpumalanga</v>
      </c>
      <c r="F2101" t="str">
        <f>_xlfn.XLOOKUP(tblSales[[#This Row],[Store ID]],tblStores[Store ID],tblStores[Manager])</f>
        <v>Olivia Turner</v>
      </c>
      <c r="G2101" t="str">
        <f>_xlfn.XLOOKUP(tblSales[[#This Row],[Category ID]],tblCategories[Category ID],tblCategories[Category])</f>
        <v>Kids</v>
      </c>
      <c r="H2101">
        <v>78600</v>
      </c>
      <c r="I2101">
        <v>88211</v>
      </c>
      <c r="J2101">
        <v>200</v>
      </c>
      <c r="K2101">
        <f>tblSales[[#This Row],[Sales]]-tblSales[[#This Row],[Budget]]</f>
        <v>-9611</v>
      </c>
      <c r="L2101" s="3">
        <f>(tblSales[[#This Row],[Sales]]-tblSales[[#This Row],[Budget]])/tblSales[[#This Row],[Budget]]</f>
        <v>-0.10895466551790593</v>
      </c>
      <c r="M2101" s="2">
        <f>tblSales[[#This Row],[Sales]]/tblSales[[#This Row],[Transactions]]</f>
        <v>393</v>
      </c>
    </row>
    <row r="2102" spans="1:13" x14ac:dyDescent="0.25">
      <c r="A2102" s="1">
        <v>46128</v>
      </c>
      <c r="B2102" t="s">
        <v>6</v>
      </c>
      <c r="C2102" t="s">
        <v>7</v>
      </c>
      <c r="D2102" t="str">
        <f>_xlfn.XLOOKUP(tblSales[[#This Row],[Store ID]],tblStores[Store ID],tblStores[Store Name])</f>
        <v>Durban CBD</v>
      </c>
      <c r="E2102" t="str">
        <f>_xlfn.XLOOKUP(tblSales[[#This Row],[Store ID]],tblStores[Store ID],tblStores[Province])</f>
        <v>KZN</v>
      </c>
      <c r="F2102" t="str">
        <f>_xlfn.XLOOKUP(tblSales[[#This Row],[Store ID]],tblStores[Store ID],tblStores[Manager])</f>
        <v>Sarah Adams</v>
      </c>
      <c r="G2102" t="str">
        <f>_xlfn.XLOOKUP(tblSales[[#This Row],[Category ID]],tblCategories[Category ID],tblCategories[Category])</f>
        <v>Menswear</v>
      </c>
      <c r="H2102">
        <v>80178</v>
      </c>
      <c r="I2102">
        <v>90981</v>
      </c>
      <c r="J2102">
        <v>161</v>
      </c>
      <c r="K2102">
        <f>tblSales[[#This Row],[Sales]]-tblSales[[#This Row],[Budget]]</f>
        <v>-10803</v>
      </c>
      <c r="L2102" s="3">
        <f>(tblSales[[#This Row],[Sales]]-tblSales[[#This Row],[Budget]])/tblSales[[#This Row],[Budget]]</f>
        <v>-0.11873907738978468</v>
      </c>
      <c r="M2102" s="2">
        <f>tblSales[[#This Row],[Sales]]/tblSales[[#This Row],[Transactions]]</f>
        <v>498</v>
      </c>
    </row>
    <row r="2103" spans="1:13" x14ac:dyDescent="0.25">
      <c r="A2103" s="1">
        <v>46128</v>
      </c>
      <c r="B2103" t="s">
        <v>8</v>
      </c>
      <c r="C2103" t="s">
        <v>22</v>
      </c>
      <c r="D2103" t="str">
        <f>_xlfn.XLOOKUP(tblSales[[#This Row],[Store ID]],tblStores[Store ID],tblStores[Store Name])</f>
        <v>Gateway</v>
      </c>
      <c r="E2103" t="str">
        <f>_xlfn.XLOOKUP(tblSales[[#This Row],[Store ID]],tblStores[Store ID],tblStores[Province])</f>
        <v>KZN</v>
      </c>
      <c r="F2103" t="str">
        <f>_xlfn.XLOOKUP(tblSales[[#This Row],[Store ID]],tblStores[Store ID],tblStores[Manager])</f>
        <v>Michael Jones</v>
      </c>
      <c r="G2103" t="str">
        <f>_xlfn.XLOOKUP(tblSales[[#This Row],[Category ID]],tblCategories[Category ID],tblCategories[Category])</f>
        <v>Kids</v>
      </c>
      <c r="H2103">
        <v>60047</v>
      </c>
      <c r="I2103">
        <v>54354</v>
      </c>
      <c r="J2103">
        <v>149</v>
      </c>
      <c r="K2103">
        <f>tblSales[[#This Row],[Sales]]-tblSales[[#This Row],[Budget]]</f>
        <v>5693</v>
      </c>
      <c r="L2103" s="3">
        <f>(tblSales[[#This Row],[Sales]]-tblSales[[#This Row],[Budget]])/tblSales[[#This Row],[Budget]]</f>
        <v>0.1047393016153365</v>
      </c>
      <c r="M2103" s="2">
        <f>tblSales[[#This Row],[Sales]]/tblSales[[#This Row],[Transactions]]</f>
        <v>403</v>
      </c>
    </row>
    <row r="2104" spans="1:13" x14ac:dyDescent="0.25">
      <c r="A2104" s="1">
        <v>46128</v>
      </c>
      <c r="B2104" t="s">
        <v>10</v>
      </c>
      <c r="C2104" t="s">
        <v>22</v>
      </c>
      <c r="D2104" t="str">
        <f>_xlfn.XLOOKUP(tblSales[[#This Row],[Store ID]],tblStores[Store ID],tblStores[Store Name])</f>
        <v>Ballito</v>
      </c>
      <c r="E2104" t="str">
        <f>_xlfn.XLOOKUP(tblSales[[#This Row],[Store ID]],tblStores[Store ID],tblStores[Province])</f>
        <v>KZN</v>
      </c>
      <c r="F2104" t="str">
        <f>_xlfn.XLOOKUP(tblSales[[#This Row],[Store ID]],tblStores[Store ID],tblStores[Manager])</f>
        <v>Linda Smith</v>
      </c>
      <c r="G2104" t="str">
        <f>_xlfn.XLOOKUP(tblSales[[#This Row],[Category ID]],tblCategories[Category ID],tblCategories[Category])</f>
        <v>Kids</v>
      </c>
      <c r="H2104">
        <v>61160</v>
      </c>
      <c r="I2104">
        <v>62218</v>
      </c>
      <c r="J2104">
        <v>220</v>
      </c>
      <c r="K2104">
        <f>tblSales[[#This Row],[Sales]]-tblSales[[#This Row],[Budget]]</f>
        <v>-1058</v>
      </c>
      <c r="L2104" s="3">
        <f>(tblSales[[#This Row],[Sales]]-tblSales[[#This Row],[Budget]])/tblSales[[#This Row],[Budget]]</f>
        <v>-1.7004725320646757E-2</v>
      </c>
      <c r="M2104" s="2">
        <f>tblSales[[#This Row],[Sales]]/tblSales[[#This Row],[Transactions]]</f>
        <v>278</v>
      </c>
    </row>
    <row r="2105" spans="1:13" x14ac:dyDescent="0.25">
      <c r="A2105" s="1">
        <v>46128</v>
      </c>
      <c r="B2105" t="s">
        <v>12</v>
      </c>
      <c r="C2105" t="s">
        <v>11</v>
      </c>
      <c r="D2105" t="str">
        <f>_xlfn.XLOOKUP(tblSales[[#This Row],[Store ID]],tblStores[Store ID],tblStores[Store Name])</f>
        <v>Pietermaritzburg</v>
      </c>
      <c r="E2105" t="str">
        <f>_xlfn.XLOOKUP(tblSales[[#This Row],[Store ID]],tblStores[Store ID],tblStores[Province])</f>
        <v>KZN</v>
      </c>
      <c r="F2105" t="str">
        <f>_xlfn.XLOOKUP(tblSales[[#This Row],[Store ID]],tblStores[Store ID],tblStores[Manager])</f>
        <v>Peter Brown</v>
      </c>
      <c r="G2105" t="str">
        <f>_xlfn.XLOOKUP(tblSales[[#This Row],[Category ID]],tblCategories[Category ID],tblCategories[Category])</f>
        <v>Footwear</v>
      </c>
      <c r="H2105">
        <v>41266</v>
      </c>
      <c r="I2105">
        <v>39405</v>
      </c>
      <c r="J2105">
        <v>94</v>
      </c>
      <c r="K2105">
        <f>tblSales[[#This Row],[Sales]]-tblSales[[#This Row],[Budget]]</f>
        <v>1861</v>
      </c>
      <c r="L2105" s="3">
        <f>(tblSales[[#This Row],[Sales]]-tblSales[[#This Row],[Budget]])/tblSales[[#This Row],[Budget]]</f>
        <v>4.7227509199340184E-2</v>
      </c>
      <c r="M2105" s="2">
        <f>tblSales[[#This Row],[Sales]]/tblSales[[#This Row],[Transactions]]</f>
        <v>439</v>
      </c>
    </row>
    <row r="2106" spans="1:13" x14ac:dyDescent="0.25">
      <c r="A2106" s="1">
        <v>46128</v>
      </c>
      <c r="B2106" t="s">
        <v>13</v>
      </c>
      <c r="C2106" t="s">
        <v>22</v>
      </c>
      <c r="D2106" t="str">
        <f>_xlfn.XLOOKUP(tblSales[[#This Row],[Store ID]],tblStores[Store ID],tblStores[Store Name])</f>
        <v>Richards Bay</v>
      </c>
      <c r="E2106" t="str">
        <f>_xlfn.XLOOKUP(tblSales[[#This Row],[Store ID]],tblStores[Store ID],tblStores[Province])</f>
        <v>KZN</v>
      </c>
      <c r="F2106" t="str">
        <f>_xlfn.XLOOKUP(tblSales[[#This Row],[Store ID]],tblStores[Store ID],tblStores[Manager])</f>
        <v>David Green</v>
      </c>
      <c r="G2106" t="str">
        <f>_xlfn.XLOOKUP(tblSales[[#This Row],[Category ID]],tblCategories[Category ID],tblCategories[Category])</f>
        <v>Kids</v>
      </c>
      <c r="H2106">
        <v>97524</v>
      </c>
      <c r="I2106">
        <v>99193</v>
      </c>
      <c r="J2106">
        <v>189</v>
      </c>
      <c r="K2106">
        <f>tblSales[[#This Row],[Sales]]-tblSales[[#This Row],[Budget]]</f>
        <v>-1669</v>
      </c>
      <c r="L2106" s="3">
        <f>(tblSales[[#This Row],[Sales]]-tblSales[[#This Row],[Budget]])/tblSales[[#This Row],[Budget]]</f>
        <v>-1.6825784077505471E-2</v>
      </c>
      <c r="M2106" s="2">
        <f>tblSales[[#This Row],[Sales]]/tblSales[[#This Row],[Transactions]]</f>
        <v>516</v>
      </c>
    </row>
    <row r="2107" spans="1:13" x14ac:dyDescent="0.25">
      <c r="A2107" s="1">
        <v>46128</v>
      </c>
      <c r="B2107" t="s">
        <v>14</v>
      </c>
      <c r="C2107" t="s">
        <v>22</v>
      </c>
      <c r="D2107" t="str">
        <f>_xlfn.XLOOKUP(tblSales[[#This Row],[Store ID]],tblStores[Store ID],tblStores[Store Name])</f>
        <v>Sandton</v>
      </c>
      <c r="E2107" t="str">
        <f>_xlfn.XLOOKUP(tblSales[[#This Row],[Store ID]],tblStores[Store ID],tblStores[Province])</f>
        <v>Gauteng</v>
      </c>
      <c r="F2107" t="str">
        <f>_xlfn.XLOOKUP(tblSales[[#This Row],[Store ID]],tblStores[Store ID],tblStores[Manager])</f>
        <v>Karen White</v>
      </c>
      <c r="G2107" t="str">
        <f>_xlfn.XLOOKUP(tblSales[[#This Row],[Category ID]],tblCategories[Category ID],tblCategories[Category])</f>
        <v>Kids</v>
      </c>
      <c r="H2107">
        <v>83380</v>
      </c>
      <c r="I2107">
        <v>95049</v>
      </c>
      <c r="J2107">
        <v>220</v>
      </c>
      <c r="K2107">
        <f>tblSales[[#This Row],[Sales]]-tblSales[[#This Row],[Budget]]</f>
        <v>-11669</v>
      </c>
      <c r="L2107" s="3">
        <f>(tblSales[[#This Row],[Sales]]-tblSales[[#This Row],[Budget]])/tblSales[[#This Row],[Budget]]</f>
        <v>-0.12276825637302864</v>
      </c>
      <c r="M2107" s="2">
        <f>tblSales[[#This Row],[Sales]]/tblSales[[#This Row],[Transactions]]</f>
        <v>379</v>
      </c>
    </row>
    <row r="2108" spans="1:13" x14ac:dyDescent="0.25">
      <c r="A2108" s="1">
        <v>46128</v>
      </c>
      <c r="B2108" t="s">
        <v>15</v>
      </c>
      <c r="C2108" t="s">
        <v>22</v>
      </c>
      <c r="D2108" t="str">
        <f>_xlfn.XLOOKUP(tblSales[[#This Row],[Store ID]],tblStores[Store ID],tblStores[Store Name])</f>
        <v>Rosebank</v>
      </c>
      <c r="E2108" t="str">
        <f>_xlfn.XLOOKUP(tblSales[[#This Row],[Store ID]],tblStores[Store ID],tblStores[Province])</f>
        <v>Gauteng</v>
      </c>
      <c r="F2108" t="str">
        <f>_xlfn.XLOOKUP(tblSales[[#This Row],[Store ID]],tblStores[Store ID],tblStores[Manager])</f>
        <v>James Taylor</v>
      </c>
      <c r="G2108" t="str">
        <f>_xlfn.XLOOKUP(tblSales[[#This Row],[Category ID]],tblCategories[Category ID],tblCategories[Category])</f>
        <v>Kids</v>
      </c>
      <c r="H2108">
        <v>40610</v>
      </c>
      <c r="I2108">
        <v>42862</v>
      </c>
      <c r="J2108">
        <v>155</v>
      </c>
      <c r="K2108">
        <f>tblSales[[#This Row],[Sales]]-tblSales[[#This Row],[Budget]]</f>
        <v>-2252</v>
      </c>
      <c r="L2108" s="3">
        <f>(tblSales[[#This Row],[Sales]]-tblSales[[#This Row],[Budget]])/tblSales[[#This Row],[Budget]]</f>
        <v>-5.2540712052634032E-2</v>
      </c>
      <c r="M2108" s="2">
        <f>tblSales[[#This Row],[Sales]]/tblSales[[#This Row],[Transactions]]</f>
        <v>262</v>
      </c>
    </row>
    <row r="2109" spans="1:13" x14ac:dyDescent="0.25">
      <c r="A2109" s="1">
        <v>46128</v>
      </c>
      <c r="B2109" t="s">
        <v>16</v>
      </c>
      <c r="C2109" t="s">
        <v>22</v>
      </c>
      <c r="D2109" t="str">
        <f>_xlfn.XLOOKUP(tblSales[[#This Row],[Store ID]],tblStores[Store ID],tblStores[Store Name])</f>
        <v>Pretoria</v>
      </c>
      <c r="E2109" t="str">
        <f>_xlfn.XLOOKUP(tblSales[[#This Row],[Store ID]],tblStores[Store ID],tblStores[Province])</f>
        <v>Gauteng</v>
      </c>
      <c r="F2109" t="str">
        <f>_xlfn.XLOOKUP(tblSales[[#This Row],[Store ID]],tblStores[Store ID],tblStores[Manager])</f>
        <v>Susan Clark</v>
      </c>
      <c r="G2109" t="str">
        <f>_xlfn.XLOOKUP(tblSales[[#This Row],[Category ID]],tblCategories[Category ID],tblCategories[Category])</f>
        <v>Kids</v>
      </c>
      <c r="H2109">
        <v>47264</v>
      </c>
      <c r="I2109">
        <v>50419</v>
      </c>
      <c r="J2109">
        <v>211</v>
      </c>
      <c r="K2109">
        <f>tblSales[[#This Row],[Sales]]-tblSales[[#This Row],[Budget]]</f>
        <v>-3155</v>
      </c>
      <c r="L2109" s="3">
        <f>(tblSales[[#This Row],[Sales]]-tblSales[[#This Row],[Budget]])/tblSales[[#This Row],[Budget]]</f>
        <v>-6.2575616335111758E-2</v>
      </c>
      <c r="M2109" s="2">
        <f>tblSales[[#This Row],[Sales]]/tblSales[[#This Row],[Transactions]]</f>
        <v>224</v>
      </c>
    </row>
    <row r="2110" spans="1:13" x14ac:dyDescent="0.25">
      <c r="A2110" s="1">
        <v>46128</v>
      </c>
      <c r="B2110" t="s">
        <v>17</v>
      </c>
      <c r="C2110" t="s">
        <v>9</v>
      </c>
      <c r="D2110" t="str">
        <f>_xlfn.XLOOKUP(tblSales[[#This Row],[Store ID]],tblStores[Store ID],tblStores[Store Name])</f>
        <v>Centurion</v>
      </c>
      <c r="E2110" t="str">
        <f>_xlfn.XLOOKUP(tblSales[[#This Row],[Store ID]],tblStores[Store ID],tblStores[Province])</f>
        <v>Gauteng</v>
      </c>
      <c r="F2110" t="str">
        <f>_xlfn.XLOOKUP(tblSales[[#This Row],[Store ID]],tblStores[Store ID],tblStores[Manager])</f>
        <v>Mark Wilson</v>
      </c>
      <c r="G2110" t="str">
        <f>_xlfn.XLOOKUP(tblSales[[#This Row],[Category ID]],tblCategories[Category ID],tblCategories[Category])</f>
        <v>Ladieswear</v>
      </c>
      <c r="H2110">
        <v>22278</v>
      </c>
      <c r="I2110">
        <v>20920</v>
      </c>
      <c r="J2110">
        <v>79</v>
      </c>
      <c r="K2110">
        <f>tblSales[[#This Row],[Sales]]-tblSales[[#This Row],[Budget]]</f>
        <v>1358</v>
      </c>
      <c r="L2110" s="3">
        <f>(tblSales[[#This Row],[Sales]]-tblSales[[#This Row],[Budget]])/tblSales[[#This Row],[Budget]]</f>
        <v>6.4913957934990441E-2</v>
      </c>
      <c r="M2110" s="2">
        <f>tblSales[[#This Row],[Sales]]/tblSales[[#This Row],[Transactions]]</f>
        <v>282</v>
      </c>
    </row>
    <row r="2111" spans="1:13" x14ac:dyDescent="0.25">
      <c r="A2111" s="1">
        <v>46128</v>
      </c>
      <c r="B2111" t="s">
        <v>18</v>
      </c>
      <c r="C2111" t="s">
        <v>11</v>
      </c>
      <c r="D2111" t="str">
        <f>_xlfn.XLOOKUP(tblSales[[#This Row],[Store ID]],tblStores[Store ID],tblStores[Store Name])</f>
        <v>East Rand</v>
      </c>
      <c r="E2111" t="str">
        <f>_xlfn.XLOOKUP(tblSales[[#This Row],[Store ID]],tblStores[Store ID],tblStores[Province])</f>
        <v>Gauteng</v>
      </c>
      <c r="F2111" t="str">
        <f>_xlfn.XLOOKUP(tblSales[[#This Row],[Store ID]],tblStores[Store ID],tblStores[Manager])</f>
        <v>Lisa Young</v>
      </c>
      <c r="G2111" t="str">
        <f>_xlfn.XLOOKUP(tblSales[[#This Row],[Category ID]],tblCategories[Category ID],tblCategories[Category])</f>
        <v>Footwear</v>
      </c>
      <c r="H2111">
        <v>23520</v>
      </c>
      <c r="I2111">
        <v>26713</v>
      </c>
      <c r="J2111">
        <v>60</v>
      </c>
      <c r="K2111">
        <f>tblSales[[#This Row],[Sales]]-tblSales[[#This Row],[Budget]]</f>
        <v>-3193</v>
      </c>
      <c r="L2111" s="3">
        <f>(tblSales[[#This Row],[Sales]]-tblSales[[#This Row],[Budget]])/tblSales[[#This Row],[Budget]]</f>
        <v>-0.11952981694306143</v>
      </c>
      <c r="M2111" s="2">
        <f>tblSales[[#This Row],[Sales]]/tblSales[[#This Row],[Transactions]]</f>
        <v>392</v>
      </c>
    </row>
    <row r="2112" spans="1:13" x14ac:dyDescent="0.25">
      <c r="A2112" s="1">
        <v>46128</v>
      </c>
      <c r="B2112" t="s">
        <v>20</v>
      </c>
      <c r="C2112" t="s">
        <v>11</v>
      </c>
      <c r="D2112" t="str">
        <f>_xlfn.XLOOKUP(tblSales[[#This Row],[Store ID]],tblStores[Store ID],tblStores[Store Name])</f>
        <v>Cape Town CBD</v>
      </c>
      <c r="E2112" t="str">
        <f>_xlfn.XLOOKUP(tblSales[[#This Row],[Store ID]],tblStores[Store ID],tblStores[Province])</f>
        <v>Western Cape</v>
      </c>
      <c r="F2112" t="str">
        <f>_xlfn.XLOOKUP(tblSales[[#This Row],[Store ID]],tblStores[Store ID],tblStores[Manager])</f>
        <v>Brian Hall</v>
      </c>
      <c r="G2112" t="str">
        <f>_xlfn.XLOOKUP(tblSales[[#This Row],[Category ID]],tblCategories[Category ID],tblCategories[Category])</f>
        <v>Footwear</v>
      </c>
      <c r="H2112">
        <v>33600</v>
      </c>
      <c r="I2112">
        <v>31999</v>
      </c>
      <c r="J2112">
        <v>112</v>
      </c>
      <c r="K2112">
        <f>tblSales[[#This Row],[Sales]]-tblSales[[#This Row],[Budget]]</f>
        <v>1601</v>
      </c>
      <c r="L2112" s="3">
        <f>(tblSales[[#This Row],[Sales]]-tblSales[[#This Row],[Budget]])/tblSales[[#This Row],[Budget]]</f>
        <v>5.0032813525422666E-2</v>
      </c>
      <c r="M2112" s="2">
        <f>tblSales[[#This Row],[Sales]]/tblSales[[#This Row],[Transactions]]</f>
        <v>300</v>
      </c>
    </row>
    <row r="2113" spans="1:13" x14ac:dyDescent="0.25">
      <c r="A2113" s="1">
        <v>46128</v>
      </c>
      <c r="B2113" t="s">
        <v>21</v>
      </c>
      <c r="C2113" t="s">
        <v>7</v>
      </c>
      <c r="D2113" t="str">
        <f>_xlfn.XLOOKUP(tblSales[[#This Row],[Store ID]],tblStores[Store ID],tblStores[Store Name])</f>
        <v>Canal Walk</v>
      </c>
      <c r="E2113" t="str">
        <f>_xlfn.XLOOKUP(tblSales[[#This Row],[Store ID]],tblStores[Store ID],tblStores[Province])</f>
        <v>Western Cape</v>
      </c>
      <c r="F2113" t="str">
        <f>_xlfn.XLOOKUP(tblSales[[#This Row],[Store ID]],tblStores[Store ID],tblStores[Manager])</f>
        <v>Megan Scott</v>
      </c>
      <c r="G2113" t="str">
        <f>_xlfn.XLOOKUP(tblSales[[#This Row],[Category ID]],tblCategories[Category ID],tblCategories[Category])</f>
        <v>Menswear</v>
      </c>
      <c r="H2113">
        <v>14157</v>
      </c>
      <c r="I2113">
        <v>15859</v>
      </c>
      <c r="J2113">
        <v>39</v>
      </c>
      <c r="K2113">
        <f>tblSales[[#This Row],[Sales]]-tblSales[[#This Row],[Budget]]</f>
        <v>-1702</v>
      </c>
      <c r="L2113" s="3">
        <f>(tblSales[[#This Row],[Sales]]-tblSales[[#This Row],[Budget]])/tblSales[[#This Row],[Budget]]</f>
        <v>-0.10732076423481934</v>
      </c>
      <c r="M2113" s="2">
        <f>tblSales[[#This Row],[Sales]]/tblSales[[#This Row],[Transactions]]</f>
        <v>363</v>
      </c>
    </row>
    <row r="2114" spans="1:13" x14ac:dyDescent="0.25">
      <c r="A2114" s="1">
        <v>46128</v>
      </c>
      <c r="B2114" t="s">
        <v>23</v>
      </c>
      <c r="C2114" t="s">
        <v>22</v>
      </c>
      <c r="D2114" t="str">
        <f>_xlfn.XLOOKUP(tblSales[[#This Row],[Store ID]],tblStores[Store ID],tblStores[Store Name])</f>
        <v>Stellenbosch</v>
      </c>
      <c r="E2114" t="str">
        <f>_xlfn.XLOOKUP(tblSales[[#This Row],[Store ID]],tblStores[Store ID],tblStores[Province])</f>
        <v>Western Cape</v>
      </c>
      <c r="F2114" t="str">
        <f>_xlfn.XLOOKUP(tblSales[[#This Row],[Store ID]],tblStores[Store ID],tblStores[Manager])</f>
        <v>Jason King</v>
      </c>
      <c r="G2114" t="str">
        <f>_xlfn.XLOOKUP(tblSales[[#This Row],[Category ID]],tblCategories[Category ID],tblCategories[Category])</f>
        <v>Kids</v>
      </c>
      <c r="H2114">
        <v>54288</v>
      </c>
      <c r="I2114">
        <v>51230</v>
      </c>
      <c r="J2114">
        <v>208</v>
      </c>
      <c r="K2114">
        <f>tblSales[[#This Row],[Sales]]-tblSales[[#This Row],[Budget]]</f>
        <v>3058</v>
      </c>
      <c r="L2114" s="3">
        <f>(tblSales[[#This Row],[Sales]]-tblSales[[#This Row],[Budget]])/tblSales[[#This Row],[Budget]]</f>
        <v>5.9691586960765174E-2</v>
      </c>
      <c r="M2114" s="2">
        <f>tblSales[[#This Row],[Sales]]/tblSales[[#This Row],[Transactions]]</f>
        <v>261</v>
      </c>
    </row>
    <row r="2115" spans="1:13" x14ac:dyDescent="0.25">
      <c r="A2115" s="1">
        <v>46128</v>
      </c>
      <c r="B2115" t="s">
        <v>24</v>
      </c>
      <c r="C2115" t="s">
        <v>19</v>
      </c>
      <c r="D2115" t="str">
        <f>_xlfn.XLOOKUP(tblSales[[#This Row],[Store ID]],tblStores[Store ID],tblStores[Store Name])</f>
        <v>George</v>
      </c>
      <c r="E2115" t="str">
        <f>_xlfn.XLOOKUP(tblSales[[#This Row],[Store ID]],tblStores[Store ID],tblStores[Province])</f>
        <v>Western Cape</v>
      </c>
      <c r="F2115" t="str">
        <f>_xlfn.XLOOKUP(tblSales[[#This Row],[Store ID]],tblStores[Store ID],tblStores[Manager])</f>
        <v>Chloe Hill</v>
      </c>
      <c r="G2115" t="str">
        <f>_xlfn.XLOOKUP(tblSales[[#This Row],[Category ID]],tblCategories[Category ID],tblCategories[Category])</f>
        <v>Accessories</v>
      </c>
      <c r="H2115">
        <v>9116</v>
      </c>
      <c r="I2115">
        <v>8974</v>
      </c>
      <c r="J2115">
        <v>43</v>
      </c>
      <c r="K2115">
        <f>tblSales[[#This Row],[Sales]]-tblSales[[#This Row],[Budget]]</f>
        <v>142</v>
      </c>
      <c r="L2115" s="3">
        <f>(tblSales[[#This Row],[Sales]]-tblSales[[#This Row],[Budget]])/tblSales[[#This Row],[Budget]]</f>
        <v>1.582349008246044E-2</v>
      </c>
      <c r="M2115" s="2">
        <f>tblSales[[#This Row],[Sales]]/tblSales[[#This Row],[Transactions]]</f>
        <v>212</v>
      </c>
    </row>
    <row r="2116" spans="1:13" x14ac:dyDescent="0.25">
      <c r="A2116" s="1">
        <v>46128</v>
      </c>
      <c r="B2116" t="s">
        <v>25</v>
      </c>
      <c r="C2116" t="s">
        <v>7</v>
      </c>
      <c r="D2116" t="str">
        <f>_xlfn.XLOOKUP(tblSales[[#This Row],[Store ID]],tblStores[Store ID],tblStores[Store Name])</f>
        <v>Paarl</v>
      </c>
      <c r="E2116" t="str">
        <f>_xlfn.XLOOKUP(tblSales[[#This Row],[Store ID]],tblStores[Store ID],tblStores[Province])</f>
        <v>Western Cape</v>
      </c>
      <c r="F2116" t="str">
        <f>_xlfn.XLOOKUP(tblSales[[#This Row],[Store ID]],tblStores[Store ID],tblStores[Manager])</f>
        <v>Andrew Lee</v>
      </c>
      <c r="G2116" t="str">
        <f>_xlfn.XLOOKUP(tblSales[[#This Row],[Category ID]],tblCategories[Category ID],tblCategories[Category])</f>
        <v>Menswear</v>
      </c>
      <c r="H2116">
        <v>57128</v>
      </c>
      <c r="I2116">
        <v>53138</v>
      </c>
      <c r="J2116">
        <v>193</v>
      </c>
      <c r="K2116">
        <f>tblSales[[#This Row],[Sales]]-tblSales[[#This Row],[Budget]]</f>
        <v>3990</v>
      </c>
      <c r="L2116" s="3">
        <f>(tblSales[[#This Row],[Sales]]-tblSales[[#This Row],[Budget]])/tblSales[[#This Row],[Budget]]</f>
        <v>7.5087507998042827E-2</v>
      </c>
      <c r="M2116" s="2">
        <f>tblSales[[#This Row],[Sales]]/tblSales[[#This Row],[Transactions]]</f>
        <v>296</v>
      </c>
    </row>
    <row r="2117" spans="1:13" x14ac:dyDescent="0.25">
      <c r="A2117" s="1">
        <v>46128</v>
      </c>
      <c r="B2117" t="s">
        <v>26</v>
      </c>
      <c r="C2117" t="s">
        <v>9</v>
      </c>
      <c r="D2117" t="str">
        <f>_xlfn.XLOOKUP(tblSales[[#This Row],[Store ID]],tblStores[Store ID],tblStores[Store Name])</f>
        <v>Gqeberha</v>
      </c>
      <c r="E2117" t="str">
        <f>_xlfn.XLOOKUP(tblSales[[#This Row],[Store ID]],tblStores[Store ID],tblStores[Province])</f>
        <v>Eastern Cape</v>
      </c>
      <c r="F2117" t="str">
        <f>_xlfn.XLOOKUP(tblSales[[#This Row],[Store ID]],tblStores[Store ID],tblStores[Manager])</f>
        <v>Emma Baker</v>
      </c>
      <c r="G2117" t="str">
        <f>_xlfn.XLOOKUP(tblSales[[#This Row],[Category ID]],tblCategories[Category ID],tblCategories[Category])</f>
        <v>Ladieswear</v>
      </c>
      <c r="H2117">
        <v>49608</v>
      </c>
      <c r="I2117">
        <v>56970</v>
      </c>
      <c r="J2117">
        <v>159</v>
      </c>
      <c r="K2117">
        <f>tblSales[[#This Row],[Sales]]-tblSales[[#This Row],[Budget]]</f>
        <v>-7362</v>
      </c>
      <c r="L2117" s="3">
        <f>(tblSales[[#This Row],[Sales]]-tblSales[[#This Row],[Budget]])/tblSales[[#This Row],[Budget]]</f>
        <v>-0.1292259083728278</v>
      </c>
      <c r="M2117" s="2">
        <f>tblSales[[#This Row],[Sales]]/tblSales[[#This Row],[Transactions]]</f>
        <v>312</v>
      </c>
    </row>
    <row r="2118" spans="1:13" x14ac:dyDescent="0.25">
      <c r="A2118" s="1">
        <v>46128</v>
      </c>
      <c r="B2118" t="s">
        <v>27</v>
      </c>
      <c r="C2118" t="s">
        <v>22</v>
      </c>
      <c r="D2118" t="str">
        <f>_xlfn.XLOOKUP(tblSales[[#This Row],[Store ID]],tblStores[Store ID],tblStores[Store Name])</f>
        <v>East London</v>
      </c>
      <c r="E2118" t="str">
        <f>_xlfn.XLOOKUP(tblSales[[#This Row],[Store ID]],tblStores[Store ID],tblStores[Province])</f>
        <v>Eastern Cape</v>
      </c>
      <c r="F2118" t="str">
        <f>_xlfn.XLOOKUP(tblSales[[#This Row],[Store ID]],tblStores[Store ID],tblStores[Manager])</f>
        <v>Daniel Evans</v>
      </c>
      <c r="G2118" t="str">
        <f>_xlfn.XLOOKUP(tblSales[[#This Row],[Category ID]],tblCategories[Category ID],tblCategories[Category])</f>
        <v>Kids</v>
      </c>
      <c r="H2118">
        <v>21390</v>
      </c>
      <c r="I2118">
        <v>20681</v>
      </c>
      <c r="J2118">
        <v>46</v>
      </c>
      <c r="K2118">
        <f>tblSales[[#This Row],[Sales]]-tblSales[[#This Row],[Budget]]</f>
        <v>709</v>
      </c>
      <c r="L2118" s="3">
        <f>(tblSales[[#This Row],[Sales]]-tblSales[[#This Row],[Budget]])/tblSales[[#This Row],[Budget]]</f>
        <v>3.4282674919007786E-2</v>
      </c>
      <c r="M2118" s="2">
        <f>tblSales[[#This Row],[Sales]]/tblSales[[#This Row],[Transactions]]</f>
        <v>465</v>
      </c>
    </row>
    <row r="2119" spans="1:13" x14ac:dyDescent="0.25">
      <c r="A2119" s="1">
        <v>46128</v>
      </c>
      <c r="B2119" t="s">
        <v>28</v>
      </c>
      <c r="C2119" t="s">
        <v>9</v>
      </c>
      <c r="D2119" t="str">
        <f>_xlfn.XLOOKUP(tblSales[[#This Row],[Store ID]],tblStores[Store ID],tblStores[Store Name])</f>
        <v>Bloemfontein</v>
      </c>
      <c r="E2119" t="str">
        <f>_xlfn.XLOOKUP(tblSales[[#This Row],[Store ID]],tblStores[Store ID],tblStores[Province])</f>
        <v>Free State</v>
      </c>
      <c r="F2119" t="str">
        <f>_xlfn.XLOOKUP(tblSales[[#This Row],[Store ID]],tblStores[Store ID],tblStores[Manager])</f>
        <v>Rachel Moore</v>
      </c>
      <c r="G2119" t="str">
        <f>_xlfn.XLOOKUP(tblSales[[#This Row],[Category ID]],tblCategories[Category ID],tblCategories[Category])</f>
        <v>Ladieswear</v>
      </c>
      <c r="H2119">
        <v>93473</v>
      </c>
      <c r="I2119">
        <v>98246</v>
      </c>
      <c r="J2119">
        <v>211</v>
      </c>
      <c r="K2119">
        <f>tblSales[[#This Row],[Sales]]-tblSales[[#This Row],[Budget]]</f>
        <v>-4773</v>
      </c>
      <c r="L2119" s="3">
        <f>(tblSales[[#This Row],[Sales]]-tblSales[[#This Row],[Budget]])/tblSales[[#This Row],[Budget]]</f>
        <v>-4.8582130570201332E-2</v>
      </c>
      <c r="M2119" s="2">
        <f>tblSales[[#This Row],[Sales]]/tblSales[[#This Row],[Transactions]]</f>
        <v>443</v>
      </c>
    </row>
    <row r="2120" spans="1:13" x14ac:dyDescent="0.25">
      <c r="A2120" s="1">
        <v>46128</v>
      </c>
      <c r="B2120" t="s">
        <v>29</v>
      </c>
      <c r="C2120" t="s">
        <v>7</v>
      </c>
      <c r="D2120" t="str">
        <f>_xlfn.XLOOKUP(tblSales[[#This Row],[Store ID]],tblStores[Store ID],tblStores[Store Name])</f>
        <v>Polokwane</v>
      </c>
      <c r="E2120" t="str">
        <f>_xlfn.XLOOKUP(tblSales[[#This Row],[Store ID]],tblStores[Store ID],tblStores[Province])</f>
        <v>Limpopo</v>
      </c>
      <c r="F2120" t="str">
        <f>_xlfn.XLOOKUP(tblSales[[#This Row],[Store ID]],tblStores[Store ID],tblStores[Manager])</f>
        <v>Kevin Harris</v>
      </c>
      <c r="G2120" t="str">
        <f>_xlfn.XLOOKUP(tblSales[[#This Row],[Category ID]],tblCategories[Category ID],tblCategories[Category])</f>
        <v>Menswear</v>
      </c>
      <c r="H2120">
        <v>44075</v>
      </c>
      <c r="I2120">
        <v>49877</v>
      </c>
      <c r="J2120">
        <v>215</v>
      </c>
      <c r="K2120">
        <f>tblSales[[#This Row],[Sales]]-tblSales[[#This Row],[Budget]]</f>
        <v>-5802</v>
      </c>
      <c r="L2120" s="3">
        <f>(tblSales[[#This Row],[Sales]]-tblSales[[#This Row],[Budget]])/tblSales[[#This Row],[Budget]]</f>
        <v>-0.11632616235940413</v>
      </c>
      <c r="M2120" s="2">
        <f>tblSales[[#This Row],[Sales]]/tblSales[[#This Row],[Transactions]]</f>
        <v>205</v>
      </c>
    </row>
    <row r="2121" spans="1:13" x14ac:dyDescent="0.25">
      <c r="A2121" s="1">
        <v>46128</v>
      </c>
      <c r="B2121" t="s">
        <v>30</v>
      </c>
      <c r="C2121" t="s">
        <v>11</v>
      </c>
      <c r="D2121" t="str">
        <f>_xlfn.XLOOKUP(tblSales[[#This Row],[Store ID]],tblStores[Store ID],tblStores[Store Name])</f>
        <v>Nelspruit</v>
      </c>
      <c r="E2121" t="str">
        <f>_xlfn.XLOOKUP(tblSales[[#This Row],[Store ID]],tblStores[Store ID],tblStores[Province])</f>
        <v>Mpumalanga</v>
      </c>
      <c r="F2121" t="str">
        <f>_xlfn.XLOOKUP(tblSales[[#This Row],[Store ID]],tblStores[Store ID],tblStores[Manager])</f>
        <v>Olivia Turner</v>
      </c>
      <c r="G2121" t="str">
        <f>_xlfn.XLOOKUP(tblSales[[#This Row],[Category ID]],tblCategories[Category ID],tblCategories[Category])</f>
        <v>Footwear</v>
      </c>
      <c r="H2121">
        <v>35872</v>
      </c>
      <c r="I2121">
        <v>41025</v>
      </c>
      <c r="J2121">
        <v>152</v>
      </c>
      <c r="K2121">
        <f>tblSales[[#This Row],[Sales]]-tblSales[[#This Row],[Budget]]</f>
        <v>-5153</v>
      </c>
      <c r="L2121" s="3">
        <f>(tblSales[[#This Row],[Sales]]-tblSales[[#This Row],[Budget]])/tblSales[[#This Row],[Budget]]</f>
        <v>-0.12560633759902498</v>
      </c>
      <c r="M2121" s="2">
        <f>tblSales[[#This Row],[Sales]]/tblSales[[#This Row],[Transactions]]</f>
        <v>236</v>
      </c>
    </row>
    <row r="2122" spans="1:13" x14ac:dyDescent="0.25">
      <c r="A2122" s="1">
        <v>46129</v>
      </c>
      <c r="B2122" t="s">
        <v>6</v>
      </c>
      <c r="C2122" t="s">
        <v>19</v>
      </c>
      <c r="D2122" t="str">
        <f>_xlfn.XLOOKUP(tblSales[[#This Row],[Store ID]],tblStores[Store ID],tblStores[Store Name])</f>
        <v>Durban CBD</v>
      </c>
      <c r="E2122" t="str">
        <f>_xlfn.XLOOKUP(tblSales[[#This Row],[Store ID]],tblStores[Store ID],tblStores[Province])</f>
        <v>KZN</v>
      </c>
      <c r="F2122" t="str">
        <f>_xlfn.XLOOKUP(tblSales[[#This Row],[Store ID]],tblStores[Store ID],tblStores[Manager])</f>
        <v>Sarah Adams</v>
      </c>
      <c r="G2122" t="str">
        <f>_xlfn.XLOOKUP(tblSales[[#This Row],[Category ID]],tblCategories[Category ID],tblCategories[Category])</f>
        <v>Accessories</v>
      </c>
      <c r="H2122">
        <v>44312</v>
      </c>
      <c r="I2122">
        <v>49004</v>
      </c>
      <c r="J2122">
        <v>191</v>
      </c>
      <c r="K2122">
        <f>tblSales[[#This Row],[Sales]]-tblSales[[#This Row],[Budget]]</f>
        <v>-4692</v>
      </c>
      <c r="L2122" s="3">
        <f>(tblSales[[#This Row],[Sales]]-tblSales[[#This Row],[Budget]])/tblSales[[#This Row],[Budget]]</f>
        <v>-9.5747285935841975E-2</v>
      </c>
      <c r="M2122" s="2">
        <f>tblSales[[#This Row],[Sales]]/tblSales[[#This Row],[Transactions]]</f>
        <v>232</v>
      </c>
    </row>
    <row r="2123" spans="1:13" x14ac:dyDescent="0.25">
      <c r="A2123" s="1">
        <v>46129</v>
      </c>
      <c r="B2123" t="s">
        <v>8</v>
      </c>
      <c r="C2123" t="s">
        <v>7</v>
      </c>
      <c r="D2123" t="str">
        <f>_xlfn.XLOOKUP(tblSales[[#This Row],[Store ID]],tblStores[Store ID],tblStores[Store Name])</f>
        <v>Gateway</v>
      </c>
      <c r="E2123" t="str">
        <f>_xlfn.XLOOKUP(tblSales[[#This Row],[Store ID]],tblStores[Store ID],tblStores[Province])</f>
        <v>KZN</v>
      </c>
      <c r="F2123" t="str">
        <f>_xlfn.XLOOKUP(tblSales[[#This Row],[Store ID]],tblStores[Store ID],tblStores[Manager])</f>
        <v>Michael Jones</v>
      </c>
      <c r="G2123" t="str">
        <f>_xlfn.XLOOKUP(tblSales[[#This Row],[Category ID]],tblCategories[Category ID],tblCategories[Category])</f>
        <v>Menswear</v>
      </c>
      <c r="H2123">
        <v>38212</v>
      </c>
      <c r="I2123">
        <v>35986</v>
      </c>
      <c r="J2123">
        <v>164</v>
      </c>
      <c r="K2123">
        <f>tblSales[[#This Row],[Sales]]-tblSales[[#This Row],[Budget]]</f>
        <v>2226</v>
      </c>
      <c r="L2123" s="3">
        <f>(tblSales[[#This Row],[Sales]]-tblSales[[#This Row],[Budget]])/tblSales[[#This Row],[Budget]]</f>
        <v>6.1857388984605126E-2</v>
      </c>
      <c r="M2123" s="2">
        <f>tblSales[[#This Row],[Sales]]/tblSales[[#This Row],[Transactions]]</f>
        <v>233</v>
      </c>
    </row>
    <row r="2124" spans="1:13" x14ac:dyDescent="0.25">
      <c r="A2124" s="1">
        <v>46129</v>
      </c>
      <c r="B2124" t="s">
        <v>10</v>
      </c>
      <c r="C2124" t="s">
        <v>7</v>
      </c>
      <c r="D2124" t="str">
        <f>_xlfn.XLOOKUP(tblSales[[#This Row],[Store ID]],tblStores[Store ID],tblStores[Store Name])</f>
        <v>Ballito</v>
      </c>
      <c r="E2124" t="str">
        <f>_xlfn.XLOOKUP(tblSales[[#This Row],[Store ID]],tblStores[Store ID],tblStores[Province])</f>
        <v>KZN</v>
      </c>
      <c r="F2124" t="str">
        <f>_xlfn.XLOOKUP(tblSales[[#This Row],[Store ID]],tblStores[Store ID],tblStores[Manager])</f>
        <v>Linda Smith</v>
      </c>
      <c r="G2124" t="str">
        <f>_xlfn.XLOOKUP(tblSales[[#This Row],[Category ID]],tblCategories[Category ID],tblCategories[Category])</f>
        <v>Menswear</v>
      </c>
      <c r="H2124">
        <v>31755</v>
      </c>
      <c r="I2124">
        <v>29826</v>
      </c>
      <c r="J2124">
        <v>87</v>
      </c>
      <c r="K2124">
        <f>tblSales[[#This Row],[Sales]]-tblSales[[#This Row],[Budget]]</f>
        <v>1929</v>
      </c>
      <c r="L2124" s="3">
        <f>(tblSales[[#This Row],[Sales]]-tblSales[[#This Row],[Budget]])/tblSales[[#This Row],[Budget]]</f>
        <v>6.4675115670891167E-2</v>
      </c>
      <c r="M2124" s="2">
        <f>tblSales[[#This Row],[Sales]]/tblSales[[#This Row],[Transactions]]</f>
        <v>365</v>
      </c>
    </row>
    <row r="2125" spans="1:13" x14ac:dyDescent="0.25">
      <c r="A2125" s="1">
        <v>46129</v>
      </c>
      <c r="B2125" t="s">
        <v>12</v>
      </c>
      <c r="C2125" t="s">
        <v>22</v>
      </c>
      <c r="D2125" t="str">
        <f>_xlfn.XLOOKUP(tblSales[[#This Row],[Store ID]],tblStores[Store ID],tblStores[Store Name])</f>
        <v>Pietermaritzburg</v>
      </c>
      <c r="E2125" t="str">
        <f>_xlfn.XLOOKUP(tblSales[[#This Row],[Store ID]],tblStores[Store ID],tblStores[Province])</f>
        <v>KZN</v>
      </c>
      <c r="F2125" t="str">
        <f>_xlfn.XLOOKUP(tblSales[[#This Row],[Store ID]],tblStores[Store ID],tblStores[Manager])</f>
        <v>Peter Brown</v>
      </c>
      <c r="G2125" t="str">
        <f>_xlfn.XLOOKUP(tblSales[[#This Row],[Category ID]],tblCategories[Category ID],tblCategories[Category])</f>
        <v>Kids</v>
      </c>
      <c r="H2125">
        <v>87696</v>
      </c>
      <c r="I2125">
        <v>95631</v>
      </c>
      <c r="J2125">
        <v>216</v>
      </c>
      <c r="K2125">
        <f>tblSales[[#This Row],[Sales]]-tblSales[[#This Row],[Budget]]</f>
        <v>-7935</v>
      </c>
      <c r="L2125" s="3">
        <f>(tblSales[[#This Row],[Sales]]-tblSales[[#This Row],[Budget]])/tblSales[[#This Row],[Budget]]</f>
        <v>-8.2975185870690471E-2</v>
      </c>
      <c r="M2125" s="2">
        <f>tblSales[[#This Row],[Sales]]/tblSales[[#This Row],[Transactions]]</f>
        <v>406</v>
      </c>
    </row>
    <row r="2126" spans="1:13" x14ac:dyDescent="0.25">
      <c r="A2126" s="1">
        <v>46129</v>
      </c>
      <c r="B2126" t="s">
        <v>13</v>
      </c>
      <c r="C2126" t="s">
        <v>11</v>
      </c>
      <c r="D2126" t="str">
        <f>_xlfn.XLOOKUP(tblSales[[#This Row],[Store ID]],tblStores[Store ID],tblStores[Store Name])</f>
        <v>Richards Bay</v>
      </c>
      <c r="E2126" t="str">
        <f>_xlfn.XLOOKUP(tblSales[[#This Row],[Store ID]],tblStores[Store ID],tblStores[Province])</f>
        <v>KZN</v>
      </c>
      <c r="F2126" t="str">
        <f>_xlfn.XLOOKUP(tblSales[[#This Row],[Store ID]],tblStores[Store ID],tblStores[Manager])</f>
        <v>David Green</v>
      </c>
      <c r="G2126" t="str">
        <f>_xlfn.XLOOKUP(tblSales[[#This Row],[Category ID]],tblCategories[Category ID],tblCategories[Category])</f>
        <v>Footwear</v>
      </c>
      <c r="H2126">
        <v>15480</v>
      </c>
      <c r="I2126">
        <v>16436</v>
      </c>
      <c r="J2126">
        <v>60</v>
      </c>
      <c r="K2126">
        <f>tblSales[[#This Row],[Sales]]-tblSales[[#This Row],[Budget]]</f>
        <v>-956</v>
      </c>
      <c r="L2126" s="3">
        <f>(tblSales[[#This Row],[Sales]]-tblSales[[#This Row],[Budget]])/tblSales[[#This Row],[Budget]]</f>
        <v>-5.8165003650523239E-2</v>
      </c>
      <c r="M2126" s="2">
        <f>tblSales[[#This Row],[Sales]]/tblSales[[#This Row],[Transactions]]</f>
        <v>258</v>
      </c>
    </row>
    <row r="2127" spans="1:13" x14ac:dyDescent="0.25">
      <c r="A2127" s="1">
        <v>46129</v>
      </c>
      <c r="B2127" t="s">
        <v>14</v>
      </c>
      <c r="C2127" t="s">
        <v>22</v>
      </c>
      <c r="D2127" t="str">
        <f>_xlfn.XLOOKUP(tblSales[[#This Row],[Store ID]],tblStores[Store ID],tblStores[Store Name])</f>
        <v>Sandton</v>
      </c>
      <c r="E2127" t="str">
        <f>_xlfn.XLOOKUP(tblSales[[#This Row],[Store ID]],tblStores[Store ID],tblStores[Province])</f>
        <v>Gauteng</v>
      </c>
      <c r="F2127" t="str">
        <f>_xlfn.XLOOKUP(tblSales[[#This Row],[Store ID]],tblStores[Store ID],tblStores[Manager])</f>
        <v>Karen White</v>
      </c>
      <c r="G2127" t="str">
        <f>_xlfn.XLOOKUP(tblSales[[#This Row],[Category ID]],tblCategories[Category ID],tblCategories[Category])</f>
        <v>Kids</v>
      </c>
      <c r="H2127">
        <v>16940</v>
      </c>
      <c r="I2127">
        <v>18839</v>
      </c>
      <c r="J2127">
        <v>70</v>
      </c>
      <c r="K2127">
        <f>tblSales[[#This Row],[Sales]]-tblSales[[#This Row],[Budget]]</f>
        <v>-1899</v>
      </c>
      <c r="L2127" s="3">
        <f>(tblSales[[#This Row],[Sales]]-tblSales[[#This Row],[Budget]])/tblSales[[#This Row],[Budget]]</f>
        <v>-0.10080152874356388</v>
      </c>
      <c r="M2127" s="2">
        <f>tblSales[[#This Row],[Sales]]/tblSales[[#This Row],[Transactions]]</f>
        <v>242</v>
      </c>
    </row>
    <row r="2128" spans="1:13" x14ac:dyDescent="0.25">
      <c r="A2128" s="1">
        <v>46129</v>
      </c>
      <c r="B2128" t="s">
        <v>15</v>
      </c>
      <c r="C2128" t="s">
        <v>11</v>
      </c>
      <c r="D2128" t="str">
        <f>_xlfn.XLOOKUP(tblSales[[#This Row],[Store ID]],tblStores[Store ID],tblStores[Store Name])</f>
        <v>Rosebank</v>
      </c>
      <c r="E2128" t="str">
        <f>_xlfn.XLOOKUP(tblSales[[#This Row],[Store ID]],tblStores[Store ID],tblStores[Province])</f>
        <v>Gauteng</v>
      </c>
      <c r="F2128" t="str">
        <f>_xlfn.XLOOKUP(tblSales[[#This Row],[Store ID]],tblStores[Store ID],tblStores[Manager])</f>
        <v>James Taylor</v>
      </c>
      <c r="G2128" t="str">
        <f>_xlfn.XLOOKUP(tblSales[[#This Row],[Category ID]],tblCategories[Category ID],tblCategories[Category])</f>
        <v>Footwear</v>
      </c>
      <c r="H2128">
        <v>25803</v>
      </c>
      <c r="I2128">
        <v>24805</v>
      </c>
      <c r="J2128">
        <v>141</v>
      </c>
      <c r="K2128">
        <f>tblSales[[#This Row],[Sales]]-tblSales[[#This Row],[Budget]]</f>
        <v>998</v>
      </c>
      <c r="L2128" s="3">
        <f>(tblSales[[#This Row],[Sales]]-tblSales[[#This Row],[Budget]])/tblSales[[#This Row],[Budget]]</f>
        <v>4.0233823825841564E-2</v>
      </c>
      <c r="M2128" s="2">
        <f>tblSales[[#This Row],[Sales]]/tblSales[[#This Row],[Transactions]]</f>
        <v>183</v>
      </c>
    </row>
    <row r="2129" spans="1:13" x14ac:dyDescent="0.25">
      <c r="A2129" s="1">
        <v>46129</v>
      </c>
      <c r="B2129" t="s">
        <v>16</v>
      </c>
      <c r="C2129" t="s">
        <v>11</v>
      </c>
      <c r="D2129" t="str">
        <f>_xlfn.XLOOKUP(tblSales[[#This Row],[Store ID]],tblStores[Store ID],tblStores[Store Name])</f>
        <v>Pretoria</v>
      </c>
      <c r="E2129" t="str">
        <f>_xlfn.XLOOKUP(tblSales[[#This Row],[Store ID]],tblStores[Store ID],tblStores[Province])</f>
        <v>Gauteng</v>
      </c>
      <c r="F2129" t="str">
        <f>_xlfn.XLOOKUP(tblSales[[#This Row],[Store ID]],tblStores[Store ID],tblStores[Manager])</f>
        <v>Susan Clark</v>
      </c>
      <c r="G2129" t="str">
        <f>_xlfn.XLOOKUP(tblSales[[#This Row],[Category ID]],tblCategories[Category ID],tblCategories[Category])</f>
        <v>Footwear</v>
      </c>
      <c r="H2129">
        <v>39772</v>
      </c>
      <c r="I2129">
        <v>40816</v>
      </c>
      <c r="J2129">
        <v>122</v>
      </c>
      <c r="K2129">
        <f>tblSales[[#This Row],[Sales]]-tblSales[[#This Row],[Budget]]</f>
        <v>-1044</v>
      </c>
      <c r="L2129" s="3">
        <f>(tblSales[[#This Row],[Sales]]-tblSales[[#This Row],[Budget]])/tblSales[[#This Row],[Budget]]</f>
        <v>-2.5578204625637004E-2</v>
      </c>
      <c r="M2129" s="2">
        <f>tblSales[[#This Row],[Sales]]/tblSales[[#This Row],[Transactions]]</f>
        <v>326</v>
      </c>
    </row>
    <row r="2130" spans="1:13" x14ac:dyDescent="0.25">
      <c r="A2130" s="1">
        <v>46129</v>
      </c>
      <c r="B2130" t="s">
        <v>17</v>
      </c>
      <c r="C2130" t="s">
        <v>7</v>
      </c>
      <c r="D2130" t="str">
        <f>_xlfn.XLOOKUP(tblSales[[#This Row],[Store ID]],tblStores[Store ID],tblStores[Store Name])</f>
        <v>Centurion</v>
      </c>
      <c r="E2130" t="str">
        <f>_xlfn.XLOOKUP(tblSales[[#This Row],[Store ID]],tblStores[Store ID],tblStores[Province])</f>
        <v>Gauteng</v>
      </c>
      <c r="F2130" t="str">
        <f>_xlfn.XLOOKUP(tblSales[[#This Row],[Store ID]],tblStores[Store ID],tblStores[Manager])</f>
        <v>Mark Wilson</v>
      </c>
      <c r="G2130" t="str">
        <f>_xlfn.XLOOKUP(tblSales[[#This Row],[Category ID]],tblCategories[Category ID],tblCategories[Category])</f>
        <v>Menswear</v>
      </c>
      <c r="H2130">
        <v>38110</v>
      </c>
      <c r="I2130">
        <v>41113</v>
      </c>
      <c r="J2130">
        <v>103</v>
      </c>
      <c r="K2130">
        <f>tblSales[[#This Row],[Sales]]-tblSales[[#This Row],[Budget]]</f>
        <v>-3003</v>
      </c>
      <c r="L2130" s="3">
        <f>(tblSales[[#This Row],[Sales]]-tblSales[[#This Row],[Budget]])/tblSales[[#This Row],[Budget]]</f>
        <v>-7.3042589935057037E-2</v>
      </c>
      <c r="M2130" s="2">
        <f>tblSales[[#This Row],[Sales]]/tblSales[[#This Row],[Transactions]]</f>
        <v>370</v>
      </c>
    </row>
    <row r="2131" spans="1:13" x14ac:dyDescent="0.25">
      <c r="A2131" s="1">
        <v>46129</v>
      </c>
      <c r="B2131" t="s">
        <v>18</v>
      </c>
      <c r="C2131" t="s">
        <v>11</v>
      </c>
      <c r="D2131" t="str">
        <f>_xlfn.XLOOKUP(tblSales[[#This Row],[Store ID]],tblStores[Store ID],tblStores[Store Name])</f>
        <v>East Rand</v>
      </c>
      <c r="E2131" t="str">
        <f>_xlfn.XLOOKUP(tblSales[[#This Row],[Store ID]],tblStores[Store ID],tblStores[Province])</f>
        <v>Gauteng</v>
      </c>
      <c r="F2131" t="str">
        <f>_xlfn.XLOOKUP(tblSales[[#This Row],[Store ID]],tblStores[Store ID],tblStores[Manager])</f>
        <v>Lisa Young</v>
      </c>
      <c r="G2131" t="str">
        <f>_xlfn.XLOOKUP(tblSales[[#This Row],[Category ID]],tblCategories[Category ID],tblCategories[Category])</f>
        <v>Footwear</v>
      </c>
      <c r="H2131">
        <v>63754</v>
      </c>
      <c r="I2131">
        <v>67977</v>
      </c>
      <c r="J2131">
        <v>127</v>
      </c>
      <c r="K2131">
        <f>tblSales[[#This Row],[Sales]]-tblSales[[#This Row],[Budget]]</f>
        <v>-4223</v>
      </c>
      <c r="L2131" s="3">
        <f>(tblSales[[#This Row],[Sales]]-tblSales[[#This Row],[Budget]])/tblSales[[#This Row],[Budget]]</f>
        <v>-6.2123953690218753E-2</v>
      </c>
      <c r="M2131" s="2">
        <f>tblSales[[#This Row],[Sales]]/tblSales[[#This Row],[Transactions]]</f>
        <v>502</v>
      </c>
    </row>
    <row r="2132" spans="1:13" x14ac:dyDescent="0.25">
      <c r="A2132" s="1">
        <v>46129</v>
      </c>
      <c r="B2132" t="s">
        <v>20</v>
      </c>
      <c r="C2132" t="s">
        <v>9</v>
      </c>
      <c r="D2132" t="str">
        <f>_xlfn.XLOOKUP(tblSales[[#This Row],[Store ID]],tblStores[Store ID],tblStores[Store Name])</f>
        <v>Cape Town CBD</v>
      </c>
      <c r="E2132" t="str">
        <f>_xlfn.XLOOKUP(tblSales[[#This Row],[Store ID]],tblStores[Store ID],tblStores[Province])</f>
        <v>Western Cape</v>
      </c>
      <c r="F2132" t="str">
        <f>_xlfn.XLOOKUP(tblSales[[#This Row],[Store ID]],tblStores[Store ID],tblStores[Manager])</f>
        <v>Brian Hall</v>
      </c>
      <c r="G2132" t="str">
        <f>_xlfn.XLOOKUP(tblSales[[#This Row],[Category ID]],tblCategories[Category ID],tblCategories[Category])</f>
        <v>Ladieswear</v>
      </c>
      <c r="H2132">
        <v>67150</v>
      </c>
      <c r="I2132">
        <v>73650</v>
      </c>
      <c r="J2132">
        <v>170</v>
      </c>
      <c r="K2132">
        <f>tblSales[[#This Row],[Sales]]-tblSales[[#This Row],[Budget]]</f>
        <v>-6500</v>
      </c>
      <c r="L2132" s="3">
        <f>(tblSales[[#This Row],[Sales]]-tblSales[[#This Row],[Budget]])/tblSales[[#This Row],[Budget]]</f>
        <v>-8.8255261371350979E-2</v>
      </c>
      <c r="M2132" s="2">
        <f>tblSales[[#This Row],[Sales]]/tblSales[[#This Row],[Transactions]]</f>
        <v>395</v>
      </c>
    </row>
    <row r="2133" spans="1:13" x14ac:dyDescent="0.25">
      <c r="A2133" s="1">
        <v>46129</v>
      </c>
      <c r="B2133" t="s">
        <v>21</v>
      </c>
      <c r="C2133" t="s">
        <v>9</v>
      </c>
      <c r="D2133" t="str">
        <f>_xlfn.XLOOKUP(tblSales[[#This Row],[Store ID]],tblStores[Store ID],tblStores[Store Name])</f>
        <v>Canal Walk</v>
      </c>
      <c r="E2133" t="str">
        <f>_xlfn.XLOOKUP(tblSales[[#This Row],[Store ID]],tblStores[Store ID],tblStores[Province])</f>
        <v>Western Cape</v>
      </c>
      <c r="F2133" t="str">
        <f>_xlfn.XLOOKUP(tblSales[[#This Row],[Store ID]],tblStores[Store ID],tblStores[Manager])</f>
        <v>Megan Scott</v>
      </c>
      <c r="G2133" t="str">
        <f>_xlfn.XLOOKUP(tblSales[[#This Row],[Category ID]],tblCategories[Category ID],tblCategories[Category])</f>
        <v>Ladieswear</v>
      </c>
      <c r="H2133">
        <v>56304</v>
      </c>
      <c r="I2133">
        <v>63595</v>
      </c>
      <c r="J2133">
        <v>144</v>
      </c>
      <c r="K2133">
        <f>tblSales[[#This Row],[Sales]]-tblSales[[#This Row],[Budget]]</f>
        <v>-7291</v>
      </c>
      <c r="L2133" s="3">
        <f>(tblSales[[#This Row],[Sales]]-tblSales[[#This Row],[Budget]])/tblSales[[#This Row],[Budget]]</f>
        <v>-0.11464737793851718</v>
      </c>
      <c r="M2133" s="2">
        <f>tblSales[[#This Row],[Sales]]/tblSales[[#This Row],[Transactions]]</f>
        <v>391</v>
      </c>
    </row>
    <row r="2134" spans="1:13" x14ac:dyDescent="0.25">
      <c r="A2134" s="1">
        <v>46129</v>
      </c>
      <c r="B2134" t="s">
        <v>23</v>
      </c>
      <c r="C2134" t="s">
        <v>11</v>
      </c>
      <c r="D2134" t="str">
        <f>_xlfn.XLOOKUP(tblSales[[#This Row],[Store ID]],tblStores[Store ID],tblStores[Store Name])</f>
        <v>Stellenbosch</v>
      </c>
      <c r="E2134" t="str">
        <f>_xlfn.XLOOKUP(tblSales[[#This Row],[Store ID]],tblStores[Store ID],tblStores[Province])</f>
        <v>Western Cape</v>
      </c>
      <c r="F2134" t="str">
        <f>_xlfn.XLOOKUP(tblSales[[#This Row],[Store ID]],tblStores[Store ID],tblStores[Manager])</f>
        <v>Jason King</v>
      </c>
      <c r="G2134" t="str">
        <f>_xlfn.XLOOKUP(tblSales[[#This Row],[Category ID]],tblCategories[Category ID],tblCategories[Category])</f>
        <v>Footwear</v>
      </c>
      <c r="H2134">
        <v>60955</v>
      </c>
      <c r="I2134">
        <v>69240</v>
      </c>
      <c r="J2134">
        <v>167</v>
      </c>
      <c r="K2134">
        <f>tblSales[[#This Row],[Sales]]-tblSales[[#This Row],[Budget]]</f>
        <v>-8285</v>
      </c>
      <c r="L2134" s="3">
        <f>(tblSales[[#This Row],[Sales]]-tblSales[[#This Row],[Budget]])/tblSales[[#This Row],[Budget]]</f>
        <v>-0.11965626805314847</v>
      </c>
      <c r="M2134" s="2">
        <f>tblSales[[#This Row],[Sales]]/tblSales[[#This Row],[Transactions]]</f>
        <v>365</v>
      </c>
    </row>
    <row r="2135" spans="1:13" x14ac:dyDescent="0.25">
      <c r="A2135" s="1">
        <v>46129</v>
      </c>
      <c r="B2135" t="s">
        <v>24</v>
      </c>
      <c r="C2135" t="s">
        <v>11</v>
      </c>
      <c r="D2135" t="str">
        <f>_xlfn.XLOOKUP(tblSales[[#This Row],[Store ID]],tblStores[Store ID],tblStores[Store Name])</f>
        <v>George</v>
      </c>
      <c r="E2135" t="str">
        <f>_xlfn.XLOOKUP(tblSales[[#This Row],[Store ID]],tblStores[Store ID],tblStores[Province])</f>
        <v>Western Cape</v>
      </c>
      <c r="F2135" t="str">
        <f>_xlfn.XLOOKUP(tblSales[[#This Row],[Store ID]],tblStores[Store ID],tblStores[Manager])</f>
        <v>Chloe Hill</v>
      </c>
      <c r="G2135" t="str">
        <f>_xlfn.XLOOKUP(tblSales[[#This Row],[Category ID]],tblCategories[Category ID],tblCategories[Category])</f>
        <v>Footwear</v>
      </c>
      <c r="H2135">
        <v>13320</v>
      </c>
      <c r="I2135">
        <v>14377</v>
      </c>
      <c r="J2135">
        <v>72</v>
      </c>
      <c r="K2135">
        <f>tblSales[[#This Row],[Sales]]-tblSales[[#This Row],[Budget]]</f>
        <v>-1057</v>
      </c>
      <c r="L2135" s="3">
        <f>(tblSales[[#This Row],[Sales]]-tblSales[[#This Row],[Budget]])/tblSales[[#This Row],[Budget]]</f>
        <v>-7.3520205884398698E-2</v>
      </c>
      <c r="M2135" s="2">
        <f>tblSales[[#This Row],[Sales]]/tblSales[[#This Row],[Transactions]]</f>
        <v>185</v>
      </c>
    </row>
    <row r="2136" spans="1:13" x14ac:dyDescent="0.25">
      <c r="A2136" s="1">
        <v>46129</v>
      </c>
      <c r="B2136" t="s">
        <v>25</v>
      </c>
      <c r="C2136" t="s">
        <v>19</v>
      </c>
      <c r="D2136" t="str">
        <f>_xlfn.XLOOKUP(tblSales[[#This Row],[Store ID]],tblStores[Store ID],tblStores[Store Name])</f>
        <v>Paarl</v>
      </c>
      <c r="E2136" t="str">
        <f>_xlfn.XLOOKUP(tblSales[[#This Row],[Store ID]],tblStores[Store ID],tblStores[Province])</f>
        <v>Western Cape</v>
      </c>
      <c r="F2136" t="str">
        <f>_xlfn.XLOOKUP(tblSales[[#This Row],[Store ID]],tblStores[Store ID],tblStores[Manager])</f>
        <v>Andrew Lee</v>
      </c>
      <c r="G2136" t="str">
        <f>_xlfn.XLOOKUP(tblSales[[#This Row],[Category ID]],tblCategories[Category ID],tblCategories[Category])</f>
        <v>Accessories</v>
      </c>
      <c r="H2136">
        <v>11596</v>
      </c>
      <c r="I2136">
        <v>11417</v>
      </c>
      <c r="J2136">
        <v>52</v>
      </c>
      <c r="K2136">
        <f>tblSales[[#This Row],[Sales]]-tblSales[[#This Row],[Budget]]</f>
        <v>179</v>
      </c>
      <c r="L2136" s="3">
        <f>(tblSales[[#This Row],[Sales]]-tblSales[[#This Row],[Budget]])/tblSales[[#This Row],[Budget]]</f>
        <v>1.5678374354033457E-2</v>
      </c>
      <c r="M2136" s="2">
        <f>tblSales[[#This Row],[Sales]]/tblSales[[#This Row],[Transactions]]</f>
        <v>223</v>
      </c>
    </row>
    <row r="2137" spans="1:13" x14ac:dyDescent="0.25">
      <c r="A2137" s="1">
        <v>46129</v>
      </c>
      <c r="B2137" t="s">
        <v>26</v>
      </c>
      <c r="C2137" t="s">
        <v>11</v>
      </c>
      <c r="D2137" t="str">
        <f>_xlfn.XLOOKUP(tblSales[[#This Row],[Store ID]],tblStores[Store ID],tblStores[Store Name])</f>
        <v>Gqeberha</v>
      </c>
      <c r="E2137" t="str">
        <f>_xlfn.XLOOKUP(tblSales[[#This Row],[Store ID]],tblStores[Store ID],tblStores[Province])</f>
        <v>Eastern Cape</v>
      </c>
      <c r="F2137" t="str">
        <f>_xlfn.XLOOKUP(tblSales[[#This Row],[Store ID]],tblStores[Store ID],tblStores[Manager])</f>
        <v>Emma Baker</v>
      </c>
      <c r="G2137" t="str">
        <f>_xlfn.XLOOKUP(tblSales[[#This Row],[Category ID]],tblCategories[Category ID],tblCategories[Category])</f>
        <v>Footwear</v>
      </c>
      <c r="H2137">
        <v>30954</v>
      </c>
      <c r="I2137">
        <v>28334</v>
      </c>
      <c r="J2137">
        <v>77</v>
      </c>
      <c r="K2137">
        <f>tblSales[[#This Row],[Sales]]-tblSales[[#This Row],[Budget]]</f>
        <v>2620</v>
      </c>
      <c r="L2137" s="3">
        <f>(tblSales[[#This Row],[Sales]]-tblSales[[#This Row],[Budget]])/tblSales[[#This Row],[Budget]]</f>
        <v>9.2468412507940995E-2</v>
      </c>
      <c r="M2137" s="2">
        <f>tblSales[[#This Row],[Sales]]/tblSales[[#This Row],[Transactions]]</f>
        <v>402</v>
      </c>
    </row>
    <row r="2138" spans="1:13" x14ac:dyDescent="0.25">
      <c r="A2138" s="1">
        <v>46129</v>
      </c>
      <c r="B2138" t="s">
        <v>27</v>
      </c>
      <c r="C2138" t="s">
        <v>7</v>
      </c>
      <c r="D2138" t="str">
        <f>_xlfn.XLOOKUP(tblSales[[#This Row],[Store ID]],tblStores[Store ID],tblStores[Store Name])</f>
        <v>East London</v>
      </c>
      <c r="E2138" t="str">
        <f>_xlfn.XLOOKUP(tblSales[[#This Row],[Store ID]],tblStores[Store ID],tblStores[Province])</f>
        <v>Eastern Cape</v>
      </c>
      <c r="F2138" t="str">
        <f>_xlfn.XLOOKUP(tblSales[[#This Row],[Store ID]],tblStores[Store ID],tblStores[Manager])</f>
        <v>Daniel Evans</v>
      </c>
      <c r="G2138" t="str">
        <f>_xlfn.XLOOKUP(tblSales[[#This Row],[Category ID]],tblCategories[Category ID],tblCategories[Category])</f>
        <v>Menswear</v>
      </c>
      <c r="H2138">
        <v>103632</v>
      </c>
      <c r="I2138">
        <v>97179</v>
      </c>
      <c r="J2138">
        <v>204</v>
      </c>
      <c r="K2138">
        <f>tblSales[[#This Row],[Sales]]-tblSales[[#This Row],[Budget]]</f>
        <v>6453</v>
      </c>
      <c r="L2138" s="3">
        <f>(tblSales[[#This Row],[Sales]]-tblSales[[#This Row],[Budget]])/tblSales[[#This Row],[Budget]]</f>
        <v>6.6403235266878649E-2</v>
      </c>
      <c r="M2138" s="2">
        <f>tblSales[[#This Row],[Sales]]/tblSales[[#This Row],[Transactions]]</f>
        <v>508</v>
      </c>
    </row>
    <row r="2139" spans="1:13" x14ac:dyDescent="0.25">
      <c r="A2139" s="1">
        <v>46129</v>
      </c>
      <c r="B2139" t="s">
        <v>28</v>
      </c>
      <c r="C2139" t="s">
        <v>19</v>
      </c>
      <c r="D2139" t="str">
        <f>_xlfn.XLOOKUP(tblSales[[#This Row],[Store ID]],tblStores[Store ID],tblStores[Store Name])</f>
        <v>Bloemfontein</v>
      </c>
      <c r="E2139" t="str">
        <f>_xlfn.XLOOKUP(tblSales[[#This Row],[Store ID]],tblStores[Store ID],tblStores[Province])</f>
        <v>Free State</v>
      </c>
      <c r="F2139" t="str">
        <f>_xlfn.XLOOKUP(tblSales[[#This Row],[Store ID]],tblStores[Store ID],tblStores[Manager])</f>
        <v>Rachel Moore</v>
      </c>
      <c r="G2139" t="str">
        <f>_xlfn.XLOOKUP(tblSales[[#This Row],[Category ID]],tblCategories[Category ID],tblCategories[Category])</f>
        <v>Accessories</v>
      </c>
      <c r="H2139">
        <v>24647</v>
      </c>
      <c r="I2139">
        <v>28221</v>
      </c>
      <c r="J2139">
        <v>49</v>
      </c>
      <c r="K2139">
        <f>tblSales[[#This Row],[Sales]]-tblSales[[#This Row],[Budget]]</f>
        <v>-3574</v>
      </c>
      <c r="L2139" s="3">
        <f>(tblSales[[#This Row],[Sales]]-tblSales[[#This Row],[Budget]])/tblSales[[#This Row],[Budget]]</f>
        <v>-0.12664327982707912</v>
      </c>
      <c r="M2139" s="2">
        <f>tblSales[[#This Row],[Sales]]/tblSales[[#This Row],[Transactions]]</f>
        <v>503</v>
      </c>
    </row>
    <row r="2140" spans="1:13" x14ac:dyDescent="0.25">
      <c r="A2140" s="1">
        <v>46129</v>
      </c>
      <c r="B2140" t="s">
        <v>29</v>
      </c>
      <c r="C2140" t="s">
        <v>19</v>
      </c>
      <c r="D2140" t="str">
        <f>_xlfn.XLOOKUP(tblSales[[#This Row],[Store ID]],tblStores[Store ID],tblStores[Store Name])</f>
        <v>Polokwane</v>
      </c>
      <c r="E2140" t="str">
        <f>_xlfn.XLOOKUP(tblSales[[#This Row],[Store ID]],tblStores[Store ID],tblStores[Province])</f>
        <v>Limpopo</v>
      </c>
      <c r="F2140" t="str">
        <f>_xlfn.XLOOKUP(tblSales[[#This Row],[Store ID]],tblStores[Store ID],tblStores[Manager])</f>
        <v>Kevin Harris</v>
      </c>
      <c r="G2140" t="str">
        <f>_xlfn.XLOOKUP(tblSales[[#This Row],[Category ID]],tblCategories[Category ID],tblCategories[Category])</f>
        <v>Accessories</v>
      </c>
      <c r="H2140">
        <v>43340</v>
      </c>
      <c r="I2140">
        <v>43361</v>
      </c>
      <c r="J2140">
        <v>110</v>
      </c>
      <c r="K2140">
        <f>tblSales[[#This Row],[Sales]]-tblSales[[#This Row],[Budget]]</f>
        <v>-21</v>
      </c>
      <c r="L2140" s="3">
        <f>(tblSales[[#This Row],[Sales]]-tblSales[[#This Row],[Budget]])/tblSales[[#This Row],[Budget]]</f>
        <v>-4.8430617375060537E-4</v>
      </c>
      <c r="M2140" s="2">
        <f>tblSales[[#This Row],[Sales]]/tblSales[[#This Row],[Transactions]]</f>
        <v>394</v>
      </c>
    </row>
    <row r="2141" spans="1:13" x14ac:dyDescent="0.25">
      <c r="A2141" s="1">
        <v>46129</v>
      </c>
      <c r="B2141" t="s">
        <v>30</v>
      </c>
      <c r="C2141" t="s">
        <v>19</v>
      </c>
      <c r="D2141" t="str">
        <f>_xlfn.XLOOKUP(tblSales[[#This Row],[Store ID]],tblStores[Store ID],tblStores[Store Name])</f>
        <v>Nelspruit</v>
      </c>
      <c r="E2141" t="str">
        <f>_xlfn.XLOOKUP(tblSales[[#This Row],[Store ID]],tblStores[Store ID],tblStores[Province])</f>
        <v>Mpumalanga</v>
      </c>
      <c r="F2141" t="str">
        <f>_xlfn.XLOOKUP(tblSales[[#This Row],[Store ID]],tblStores[Store ID],tblStores[Manager])</f>
        <v>Olivia Turner</v>
      </c>
      <c r="G2141" t="str">
        <f>_xlfn.XLOOKUP(tblSales[[#This Row],[Category ID]],tblCategories[Category ID],tblCategories[Category])</f>
        <v>Accessories</v>
      </c>
      <c r="H2141">
        <v>38080</v>
      </c>
      <c r="I2141">
        <v>42927</v>
      </c>
      <c r="J2141">
        <v>112</v>
      </c>
      <c r="K2141">
        <f>tblSales[[#This Row],[Sales]]-tblSales[[#This Row],[Budget]]</f>
        <v>-4847</v>
      </c>
      <c r="L2141" s="3">
        <f>(tblSales[[#This Row],[Sales]]-tblSales[[#This Row],[Budget]])/tblSales[[#This Row],[Budget]]</f>
        <v>-0.11291261909753768</v>
      </c>
      <c r="M2141" s="2">
        <f>tblSales[[#This Row],[Sales]]/tblSales[[#This Row],[Transactions]]</f>
        <v>340</v>
      </c>
    </row>
    <row r="2142" spans="1:13" x14ac:dyDescent="0.25">
      <c r="A2142" s="1">
        <v>46130</v>
      </c>
      <c r="B2142" t="s">
        <v>6</v>
      </c>
      <c r="C2142" t="s">
        <v>7</v>
      </c>
      <c r="D2142" t="str">
        <f>_xlfn.XLOOKUP(tblSales[[#This Row],[Store ID]],tblStores[Store ID],tblStores[Store Name])</f>
        <v>Durban CBD</v>
      </c>
      <c r="E2142" t="str">
        <f>_xlfn.XLOOKUP(tblSales[[#This Row],[Store ID]],tblStores[Store ID],tblStores[Province])</f>
        <v>KZN</v>
      </c>
      <c r="F2142" t="str">
        <f>_xlfn.XLOOKUP(tblSales[[#This Row],[Store ID]],tblStores[Store ID],tblStores[Manager])</f>
        <v>Sarah Adams</v>
      </c>
      <c r="G2142" t="str">
        <f>_xlfn.XLOOKUP(tblSales[[#This Row],[Category ID]],tblCategories[Category ID],tblCategories[Category])</f>
        <v>Menswear</v>
      </c>
      <c r="H2142">
        <v>47700</v>
      </c>
      <c r="I2142">
        <v>50209</v>
      </c>
      <c r="J2142">
        <v>106</v>
      </c>
      <c r="K2142">
        <f>tblSales[[#This Row],[Sales]]-tblSales[[#This Row],[Budget]]</f>
        <v>-2509</v>
      </c>
      <c r="L2142" s="3">
        <f>(tblSales[[#This Row],[Sales]]-tblSales[[#This Row],[Budget]])/tblSales[[#This Row],[Budget]]</f>
        <v>-4.9971120715409587E-2</v>
      </c>
      <c r="M2142" s="2">
        <f>tblSales[[#This Row],[Sales]]/tblSales[[#This Row],[Transactions]]</f>
        <v>450</v>
      </c>
    </row>
    <row r="2143" spans="1:13" x14ac:dyDescent="0.25">
      <c r="A2143" s="1">
        <v>46130</v>
      </c>
      <c r="B2143" t="s">
        <v>8</v>
      </c>
      <c r="C2143" t="s">
        <v>9</v>
      </c>
      <c r="D2143" t="str">
        <f>_xlfn.XLOOKUP(tblSales[[#This Row],[Store ID]],tblStores[Store ID],tblStores[Store Name])</f>
        <v>Gateway</v>
      </c>
      <c r="E2143" t="str">
        <f>_xlfn.XLOOKUP(tblSales[[#This Row],[Store ID]],tblStores[Store ID],tblStores[Province])</f>
        <v>KZN</v>
      </c>
      <c r="F2143" t="str">
        <f>_xlfn.XLOOKUP(tblSales[[#This Row],[Store ID]],tblStores[Store ID],tblStores[Manager])</f>
        <v>Michael Jones</v>
      </c>
      <c r="G2143" t="str">
        <f>_xlfn.XLOOKUP(tblSales[[#This Row],[Category ID]],tblCategories[Category ID],tblCategories[Category])</f>
        <v>Ladieswear</v>
      </c>
      <c r="H2143">
        <v>82604</v>
      </c>
      <c r="I2143">
        <v>83557</v>
      </c>
      <c r="J2143">
        <v>214</v>
      </c>
      <c r="K2143">
        <f>tblSales[[#This Row],[Sales]]-tblSales[[#This Row],[Budget]]</f>
        <v>-953</v>
      </c>
      <c r="L2143" s="3">
        <f>(tblSales[[#This Row],[Sales]]-tblSales[[#This Row],[Budget]])/tblSales[[#This Row],[Budget]]</f>
        <v>-1.1405387938772335E-2</v>
      </c>
      <c r="M2143" s="2">
        <f>tblSales[[#This Row],[Sales]]/tblSales[[#This Row],[Transactions]]</f>
        <v>386</v>
      </c>
    </row>
    <row r="2144" spans="1:13" x14ac:dyDescent="0.25">
      <c r="A2144" s="1">
        <v>46130</v>
      </c>
      <c r="B2144" t="s">
        <v>10</v>
      </c>
      <c r="C2144" t="s">
        <v>9</v>
      </c>
      <c r="D2144" t="str">
        <f>_xlfn.XLOOKUP(tblSales[[#This Row],[Store ID]],tblStores[Store ID],tblStores[Store Name])</f>
        <v>Ballito</v>
      </c>
      <c r="E2144" t="str">
        <f>_xlfn.XLOOKUP(tblSales[[#This Row],[Store ID]],tblStores[Store ID],tblStores[Province])</f>
        <v>KZN</v>
      </c>
      <c r="F2144" t="str">
        <f>_xlfn.XLOOKUP(tblSales[[#This Row],[Store ID]],tblStores[Store ID],tblStores[Manager])</f>
        <v>Linda Smith</v>
      </c>
      <c r="G2144" t="str">
        <f>_xlfn.XLOOKUP(tblSales[[#This Row],[Category ID]],tblCategories[Category ID],tblCategories[Category])</f>
        <v>Ladieswear</v>
      </c>
      <c r="H2144">
        <v>86826</v>
      </c>
      <c r="I2144">
        <v>95255</v>
      </c>
      <c r="J2144">
        <v>174</v>
      </c>
      <c r="K2144">
        <f>tblSales[[#This Row],[Sales]]-tblSales[[#This Row],[Budget]]</f>
        <v>-8429</v>
      </c>
      <c r="L2144" s="3">
        <f>(tblSales[[#This Row],[Sales]]-tblSales[[#This Row],[Budget]])/tblSales[[#This Row],[Budget]]</f>
        <v>-8.8488793239200045E-2</v>
      </c>
      <c r="M2144" s="2">
        <f>tblSales[[#This Row],[Sales]]/tblSales[[#This Row],[Transactions]]</f>
        <v>499</v>
      </c>
    </row>
    <row r="2145" spans="1:13" x14ac:dyDescent="0.25">
      <c r="A2145" s="1">
        <v>46130</v>
      </c>
      <c r="B2145" t="s">
        <v>12</v>
      </c>
      <c r="C2145" t="s">
        <v>11</v>
      </c>
      <c r="D2145" t="str">
        <f>_xlfn.XLOOKUP(tblSales[[#This Row],[Store ID]],tblStores[Store ID],tblStores[Store Name])</f>
        <v>Pietermaritzburg</v>
      </c>
      <c r="E2145" t="str">
        <f>_xlfn.XLOOKUP(tblSales[[#This Row],[Store ID]],tblStores[Store ID],tblStores[Province])</f>
        <v>KZN</v>
      </c>
      <c r="F2145" t="str">
        <f>_xlfn.XLOOKUP(tblSales[[#This Row],[Store ID]],tblStores[Store ID],tblStores[Manager])</f>
        <v>Peter Brown</v>
      </c>
      <c r="G2145" t="str">
        <f>_xlfn.XLOOKUP(tblSales[[#This Row],[Category ID]],tblCategories[Category ID],tblCategories[Category])</f>
        <v>Footwear</v>
      </c>
      <c r="H2145">
        <v>75828</v>
      </c>
      <c r="I2145">
        <v>85072</v>
      </c>
      <c r="J2145">
        <v>213</v>
      </c>
      <c r="K2145">
        <f>tblSales[[#This Row],[Sales]]-tblSales[[#This Row],[Budget]]</f>
        <v>-9244</v>
      </c>
      <c r="L2145" s="3">
        <f>(tblSales[[#This Row],[Sales]]-tblSales[[#This Row],[Budget]])/tblSales[[#This Row],[Budget]]</f>
        <v>-0.10866089900319729</v>
      </c>
      <c r="M2145" s="2">
        <f>tblSales[[#This Row],[Sales]]/tblSales[[#This Row],[Transactions]]</f>
        <v>356</v>
      </c>
    </row>
    <row r="2146" spans="1:13" x14ac:dyDescent="0.25">
      <c r="A2146" s="1">
        <v>46130</v>
      </c>
      <c r="B2146" t="s">
        <v>13</v>
      </c>
      <c r="C2146" t="s">
        <v>11</v>
      </c>
      <c r="D2146" t="str">
        <f>_xlfn.XLOOKUP(tblSales[[#This Row],[Store ID]],tblStores[Store ID],tblStores[Store Name])</f>
        <v>Richards Bay</v>
      </c>
      <c r="E2146" t="str">
        <f>_xlfn.XLOOKUP(tblSales[[#This Row],[Store ID]],tblStores[Store ID],tblStores[Province])</f>
        <v>KZN</v>
      </c>
      <c r="F2146" t="str">
        <f>_xlfn.XLOOKUP(tblSales[[#This Row],[Store ID]],tblStores[Store ID],tblStores[Manager])</f>
        <v>David Green</v>
      </c>
      <c r="G2146" t="str">
        <f>_xlfn.XLOOKUP(tblSales[[#This Row],[Category ID]],tblCategories[Category ID],tblCategories[Category])</f>
        <v>Footwear</v>
      </c>
      <c r="H2146">
        <v>28390</v>
      </c>
      <c r="I2146">
        <v>26149</v>
      </c>
      <c r="J2146">
        <v>85</v>
      </c>
      <c r="K2146">
        <f>tblSales[[#This Row],[Sales]]-tblSales[[#This Row],[Budget]]</f>
        <v>2241</v>
      </c>
      <c r="L2146" s="3">
        <f>(tblSales[[#This Row],[Sales]]-tblSales[[#This Row],[Budget]])/tblSales[[#This Row],[Budget]]</f>
        <v>8.5701174041072317E-2</v>
      </c>
      <c r="M2146" s="2">
        <f>tblSales[[#This Row],[Sales]]/tblSales[[#This Row],[Transactions]]</f>
        <v>334</v>
      </c>
    </row>
    <row r="2147" spans="1:13" x14ac:dyDescent="0.25">
      <c r="A2147" s="1">
        <v>46130</v>
      </c>
      <c r="B2147" t="s">
        <v>14</v>
      </c>
      <c r="C2147" t="s">
        <v>19</v>
      </c>
      <c r="D2147" t="str">
        <f>_xlfn.XLOOKUP(tblSales[[#This Row],[Store ID]],tblStores[Store ID],tblStores[Store Name])</f>
        <v>Sandton</v>
      </c>
      <c r="E2147" t="str">
        <f>_xlfn.XLOOKUP(tblSales[[#This Row],[Store ID]],tblStores[Store ID],tblStores[Province])</f>
        <v>Gauteng</v>
      </c>
      <c r="F2147" t="str">
        <f>_xlfn.XLOOKUP(tblSales[[#This Row],[Store ID]],tblStores[Store ID],tblStores[Manager])</f>
        <v>Karen White</v>
      </c>
      <c r="G2147" t="str">
        <f>_xlfn.XLOOKUP(tblSales[[#This Row],[Category ID]],tblCategories[Category ID],tblCategories[Category])</f>
        <v>Accessories</v>
      </c>
      <c r="H2147">
        <v>45480</v>
      </c>
      <c r="I2147">
        <v>49176</v>
      </c>
      <c r="J2147">
        <v>120</v>
      </c>
      <c r="K2147">
        <f>tblSales[[#This Row],[Sales]]-tblSales[[#This Row],[Budget]]</f>
        <v>-3696</v>
      </c>
      <c r="L2147" s="3">
        <f>(tblSales[[#This Row],[Sales]]-tblSales[[#This Row],[Budget]])/tblSales[[#This Row],[Budget]]</f>
        <v>-7.5158613958028309E-2</v>
      </c>
      <c r="M2147" s="2">
        <f>tblSales[[#This Row],[Sales]]/tblSales[[#This Row],[Transactions]]</f>
        <v>379</v>
      </c>
    </row>
    <row r="2148" spans="1:13" x14ac:dyDescent="0.25">
      <c r="A2148" s="1">
        <v>46130</v>
      </c>
      <c r="B2148" t="s">
        <v>15</v>
      </c>
      <c r="C2148" t="s">
        <v>9</v>
      </c>
      <c r="D2148" t="str">
        <f>_xlfn.XLOOKUP(tblSales[[#This Row],[Store ID]],tblStores[Store ID],tblStores[Store Name])</f>
        <v>Rosebank</v>
      </c>
      <c r="E2148" t="str">
        <f>_xlfn.XLOOKUP(tblSales[[#This Row],[Store ID]],tblStores[Store ID],tblStores[Province])</f>
        <v>Gauteng</v>
      </c>
      <c r="F2148" t="str">
        <f>_xlfn.XLOOKUP(tblSales[[#This Row],[Store ID]],tblStores[Store ID],tblStores[Manager])</f>
        <v>James Taylor</v>
      </c>
      <c r="G2148" t="str">
        <f>_xlfn.XLOOKUP(tblSales[[#This Row],[Category ID]],tblCategories[Category ID],tblCategories[Category])</f>
        <v>Ladieswear</v>
      </c>
      <c r="H2148">
        <v>76608</v>
      </c>
      <c r="I2148">
        <v>74384</v>
      </c>
      <c r="J2148">
        <v>168</v>
      </c>
      <c r="K2148">
        <f>tblSales[[#This Row],[Sales]]-tblSales[[#This Row],[Budget]]</f>
        <v>2224</v>
      </c>
      <c r="L2148" s="3">
        <f>(tblSales[[#This Row],[Sales]]-tblSales[[#This Row],[Budget]])/tblSales[[#This Row],[Budget]]</f>
        <v>2.98989029898903E-2</v>
      </c>
      <c r="M2148" s="2">
        <f>tblSales[[#This Row],[Sales]]/tblSales[[#This Row],[Transactions]]</f>
        <v>456</v>
      </c>
    </row>
    <row r="2149" spans="1:13" x14ac:dyDescent="0.25">
      <c r="A2149" s="1">
        <v>46130</v>
      </c>
      <c r="B2149" t="s">
        <v>16</v>
      </c>
      <c r="C2149" t="s">
        <v>7</v>
      </c>
      <c r="D2149" t="str">
        <f>_xlfn.XLOOKUP(tblSales[[#This Row],[Store ID]],tblStores[Store ID],tblStores[Store Name])</f>
        <v>Pretoria</v>
      </c>
      <c r="E2149" t="str">
        <f>_xlfn.XLOOKUP(tblSales[[#This Row],[Store ID]],tblStores[Store ID],tblStores[Province])</f>
        <v>Gauteng</v>
      </c>
      <c r="F2149" t="str">
        <f>_xlfn.XLOOKUP(tblSales[[#This Row],[Store ID]],tblStores[Store ID],tblStores[Manager])</f>
        <v>Susan Clark</v>
      </c>
      <c r="G2149" t="str">
        <f>_xlfn.XLOOKUP(tblSales[[#This Row],[Category ID]],tblCategories[Category ID],tblCategories[Category])</f>
        <v>Menswear</v>
      </c>
      <c r="H2149">
        <v>76230</v>
      </c>
      <c r="I2149">
        <v>74557</v>
      </c>
      <c r="J2149">
        <v>165</v>
      </c>
      <c r="K2149">
        <f>tblSales[[#This Row],[Sales]]-tblSales[[#This Row],[Budget]]</f>
        <v>1673</v>
      </c>
      <c r="L2149" s="3">
        <f>(tblSales[[#This Row],[Sales]]-tblSales[[#This Row],[Budget]])/tblSales[[#This Row],[Budget]]</f>
        <v>2.2439207586142148E-2</v>
      </c>
      <c r="M2149" s="2">
        <f>tblSales[[#This Row],[Sales]]/tblSales[[#This Row],[Transactions]]</f>
        <v>462</v>
      </c>
    </row>
    <row r="2150" spans="1:13" x14ac:dyDescent="0.25">
      <c r="A2150" s="1">
        <v>46130</v>
      </c>
      <c r="B2150" t="s">
        <v>17</v>
      </c>
      <c r="C2150" t="s">
        <v>22</v>
      </c>
      <c r="D2150" t="str">
        <f>_xlfn.XLOOKUP(tblSales[[#This Row],[Store ID]],tblStores[Store ID],tblStores[Store Name])</f>
        <v>Centurion</v>
      </c>
      <c r="E2150" t="str">
        <f>_xlfn.XLOOKUP(tblSales[[#This Row],[Store ID]],tblStores[Store ID],tblStores[Province])</f>
        <v>Gauteng</v>
      </c>
      <c r="F2150" t="str">
        <f>_xlfn.XLOOKUP(tblSales[[#This Row],[Store ID]],tblStores[Store ID],tblStores[Manager])</f>
        <v>Mark Wilson</v>
      </c>
      <c r="G2150" t="str">
        <f>_xlfn.XLOOKUP(tblSales[[#This Row],[Category ID]],tblCategories[Category ID],tblCategories[Category])</f>
        <v>Kids</v>
      </c>
      <c r="H2150">
        <v>51417</v>
      </c>
      <c r="I2150">
        <v>46576</v>
      </c>
      <c r="J2150">
        <v>197</v>
      </c>
      <c r="K2150">
        <f>tblSales[[#This Row],[Sales]]-tblSales[[#This Row],[Budget]]</f>
        <v>4841</v>
      </c>
      <c r="L2150" s="3">
        <f>(tblSales[[#This Row],[Sales]]-tblSales[[#This Row],[Budget]])/tblSales[[#This Row],[Budget]]</f>
        <v>0.10393765029199588</v>
      </c>
      <c r="M2150" s="2">
        <f>tblSales[[#This Row],[Sales]]/tblSales[[#This Row],[Transactions]]</f>
        <v>261</v>
      </c>
    </row>
    <row r="2151" spans="1:13" x14ac:dyDescent="0.25">
      <c r="A2151" s="1">
        <v>46130</v>
      </c>
      <c r="B2151" t="s">
        <v>18</v>
      </c>
      <c r="C2151" t="s">
        <v>19</v>
      </c>
      <c r="D2151" t="str">
        <f>_xlfn.XLOOKUP(tblSales[[#This Row],[Store ID]],tblStores[Store ID],tblStores[Store Name])</f>
        <v>East Rand</v>
      </c>
      <c r="E2151" t="str">
        <f>_xlfn.XLOOKUP(tblSales[[#This Row],[Store ID]],tblStores[Store ID],tblStores[Province])</f>
        <v>Gauteng</v>
      </c>
      <c r="F2151" t="str">
        <f>_xlfn.XLOOKUP(tblSales[[#This Row],[Store ID]],tblStores[Store ID],tblStores[Manager])</f>
        <v>Lisa Young</v>
      </c>
      <c r="G2151" t="str">
        <f>_xlfn.XLOOKUP(tblSales[[#This Row],[Category ID]],tblCategories[Category ID],tblCategories[Category])</f>
        <v>Accessories</v>
      </c>
      <c r="H2151">
        <v>58032</v>
      </c>
      <c r="I2151">
        <v>55730</v>
      </c>
      <c r="J2151">
        <v>186</v>
      </c>
      <c r="K2151">
        <f>tblSales[[#This Row],[Sales]]-tblSales[[#This Row],[Budget]]</f>
        <v>2302</v>
      </c>
      <c r="L2151" s="3">
        <f>(tblSales[[#This Row],[Sales]]-tblSales[[#This Row],[Budget]])/tblSales[[#This Row],[Budget]]</f>
        <v>4.1306298223577967E-2</v>
      </c>
      <c r="M2151" s="2">
        <f>tblSales[[#This Row],[Sales]]/tblSales[[#This Row],[Transactions]]</f>
        <v>312</v>
      </c>
    </row>
    <row r="2152" spans="1:13" x14ac:dyDescent="0.25">
      <c r="A2152" s="1">
        <v>46130</v>
      </c>
      <c r="B2152" t="s">
        <v>20</v>
      </c>
      <c r="C2152" t="s">
        <v>22</v>
      </c>
      <c r="D2152" t="str">
        <f>_xlfn.XLOOKUP(tblSales[[#This Row],[Store ID]],tblStores[Store ID],tblStores[Store Name])</f>
        <v>Cape Town CBD</v>
      </c>
      <c r="E2152" t="str">
        <f>_xlfn.XLOOKUP(tblSales[[#This Row],[Store ID]],tblStores[Store ID],tblStores[Province])</f>
        <v>Western Cape</v>
      </c>
      <c r="F2152" t="str">
        <f>_xlfn.XLOOKUP(tblSales[[#This Row],[Store ID]],tblStores[Store ID],tblStores[Manager])</f>
        <v>Brian Hall</v>
      </c>
      <c r="G2152" t="str">
        <f>_xlfn.XLOOKUP(tblSales[[#This Row],[Category ID]],tblCategories[Category ID],tblCategories[Category])</f>
        <v>Kids</v>
      </c>
      <c r="H2152">
        <v>87120</v>
      </c>
      <c r="I2152">
        <v>99903</v>
      </c>
      <c r="J2152">
        <v>220</v>
      </c>
      <c r="K2152">
        <f>tblSales[[#This Row],[Sales]]-tblSales[[#This Row],[Budget]]</f>
        <v>-12783</v>
      </c>
      <c r="L2152" s="3">
        <f>(tblSales[[#This Row],[Sales]]-tblSales[[#This Row],[Budget]])/tblSales[[#This Row],[Budget]]</f>
        <v>-0.12795411549202726</v>
      </c>
      <c r="M2152" s="2">
        <f>tblSales[[#This Row],[Sales]]/tblSales[[#This Row],[Transactions]]</f>
        <v>396</v>
      </c>
    </row>
    <row r="2153" spans="1:13" x14ac:dyDescent="0.25">
      <c r="A2153" s="1">
        <v>46130</v>
      </c>
      <c r="B2153" t="s">
        <v>21</v>
      </c>
      <c r="C2153" t="s">
        <v>7</v>
      </c>
      <c r="D2153" t="str">
        <f>_xlfn.XLOOKUP(tblSales[[#This Row],[Store ID]],tblStores[Store ID],tblStores[Store Name])</f>
        <v>Canal Walk</v>
      </c>
      <c r="E2153" t="str">
        <f>_xlfn.XLOOKUP(tblSales[[#This Row],[Store ID]],tblStores[Store ID],tblStores[Province])</f>
        <v>Western Cape</v>
      </c>
      <c r="F2153" t="str">
        <f>_xlfn.XLOOKUP(tblSales[[#This Row],[Store ID]],tblStores[Store ID],tblStores[Manager])</f>
        <v>Megan Scott</v>
      </c>
      <c r="G2153" t="str">
        <f>_xlfn.XLOOKUP(tblSales[[#This Row],[Category ID]],tblCategories[Category ID],tblCategories[Category])</f>
        <v>Menswear</v>
      </c>
      <c r="H2153">
        <v>18500</v>
      </c>
      <c r="I2153">
        <v>17851</v>
      </c>
      <c r="J2153">
        <v>50</v>
      </c>
      <c r="K2153">
        <f>tblSales[[#This Row],[Sales]]-tblSales[[#This Row],[Budget]]</f>
        <v>649</v>
      </c>
      <c r="L2153" s="3">
        <f>(tblSales[[#This Row],[Sales]]-tblSales[[#This Row],[Budget]])/tblSales[[#This Row],[Budget]]</f>
        <v>3.6356506638283569E-2</v>
      </c>
      <c r="M2153" s="2">
        <f>tblSales[[#This Row],[Sales]]/tblSales[[#This Row],[Transactions]]</f>
        <v>370</v>
      </c>
    </row>
    <row r="2154" spans="1:13" x14ac:dyDescent="0.25">
      <c r="A2154" s="1">
        <v>46130</v>
      </c>
      <c r="B2154" t="s">
        <v>23</v>
      </c>
      <c r="C2154" t="s">
        <v>19</v>
      </c>
      <c r="D2154" t="str">
        <f>_xlfn.XLOOKUP(tblSales[[#This Row],[Store ID]],tblStores[Store ID],tblStores[Store Name])</f>
        <v>Stellenbosch</v>
      </c>
      <c r="E2154" t="str">
        <f>_xlfn.XLOOKUP(tblSales[[#This Row],[Store ID]],tblStores[Store ID],tblStores[Province])</f>
        <v>Western Cape</v>
      </c>
      <c r="F2154" t="str">
        <f>_xlfn.XLOOKUP(tblSales[[#This Row],[Store ID]],tblStores[Store ID],tblStores[Manager])</f>
        <v>Jason King</v>
      </c>
      <c r="G2154" t="str">
        <f>_xlfn.XLOOKUP(tblSales[[#This Row],[Category ID]],tblCategories[Category ID],tblCategories[Category])</f>
        <v>Accessories</v>
      </c>
      <c r="H2154">
        <v>30375</v>
      </c>
      <c r="I2154">
        <v>27699</v>
      </c>
      <c r="J2154">
        <v>125</v>
      </c>
      <c r="K2154">
        <f>tblSales[[#This Row],[Sales]]-tblSales[[#This Row],[Budget]]</f>
        <v>2676</v>
      </c>
      <c r="L2154" s="3">
        <f>(tblSales[[#This Row],[Sales]]-tblSales[[#This Row],[Budget]])/tblSales[[#This Row],[Budget]]</f>
        <v>9.6609985920069322E-2</v>
      </c>
      <c r="M2154" s="2">
        <f>tblSales[[#This Row],[Sales]]/tblSales[[#This Row],[Transactions]]</f>
        <v>243</v>
      </c>
    </row>
    <row r="2155" spans="1:13" x14ac:dyDescent="0.25">
      <c r="A2155" s="1">
        <v>46130</v>
      </c>
      <c r="B2155" t="s">
        <v>24</v>
      </c>
      <c r="C2155" t="s">
        <v>7</v>
      </c>
      <c r="D2155" t="str">
        <f>_xlfn.XLOOKUP(tblSales[[#This Row],[Store ID]],tblStores[Store ID],tblStores[Store Name])</f>
        <v>George</v>
      </c>
      <c r="E2155" t="str">
        <f>_xlfn.XLOOKUP(tblSales[[#This Row],[Store ID]],tblStores[Store ID],tblStores[Province])</f>
        <v>Western Cape</v>
      </c>
      <c r="F2155" t="str">
        <f>_xlfn.XLOOKUP(tblSales[[#This Row],[Store ID]],tblStores[Store ID],tblStores[Manager])</f>
        <v>Chloe Hill</v>
      </c>
      <c r="G2155" t="str">
        <f>_xlfn.XLOOKUP(tblSales[[#This Row],[Category ID]],tblCategories[Category ID],tblCategories[Category])</f>
        <v>Menswear</v>
      </c>
      <c r="H2155">
        <v>49468</v>
      </c>
      <c r="I2155">
        <v>51600</v>
      </c>
      <c r="J2155">
        <v>149</v>
      </c>
      <c r="K2155">
        <f>tblSales[[#This Row],[Sales]]-tblSales[[#This Row],[Budget]]</f>
        <v>-2132</v>
      </c>
      <c r="L2155" s="3">
        <f>(tblSales[[#This Row],[Sales]]-tblSales[[#This Row],[Budget]])/tblSales[[#This Row],[Budget]]</f>
        <v>-4.1317829457364341E-2</v>
      </c>
      <c r="M2155" s="2">
        <f>tblSales[[#This Row],[Sales]]/tblSales[[#This Row],[Transactions]]</f>
        <v>332</v>
      </c>
    </row>
    <row r="2156" spans="1:13" x14ac:dyDescent="0.25">
      <c r="A2156" s="1">
        <v>46130</v>
      </c>
      <c r="B2156" t="s">
        <v>25</v>
      </c>
      <c r="C2156" t="s">
        <v>7</v>
      </c>
      <c r="D2156" t="str">
        <f>_xlfn.XLOOKUP(tblSales[[#This Row],[Store ID]],tblStores[Store ID],tblStores[Store Name])</f>
        <v>Paarl</v>
      </c>
      <c r="E2156" t="str">
        <f>_xlfn.XLOOKUP(tblSales[[#This Row],[Store ID]],tblStores[Store ID],tblStores[Province])</f>
        <v>Western Cape</v>
      </c>
      <c r="F2156" t="str">
        <f>_xlfn.XLOOKUP(tblSales[[#This Row],[Store ID]],tblStores[Store ID],tblStores[Manager])</f>
        <v>Andrew Lee</v>
      </c>
      <c r="G2156" t="str">
        <f>_xlfn.XLOOKUP(tblSales[[#This Row],[Category ID]],tblCategories[Category ID],tblCategories[Category])</f>
        <v>Menswear</v>
      </c>
      <c r="H2156">
        <v>53303</v>
      </c>
      <c r="I2156">
        <v>61071</v>
      </c>
      <c r="J2156">
        <v>151</v>
      </c>
      <c r="K2156">
        <f>tblSales[[#This Row],[Sales]]-tblSales[[#This Row],[Budget]]</f>
        <v>-7768</v>
      </c>
      <c r="L2156" s="3">
        <f>(tblSales[[#This Row],[Sales]]-tblSales[[#This Row],[Budget]])/tblSales[[#This Row],[Budget]]</f>
        <v>-0.12719621424243913</v>
      </c>
      <c r="M2156" s="2">
        <f>tblSales[[#This Row],[Sales]]/tblSales[[#This Row],[Transactions]]</f>
        <v>353</v>
      </c>
    </row>
    <row r="2157" spans="1:13" x14ac:dyDescent="0.25">
      <c r="A2157" s="1">
        <v>46130</v>
      </c>
      <c r="B2157" t="s">
        <v>26</v>
      </c>
      <c r="C2157" t="s">
        <v>19</v>
      </c>
      <c r="D2157" t="str">
        <f>_xlfn.XLOOKUP(tblSales[[#This Row],[Store ID]],tblStores[Store ID],tblStores[Store Name])</f>
        <v>Gqeberha</v>
      </c>
      <c r="E2157" t="str">
        <f>_xlfn.XLOOKUP(tblSales[[#This Row],[Store ID]],tblStores[Store ID],tblStores[Province])</f>
        <v>Eastern Cape</v>
      </c>
      <c r="F2157" t="str">
        <f>_xlfn.XLOOKUP(tblSales[[#This Row],[Store ID]],tblStores[Store ID],tblStores[Manager])</f>
        <v>Emma Baker</v>
      </c>
      <c r="G2157" t="str">
        <f>_xlfn.XLOOKUP(tblSales[[#This Row],[Category ID]],tblCategories[Category ID],tblCategories[Category])</f>
        <v>Accessories</v>
      </c>
      <c r="H2157">
        <v>89679</v>
      </c>
      <c r="I2157">
        <v>95631</v>
      </c>
      <c r="J2157">
        <v>179</v>
      </c>
      <c r="K2157">
        <f>tblSales[[#This Row],[Sales]]-tblSales[[#This Row],[Budget]]</f>
        <v>-5952</v>
      </c>
      <c r="L2157" s="3">
        <f>(tblSales[[#This Row],[Sales]]-tblSales[[#This Row],[Budget]])/tblSales[[#This Row],[Budget]]</f>
        <v>-6.2239232048185211E-2</v>
      </c>
      <c r="M2157" s="2">
        <f>tblSales[[#This Row],[Sales]]/tblSales[[#This Row],[Transactions]]</f>
        <v>501</v>
      </c>
    </row>
    <row r="2158" spans="1:13" x14ac:dyDescent="0.25">
      <c r="A2158" s="1">
        <v>46130</v>
      </c>
      <c r="B2158" t="s">
        <v>27</v>
      </c>
      <c r="C2158" t="s">
        <v>19</v>
      </c>
      <c r="D2158" t="str">
        <f>_xlfn.XLOOKUP(tblSales[[#This Row],[Store ID]],tblStores[Store ID],tblStores[Store Name])</f>
        <v>East London</v>
      </c>
      <c r="E2158" t="str">
        <f>_xlfn.XLOOKUP(tblSales[[#This Row],[Store ID]],tblStores[Store ID],tblStores[Province])</f>
        <v>Eastern Cape</v>
      </c>
      <c r="F2158" t="str">
        <f>_xlfn.XLOOKUP(tblSales[[#This Row],[Store ID]],tblStores[Store ID],tblStores[Manager])</f>
        <v>Daniel Evans</v>
      </c>
      <c r="G2158" t="str">
        <f>_xlfn.XLOOKUP(tblSales[[#This Row],[Category ID]],tblCategories[Category ID],tblCategories[Category])</f>
        <v>Accessories</v>
      </c>
      <c r="H2158">
        <v>33746</v>
      </c>
      <c r="I2158">
        <v>32895</v>
      </c>
      <c r="J2158">
        <v>94</v>
      </c>
      <c r="K2158">
        <f>tblSales[[#This Row],[Sales]]-tblSales[[#This Row],[Budget]]</f>
        <v>851</v>
      </c>
      <c r="L2158" s="3">
        <f>(tblSales[[#This Row],[Sales]]-tblSales[[#This Row],[Budget]])/tblSales[[#This Row],[Budget]]</f>
        <v>2.5870193038455693E-2</v>
      </c>
      <c r="M2158" s="2">
        <f>tblSales[[#This Row],[Sales]]/tblSales[[#This Row],[Transactions]]</f>
        <v>359</v>
      </c>
    </row>
    <row r="2159" spans="1:13" x14ac:dyDescent="0.25">
      <c r="A2159" s="1">
        <v>46130</v>
      </c>
      <c r="B2159" t="s">
        <v>28</v>
      </c>
      <c r="C2159" t="s">
        <v>19</v>
      </c>
      <c r="D2159" t="str">
        <f>_xlfn.XLOOKUP(tblSales[[#This Row],[Store ID]],tblStores[Store ID],tblStores[Store Name])</f>
        <v>Bloemfontein</v>
      </c>
      <c r="E2159" t="str">
        <f>_xlfn.XLOOKUP(tblSales[[#This Row],[Store ID]],tblStores[Store ID],tblStores[Province])</f>
        <v>Free State</v>
      </c>
      <c r="F2159" t="str">
        <f>_xlfn.XLOOKUP(tblSales[[#This Row],[Store ID]],tblStores[Store ID],tblStores[Manager])</f>
        <v>Rachel Moore</v>
      </c>
      <c r="G2159" t="str">
        <f>_xlfn.XLOOKUP(tblSales[[#This Row],[Category ID]],tblCategories[Category ID],tblCategories[Category])</f>
        <v>Accessories</v>
      </c>
      <c r="H2159">
        <v>51957</v>
      </c>
      <c r="I2159">
        <v>56040</v>
      </c>
      <c r="J2159">
        <v>207</v>
      </c>
      <c r="K2159">
        <f>tblSales[[#This Row],[Sales]]-tblSales[[#This Row],[Budget]]</f>
        <v>-4083</v>
      </c>
      <c r="L2159" s="3">
        <f>(tblSales[[#This Row],[Sales]]-tblSales[[#This Row],[Budget]])/tblSales[[#This Row],[Budget]]</f>
        <v>-7.2858672376873657E-2</v>
      </c>
      <c r="M2159" s="2">
        <f>tblSales[[#This Row],[Sales]]/tblSales[[#This Row],[Transactions]]</f>
        <v>251</v>
      </c>
    </row>
    <row r="2160" spans="1:13" x14ac:dyDescent="0.25">
      <c r="A2160" s="1">
        <v>46130</v>
      </c>
      <c r="B2160" t="s">
        <v>29</v>
      </c>
      <c r="C2160" t="s">
        <v>19</v>
      </c>
      <c r="D2160" t="str">
        <f>_xlfn.XLOOKUP(tblSales[[#This Row],[Store ID]],tblStores[Store ID],tblStores[Store Name])</f>
        <v>Polokwane</v>
      </c>
      <c r="E2160" t="str">
        <f>_xlfn.XLOOKUP(tblSales[[#This Row],[Store ID]],tblStores[Store ID],tblStores[Province])</f>
        <v>Limpopo</v>
      </c>
      <c r="F2160" t="str">
        <f>_xlfn.XLOOKUP(tblSales[[#This Row],[Store ID]],tblStores[Store ID],tblStores[Manager])</f>
        <v>Kevin Harris</v>
      </c>
      <c r="G2160" t="str">
        <f>_xlfn.XLOOKUP(tblSales[[#This Row],[Category ID]],tblCategories[Category ID],tblCategories[Category])</f>
        <v>Accessories</v>
      </c>
      <c r="H2160">
        <v>22834</v>
      </c>
      <c r="I2160">
        <v>22422</v>
      </c>
      <c r="J2160">
        <v>98</v>
      </c>
      <c r="K2160">
        <f>tblSales[[#This Row],[Sales]]-tblSales[[#This Row],[Budget]]</f>
        <v>412</v>
      </c>
      <c r="L2160" s="3">
        <f>(tblSales[[#This Row],[Sales]]-tblSales[[#This Row],[Budget]])/tblSales[[#This Row],[Budget]]</f>
        <v>1.8374810454018373E-2</v>
      </c>
      <c r="M2160" s="2">
        <f>tblSales[[#This Row],[Sales]]/tblSales[[#This Row],[Transactions]]</f>
        <v>233</v>
      </c>
    </row>
    <row r="2161" spans="1:13" x14ac:dyDescent="0.25">
      <c r="A2161" s="1">
        <v>46130</v>
      </c>
      <c r="B2161" t="s">
        <v>30</v>
      </c>
      <c r="C2161" t="s">
        <v>19</v>
      </c>
      <c r="D2161" t="str">
        <f>_xlfn.XLOOKUP(tblSales[[#This Row],[Store ID]],tblStores[Store ID],tblStores[Store Name])</f>
        <v>Nelspruit</v>
      </c>
      <c r="E2161" t="str">
        <f>_xlfn.XLOOKUP(tblSales[[#This Row],[Store ID]],tblStores[Store ID],tblStores[Province])</f>
        <v>Mpumalanga</v>
      </c>
      <c r="F2161" t="str">
        <f>_xlfn.XLOOKUP(tblSales[[#This Row],[Store ID]],tblStores[Store ID],tblStores[Manager])</f>
        <v>Olivia Turner</v>
      </c>
      <c r="G2161" t="str">
        <f>_xlfn.XLOOKUP(tblSales[[#This Row],[Category ID]],tblCategories[Category ID],tblCategories[Category])</f>
        <v>Accessories</v>
      </c>
      <c r="H2161">
        <v>30576</v>
      </c>
      <c r="I2161">
        <v>30991</v>
      </c>
      <c r="J2161">
        <v>84</v>
      </c>
      <c r="K2161">
        <f>tblSales[[#This Row],[Sales]]-tblSales[[#This Row],[Budget]]</f>
        <v>-415</v>
      </c>
      <c r="L2161" s="3">
        <f>(tblSales[[#This Row],[Sales]]-tblSales[[#This Row],[Budget]])/tblSales[[#This Row],[Budget]]</f>
        <v>-1.3390984479364976E-2</v>
      </c>
      <c r="M2161" s="2">
        <f>tblSales[[#This Row],[Sales]]/tblSales[[#This Row],[Transactions]]</f>
        <v>364</v>
      </c>
    </row>
    <row r="2162" spans="1:13" x14ac:dyDescent="0.25">
      <c r="A2162" s="1">
        <v>46131</v>
      </c>
      <c r="B2162" t="s">
        <v>6</v>
      </c>
      <c r="C2162" t="s">
        <v>9</v>
      </c>
      <c r="D2162" t="str">
        <f>_xlfn.XLOOKUP(tblSales[[#This Row],[Store ID]],tblStores[Store ID],tblStores[Store Name])</f>
        <v>Durban CBD</v>
      </c>
      <c r="E2162" t="str">
        <f>_xlfn.XLOOKUP(tblSales[[#This Row],[Store ID]],tblStores[Store ID],tblStores[Province])</f>
        <v>KZN</v>
      </c>
      <c r="F2162" t="str">
        <f>_xlfn.XLOOKUP(tblSales[[#This Row],[Store ID]],tblStores[Store ID],tblStores[Manager])</f>
        <v>Sarah Adams</v>
      </c>
      <c r="G2162" t="str">
        <f>_xlfn.XLOOKUP(tblSales[[#This Row],[Category ID]],tblCategories[Category ID],tblCategories[Category])</f>
        <v>Ladieswear</v>
      </c>
      <c r="H2162">
        <v>86149</v>
      </c>
      <c r="I2162">
        <v>95376</v>
      </c>
      <c r="J2162">
        <v>217</v>
      </c>
      <c r="K2162">
        <f>tblSales[[#This Row],[Sales]]-tblSales[[#This Row],[Budget]]</f>
        <v>-9227</v>
      </c>
      <c r="L2162" s="3">
        <f>(tblSales[[#This Row],[Sales]]-tblSales[[#This Row],[Budget]])/tblSales[[#This Row],[Budget]]</f>
        <v>-9.6743415534306321E-2</v>
      </c>
      <c r="M2162" s="2">
        <f>tblSales[[#This Row],[Sales]]/tblSales[[#This Row],[Transactions]]</f>
        <v>397</v>
      </c>
    </row>
    <row r="2163" spans="1:13" x14ac:dyDescent="0.25">
      <c r="A2163" s="1">
        <v>46131</v>
      </c>
      <c r="B2163" t="s">
        <v>8</v>
      </c>
      <c r="C2163" t="s">
        <v>7</v>
      </c>
      <c r="D2163" t="str">
        <f>_xlfn.XLOOKUP(tblSales[[#This Row],[Store ID]],tblStores[Store ID],tblStores[Store Name])</f>
        <v>Gateway</v>
      </c>
      <c r="E2163" t="str">
        <f>_xlfn.XLOOKUP(tblSales[[#This Row],[Store ID]],tblStores[Store ID],tblStores[Province])</f>
        <v>KZN</v>
      </c>
      <c r="F2163" t="str">
        <f>_xlfn.XLOOKUP(tblSales[[#This Row],[Store ID]],tblStores[Store ID],tblStores[Manager])</f>
        <v>Michael Jones</v>
      </c>
      <c r="G2163" t="str">
        <f>_xlfn.XLOOKUP(tblSales[[#This Row],[Category ID]],tblCategories[Category ID],tblCategories[Category])</f>
        <v>Menswear</v>
      </c>
      <c r="H2163">
        <v>12238</v>
      </c>
      <c r="I2163">
        <v>12314</v>
      </c>
      <c r="J2163">
        <v>58</v>
      </c>
      <c r="K2163">
        <f>tblSales[[#This Row],[Sales]]-tblSales[[#This Row],[Budget]]</f>
        <v>-76</v>
      </c>
      <c r="L2163" s="3">
        <f>(tblSales[[#This Row],[Sales]]-tblSales[[#This Row],[Budget]])/tblSales[[#This Row],[Budget]]</f>
        <v>-6.1718369335715447E-3</v>
      </c>
      <c r="M2163" s="2">
        <f>tblSales[[#This Row],[Sales]]/tblSales[[#This Row],[Transactions]]</f>
        <v>211</v>
      </c>
    </row>
    <row r="2164" spans="1:13" x14ac:dyDescent="0.25">
      <c r="A2164" s="1">
        <v>46131</v>
      </c>
      <c r="B2164" t="s">
        <v>10</v>
      </c>
      <c r="C2164" t="s">
        <v>9</v>
      </c>
      <c r="D2164" t="str">
        <f>_xlfn.XLOOKUP(tblSales[[#This Row],[Store ID]],tblStores[Store ID],tblStores[Store Name])</f>
        <v>Ballito</v>
      </c>
      <c r="E2164" t="str">
        <f>_xlfn.XLOOKUP(tblSales[[#This Row],[Store ID]],tblStores[Store ID],tblStores[Province])</f>
        <v>KZN</v>
      </c>
      <c r="F2164" t="str">
        <f>_xlfn.XLOOKUP(tblSales[[#This Row],[Store ID]],tblStores[Store ID],tblStores[Manager])</f>
        <v>Linda Smith</v>
      </c>
      <c r="G2164" t="str">
        <f>_xlfn.XLOOKUP(tblSales[[#This Row],[Category ID]],tblCategories[Category ID],tblCategories[Category])</f>
        <v>Ladieswear</v>
      </c>
      <c r="H2164">
        <v>45084</v>
      </c>
      <c r="I2164">
        <v>45604</v>
      </c>
      <c r="J2164">
        <v>156</v>
      </c>
      <c r="K2164">
        <f>tblSales[[#This Row],[Sales]]-tblSales[[#This Row],[Budget]]</f>
        <v>-520</v>
      </c>
      <c r="L2164" s="3">
        <f>(tblSales[[#This Row],[Sales]]-tblSales[[#This Row],[Budget]])/tblSales[[#This Row],[Budget]]</f>
        <v>-1.1402508551881414E-2</v>
      </c>
      <c r="M2164" s="2">
        <f>tblSales[[#This Row],[Sales]]/tblSales[[#This Row],[Transactions]]</f>
        <v>289</v>
      </c>
    </row>
    <row r="2165" spans="1:13" x14ac:dyDescent="0.25">
      <c r="A2165" s="1">
        <v>46131</v>
      </c>
      <c r="B2165" t="s">
        <v>12</v>
      </c>
      <c r="C2165" t="s">
        <v>22</v>
      </c>
      <c r="D2165" t="str">
        <f>_xlfn.XLOOKUP(tblSales[[#This Row],[Store ID]],tblStores[Store ID],tblStores[Store Name])</f>
        <v>Pietermaritzburg</v>
      </c>
      <c r="E2165" t="str">
        <f>_xlfn.XLOOKUP(tblSales[[#This Row],[Store ID]],tblStores[Store ID],tblStores[Province])</f>
        <v>KZN</v>
      </c>
      <c r="F2165" t="str">
        <f>_xlfn.XLOOKUP(tblSales[[#This Row],[Store ID]],tblStores[Store ID],tblStores[Manager])</f>
        <v>Peter Brown</v>
      </c>
      <c r="G2165" t="str">
        <f>_xlfn.XLOOKUP(tblSales[[#This Row],[Category ID]],tblCategories[Category ID],tblCategories[Category])</f>
        <v>Kids</v>
      </c>
      <c r="H2165">
        <v>93392</v>
      </c>
      <c r="I2165">
        <v>93456</v>
      </c>
      <c r="J2165">
        <v>208</v>
      </c>
      <c r="K2165">
        <f>tblSales[[#This Row],[Sales]]-tblSales[[#This Row],[Budget]]</f>
        <v>-64</v>
      </c>
      <c r="L2165" s="3">
        <f>(tblSales[[#This Row],[Sales]]-tblSales[[#This Row],[Budget]])/tblSales[[#This Row],[Budget]]</f>
        <v>-6.8481424413627799E-4</v>
      </c>
      <c r="M2165" s="2">
        <f>tblSales[[#This Row],[Sales]]/tblSales[[#This Row],[Transactions]]</f>
        <v>449</v>
      </c>
    </row>
    <row r="2166" spans="1:13" x14ac:dyDescent="0.25">
      <c r="A2166" s="1">
        <v>46131</v>
      </c>
      <c r="B2166" t="s">
        <v>13</v>
      </c>
      <c r="C2166" t="s">
        <v>19</v>
      </c>
      <c r="D2166" t="str">
        <f>_xlfn.XLOOKUP(tblSales[[#This Row],[Store ID]],tblStores[Store ID],tblStores[Store Name])</f>
        <v>Richards Bay</v>
      </c>
      <c r="E2166" t="str">
        <f>_xlfn.XLOOKUP(tblSales[[#This Row],[Store ID]],tblStores[Store ID],tblStores[Province])</f>
        <v>KZN</v>
      </c>
      <c r="F2166" t="str">
        <f>_xlfn.XLOOKUP(tblSales[[#This Row],[Store ID]],tblStores[Store ID],tblStores[Manager])</f>
        <v>David Green</v>
      </c>
      <c r="G2166" t="str">
        <f>_xlfn.XLOOKUP(tblSales[[#This Row],[Category ID]],tblCategories[Category ID],tblCategories[Category])</f>
        <v>Accessories</v>
      </c>
      <c r="H2166">
        <v>63794</v>
      </c>
      <c r="I2166">
        <v>71321</v>
      </c>
      <c r="J2166">
        <v>167</v>
      </c>
      <c r="K2166">
        <f>tblSales[[#This Row],[Sales]]-tblSales[[#This Row],[Budget]]</f>
        <v>-7527</v>
      </c>
      <c r="L2166" s="3">
        <f>(tblSales[[#This Row],[Sales]]-tblSales[[#This Row],[Budget]])/tblSales[[#This Row],[Budget]]</f>
        <v>-0.10553693862957614</v>
      </c>
      <c r="M2166" s="2">
        <f>tblSales[[#This Row],[Sales]]/tblSales[[#This Row],[Transactions]]</f>
        <v>382</v>
      </c>
    </row>
    <row r="2167" spans="1:13" x14ac:dyDescent="0.25">
      <c r="A2167" s="1">
        <v>46131</v>
      </c>
      <c r="B2167" t="s">
        <v>14</v>
      </c>
      <c r="C2167" t="s">
        <v>19</v>
      </c>
      <c r="D2167" t="str">
        <f>_xlfn.XLOOKUP(tblSales[[#This Row],[Store ID]],tblStores[Store ID],tblStores[Store Name])</f>
        <v>Sandton</v>
      </c>
      <c r="E2167" t="str">
        <f>_xlfn.XLOOKUP(tblSales[[#This Row],[Store ID]],tblStores[Store ID],tblStores[Province])</f>
        <v>Gauteng</v>
      </c>
      <c r="F2167" t="str">
        <f>_xlfn.XLOOKUP(tblSales[[#This Row],[Store ID]],tblStores[Store ID],tblStores[Manager])</f>
        <v>Karen White</v>
      </c>
      <c r="G2167" t="str">
        <f>_xlfn.XLOOKUP(tblSales[[#This Row],[Category ID]],tblCategories[Category ID],tblCategories[Category])</f>
        <v>Accessories</v>
      </c>
      <c r="H2167">
        <v>81810</v>
      </c>
      <c r="I2167">
        <v>82289</v>
      </c>
      <c r="J2167">
        <v>162</v>
      </c>
      <c r="K2167">
        <f>tblSales[[#This Row],[Sales]]-tblSales[[#This Row],[Budget]]</f>
        <v>-479</v>
      </c>
      <c r="L2167" s="3">
        <f>(tblSales[[#This Row],[Sales]]-tblSales[[#This Row],[Budget]])/tblSales[[#This Row],[Budget]]</f>
        <v>-5.8209481218631891E-3</v>
      </c>
      <c r="M2167" s="2">
        <f>tblSales[[#This Row],[Sales]]/tblSales[[#This Row],[Transactions]]</f>
        <v>505</v>
      </c>
    </row>
    <row r="2168" spans="1:13" x14ac:dyDescent="0.25">
      <c r="A2168" s="1">
        <v>46131</v>
      </c>
      <c r="B2168" t="s">
        <v>15</v>
      </c>
      <c r="C2168" t="s">
        <v>11</v>
      </c>
      <c r="D2168" t="str">
        <f>_xlfn.XLOOKUP(tblSales[[#This Row],[Store ID]],tblStores[Store ID],tblStores[Store Name])</f>
        <v>Rosebank</v>
      </c>
      <c r="E2168" t="str">
        <f>_xlfn.XLOOKUP(tblSales[[#This Row],[Store ID]],tblStores[Store ID],tblStores[Province])</f>
        <v>Gauteng</v>
      </c>
      <c r="F2168" t="str">
        <f>_xlfn.XLOOKUP(tblSales[[#This Row],[Store ID]],tblStores[Store ID],tblStores[Manager])</f>
        <v>James Taylor</v>
      </c>
      <c r="G2168" t="str">
        <f>_xlfn.XLOOKUP(tblSales[[#This Row],[Category ID]],tblCategories[Category ID],tblCategories[Category])</f>
        <v>Footwear</v>
      </c>
      <c r="H2168">
        <v>90730</v>
      </c>
      <c r="I2168">
        <v>98254</v>
      </c>
      <c r="J2168">
        <v>211</v>
      </c>
      <c r="K2168">
        <f>tblSales[[#This Row],[Sales]]-tblSales[[#This Row],[Budget]]</f>
        <v>-7524</v>
      </c>
      <c r="L2168" s="3">
        <f>(tblSales[[#This Row],[Sales]]-tblSales[[#This Row],[Budget]])/tblSales[[#This Row],[Budget]]</f>
        <v>-7.6577035031652654E-2</v>
      </c>
      <c r="M2168" s="2">
        <f>tblSales[[#This Row],[Sales]]/tblSales[[#This Row],[Transactions]]</f>
        <v>430</v>
      </c>
    </row>
    <row r="2169" spans="1:13" x14ac:dyDescent="0.25">
      <c r="A2169" s="1">
        <v>46131</v>
      </c>
      <c r="B2169" t="s">
        <v>16</v>
      </c>
      <c r="C2169" t="s">
        <v>11</v>
      </c>
      <c r="D2169" t="str">
        <f>_xlfn.XLOOKUP(tblSales[[#This Row],[Store ID]],tblStores[Store ID],tblStores[Store Name])</f>
        <v>Pretoria</v>
      </c>
      <c r="E2169" t="str">
        <f>_xlfn.XLOOKUP(tblSales[[#This Row],[Store ID]],tblStores[Store ID],tblStores[Province])</f>
        <v>Gauteng</v>
      </c>
      <c r="F2169" t="str">
        <f>_xlfn.XLOOKUP(tblSales[[#This Row],[Store ID]],tblStores[Store ID],tblStores[Manager])</f>
        <v>Susan Clark</v>
      </c>
      <c r="G2169" t="str">
        <f>_xlfn.XLOOKUP(tblSales[[#This Row],[Category ID]],tblCategories[Category ID],tblCategories[Category])</f>
        <v>Footwear</v>
      </c>
      <c r="H2169">
        <v>19228</v>
      </c>
      <c r="I2169">
        <v>19736</v>
      </c>
      <c r="J2169">
        <v>76</v>
      </c>
      <c r="K2169">
        <f>tblSales[[#This Row],[Sales]]-tblSales[[#This Row],[Budget]]</f>
        <v>-508</v>
      </c>
      <c r="L2169" s="3">
        <f>(tblSales[[#This Row],[Sales]]-tblSales[[#This Row],[Budget]])/tblSales[[#This Row],[Budget]]</f>
        <v>-2.573976489663559E-2</v>
      </c>
      <c r="M2169" s="2">
        <f>tblSales[[#This Row],[Sales]]/tblSales[[#This Row],[Transactions]]</f>
        <v>253</v>
      </c>
    </row>
    <row r="2170" spans="1:13" x14ac:dyDescent="0.25">
      <c r="A2170" s="1">
        <v>46131</v>
      </c>
      <c r="B2170" t="s">
        <v>17</v>
      </c>
      <c r="C2170" t="s">
        <v>11</v>
      </c>
      <c r="D2170" t="str">
        <f>_xlfn.XLOOKUP(tblSales[[#This Row],[Store ID]],tblStores[Store ID],tblStores[Store Name])</f>
        <v>Centurion</v>
      </c>
      <c r="E2170" t="str">
        <f>_xlfn.XLOOKUP(tblSales[[#This Row],[Store ID]],tblStores[Store ID],tblStores[Province])</f>
        <v>Gauteng</v>
      </c>
      <c r="F2170" t="str">
        <f>_xlfn.XLOOKUP(tblSales[[#This Row],[Store ID]],tblStores[Store ID],tblStores[Manager])</f>
        <v>Mark Wilson</v>
      </c>
      <c r="G2170" t="str">
        <f>_xlfn.XLOOKUP(tblSales[[#This Row],[Category ID]],tblCategories[Category ID],tblCategories[Category])</f>
        <v>Footwear</v>
      </c>
      <c r="H2170">
        <v>89838</v>
      </c>
      <c r="I2170">
        <v>83760</v>
      </c>
      <c r="J2170">
        <v>217</v>
      </c>
      <c r="K2170">
        <f>tblSales[[#This Row],[Sales]]-tblSales[[#This Row],[Budget]]</f>
        <v>6078</v>
      </c>
      <c r="L2170" s="3">
        <f>(tblSales[[#This Row],[Sales]]-tblSales[[#This Row],[Budget]])/tblSales[[#This Row],[Budget]]</f>
        <v>7.2564469914040114E-2</v>
      </c>
      <c r="M2170" s="2">
        <f>tblSales[[#This Row],[Sales]]/tblSales[[#This Row],[Transactions]]</f>
        <v>414</v>
      </c>
    </row>
    <row r="2171" spans="1:13" x14ac:dyDescent="0.25">
      <c r="A2171" s="1">
        <v>46131</v>
      </c>
      <c r="B2171" t="s">
        <v>18</v>
      </c>
      <c r="C2171" t="s">
        <v>19</v>
      </c>
      <c r="D2171" t="str">
        <f>_xlfn.XLOOKUP(tblSales[[#This Row],[Store ID]],tblStores[Store ID],tblStores[Store Name])</f>
        <v>East Rand</v>
      </c>
      <c r="E2171" t="str">
        <f>_xlfn.XLOOKUP(tblSales[[#This Row],[Store ID]],tblStores[Store ID],tblStores[Province])</f>
        <v>Gauteng</v>
      </c>
      <c r="F2171" t="str">
        <f>_xlfn.XLOOKUP(tblSales[[#This Row],[Store ID]],tblStores[Store ID],tblStores[Manager])</f>
        <v>Lisa Young</v>
      </c>
      <c r="G2171" t="str">
        <f>_xlfn.XLOOKUP(tblSales[[#This Row],[Category ID]],tblCategories[Category ID],tblCategories[Category])</f>
        <v>Accessories</v>
      </c>
      <c r="H2171">
        <v>40800</v>
      </c>
      <c r="I2171">
        <v>43803</v>
      </c>
      <c r="J2171">
        <v>170</v>
      </c>
      <c r="K2171">
        <f>tblSales[[#This Row],[Sales]]-tblSales[[#This Row],[Budget]]</f>
        <v>-3003</v>
      </c>
      <c r="L2171" s="3">
        <f>(tblSales[[#This Row],[Sales]]-tblSales[[#This Row],[Budget]])/tblSales[[#This Row],[Budget]]</f>
        <v>-6.8556948154236005E-2</v>
      </c>
      <c r="M2171" s="2">
        <f>tblSales[[#This Row],[Sales]]/tblSales[[#This Row],[Transactions]]</f>
        <v>240</v>
      </c>
    </row>
    <row r="2172" spans="1:13" x14ac:dyDescent="0.25">
      <c r="A2172" s="1">
        <v>46131</v>
      </c>
      <c r="B2172" t="s">
        <v>20</v>
      </c>
      <c r="C2172" t="s">
        <v>11</v>
      </c>
      <c r="D2172" t="str">
        <f>_xlfn.XLOOKUP(tblSales[[#This Row],[Store ID]],tblStores[Store ID],tblStores[Store Name])</f>
        <v>Cape Town CBD</v>
      </c>
      <c r="E2172" t="str">
        <f>_xlfn.XLOOKUP(tblSales[[#This Row],[Store ID]],tblStores[Store ID],tblStores[Province])</f>
        <v>Western Cape</v>
      </c>
      <c r="F2172" t="str">
        <f>_xlfn.XLOOKUP(tblSales[[#This Row],[Store ID]],tblStores[Store ID],tblStores[Manager])</f>
        <v>Brian Hall</v>
      </c>
      <c r="G2172" t="str">
        <f>_xlfn.XLOOKUP(tblSales[[#This Row],[Category ID]],tblCategories[Category ID],tblCategories[Category])</f>
        <v>Footwear</v>
      </c>
      <c r="H2172">
        <v>30576</v>
      </c>
      <c r="I2172">
        <v>33224</v>
      </c>
      <c r="J2172">
        <v>156</v>
      </c>
      <c r="K2172">
        <f>tblSales[[#This Row],[Sales]]-tblSales[[#This Row],[Budget]]</f>
        <v>-2648</v>
      </c>
      <c r="L2172" s="3">
        <f>(tblSales[[#This Row],[Sales]]-tblSales[[#This Row],[Budget]])/tblSales[[#This Row],[Budget]]</f>
        <v>-7.970142065976403E-2</v>
      </c>
      <c r="M2172" s="2">
        <f>tblSales[[#This Row],[Sales]]/tblSales[[#This Row],[Transactions]]</f>
        <v>196</v>
      </c>
    </row>
    <row r="2173" spans="1:13" x14ac:dyDescent="0.25">
      <c r="A2173" s="1">
        <v>46131</v>
      </c>
      <c r="B2173" t="s">
        <v>21</v>
      </c>
      <c r="C2173" t="s">
        <v>19</v>
      </c>
      <c r="D2173" t="str">
        <f>_xlfn.XLOOKUP(tblSales[[#This Row],[Store ID]],tblStores[Store ID],tblStores[Store Name])</f>
        <v>Canal Walk</v>
      </c>
      <c r="E2173" t="str">
        <f>_xlfn.XLOOKUP(tblSales[[#This Row],[Store ID]],tblStores[Store ID],tblStores[Province])</f>
        <v>Western Cape</v>
      </c>
      <c r="F2173" t="str">
        <f>_xlfn.XLOOKUP(tblSales[[#This Row],[Store ID]],tblStores[Store ID],tblStores[Manager])</f>
        <v>Megan Scott</v>
      </c>
      <c r="G2173" t="str">
        <f>_xlfn.XLOOKUP(tblSales[[#This Row],[Category ID]],tblCategories[Category ID],tblCategories[Category])</f>
        <v>Accessories</v>
      </c>
      <c r="H2173">
        <v>30960</v>
      </c>
      <c r="I2173">
        <v>32520</v>
      </c>
      <c r="J2173">
        <v>129</v>
      </c>
      <c r="K2173">
        <f>tblSales[[#This Row],[Sales]]-tblSales[[#This Row],[Budget]]</f>
        <v>-1560</v>
      </c>
      <c r="L2173" s="3">
        <f>(tblSales[[#This Row],[Sales]]-tblSales[[#This Row],[Budget]])/tblSales[[#This Row],[Budget]]</f>
        <v>-4.797047970479705E-2</v>
      </c>
      <c r="M2173" s="2">
        <f>tblSales[[#This Row],[Sales]]/tblSales[[#This Row],[Transactions]]</f>
        <v>240</v>
      </c>
    </row>
    <row r="2174" spans="1:13" x14ac:dyDescent="0.25">
      <c r="A2174" s="1">
        <v>46131</v>
      </c>
      <c r="B2174" t="s">
        <v>23</v>
      </c>
      <c r="C2174" t="s">
        <v>11</v>
      </c>
      <c r="D2174" t="str">
        <f>_xlfn.XLOOKUP(tblSales[[#This Row],[Store ID]],tblStores[Store ID],tblStores[Store Name])</f>
        <v>Stellenbosch</v>
      </c>
      <c r="E2174" t="str">
        <f>_xlfn.XLOOKUP(tblSales[[#This Row],[Store ID]],tblStores[Store ID],tblStores[Province])</f>
        <v>Western Cape</v>
      </c>
      <c r="F2174" t="str">
        <f>_xlfn.XLOOKUP(tblSales[[#This Row],[Store ID]],tblStores[Store ID],tblStores[Manager])</f>
        <v>Jason King</v>
      </c>
      <c r="G2174" t="str">
        <f>_xlfn.XLOOKUP(tblSales[[#This Row],[Category ID]],tblCategories[Category ID],tblCategories[Category])</f>
        <v>Footwear</v>
      </c>
      <c r="H2174">
        <v>15183</v>
      </c>
      <c r="I2174">
        <v>15067</v>
      </c>
      <c r="J2174">
        <v>63</v>
      </c>
      <c r="K2174">
        <f>tblSales[[#This Row],[Sales]]-tblSales[[#This Row],[Budget]]</f>
        <v>116</v>
      </c>
      <c r="L2174" s="3">
        <f>(tblSales[[#This Row],[Sales]]-tblSales[[#This Row],[Budget]])/tblSales[[#This Row],[Budget]]</f>
        <v>7.6989447136125303E-3</v>
      </c>
      <c r="M2174" s="2">
        <f>tblSales[[#This Row],[Sales]]/tblSales[[#This Row],[Transactions]]</f>
        <v>241</v>
      </c>
    </row>
    <row r="2175" spans="1:13" x14ac:dyDescent="0.25">
      <c r="A2175" s="1">
        <v>46131</v>
      </c>
      <c r="B2175" t="s">
        <v>24</v>
      </c>
      <c r="C2175" t="s">
        <v>22</v>
      </c>
      <c r="D2175" t="str">
        <f>_xlfn.XLOOKUP(tblSales[[#This Row],[Store ID]],tblStores[Store ID],tblStores[Store Name])</f>
        <v>George</v>
      </c>
      <c r="E2175" t="str">
        <f>_xlfn.XLOOKUP(tblSales[[#This Row],[Store ID]],tblStores[Store ID],tblStores[Province])</f>
        <v>Western Cape</v>
      </c>
      <c r="F2175" t="str">
        <f>_xlfn.XLOOKUP(tblSales[[#This Row],[Store ID]],tblStores[Store ID],tblStores[Manager])</f>
        <v>Chloe Hill</v>
      </c>
      <c r="G2175" t="str">
        <f>_xlfn.XLOOKUP(tblSales[[#This Row],[Category ID]],tblCategories[Category ID],tblCategories[Category])</f>
        <v>Kids</v>
      </c>
      <c r="H2175">
        <v>20115</v>
      </c>
      <c r="I2175">
        <v>18874</v>
      </c>
      <c r="J2175">
        <v>45</v>
      </c>
      <c r="K2175">
        <f>tblSales[[#This Row],[Sales]]-tblSales[[#This Row],[Budget]]</f>
        <v>1241</v>
      </c>
      <c r="L2175" s="3">
        <f>(tblSales[[#This Row],[Sales]]-tblSales[[#This Row],[Budget]])/tblSales[[#This Row],[Budget]]</f>
        <v>6.5751827911412528E-2</v>
      </c>
      <c r="M2175" s="2">
        <f>tblSales[[#This Row],[Sales]]/tblSales[[#This Row],[Transactions]]</f>
        <v>447</v>
      </c>
    </row>
    <row r="2176" spans="1:13" x14ac:dyDescent="0.25">
      <c r="A2176" s="1">
        <v>46131</v>
      </c>
      <c r="B2176" t="s">
        <v>25</v>
      </c>
      <c r="C2176" t="s">
        <v>22</v>
      </c>
      <c r="D2176" t="str">
        <f>_xlfn.XLOOKUP(tblSales[[#This Row],[Store ID]],tblStores[Store ID],tblStores[Store Name])</f>
        <v>Paarl</v>
      </c>
      <c r="E2176" t="str">
        <f>_xlfn.XLOOKUP(tblSales[[#This Row],[Store ID]],tblStores[Store ID],tblStores[Province])</f>
        <v>Western Cape</v>
      </c>
      <c r="F2176" t="str">
        <f>_xlfn.XLOOKUP(tblSales[[#This Row],[Store ID]],tblStores[Store ID],tblStores[Manager])</f>
        <v>Andrew Lee</v>
      </c>
      <c r="G2176" t="str">
        <f>_xlfn.XLOOKUP(tblSales[[#This Row],[Category ID]],tblCategories[Category ID],tblCategories[Category])</f>
        <v>Kids</v>
      </c>
      <c r="H2176">
        <v>41923</v>
      </c>
      <c r="I2176">
        <v>40909</v>
      </c>
      <c r="J2176">
        <v>113</v>
      </c>
      <c r="K2176">
        <f>tblSales[[#This Row],[Sales]]-tblSales[[#This Row],[Budget]]</f>
        <v>1014</v>
      </c>
      <c r="L2176" s="3">
        <f>(tblSales[[#This Row],[Sales]]-tblSales[[#This Row],[Budget]])/tblSales[[#This Row],[Budget]]</f>
        <v>2.4786721748270551E-2</v>
      </c>
      <c r="M2176" s="2">
        <f>tblSales[[#This Row],[Sales]]/tblSales[[#This Row],[Transactions]]</f>
        <v>371</v>
      </c>
    </row>
    <row r="2177" spans="1:13" x14ac:dyDescent="0.25">
      <c r="A2177" s="1">
        <v>46131</v>
      </c>
      <c r="B2177" t="s">
        <v>26</v>
      </c>
      <c r="C2177" t="s">
        <v>11</v>
      </c>
      <c r="D2177" t="str">
        <f>_xlfn.XLOOKUP(tblSales[[#This Row],[Store ID]],tblStores[Store ID],tblStores[Store Name])</f>
        <v>Gqeberha</v>
      </c>
      <c r="E2177" t="str">
        <f>_xlfn.XLOOKUP(tblSales[[#This Row],[Store ID]],tblStores[Store ID],tblStores[Province])</f>
        <v>Eastern Cape</v>
      </c>
      <c r="F2177" t="str">
        <f>_xlfn.XLOOKUP(tblSales[[#This Row],[Store ID]],tblStores[Store ID],tblStores[Manager])</f>
        <v>Emma Baker</v>
      </c>
      <c r="G2177" t="str">
        <f>_xlfn.XLOOKUP(tblSales[[#This Row],[Category ID]],tblCategories[Category ID],tblCategories[Category])</f>
        <v>Footwear</v>
      </c>
      <c r="H2177">
        <v>10626</v>
      </c>
      <c r="I2177">
        <v>9940</v>
      </c>
      <c r="J2177">
        <v>42</v>
      </c>
      <c r="K2177">
        <f>tblSales[[#This Row],[Sales]]-tblSales[[#This Row],[Budget]]</f>
        <v>686</v>
      </c>
      <c r="L2177" s="3">
        <f>(tblSales[[#This Row],[Sales]]-tblSales[[#This Row],[Budget]])/tblSales[[#This Row],[Budget]]</f>
        <v>6.9014084507042259E-2</v>
      </c>
      <c r="M2177" s="2">
        <f>tblSales[[#This Row],[Sales]]/tblSales[[#This Row],[Transactions]]</f>
        <v>253</v>
      </c>
    </row>
    <row r="2178" spans="1:13" x14ac:dyDescent="0.25">
      <c r="A2178" s="1">
        <v>46131</v>
      </c>
      <c r="B2178" t="s">
        <v>27</v>
      </c>
      <c r="C2178" t="s">
        <v>19</v>
      </c>
      <c r="D2178" t="str">
        <f>_xlfn.XLOOKUP(tblSales[[#This Row],[Store ID]],tblStores[Store ID],tblStores[Store Name])</f>
        <v>East London</v>
      </c>
      <c r="E2178" t="str">
        <f>_xlfn.XLOOKUP(tblSales[[#This Row],[Store ID]],tblStores[Store ID],tblStores[Province])</f>
        <v>Eastern Cape</v>
      </c>
      <c r="F2178" t="str">
        <f>_xlfn.XLOOKUP(tblSales[[#This Row],[Store ID]],tblStores[Store ID],tblStores[Manager])</f>
        <v>Daniel Evans</v>
      </c>
      <c r="G2178" t="str">
        <f>_xlfn.XLOOKUP(tblSales[[#This Row],[Category ID]],tblCategories[Category ID],tblCategories[Category])</f>
        <v>Accessories</v>
      </c>
      <c r="H2178">
        <v>28968</v>
      </c>
      <c r="I2178">
        <v>32855</v>
      </c>
      <c r="J2178">
        <v>142</v>
      </c>
      <c r="K2178">
        <f>tblSales[[#This Row],[Sales]]-tblSales[[#This Row],[Budget]]</f>
        <v>-3887</v>
      </c>
      <c r="L2178" s="3">
        <f>(tblSales[[#This Row],[Sales]]-tblSales[[#This Row],[Budget]])/tblSales[[#This Row],[Budget]]</f>
        <v>-0.11830771572059047</v>
      </c>
      <c r="M2178" s="2">
        <f>tblSales[[#This Row],[Sales]]/tblSales[[#This Row],[Transactions]]</f>
        <v>204</v>
      </c>
    </row>
    <row r="2179" spans="1:13" x14ac:dyDescent="0.25">
      <c r="A2179" s="1">
        <v>46131</v>
      </c>
      <c r="B2179" t="s">
        <v>28</v>
      </c>
      <c r="C2179" t="s">
        <v>22</v>
      </c>
      <c r="D2179" t="str">
        <f>_xlfn.XLOOKUP(tblSales[[#This Row],[Store ID]],tblStores[Store ID],tblStores[Store Name])</f>
        <v>Bloemfontein</v>
      </c>
      <c r="E2179" t="str">
        <f>_xlfn.XLOOKUP(tblSales[[#This Row],[Store ID]],tblStores[Store ID],tblStores[Province])</f>
        <v>Free State</v>
      </c>
      <c r="F2179" t="str">
        <f>_xlfn.XLOOKUP(tblSales[[#This Row],[Store ID]],tblStores[Store ID],tblStores[Manager])</f>
        <v>Rachel Moore</v>
      </c>
      <c r="G2179" t="str">
        <f>_xlfn.XLOOKUP(tblSales[[#This Row],[Category ID]],tblCategories[Category ID],tblCategories[Category])</f>
        <v>Kids</v>
      </c>
      <c r="H2179">
        <v>31030</v>
      </c>
      <c r="I2179">
        <v>29347</v>
      </c>
      <c r="J2179">
        <v>107</v>
      </c>
      <c r="K2179">
        <f>tblSales[[#This Row],[Sales]]-tblSales[[#This Row],[Budget]]</f>
        <v>1683</v>
      </c>
      <c r="L2179" s="3">
        <f>(tblSales[[#This Row],[Sales]]-tblSales[[#This Row],[Budget]])/tblSales[[#This Row],[Budget]]</f>
        <v>5.734828091457389E-2</v>
      </c>
      <c r="M2179" s="2">
        <f>tblSales[[#This Row],[Sales]]/tblSales[[#This Row],[Transactions]]</f>
        <v>290</v>
      </c>
    </row>
    <row r="2180" spans="1:13" x14ac:dyDescent="0.25">
      <c r="A2180" s="1">
        <v>46131</v>
      </c>
      <c r="B2180" t="s">
        <v>29</v>
      </c>
      <c r="C2180" t="s">
        <v>11</v>
      </c>
      <c r="D2180" t="str">
        <f>_xlfn.XLOOKUP(tblSales[[#This Row],[Store ID]],tblStores[Store ID],tblStores[Store Name])</f>
        <v>Polokwane</v>
      </c>
      <c r="E2180" t="str">
        <f>_xlfn.XLOOKUP(tblSales[[#This Row],[Store ID]],tblStores[Store ID],tblStores[Province])</f>
        <v>Limpopo</v>
      </c>
      <c r="F2180" t="str">
        <f>_xlfn.XLOOKUP(tblSales[[#This Row],[Store ID]],tblStores[Store ID],tblStores[Manager])</f>
        <v>Kevin Harris</v>
      </c>
      <c r="G2180" t="str">
        <f>_xlfn.XLOOKUP(tblSales[[#This Row],[Category ID]],tblCategories[Category ID],tblCategories[Category])</f>
        <v>Footwear</v>
      </c>
      <c r="H2180">
        <v>8470</v>
      </c>
      <c r="I2180">
        <v>8782</v>
      </c>
      <c r="J2180">
        <v>35</v>
      </c>
      <c r="K2180">
        <f>tblSales[[#This Row],[Sales]]-tblSales[[#This Row],[Budget]]</f>
        <v>-312</v>
      </c>
      <c r="L2180" s="3">
        <f>(tblSales[[#This Row],[Sales]]-tblSales[[#This Row],[Budget]])/tblSales[[#This Row],[Budget]]</f>
        <v>-3.5527214757458438E-2</v>
      </c>
      <c r="M2180" s="2">
        <f>tblSales[[#This Row],[Sales]]/tblSales[[#This Row],[Transactions]]</f>
        <v>242</v>
      </c>
    </row>
    <row r="2181" spans="1:13" x14ac:dyDescent="0.25">
      <c r="A2181" s="1">
        <v>46131</v>
      </c>
      <c r="B2181" t="s">
        <v>30</v>
      </c>
      <c r="C2181" t="s">
        <v>7</v>
      </c>
      <c r="D2181" t="str">
        <f>_xlfn.XLOOKUP(tblSales[[#This Row],[Store ID]],tblStores[Store ID],tblStores[Store Name])</f>
        <v>Nelspruit</v>
      </c>
      <c r="E2181" t="str">
        <f>_xlfn.XLOOKUP(tblSales[[#This Row],[Store ID]],tblStores[Store ID],tblStores[Province])</f>
        <v>Mpumalanga</v>
      </c>
      <c r="F2181" t="str">
        <f>_xlfn.XLOOKUP(tblSales[[#This Row],[Store ID]],tblStores[Store ID],tblStores[Manager])</f>
        <v>Olivia Turner</v>
      </c>
      <c r="G2181" t="str">
        <f>_xlfn.XLOOKUP(tblSales[[#This Row],[Category ID]],tblCategories[Category ID],tblCategories[Category])</f>
        <v>Menswear</v>
      </c>
      <c r="H2181">
        <v>18078</v>
      </c>
      <c r="I2181">
        <v>18444</v>
      </c>
      <c r="J2181">
        <v>46</v>
      </c>
      <c r="K2181">
        <f>tblSales[[#This Row],[Sales]]-tblSales[[#This Row],[Budget]]</f>
        <v>-366</v>
      </c>
      <c r="L2181" s="3">
        <f>(tblSales[[#This Row],[Sales]]-tblSales[[#This Row],[Budget]])/tblSales[[#This Row],[Budget]]</f>
        <v>-1.9843851659076123E-2</v>
      </c>
      <c r="M2181" s="2">
        <f>tblSales[[#This Row],[Sales]]/tblSales[[#This Row],[Transactions]]</f>
        <v>393</v>
      </c>
    </row>
    <row r="2182" spans="1:13" x14ac:dyDescent="0.25">
      <c r="A2182" s="1">
        <v>46132</v>
      </c>
      <c r="B2182" t="s">
        <v>6</v>
      </c>
      <c r="C2182" t="s">
        <v>22</v>
      </c>
      <c r="D2182" t="str">
        <f>_xlfn.XLOOKUP(tblSales[[#This Row],[Store ID]],tblStores[Store ID],tblStores[Store Name])</f>
        <v>Durban CBD</v>
      </c>
      <c r="E2182" t="str">
        <f>_xlfn.XLOOKUP(tblSales[[#This Row],[Store ID]],tblStores[Store ID],tblStores[Province])</f>
        <v>KZN</v>
      </c>
      <c r="F2182" t="str">
        <f>_xlfn.XLOOKUP(tblSales[[#This Row],[Store ID]],tblStores[Store ID],tblStores[Manager])</f>
        <v>Sarah Adams</v>
      </c>
      <c r="G2182" t="str">
        <f>_xlfn.XLOOKUP(tblSales[[#This Row],[Category ID]],tblCategories[Category ID],tblCategories[Category])</f>
        <v>Kids</v>
      </c>
      <c r="H2182">
        <v>73569</v>
      </c>
      <c r="I2182">
        <v>82770</v>
      </c>
      <c r="J2182">
        <v>179</v>
      </c>
      <c r="K2182">
        <f>tblSales[[#This Row],[Sales]]-tblSales[[#This Row],[Budget]]</f>
        <v>-9201</v>
      </c>
      <c r="L2182" s="3">
        <f>(tblSales[[#This Row],[Sales]]-tblSales[[#This Row],[Budget]])/tblSales[[#This Row],[Budget]]</f>
        <v>-0.11116346502355925</v>
      </c>
      <c r="M2182" s="2">
        <f>tblSales[[#This Row],[Sales]]/tblSales[[#This Row],[Transactions]]</f>
        <v>411</v>
      </c>
    </row>
    <row r="2183" spans="1:13" x14ac:dyDescent="0.25">
      <c r="A2183" s="1">
        <v>46132</v>
      </c>
      <c r="B2183" t="s">
        <v>8</v>
      </c>
      <c r="C2183" t="s">
        <v>11</v>
      </c>
      <c r="D2183" t="str">
        <f>_xlfn.XLOOKUP(tblSales[[#This Row],[Store ID]],tblStores[Store ID],tblStores[Store Name])</f>
        <v>Gateway</v>
      </c>
      <c r="E2183" t="str">
        <f>_xlfn.XLOOKUP(tblSales[[#This Row],[Store ID]],tblStores[Store ID],tblStores[Province])</f>
        <v>KZN</v>
      </c>
      <c r="F2183" t="str">
        <f>_xlfn.XLOOKUP(tblSales[[#This Row],[Store ID]],tblStores[Store ID],tblStores[Manager])</f>
        <v>Michael Jones</v>
      </c>
      <c r="G2183" t="str">
        <f>_xlfn.XLOOKUP(tblSales[[#This Row],[Category ID]],tblCategories[Category ID],tblCategories[Category])</f>
        <v>Footwear</v>
      </c>
      <c r="H2183">
        <v>76440</v>
      </c>
      <c r="I2183">
        <v>71333</v>
      </c>
      <c r="J2183">
        <v>156</v>
      </c>
      <c r="K2183">
        <f>tblSales[[#This Row],[Sales]]-tblSales[[#This Row],[Budget]]</f>
        <v>5107</v>
      </c>
      <c r="L2183" s="3">
        <f>(tblSales[[#This Row],[Sales]]-tblSales[[#This Row],[Budget]])/tblSales[[#This Row],[Budget]]</f>
        <v>7.1593792494357447E-2</v>
      </c>
      <c r="M2183" s="2">
        <f>tblSales[[#This Row],[Sales]]/tblSales[[#This Row],[Transactions]]</f>
        <v>490</v>
      </c>
    </row>
    <row r="2184" spans="1:13" x14ac:dyDescent="0.25">
      <c r="A2184" s="1">
        <v>46132</v>
      </c>
      <c r="B2184" t="s">
        <v>10</v>
      </c>
      <c r="C2184" t="s">
        <v>9</v>
      </c>
      <c r="D2184" t="str">
        <f>_xlfn.XLOOKUP(tblSales[[#This Row],[Store ID]],tblStores[Store ID],tblStores[Store Name])</f>
        <v>Ballito</v>
      </c>
      <c r="E2184" t="str">
        <f>_xlfn.XLOOKUP(tblSales[[#This Row],[Store ID]],tblStores[Store ID],tblStores[Province])</f>
        <v>KZN</v>
      </c>
      <c r="F2184" t="str">
        <f>_xlfn.XLOOKUP(tblSales[[#This Row],[Store ID]],tblStores[Store ID],tblStores[Manager])</f>
        <v>Linda Smith</v>
      </c>
      <c r="G2184" t="str">
        <f>_xlfn.XLOOKUP(tblSales[[#This Row],[Category ID]],tblCategories[Category ID],tblCategories[Category])</f>
        <v>Ladieswear</v>
      </c>
      <c r="H2184">
        <v>82820</v>
      </c>
      <c r="I2184">
        <v>84081</v>
      </c>
      <c r="J2184">
        <v>164</v>
      </c>
      <c r="K2184">
        <f>tblSales[[#This Row],[Sales]]-tblSales[[#This Row],[Budget]]</f>
        <v>-1261</v>
      </c>
      <c r="L2184" s="3">
        <f>(tblSales[[#This Row],[Sales]]-tblSales[[#This Row],[Budget]])/tblSales[[#This Row],[Budget]]</f>
        <v>-1.4997442941925048E-2</v>
      </c>
      <c r="M2184" s="2">
        <f>tblSales[[#This Row],[Sales]]/tblSales[[#This Row],[Transactions]]</f>
        <v>505</v>
      </c>
    </row>
    <row r="2185" spans="1:13" x14ac:dyDescent="0.25">
      <c r="A2185" s="1">
        <v>46132</v>
      </c>
      <c r="B2185" t="s">
        <v>12</v>
      </c>
      <c r="C2185" t="s">
        <v>11</v>
      </c>
      <c r="D2185" t="str">
        <f>_xlfn.XLOOKUP(tblSales[[#This Row],[Store ID]],tblStores[Store ID],tblStores[Store Name])</f>
        <v>Pietermaritzburg</v>
      </c>
      <c r="E2185" t="str">
        <f>_xlfn.XLOOKUP(tblSales[[#This Row],[Store ID]],tblStores[Store ID],tblStores[Province])</f>
        <v>KZN</v>
      </c>
      <c r="F2185" t="str">
        <f>_xlfn.XLOOKUP(tblSales[[#This Row],[Store ID]],tblStores[Store ID],tblStores[Manager])</f>
        <v>Peter Brown</v>
      </c>
      <c r="G2185" t="str">
        <f>_xlfn.XLOOKUP(tblSales[[#This Row],[Category ID]],tblCategories[Category ID],tblCategories[Category])</f>
        <v>Footwear</v>
      </c>
      <c r="H2185">
        <v>83845</v>
      </c>
      <c r="I2185">
        <v>78583</v>
      </c>
      <c r="J2185">
        <v>205</v>
      </c>
      <c r="K2185">
        <f>tblSales[[#This Row],[Sales]]-tblSales[[#This Row],[Budget]]</f>
        <v>5262</v>
      </c>
      <c r="L2185" s="3">
        <f>(tblSales[[#This Row],[Sales]]-tblSales[[#This Row],[Budget]])/tblSales[[#This Row],[Budget]]</f>
        <v>6.6961047554814648E-2</v>
      </c>
      <c r="M2185" s="2">
        <f>tblSales[[#This Row],[Sales]]/tblSales[[#This Row],[Transactions]]</f>
        <v>409</v>
      </c>
    </row>
    <row r="2186" spans="1:13" x14ac:dyDescent="0.25">
      <c r="A2186" s="1">
        <v>46132</v>
      </c>
      <c r="B2186" t="s">
        <v>13</v>
      </c>
      <c r="C2186" t="s">
        <v>22</v>
      </c>
      <c r="D2186" t="str">
        <f>_xlfn.XLOOKUP(tblSales[[#This Row],[Store ID]],tblStores[Store ID],tblStores[Store Name])</f>
        <v>Richards Bay</v>
      </c>
      <c r="E2186" t="str">
        <f>_xlfn.XLOOKUP(tblSales[[#This Row],[Store ID]],tblStores[Store ID],tblStores[Province])</f>
        <v>KZN</v>
      </c>
      <c r="F2186" t="str">
        <f>_xlfn.XLOOKUP(tblSales[[#This Row],[Store ID]],tblStores[Store ID],tblStores[Manager])</f>
        <v>David Green</v>
      </c>
      <c r="G2186" t="str">
        <f>_xlfn.XLOOKUP(tblSales[[#This Row],[Category ID]],tblCategories[Category ID],tblCategories[Category])</f>
        <v>Kids</v>
      </c>
      <c r="H2186">
        <v>28443</v>
      </c>
      <c r="I2186">
        <v>30323</v>
      </c>
      <c r="J2186">
        <v>57</v>
      </c>
      <c r="K2186">
        <f>tblSales[[#This Row],[Sales]]-tblSales[[#This Row],[Budget]]</f>
        <v>-1880</v>
      </c>
      <c r="L2186" s="3">
        <f>(tblSales[[#This Row],[Sales]]-tblSales[[#This Row],[Budget]])/tblSales[[#This Row],[Budget]]</f>
        <v>-6.1999142565049632E-2</v>
      </c>
      <c r="M2186" s="2">
        <f>tblSales[[#This Row],[Sales]]/tblSales[[#This Row],[Transactions]]</f>
        <v>499</v>
      </c>
    </row>
    <row r="2187" spans="1:13" x14ac:dyDescent="0.25">
      <c r="A2187" s="1">
        <v>46132</v>
      </c>
      <c r="B2187" t="s">
        <v>14</v>
      </c>
      <c r="C2187" t="s">
        <v>11</v>
      </c>
      <c r="D2187" t="str">
        <f>_xlfn.XLOOKUP(tblSales[[#This Row],[Store ID]],tblStores[Store ID],tblStores[Store Name])</f>
        <v>Sandton</v>
      </c>
      <c r="E2187" t="str">
        <f>_xlfn.XLOOKUP(tblSales[[#This Row],[Store ID]],tblStores[Store ID],tblStores[Province])</f>
        <v>Gauteng</v>
      </c>
      <c r="F2187" t="str">
        <f>_xlfn.XLOOKUP(tblSales[[#This Row],[Store ID]],tblStores[Store ID],tblStores[Manager])</f>
        <v>Karen White</v>
      </c>
      <c r="G2187" t="str">
        <f>_xlfn.XLOOKUP(tblSales[[#This Row],[Category ID]],tblCategories[Category ID],tblCategories[Category])</f>
        <v>Footwear</v>
      </c>
      <c r="H2187">
        <v>40066</v>
      </c>
      <c r="I2187">
        <v>45076</v>
      </c>
      <c r="J2187">
        <v>134</v>
      </c>
      <c r="K2187">
        <f>tblSales[[#This Row],[Sales]]-tblSales[[#This Row],[Budget]]</f>
        <v>-5010</v>
      </c>
      <c r="L2187" s="3">
        <f>(tblSales[[#This Row],[Sales]]-tblSales[[#This Row],[Budget]])/tblSales[[#This Row],[Budget]]</f>
        <v>-0.11114562072943474</v>
      </c>
      <c r="M2187" s="2">
        <f>tblSales[[#This Row],[Sales]]/tblSales[[#This Row],[Transactions]]</f>
        <v>299</v>
      </c>
    </row>
    <row r="2188" spans="1:13" x14ac:dyDescent="0.25">
      <c r="A2188" s="1">
        <v>46132</v>
      </c>
      <c r="B2188" t="s">
        <v>15</v>
      </c>
      <c r="C2188" t="s">
        <v>22</v>
      </c>
      <c r="D2188" t="str">
        <f>_xlfn.XLOOKUP(tblSales[[#This Row],[Store ID]],tblStores[Store ID],tblStores[Store Name])</f>
        <v>Rosebank</v>
      </c>
      <c r="E2188" t="str">
        <f>_xlfn.XLOOKUP(tblSales[[#This Row],[Store ID]],tblStores[Store ID],tblStores[Province])</f>
        <v>Gauteng</v>
      </c>
      <c r="F2188" t="str">
        <f>_xlfn.XLOOKUP(tblSales[[#This Row],[Store ID]],tblStores[Store ID],tblStores[Manager])</f>
        <v>James Taylor</v>
      </c>
      <c r="G2188" t="str">
        <f>_xlfn.XLOOKUP(tblSales[[#This Row],[Category ID]],tblCategories[Category ID],tblCategories[Category])</f>
        <v>Kids</v>
      </c>
      <c r="H2188">
        <v>35119</v>
      </c>
      <c r="I2188">
        <v>40018</v>
      </c>
      <c r="J2188">
        <v>173</v>
      </c>
      <c r="K2188">
        <f>tblSales[[#This Row],[Sales]]-tblSales[[#This Row],[Budget]]</f>
        <v>-4899</v>
      </c>
      <c r="L2188" s="3">
        <f>(tblSales[[#This Row],[Sales]]-tblSales[[#This Row],[Budget]])/tblSales[[#This Row],[Budget]]</f>
        <v>-0.12241991104003198</v>
      </c>
      <c r="M2188" s="2">
        <f>tblSales[[#This Row],[Sales]]/tblSales[[#This Row],[Transactions]]</f>
        <v>203</v>
      </c>
    </row>
    <row r="2189" spans="1:13" x14ac:dyDescent="0.25">
      <c r="A2189" s="1">
        <v>46132</v>
      </c>
      <c r="B2189" t="s">
        <v>16</v>
      </c>
      <c r="C2189" t="s">
        <v>11</v>
      </c>
      <c r="D2189" t="str">
        <f>_xlfn.XLOOKUP(tblSales[[#This Row],[Store ID]],tblStores[Store ID],tblStores[Store Name])</f>
        <v>Pretoria</v>
      </c>
      <c r="E2189" t="str">
        <f>_xlfn.XLOOKUP(tblSales[[#This Row],[Store ID]],tblStores[Store ID],tblStores[Province])</f>
        <v>Gauteng</v>
      </c>
      <c r="F2189" t="str">
        <f>_xlfn.XLOOKUP(tblSales[[#This Row],[Store ID]],tblStores[Store ID],tblStores[Manager])</f>
        <v>Susan Clark</v>
      </c>
      <c r="G2189" t="str">
        <f>_xlfn.XLOOKUP(tblSales[[#This Row],[Category ID]],tblCategories[Category ID],tblCategories[Category])</f>
        <v>Footwear</v>
      </c>
      <c r="H2189">
        <v>54060</v>
      </c>
      <c r="I2189">
        <v>49850</v>
      </c>
      <c r="J2189">
        <v>106</v>
      </c>
      <c r="K2189">
        <f>tblSales[[#This Row],[Sales]]-tblSales[[#This Row],[Budget]]</f>
        <v>4210</v>
      </c>
      <c r="L2189" s="3">
        <f>(tblSales[[#This Row],[Sales]]-tblSales[[#This Row],[Budget]])/tblSales[[#This Row],[Budget]]</f>
        <v>8.4453360080240722E-2</v>
      </c>
      <c r="M2189" s="2">
        <f>tblSales[[#This Row],[Sales]]/tblSales[[#This Row],[Transactions]]</f>
        <v>510</v>
      </c>
    </row>
    <row r="2190" spans="1:13" x14ac:dyDescent="0.25">
      <c r="A2190" s="1">
        <v>46132</v>
      </c>
      <c r="B2190" t="s">
        <v>17</v>
      </c>
      <c r="C2190" t="s">
        <v>9</v>
      </c>
      <c r="D2190" t="str">
        <f>_xlfn.XLOOKUP(tblSales[[#This Row],[Store ID]],tblStores[Store ID],tblStores[Store Name])</f>
        <v>Centurion</v>
      </c>
      <c r="E2190" t="str">
        <f>_xlfn.XLOOKUP(tblSales[[#This Row],[Store ID]],tblStores[Store ID],tblStores[Province])</f>
        <v>Gauteng</v>
      </c>
      <c r="F2190" t="str">
        <f>_xlfn.XLOOKUP(tblSales[[#This Row],[Store ID]],tblStores[Store ID],tblStores[Manager])</f>
        <v>Mark Wilson</v>
      </c>
      <c r="G2190" t="str">
        <f>_xlfn.XLOOKUP(tblSales[[#This Row],[Category ID]],tblCategories[Category ID],tblCategories[Category])</f>
        <v>Ladieswear</v>
      </c>
      <c r="H2190">
        <v>41472</v>
      </c>
      <c r="I2190">
        <v>43255</v>
      </c>
      <c r="J2190">
        <v>216</v>
      </c>
      <c r="K2190">
        <f>tblSales[[#This Row],[Sales]]-tblSales[[#This Row],[Budget]]</f>
        <v>-1783</v>
      </c>
      <c r="L2190" s="3">
        <f>(tblSales[[#This Row],[Sales]]-tblSales[[#This Row],[Budget]])/tblSales[[#This Row],[Budget]]</f>
        <v>-4.1220668130851922E-2</v>
      </c>
      <c r="M2190" s="2">
        <f>tblSales[[#This Row],[Sales]]/tblSales[[#This Row],[Transactions]]</f>
        <v>192</v>
      </c>
    </row>
    <row r="2191" spans="1:13" x14ac:dyDescent="0.25">
      <c r="A2191" s="1">
        <v>46132</v>
      </c>
      <c r="B2191" t="s">
        <v>18</v>
      </c>
      <c r="C2191" t="s">
        <v>22</v>
      </c>
      <c r="D2191" t="str">
        <f>_xlfn.XLOOKUP(tblSales[[#This Row],[Store ID]],tblStores[Store ID],tblStores[Store Name])</f>
        <v>East Rand</v>
      </c>
      <c r="E2191" t="str">
        <f>_xlfn.XLOOKUP(tblSales[[#This Row],[Store ID]],tblStores[Store ID],tblStores[Province])</f>
        <v>Gauteng</v>
      </c>
      <c r="F2191" t="str">
        <f>_xlfn.XLOOKUP(tblSales[[#This Row],[Store ID]],tblStores[Store ID],tblStores[Manager])</f>
        <v>Lisa Young</v>
      </c>
      <c r="G2191" t="str">
        <f>_xlfn.XLOOKUP(tblSales[[#This Row],[Category ID]],tblCategories[Category ID],tblCategories[Category])</f>
        <v>Kids</v>
      </c>
      <c r="H2191">
        <v>90780</v>
      </c>
      <c r="I2191">
        <v>84511</v>
      </c>
      <c r="J2191">
        <v>178</v>
      </c>
      <c r="K2191">
        <f>tblSales[[#This Row],[Sales]]-tblSales[[#This Row],[Budget]]</f>
        <v>6269</v>
      </c>
      <c r="L2191" s="3">
        <f>(tblSales[[#This Row],[Sales]]-tblSales[[#This Row],[Budget]])/tblSales[[#This Row],[Budget]]</f>
        <v>7.41796925843973E-2</v>
      </c>
      <c r="M2191" s="2">
        <f>tblSales[[#This Row],[Sales]]/tblSales[[#This Row],[Transactions]]</f>
        <v>510</v>
      </c>
    </row>
    <row r="2192" spans="1:13" x14ac:dyDescent="0.25">
      <c r="A2192" s="1">
        <v>46132</v>
      </c>
      <c r="B2192" t="s">
        <v>20</v>
      </c>
      <c r="C2192" t="s">
        <v>19</v>
      </c>
      <c r="D2192" t="str">
        <f>_xlfn.XLOOKUP(tblSales[[#This Row],[Store ID]],tblStores[Store ID],tblStores[Store Name])</f>
        <v>Cape Town CBD</v>
      </c>
      <c r="E2192" t="str">
        <f>_xlfn.XLOOKUP(tblSales[[#This Row],[Store ID]],tblStores[Store ID],tblStores[Province])</f>
        <v>Western Cape</v>
      </c>
      <c r="F2192" t="str">
        <f>_xlfn.XLOOKUP(tblSales[[#This Row],[Store ID]],tblStores[Store ID],tblStores[Manager])</f>
        <v>Brian Hall</v>
      </c>
      <c r="G2192" t="str">
        <f>_xlfn.XLOOKUP(tblSales[[#This Row],[Category ID]],tblCategories[Category ID],tblCategories[Category])</f>
        <v>Accessories</v>
      </c>
      <c r="H2192">
        <v>15568</v>
      </c>
      <c r="I2192">
        <v>17728</v>
      </c>
      <c r="J2192">
        <v>56</v>
      </c>
      <c r="K2192">
        <f>tblSales[[#This Row],[Sales]]-tblSales[[#This Row],[Budget]]</f>
        <v>-2160</v>
      </c>
      <c r="L2192" s="3">
        <f>(tblSales[[#This Row],[Sales]]-tblSales[[#This Row],[Budget]])/tblSales[[#This Row],[Budget]]</f>
        <v>-0.12184115523465704</v>
      </c>
      <c r="M2192" s="2">
        <f>tblSales[[#This Row],[Sales]]/tblSales[[#This Row],[Transactions]]</f>
        <v>278</v>
      </c>
    </row>
    <row r="2193" spans="1:13" x14ac:dyDescent="0.25">
      <c r="A2193" s="1">
        <v>46132</v>
      </c>
      <c r="B2193" t="s">
        <v>21</v>
      </c>
      <c r="C2193" t="s">
        <v>19</v>
      </c>
      <c r="D2193" t="str">
        <f>_xlfn.XLOOKUP(tblSales[[#This Row],[Store ID]],tblStores[Store ID],tblStores[Store Name])</f>
        <v>Canal Walk</v>
      </c>
      <c r="E2193" t="str">
        <f>_xlfn.XLOOKUP(tblSales[[#This Row],[Store ID]],tblStores[Store ID],tblStores[Province])</f>
        <v>Western Cape</v>
      </c>
      <c r="F2193" t="str">
        <f>_xlfn.XLOOKUP(tblSales[[#This Row],[Store ID]],tblStores[Store ID],tblStores[Manager])</f>
        <v>Megan Scott</v>
      </c>
      <c r="G2193" t="str">
        <f>_xlfn.XLOOKUP(tblSales[[#This Row],[Category ID]],tblCategories[Category ID],tblCategories[Category])</f>
        <v>Accessories</v>
      </c>
      <c r="H2193">
        <v>37674</v>
      </c>
      <c r="I2193">
        <v>42922</v>
      </c>
      <c r="J2193">
        <v>182</v>
      </c>
      <c r="K2193">
        <f>tblSales[[#This Row],[Sales]]-tblSales[[#This Row],[Budget]]</f>
        <v>-5248</v>
      </c>
      <c r="L2193" s="3">
        <f>(tblSales[[#This Row],[Sales]]-tblSales[[#This Row],[Budget]])/tblSales[[#This Row],[Budget]]</f>
        <v>-0.12226830063836727</v>
      </c>
      <c r="M2193" s="2">
        <f>tblSales[[#This Row],[Sales]]/tblSales[[#This Row],[Transactions]]</f>
        <v>207</v>
      </c>
    </row>
    <row r="2194" spans="1:13" x14ac:dyDescent="0.25">
      <c r="A2194" s="1">
        <v>46132</v>
      </c>
      <c r="B2194" t="s">
        <v>23</v>
      </c>
      <c r="C2194" t="s">
        <v>19</v>
      </c>
      <c r="D2194" t="str">
        <f>_xlfn.XLOOKUP(tblSales[[#This Row],[Store ID]],tblStores[Store ID],tblStores[Store Name])</f>
        <v>Stellenbosch</v>
      </c>
      <c r="E2194" t="str">
        <f>_xlfn.XLOOKUP(tblSales[[#This Row],[Store ID]],tblStores[Store ID],tblStores[Province])</f>
        <v>Western Cape</v>
      </c>
      <c r="F2194" t="str">
        <f>_xlfn.XLOOKUP(tblSales[[#This Row],[Store ID]],tblStores[Store ID],tblStores[Manager])</f>
        <v>Jason King</v>
      </c>
      <c r="G2194" t="str">
        <f>_xlfn.XLOOKUP(tblSales[[#This Row],[Category ID]],tblCategories[Category ID],tblCategories[Category])</f>
        <v>Accessories</v>
      </c>
      <c r="H2194">
        <v>35109</v>
      </c>
      <c r="I2194">
        <v>36009</v>
      </c>
      <c r="J2194">
        <v>83</v>
      </c>
      <c r="K2194">
        <f>tblSales[[#This Row],[Sales]]-tblSales[[#This Row],[Budget]]</f>
        <v>-900</v>
      </c>
      <c r="L2194" s="3">
        <f>(tblSales[[#This Row],[Sales]]-tblSales[[#This Row],[Budget]])/tblSales[[#This Row],[Budget]]</f>
        <v>-2.4993751562109472E-2</v>
      </c>
      <c r="M2194" s="2">
        <f>tblSales[[#This Row],[Sales]]/tblSales[[#This Row],[Transactions]]</f>
        <v>423</v>
      </c>
    </row>
    <row r="2195" spans="1:13" x14ac:dyDescent="0.25">
      <c r="A2195" s="1">
        <v>46132</v>
      </c>
      <c r="B2195" t="s">
        <v>24</v>
      </c>
      <c r="C2195" t="s">
        <v>7</v>
      </c>
      <c r="D2195" t="str">
        <f>_xlfn.XLOOKUP(tblSales[[#This Row],[Store ID]],tblStores[Store ID],tblStores[Store Name])</f>
        <v>George</v>
      </c>
      <c r="E2195" t="str">
        <f>_xlfn.XLOOKUP(tblSales[[#This Row],[Store ID]],tblStores[Store ID],tblStores[Province])</f>
        <v>Western Cape</v>
      </c>
      <c r="F2195" t="str">
        <f>_xlfn.XLOOKUP(tblSales[[#This Row],[Store ID]],tblStores[Store ID],tblStores[Manager])</f>
        <v>Chloe Hill</v>
      </c>
      <c r="G2195" t="str">
        <f>_xlfn.XLOOKUP(tblSales[[#This Row],[Category ID]],tblCategories[Category ID],tblCategories[Category])</f>
        <v>Menswear</v>
      </c>
      <c r="H2195">
        <v>33605</v>
      </c>
      <c r="I2195">
        <v>38109</v>
      </c>
      <c r="J2195">
        <v>65</v>
      </c>
      <c r="K2195">
        <f>tblSales[[#This Row],[Sales]]-tblSales[[#This Row],[Budget]]</f>
        <v>-4504</v>
      </c>
      <c r="L2195" s="3">
        <f>(tblSales[[#This Row],[Sales]]-tblSales[[#This Row],[Budget]])/tblSales[[#This Row],[Budget]]</f>
        <v>-0.11818730483612795</v>
      </c>
      <c r="M2195" s="2">
        <f>tblSales[[#This Row],[Sales]]/tblSales[[#This Row],[Transactions]]</f>
        <v>517</v>
      </c>
    </row>
    <row r="2196" spans="1:13" x14ac:dyDescent="0.25">
      <c r="A2196" s="1">
        <v>46132</v>
      </c>
      <c r="B2196" t="s">
        <v>25</v>
      </c>
      <c r="C2196" t="s">
        <v>9</v>
      </c>
      <c r="D2196" t="str">
        <f>_xlfn.XLOOKUP(tblSales[[#This Row],[Store ID]],tblStores[Store ID],tblStores[Store Name])</f>
        <v>Paarl</v>
      </c>
      <c r="E2196" t="str">
        <f>_xlfn.XLOOKUP(tblSales[[#This Row],[Store ID]],tblStores[Store ID],tblStores[Province])</f>
        <v>Western Cape</v>
      </c>
      <c r="F2196" t="str">
        <f>_xlfn.XLOOKUP(tblSales[[#This Row],[Store ID]],tblStores[Store ID],tblStores[Manager])</f>
        <v>Andrew Lee</v>
      </c>
      <c r="G2196" t="str">
        <f>_xlfn.XLOOKUP(tblSales[[#This Row],[Category ID]],tblCategories[Category ID],tblCategories[Category])</f>
        <v>Ladieswear</v>
      </c>
      <c r="H2196">
        <v>12480</v>
      </c>
      <c r="I2196">
        <v>13686</v>
      </c>
      <c r="J2196">
        <v>39</v>
      </c>
      <c r="K2196">
        <f>tblSales[[#This Row],[Sales]]-tblSales[[#This Row],[Budget]]</f>
        <v>-1206</v>
      </c>
      <c r="L2196" s="3">
        <f>(tblSales[[#This Row],[Sales]]-tblSales[[#This Row],[Budget]])/tblSales[[#This Row],[Budget]]</f>
        <v>-8.8119245944761074E-2</v>
      </c>
      <c r="M2196" s="2">
        <f>tblSales[[#This Row],[Sales]]/tblSales[[#This Row],[Transactions]]</f>
        <v>320</v>
      </c>
    </row>
    <row r="2197" spans="1:13" x14ac:dyDescent="0.25">
      <c r="A2197" s="1">
        <v>46132</v>
      </c>
      <c r="B2197" t="s">
        <v>26</v>
      </c>
      <c r="C2197" t="s">
        <v>9</v>
      </c>
      <c r="D2197" t="str">
        <f>_xlfn.XLOOKUP(tblSales[[#This Row],[Store ID]],tblStores[Store ID],tblStores[Store Name])</f>
        <v>Gqeberha</v>
      </c>
      <c r="E2197" t="str">
        <f>_xlfn.XLOOKUP(tblSales[[#This Row],[Store ID]],tblStores[Store ID],tblStores[Province])</f>
        <v>Eastern Cape</v>
      </c>
      <c r="F2197" t="str">
        <f>_xlfn.XLOOKUP(tblSales[[#This Row],[Store ID]],tblStores[Store ID],tblStores[Manager])</f>
        <v>Emma Baker</v>
      </c>
      <c r="G2197" t="str">
        <f>_xlfn.XLOOKUP(tblSales[[#This Row],[Category ID]],tblCategories[Category ID],tblCategories[Category])</f>
        <v>Ladieswear</v>
      </c>
      <c r="H2197">
        <v>102340</v>
      </c>
      <c r="I2197">
        <v>103471</v>
      </c>
      <c r="J2197">
        <v>215</v>
      </c>
      <c r="K2197">
        <f>tblSales[[#This Row],[Sales]]-tblSales[[#This Row],[Budget]]</f>
        <v>-1131</v>
      </c>
      <c r="L2197" s="3">
        <f>(tblSales[[#This Row],[Sales]]-tblSales[[#This Row],[Budget]])/tblSales[[#This Row],[Budget]]</f>
        <v>-1.0930598911772381E-2</v>
      </c>
      <c r="M2197" s="2">
        <f>tblSales[[#This Row],[Sales]]/tblSales[[#This Row],[Transactions]]</f>
        <v>476</v>
      </c>
    </row>
    <row r="2198" spans="1:13" x14ac:dyDescent="0.25">
      <c r="A2198" s="1">
        <v>46132</v>
      </c>
      <c r="B2198" t="s">
        <v>27</v>
      </c>
      <c r="C2198" t="s">
        <v>19</v>
      </c>
      <c r="D2198" t="str">
        <f>_xlfn.XLOOKUP(tblSales[[#This Row],[Store ID]],tblStores[Store ID],tblStores[Store Name])</f>
        <v>East London</v>
      </c>
      <c r="E2198" t="str">
        <f>_xlfn.XLOOKUP(tblSales[[#This Row],[Store ID]],tblStores[Store ID],tblStores[Province])</f>
        <v>Eastern Cape</v>
      </c>
      <c r="F2198" t="str">
        <f>_xlfn.XLOOKUP(tblSales[[#This Row],[Store ID]],tblStores[Store ID],tblStores[Manager])</f>
        <v>Daniel Evans</v>
      </c>
      <c r="G2198" t="str">
        <f>_xlfn.XLOOKUP(tblSales[[#This Row],[Category ID]],tblCategories[Category ID],tblCategories[Category])</f>
        <v>Accessories</v>
      </c>
      <c r="H2198">
        <v>65360</v>
      </c>
      <c r="I2198">
        <v>65389</v>
      </c>
      <c r="J2198">
        <v>190</v>
      </c>
      <c r="K2198">
        <f>tblSales[[#This Row],[Sales]]-tblSales[[#This Row],[Budget]]</f>
        <v>-29</v>
      </c>
      <c r="L2198" s="3">
        <f>(tblSales[[#This Row],[Sales]]-tblSales[[#This Row],[Budget]])/tblSales[[#This Row],[Budget]]</f>
        <v>-4.4349967119851965E-4</v>
      </c>
      <c r="M2198" s="2">
        <f>tblSales[[#This Row],[Sales]]/tblSales[[#This Row],[Transactions]]</f>
        <v>344</v>
      </c>
    </row>
    <row r="2199" spans="1:13" x14ac:dyDescent="0.25">
      <c r="A2199" s="1">
        <v>46132</v>
      </c>
      <c r="B2199" t="s">
        <v>28</v>
      </c>
      <c r="C2199" t="s">
        <v>7</v>
      </c>
      <c r="D2199" t="str">
        <f>_xlfn.XLOOKUP(tblSales[[#This Row],[Store ID]],tblStores[Store ID],tblStores[Store Name])</f>
        <v>Bloemfontein</v>
      </c>
      <c r="E2199" t="str">
        <f>_xlfn.XLOOKUP(tblSales[[#This Row],[Store ID]],tblStores[Store ID],tblStores[Province])</f>
        <v>Free State</v>
      </c>
      <c r="F2199" t="str">
        <f>_xlfn.XLOOKUP(tblSales[[#This Row],[Store ID]],tblStores[Store ID],tblStores[Manager])</f>
        <v>Rachel Moore</v>
      </c>
      <c r="G2199" t="str">
        <f>_xlfn.XLOOKUP(tblSales[[#This Row],[Category ID]],tblCategories[Category ID],tblCategories[Category])</f>
        <v>Menswear</v>
      </c>
      <c r="H2199">
        <v>30560</v>
      </c>
      <c r="I2199">
        <v>30101</v>
      </c>
      <c r="J2199">
        <v>160</v>
      </c>
      <c r="K2199">
        <f>tblSales[[#This Row],[Sales]]-tblSales[[#This Row],[Budget]]</f>
        <v>459</v>
      </c>
      <c r="L2199" s="3">
        <f>(tblSales[[#This Row],[Sales]]-tblSales[[#This Row],[Budget]])/tblSales[[#This Row],[Budget]]</f>
        <v>1.5248662835121756E-2</v>
      </c>
      <c r="M2199" s="2">
        <f>tblSales[[#This Row],[Sales]]/tblSales[[#This Row],[Transactions]]</f>
        <v>191</v>
      </c>
    </row>
    <row r="2200" spans="1:13" x14ac:dyDescent="0.25">
      <c r="A2200" s="1">
        <v>46132</v>
      </c>
      <c r="B2200" t="s">
        <v>29</v>
      </c>
      <c r="C2200" t="s">
        <v>9</v>
      </c>
      <c r="D2200" t="str">
        <f>_xlfn.XLOOKUP(tblSales[[#This Row],[Store ID]],tblStores[Store ID],tblStores[Store Name])</f>
        <v>Polokwane</v>
      </c>
      <c r="E2200" t="str">
        <f>_xlfn.XLOOKUP(tblSales[[#This Row],[Store ID]],tblStores[Store ID],tblStores[Province])</f>
        <v>Limpopo</v>
      </c>
      <c r="F2200" t="str">
        <f>_xlfn.XLOOKUP(tblSales[[#This Row],[Store ID]],tblStores[Store ID],tblStores[Manager])</f>
        <v>Kevin Harris</v>
      </c>
      <c r="G2200" t="str">
        <f>_xlfn.XLOOKUP(tblSales[[#This Row],[Category ID]],tblCategories[Category ID],tblCategories[Category])</f>
        <v>Ladieswear</v>
      </c>
      <c r="H2200">
        <v>27072</v>
      </c>
      <c r="I2200">
        <v>30182</v>
      </c>
      <c r="J2200">
        <v>141</v>
      </c>
      <c r="K2200">
        <f>tblSales[[#This Row],[Sales]]-tblSales[[#This Row],[Budget]]</f>
        <v>-3110</v>
      </c>
      <c r="L2200" s="3">
        <f>(tblSales[[#This Row],[Sales]]-tblSales[[#This Row],[Budget]])/tblSales[[#This Row],[Budget]]</f>
        <v>-0.10304154794248227</v>
      </c>
      <c r="M2200" s="2">
        <f>tblSales[[#This Row],[Sales]]/tblSales[[#This Row],[Transactions]]</f>
        <v>192</v>
      </c>
    </row>
    <row r="2201" spans="1:13" x14ac:dyDescent="0.25">
      <c r="A2201" s="1">
        <v>46132</v>
      </c>
      <c r="B2201" t="s">
        <v>30</v>
      </c>
      <c r="C2201" t="s">
        <v>22</v>
      </c>
      <c r="D2201" t="str">
        <f>_xlfn.XLOOKUP(tblSales[[#This Row],[Store ID]],tblStores[Store ID],tblStores[Store Name])</f>
        <v>Nelspruit</v>
      </c>
      <c r="E2201" t="str">
        <f>_xlfn.XLOOKUP(tblSales[[#This Row],[Store ID]],tblStores[Store ID],tblStores[Province])</f>
        <v>Mpumalanga</v>
      </c>
      <c r="F2201" t="str">
        <f>_xlfn.XLOOKUP(tblSales[[#This Row],[Store ID]],tblStores[Store ID],tblStores[Manager])</f>
        <v>Olivia Turner</v>
      </c>
      <c r="G2201" t="str">
        <f>_xlfn.XLOOKUP(tblSales[[#This Row],[Category ID]],tblCategories[Category ID],tblCategories[Category])</f>
        <v>Kids</v>
      </c>
      <c r="H2201">
        <v>41052</v>
      </c>
      <c r="I2201">
        <v>37880</v>
      </c>
      <c r="J2201">
        <v>132</v>
      </c>
      <c r="K2201">
        <f>tblSales[[#This Row],[Sales]]-tblSales[[#This Row],[Budget]]</f>
        <v>3172</v>
      </c>
      <c r="L2201" s="3">
        <f>(tblSales[[#This Row],[Sales]]-tblSales[[#This Row],[Budget]])/tblSales[[#This Row],[Budget]]</f>
        <v>8.3738120380147829E-2</v>
      </c>
      <c r="M2201" s="2">
        <f>tblSales[[#This Row],[Sales]]/tblSales[[#This Row],[Transactions]]</f>
        <v>311</v>
      </c>
    </row>
    <row r="2202" spans="1:13" x14ac:dyDescent="0.25">
      <c r="A2202" s="1">
        <v>46133</v>
      </c>
      <c r="B2202" t="s">
        <v>6</v>
      </c>
      <c r="C2202" t="s">
        <v>7</v>
      </c>
      <c r="D2202" t="str">
        <f>_xlfn.XLOOKUP(tblSales[[#This Row],[Store ID]],tblStores[Store ID],tblStores[Store Name])</f>
        <v>Durban CBD</v>
      </c>
      <c r="E2202" t="str">
        <f>_xlfn.XLOOKUP(tblSales[[#This Row],[Store ID]],tblStores[Store ID],tblStores[Province])</f>
        <v>KZN</v>
      </c>
      <c r="F2202" t="str">
        <f>_xlfn.XLOOKUP(tblSales[[#This Row],[Store ID]],tblStores[Store ID],tblStores[Manager])</f>
        <v>Sarah Adams</v>
      </c>
      <c r="G2202" t="str">
        <f>_xlfn.XLOOKUP(tblSales[[#This Row],[Category ID]],tblCategories[Category ID],tblCategories[Category])</f>
        <v>Menswear</v>
      </c>
      <c r="H2202">
        <v>46018</v>
      </c>
      <c r="I2202">
        <v>44699</v>
      </c>
      <c r="J2202">
        <v>173</v>
      </c>
      <c r="K2202">
        <f>tblSales[[#This Row],[Sales]]-tblSales[[#This Row],[Budget]]</f>
        <v>1319</v>
      </c>
      <c r="L2202" s="3">
        <f>(tblSales[[#This Row],[Sales]]-tblSales[[#This Row],[Budget]])/tblSales[[#This Row],[Budget]]</f>
        <v>2.9508490122821539E-2</v>
      </c>
      <c r="M2202" s="2">
        <f>tblSales[[#This Row],[Sales]]/tblSales[[#This Row],[Transactions]]</f>
        <v>266</v>
      </c>
    </row>
    <row r="2203" spans="1:13" x14ac:dyDescent="0.25">
      <c r="A2203" s="1">
        <v>46133</v>
      </c>
      <c r="B2203" t="s">
        <v>8</v>
      </c>
      <c r="C2203" t="s">
        <v>9</v>
      </c>
      <c r="D2203" t="str">
        <f>_xlfn.XLOOKUP(tblSales[[#This Row],[Store ID]],tblStores[Store ID],tblStores[Store Name])</f>
        <v>Gateway</v>
      </c>
      <c r="E2203" t="str">
        <f>_xlfn.XLOOKUP(tblSales[[#This Row],[Store ID]],tblStores[Store ID],tblStores[Province])</f>
        <v>KZN</v>
      </c>
      <c r="F2203" t="str">
        <f>_xlfn.XLOOKUP(tblSales[[#This Row],[Store ID]],tblStores[Store ID],tblStores[Manager])</f>
        <v>Michael Jones</v>
      </c>
      <c r="G2203" t="str">
        <f>_xlfn.XLOOKUP(tblSales[[#This Row],[Category ID]],tblCategories[Category ID],tblCategories[Category])</f>
        <v>Ladieswear</v>
      </c>
      <c r="H2203">
        <v>22500</v>
      </c>
      <c r="I2203">
        <v>21117</v>
      </c>
      <c r="J2203">
        <v>100</v>
      </c>
      <c r="K2203">
        <f>tblSales[[#This Row],[Sales]]-tblSales[[#This Row],[Budget]]</f>
        <v>1383</v>
      </c>
      <c r="L2203" s="3">
        <f>(tblSales[[#This Row],[Sales]]-tblSales[[#This Row],[Budget]])/tblSales[[#This Row],[Budget]]</f>
        <v>6.5492257422929398E-2</v>
      </c>
      <c r="M2203" s="2">
        <f>tblSales[[#This Row],[Sales]]/tblSales[[#This Row],[Transactions]]</f>
        <v>225</v>
      </c>
    </row>
    <row r="2204" spans="1:13" x14ac:dyDescent="0.25">
      <c r="A2204" s="1">
        <v>46133</v>
      </c>
      <c r="B2204" t="s">
        <v>10</v>
      </c>
      <c r="C2204" t="s">
        <v>11</v>
      </c>
      <c r="D2204" t="str">
        <f>_xlfn.XLOOKUP(tblSales[[#This Row],[Store ID]],tblStores[Store ID],tblStores[Store Name])</f>
        <v>Ballito</v>
      </c>
      <c r="E2204" t="str">
        <f>_xlfn.XLOOKUP(tblSales[[#This Row],[Store ID]],tblStores[Store ID],tblStores[Province])</f>
        <v>KZN</v>
      </c>
      <c r="F2204" t="str">
        <f>_xlfn.XLOOKUP(tblSales[[#This Row],[Store ID]],tblStores[Store ID],tblStores[Manager])</f>
        <v>Linda Smith</v>
      </c>
      <c r="G2204" t="str">
        <f>_xlfn.XLOOKUP(tblSales[[#This Row],[Category ID]],tblCategories[Category ID],tblCategories[Category])</f>
        <v>Footwear</v>
      </c>
      <c r="H2204">
        <v>55328</v>
      </c>
      <c r="I2204">
        <v>50610</v>
      </c>
      <c r="J2204">
        <v>208</v>
      </c>
      <c r="K2204">
        <f>tblSales[[#This Row],[Sales]]-tblSales[[#This Row],[Budget]]</f>
        <v>4718</v>
      </c>
      <c r="L2204" s="3">
        <f>(tblSales[[#This Row],[Sales]]-tblSales[[#This Row],[Budget]])/tblSales[[#This Row],[Budget]]</f>
        <v>9.3222683264177042E-2</v>
      </c>
      <c r="M2204" s="2">
        <f>tblSales[[#This Row],[Sales]]/tblSales[[#This Row],[Transactions]]</f>
        <v>266</v>
      </c>
    </row>
    <row r="2205" spans="1:13" x14ac:dyDescent="0.25">
      <c r="A2205" s="1">
        <v>46133</v>
      </c>
      <c r="B2205" t="s">
        <v>12</v>
      </c>
      <c r="C2205" t="s">
        <v>22</v>
      </c>
      <c r="D2205" t="str">
        <f>_xlfn.XLOOKUP(tblSales[[#This Row],[Store ID]],tblStores[Store ID],tblStores[Store Name])</f>
        <v>Pietermaritzburg</v>
      </c>
      <c r="E2205" t="str">
        <f>_xlfn.XLOOKUP(tblSales[[#This Row],[Store ID]],tblStores[Store ID],tblStores[Province])</f>
        <v>KZN</v>
      </c>
      <c r="F2205" t="str">
        <f>_xlfn.XLOOKUP(tblSales[[#This Row],[Store ID]],tblStores[Store ID],tblStores[Manager])</f>
        <v>Peter Brown</v>
      </c>
      <c r="G2205" t="str">
        <f>_xlfn.XLOOKUP(tblSales[[#This Row],[Category ID]],tblCategories[Category ID],tblCategories[Category])</f>
        <v>Kids</v>
      </c>
      <c r="H2205">
        <v>15633</v>
      </c>
      <c r="I2205">
        <v>16857</v>
      </c>
      <c r="J2205">
        <v>81</v>
      </c>
      <c r="K2205">
        <f>tblSales[[#This Row],[Sales]]-tblSales[[#This Row],[Budget]]</f>
        <v>-1224</v>
      </c>
      <c r="L2205" s="3">
        <f>(tblSales[[#This Row],[Sales]]-tblSales[[#This Row],[Budget]])/tblSales[[#This Row],[Budget]]</f>
        <v>-7.2610784837159631E-2</v>
      </c>
      <c r="M2205" s="2">
        <f>tblSales[[#This Row],[Sales]]/tblSales[[#This Row],[Transactions]]</f>
        <v>193</v>
      </c>
    </row>
    <row r="2206" spans="1:13" x14ac:dyDescent="0.25">
      <c r="A2206" s="1">
        <v>46133</v>
      </c>
      <c r="B2206" t="s">
        <v>13</v>
      </c>
      <c r="C2206" t="s">
        <v>22</v>
      </c>
      <c r="D2206" t="str">
        <f>_xlfn.XLOOKUP(tblSales[[#This Row],[Store ID]],tblStores[Store ID],tblStores[Store Name])</f>
        <v>Richards Bay</v>
      </c>
      <c r="E2206" t="str">
        <f>_xlfn.XLOOKUP(tblSales[[#This Row],[Store ID]],tblStores[Store ID],tblStores[Province])</f>
        <v>KZN</v>
      </c>
      <c r="F2206" t="str">
        <f>_xlfn.XLOOKUP(tblSales[[#This Row],[Store ID]],tblStores[Store ID],tblStores[Manager])</f>
        <v>David Green</v>
      </c>
      <c r="G2206" t="str">
        <f>_xlfn.XLOOKUP(tblSales[[#This Row],[Category ID]],tblCategories[Category ID],tblCategories[Category])</f>
        <v>Kids</v>
      </c>
      <c r="H2206">
        <v>30820</v>
      </c>
      <c r="I2206">
        <v>30203</v>
      </c>
      <c r="J2206">
        <v>134</v>
      </c>
      <c r="K2206">
        <f>tblSales[[#This Row],[Sales]]-tblSales[[#This Row],[Budget]]</f>
        <v>617</v>
      </c>
      <c r="L2206" s="3">
        <f>(tblSales[[#This Row],[Sales]]-tblSales[[#This Row],[Budget]])/tblSales[[#This Row],[Budget]]</f>
        <v>2.0428434261497201E-2</v>
      </c>
      <c r="M2206" s="2">
        <f>tblSales[[#This Row],[Sales]]/tblSales[[#This Row],[Transactions]]</f>
        <v>230</v>
      </c>
    </row>
    <row r="2207" spans="1:13" x14ac:dyDescent="0.25">
      <c r="A2207" s="1">
        <v>46133</v>
      </c>
      <c r="B2207" t="s">
        <v>14</v>
      </c>
      <c r="C2207" t="s">
        <v>11</v>
      </c>
      <c r="D2207" t="str">
        <f>_xlfn.XLOOKUP(tblSales[[#This Row],[Store ID]],tblStores[Store ID],tblStores[Store Name])</f>
        <v>Sandton</v>
      </c>
      <c r="E2207" t="str">
        <f>_xlfn.XLOOKUP(tblSales[[#This Row],[Store ID]],tblStores[Store ID],tblStores[Province])</f>
        <v>Gauteng</v>
      </c>
      <c r="F2207" t="str">
        <f>_xlfn.XLOOKUP(tblSales[[#This Row],[Store ID]],tblStores[Store ID],tblStores[Manager])</f>
        <v>Karen White</v>
      </c>
      <c r="G2207" t="str">
        <f>_xlfn.XLOOKUP(tblSales[[#This Row],[Category ID]],tblCategories[Category ID],tblCategories[Category])</f>
        <v>Footwear</v>
      </c>
      <c r="H2207">
        <v>36504</v>
      </c>
      <c r="I2207">
        <v>36280</v>
      </c>
      <c r="J2207">
        <v>117</v>
      </c>
      <c r="K2207">
        <f>tblSales[[#This Row],[Sales]]-tblSales[[#This Row],[Budget]]</f>
        <v>224</v>
      </c>
      <c r="L2207" s="3">
        <f>(tblSales[[#This Row],[Sales]]-tblSales[[#This Row],[Budget]])/tblSales[[#This Row],[Budget]]</f>
        <v>6.1742006615214994E-3</v>
      </c>
      <c r="M2207" s="2">
        <f>tblSales[[#This Row],[Sales]]/tblSales[[#This Row],[Transactions]]</f>
        <v>312</v>
      </c>
    </row>
    <row r="2208" spans="1:13" x14ac:dyDescent="0.25">
      <c r="A2208" s="1">
        <v>46133</v>
      </c>
      <c r="B2208" t="s">
        <v>15</v>
      </c>
      <c r="C2208" t="s">
        <v>7</v>
      </c>
      <c r="D2208" t="str">
        <f>_xlfn.XLOOKUP(tblSales[[#This Row],[Store ID]],tblStores[Store ID],tblStores[Store Name])</f>
        <v>Rosebank</v>
      </c>
      <c r="E2208" t="str">
        <f>_xlfn.XLOOKUP(tblSales[[#This Row],[Store ID]],tblStores[Store ID],tblStores[Province])</f>
        <v>Gauteng</v>
      </c>
      <c r="F2208" t="str">
        <f>_xlfn.XLOOKUP(tblSales[[#This Row],[Store ID]],tblStores[Store ID],tblStores[Manager])</f>
        <v>James Taylor</v>
      </c>
      <c r="G2208" t="str">
        <f>_xlfn.XLOOKUP(tblSales[[#This Row],[Category ID]],tblCategories[Category ID],tblCategories[Category])</f>
        <v>Menswear</v>
      </c>
      <c r="H2208">
        <v>13584</v>
      </c>
      <c r="I2208">
        <v>13039</v>
      </c>
      <c r="J2208">
        <v>48</v>
      </c>
      <c r="K2208">
        <f>tblSales[[#This Row],[Sales]]-tblSales[[#This Row],[Budget]]</f>
        <v>545</v>
      </c>
      <c r="L2208" s="3">
        <f>(tblSales[[#This Row],[Sales]]-tblSales[[#This Row],[Budget]])/tblSales[[#This Row],[Budget]]</f>
        <v>4.1797683871462536E-2</v>
      </c>
      <c r="M2208" s="2">
        <f>tblSales[[#This Row],[Sales]]/tblSales[[#This Row],[Transactions]]</f>
        <v>283</v>
      </c>
    </row>
    <row r="2209" spans="1:13" x14ac:dyDescent="0.25">
      <c r="A2209" s="1">
        <v>46133</v>
      </c>
      <c r="B2209" t="s">
        <v>16</v>
      </c>
      <c r="C2209" t="s">
        <v>19</v>
      </c>
      <c r="D2209" t="str">
        <f>_xlfn.XLOOKUP(tblSales[[#This Row],[Store ID]],tblStores[Store ID],tblStores[Store Name])</f>
        <v>Pretoria</v>
      </c>
      <c r="E2209" t="str">
        <f>_xlfn.XLOOKUP(tblSales[[#This Row],[Store ID]],tblStores[Store ID],tblStores[Province])</f>
        <v>Gauteng</v>
      </c>
      <c r="F2209" t="str">
        <f>_xlfn.XLOOKUP(tblSales[[#This Row],[Store ID]],tblStores[Store ID],tblStores[Manager])</f>
        <v>Susan Clark</v>
      </c>
      <c r="G2209" t="str">
        <f>_xlfn.XLOOKUP(tblSales[[#This Row],[Category ID]],tblCategories[Category ID],tblCategories[Category])</f>
        <v>Accessories</v>
      </c>
      <c r="H2209">
        <v>55685</v>
      </c>
      <c r="I2209">
        <v>56979</v>
      </c>
      <c r="J2209">
        <v>185</v>
      </c>
      <c r="K2209">
        <f>tblSales[[#This Row],[Sales]]-tblSales[[#This Row],[Budget]]</f>
        <v>-1294</v>
      </c>
      <c r="L2209" s="3">
        <f>(tblSales[[#This Row],[Sales]]-tblSales[[#This Row],[Budget]])/tblSales[[#This Row],[Budget]]</f>
        <v>-2.2710121272749611E-2</v>
      </c>
      <c r="M2209" s="2">
        <f>tblSales[[#This Row],[Sales]]/tblSales[[#This Row],[Transactions]]</f>
        <v>301</v>
      </c>
    </row>
    <row r="2210" spans="1:13" x14ac:dyDescent="0.25">
      <c r="A2210" s="1">
        <v>46133</v>
      </c>
      <c r="B2210" t="s">
        <v>17</v>
      </c>
      <c r="C2210" t="s">
        <v>19</v>
      </c>
      <c r="D2210" t="str">
        <f>_xlfn.XLOOKUP(tblSales[[#This Row],[Store ID]],tblStores[Store ID],tblStores[Store Name])</f>
        <v>Centurion</v>
      </c>
      <c r="E2210" t="str">
        <f>_xlfn.XLOOKUP(tblSales[[#This Row],[Store ID]],tblStores[Store ID],tblStores[Province])</f>
        <v>Gauteng</v>
      </c>
      <c r="F2210" t="str">
        <f>_xlfn.XLOOKUP(tblSales[[#This Row],[Store ID]],tblStores[Store ID],tblStores[Manager])</f>
        <v>Mark Wilson</v>
      </c>
      <c r="G2210" t="str">
        <f>_xlfn.XLOOKUP(tblSales[[#This Row],[Category ID]],tblCategories[Category ID],tblCategories[Category])</f>
        <v>Accessories</v>
      </c>
      <c r="H2210">
        <v>31654</v>
      </c>
      <c r="I2210">
        <v>30619</v>
      </c>
      <c r="J2210">
        <v>133</v>
      </c>
      <c r="K2210">
        <f>tblSales[[#This Row],[Sales]]-tblSales[[#This Row],[Budget]]</f>
        <v>1035</v>
      </c>
      <c r="L2210" s="3">
        <f>(tblSales[[#This Row],[Sales]]-tblSales[[#This Row],[Budget]])/tblSales[[#This Row],[Budget]]</f>
        <v>3.3802540905973413E-2</v>
      </c>
      <c r="M2210" s="2">
        <f>tblSales[[#This Row],[Sales]]/tblSales[[#This Row],[Transactions]]</f>
        <v>238</v>
      </c>
    </row>
    <row r="2211" spans="1:13" x14ac:dyDescent="0.25">
      <c r="A2211" s="1">
        <v>46133</v>
      </c>
      <c r="B2211" t="s">
        <v>18</v>
      </c>
      <c r="C2211" t="s">
        <v>22</v>
      </c>
      <c r="D2211" t="str">
        <f>_xlfn.XLOOKUP(tblSales[[#This Row],[Store ID]],tblStores[Store ID],tblStores[Store Name])</f>
        <v>East Rand</v>
      </c>
      <c r="E2211" t="str">
        <f>_xlfn.XLOOKUP(tblSales[[#This Row],[Store ID]],tblStores[Store ID],tblStores[Province])</f>
        <v>Gauteng</v>
      </c>
      <c r="F2211" t="str">
        <f>_xlfn.XLOOKUP(tblSales[[#This Row],[Store ID]],tblStores[Store ID],tblStores[Manager])</f>
        <v>Lisa Young</v>
      </c>
      <c r="G2211" t="str">
        <f>_xlfn.XLOOKUP(tblSales[[#This Row],[Category ID]],tblCategories[Category ID],tblCategories[Category])</f>
        <v>Kids</v>
      </c>
      <c r="H2211">
        <v>70839</v>
      </c>
      <c r="I2211">
        <v>70964</v>
      </c>
      <c r="J2211">
        <v>153</v>
      </c>
      <c r="K2211">
        <f>tblSales[[#This Row],[Sales]]-tblSales[[#This Row],[Budget]]</f>
        <v>-125</v>
      </c>
      <c r="L2211" s="3">
        <f>(tblSales[[#This Row],[Sales]]-tblSales[[#This Row],[Budget]])/tblSales[[#This Row],[Budget]]</f>
        <v>-1.7614565131616031E-3</v>
      </c>
      <c r="M2211" s="2">
        <f>tblSales[[#This Row],[Sales]]/tblSales[[#This Row],[Transactions]]</f>
        <v>463</v>
      </c>
    </row>
    <row r="2212" spans="1:13" x14ac:dyDescent="0.25">
      <c r="A2212" s="1">
        <v>46133</v>
      </c>
      <c r="B2212" t="s">
        <v>20</v>
      </c>
      <c r="C2212" t="s">
        <v>11</v>
      </c>
      <c r="D2212" t="str">
        <f>_xlfn.XLOOKUP(tblSales[[#This Row],[Store ID]],tblStores[Store ID],tblStores[Store Name])</f>
        <v>Cape Town CBD</v>
      </c>
      <c r="E2212" t="str">
        <f>_xlfn.XLOOKUP(tblSales[[#This Row],[Store ID]],tblStores[Store ID],tblStores[Province])</f>
        <v>Western Cape</v>
      </c>
      <c r="F2212" t="str">
        <f>_xlfn.XLOOKUP(tblSales[[#This Row],[Store ID]],tblStores[Store ID],tblStores[Manager])</f>
        <v>Brian Hall</v>
      </c>
      <c r="G2212" t="str">
        <f>_xlfn.XLOOKUP(tblSales[[#This Row],[Category ID]],tblCategories[Category ID],tblCategories[Category])</f>
        <v>Footwear</v>
      </c>
      <c r="H2212">
        <v>16296</v>
      </c>
      <c r="I2212">
        <v>17247</v>
      </c>
      <c r="J2212">
        <v>42</v>
      </c>
      <c r="K2212">
        <f>tblSales[[#This Row],[Sales]]-tblSales[[#This Row],[Budget]]</f>
        <v>-951</v>
      </c>
      <c r="L2212" s="3">
        <f>(tblSales[[#This Row],[Sales]]-tblSales[[#This Row],[Budget]])/tblSales[[#This Row],[Budget]]</f>
        <v>-5.514002435206123E-2</v>
      </c>
      <c r="M2212" s="2">
        <f>tblSales[[#This Row],[Sales]]/tblSales[[#This Row],[Transactions]]</f>
        <v>388</v>
      </c>
    </row>
    <row r="2213" spans="1:13" x14ac:dyDescent="0.25">
      <c r="A2213" s="1">
        <v>46133</v>
      </c>
      <c r="B2213" t="s">
        <v>21</v>
      </c>
      <c r="C2213" t="s">
        <v>7</v>
      </c>
      <c r="D2213" t="str">
        <f>_xlfn.XLOOKUP(tblSales[[#This Row],[Store ID]],tblStores[Store ID],tblStores[Store Name])</f>
        <v>Canal Walk</v>
      </c>
      <c r="E2213" t="str">
        <f>_xlfn.XLOOKUP(tblSales[[#This Row],[Store ID]],tblStores[Store ID],tblStores[Province])</f>
        <v>Western Cape</v>
      </c>
      <c r="F2213" t="str">
        <f>_xlfn.XLOOKUP(tblSales[[#This Row],[Store ID]],tblStores[Store ID],tblStores[Manager])</f>
        <v>Megan Scott</v>
      </c>
      <c r="G2213" t="str">
        <f>_xlfn.XLOOKUP(tblSales[[#This Row],[Category ID]],tblCategories[Category ID],tblCategories[Category])</f>
        <v>Menswear</v>
      </c>
      <c r="H2213">
        <v>47689</v>
      </c>
      <c r="I2213">
        <v>54406</v>
      </c>
      <c r="J2213">
        <v>103</v>
      </c>
      <c r="K2213">
        <f>tblSales[[#This Row],[Sales]]-tblSales[[#This Row],[Budget]]</f>
        <v>-6717</v>
      </c>
      <c r="L2213" s="3">
        <f>(tblSales[[#This Row],[Sales]]-tblSales[[#This Row],[Budget]])/tblSales[[#This Row],[Budget]]</f>
        <v>-0.12346064772267765</v>
      </c>
      <c r="M2213" s="2">
        <f>tblSales[[#This Row],[Sales]]/tblSales[[#This Row],[Transactions]]</f>
        <v>463</v>
      </c>
    </row>
    <row r="2214" spans="1:13" x14ac:dyDescent="0.25">
      <c r="A2214" s="1">
        <v>46133</v>
      </c>
      <c r="B2214" t="s">
        <v>23</v>
      </c>
      <c r="C2214" t="s">
        <v>7</v>
      </c>
      <c r="D2214" t="str">
        <f>_xlfn.XLOOKUP(tblSales[[#This Row],[Store ID]],tblStores[Store ID],tblStores[Store Name])</f>
        <v>Stellenbosch</v>
      </c>
      <c r="E2214" t="str">
        <f>_xlfn.XLOOKUP(tblSales[[#This Row],[Store ID]],tblStores[Store ID],tblStores[Province])</f>
        <v>Western Cape</v>
      </c>
      <c r="F2214" t="str">
        <f>_xlfn.XLOOKUP(tblSales[[#This Row],[Store ID]],tblStores[Store ID],tblStores[Manager])</f>
        <v>Jason King</v>
      </c>
      <c r="G2214" t="str">
        <f>_xlfn.XLOOKUP(tblSales[[#This Row],[Category ID]],tblCategories[Category ID],tblCategories[Category])</f>
        <v>Menswear</v>
      </c>
      <c r="H2214">
        <v>45472</v>
      </c>
      <c r="I2214">
        <v>48331</v>
      </c>
      <c r="J2214">
        <v>98</v>
      </c>
      <c r="K2214">
        <f>tblSales[[#This Row],[Sales]]-tblSales[[#This Row],[Budget]]</f>
        <v>-2859</v>
      </c>
      <c r="L2214" s="3">
        <f>(tblSales[[#This Row],[Sales]]-tblSales[[#This Row],[Budget]])/tblSales[[#This Row],[Budget]]</f>
        <v>-5.9154579876269889E-2</v>
      </c>
      <c r="M2214" s="2">
        <f>tblSales[[#This Row],[Sales]]/tblSales[[#This Row],[Transactions]]</f>
        <v>464</v>
      </c>
    </row>
    <row r="2215" spans="1:13" x14ac:dyDescent="0.25">
      <c r="A2215" s="1">
        <v>46133</v>
      </c>
      <c r="B2215" t="s">
        <v>24</v>
      </c>
      <c r="C2215" t="s">
        <v>9</v>
      </c>
      <c r="D2215" t="str">
        <f>_xlfn.XLOOKUP(tblSales[[#This Row],[Store ID]],tblStores[Store ID],tblStores[Store Name])</f>
        <v>George</v>
      </c>
      <c r="E2215" t="str">
        <f>_xlfn.XLOOKUP(tblSales[[#This Row],[Store ID]],tblStores[Store ID],tblStores[Province])</f>
        <v>Western Cape</v>
      </c>
      <c r="F2215" t="str">
        <f>_xlfn.XLOOKUP(tblSales[[#This Row],[Store ID]],tblStores[Store ID],tblStores[Manager])</f>
        <v>Chloe Hill</v>
      </c>
      <c r="G2215" t="str">
        <f>_xlfn.XLOOKUP(tblSales[[#This Row],[Category ID]],tblCategories[Category ID],tblCategories[Category])</f>
        <v>Ladieswear</v>
      </c>
      <c r="H2215">
        <v>52640</v>
      </c>
      <c r="I2215">
        <v>52728</v>
      </c>
      <c r="J2215">
        <v>112</v>
      </c>
      <c r="K2215">
        <f>tblSales[[#This Row],[Sales]]-tblSales[[#This Row],[Budget]]</f>
        <v>-88</v>
      </c>
      <c r="L2215" s="3">
        <f>(tblSales[[#This Row],[Sales]]-tblSales[[#This Row],[Budget]])/tblSales[[#This Row],[Budget]]</f>
        <v>-1.6689424973448642E-3</v>
      </c>
      <c r="M2215" s="2">
        <f>tblSales[[#This Row],[Sales]]/tblSales[[#This Row],[Transactions]]</f>
        <v>470</v>
      </c>
    </row>
    <row r="2216" spans="1:13" x14ac:dyDescent="0.25">
      <c r="A2216" s="1">
        <v>46133</v>
      </c>
      <c r="B2216" t="s">
        <v>25</v>
      </c>
      <c r="C2216" t="s">
        <v>7</v>
      </c>
      <c r="D2216" t="str">
        <f>_xlfn.XLOOKUP(tblSales[[#This Row],[Store ID]],tblStores[Store ID],tblStores[Store Name])</f>
        <v>Paarl</v>
      </c>
      <c r="E2216" t="str">
        <f>_xlfn.XLOOKUP(tblSales[[#This Row],[Store ID]],tblStores[Store ID],tblStores[Province])</f>
        <v>Western Cape</v>
      </c>
      <c r="F2216" t="str">
        <f>_xlfn.XLOOKUP(tblSales[[#This Row],[Store ID]],tblStores[Store ID],tblStores[Manager])</f>
        <v>Andrew Lee</v>
      </c>
      <c r="G2216" t="str">
        <f>_xlfn.XLOOKUP(tblSales[[#This Row],[Category ID]],tblCategories[Category ID],tblCategories[Category])</f>
        <v>Menswear</v>
      </c>
      <c r="H2216">
        <v>85892</v>
      </c>
      <c r="I2216">
        <v>81671</v>
      </c>
      <c r="J2216">
        <v>197</v>
      </c>
      <c r="K2216">
        <f>tblSales[[#This Row],[Sales]]-tblSales[[#This Row],[Budget]]</f>
        <v>4221</v>
      </c>
      <c r="L2216" s="3">
        <f>(tblSales[[#This Row],[Sales]]-tblSales[[#This Row],[Budget]])/tblSales[[#This Row],[Budget]]</f>
        <v>5.1682971923938732E-2</v>
      </c>
      <c r="M2216" s="2">
        <f>tblSales[[#This Row],[Sales]]/tblSales[[#This Row],[Transactions]]</f>
        <v>436</v>
      </c>
    </row>
    <row r="2217" spans="1:13" x14ac:dyDescent="0.25">
      <c r="A2217" s="1">
        <v>46133</v>
      </c>
      <c r="B2217" t="s">
        <v>26</v>
      </c>
      <c r="C2217" t="s">
        <v>9</v>
      </c>
      <c r="D2217" t="str">
        <f>_xlfn.XLOOKUP(tblSales[[#This Row],[Store ID]],tblStores[Store ID],tblStores[Store Name])</f>
        <v>Gqeberha</v>
      </c>
      <c r="E2217" t="str">
        <f>_xlfn.XLOOKUP(tblSales[[#This Row],[Store ID]],tblStores[Store ID],tblStores[Province])</f>
        <v>Eastern Cape</v>
      </c>
      <c r="F2217" t="str">
        <f>_xlfn.XLOOKUP(tblSales[[#This Row],[Store ID]],tblStores[Store ID],tblStores[Manager])</f>
        <v>Emma Baker</v>
      </c>
      <c r="G2217" t="str">
        <f>_xlfn.XLOOKUP(tblSales[[#This Row],[Category ID]],tblCategories[Category ID],tblCategories[Category])</f>
        <v>Ladieswear</v>
      </c>
      <c r="H2217">
        <v>59280</v>
      </c>
      <c r="I2217">
        <v>67954</v>
      </c>
      <c r="J2217">
        <v>130</v>
      </c>
      <c r="K2217">
        <f>tblSales[[#This Row],[Sales]]-tblSales[[#This Row],[Budget]]</f>
        <v>-8674</v>
      </c>
      <c r="L2217" s="3">
        <f>(tblSales[[#This Row],[Sales]]-tblSales[[#This Row],[Budget]])/tblSales[[#This Row],[Budget]]</f>
        <v>-0.12764517173381992</v>
      </c>
      <c r="M2217" s="2">
        <f>tblSales[[#This Row],[Sales]]/tblSales[[#This Row],[Transactions]]</f>
        <v>456</v>
      </c>
    </row>
    <row r="2218" spans="1:13" x14ac:dyDescent="0.25">
      <c r="A2218" s="1">
        <v>46133</v>
      </c>
      <c r="B2218" t="s">
        <v>27</v>
      </c>
      <c r="C2218" t="s">
        <v>9</v>
      </c>
      <c r="D2218" t="str">
        <f>_xlfn.XLOOKUP(tblSales[[#This Row],[Store ID]],tblStores[Store ID],tblStores[Store Name])</f>
        <v>East London</v>
      </c>
      <c r="E2218" t="str">
        <f>_xlfn.XLOOKUP(tblSales[[#This Row],[Store ID]],tblStores[Store ID],tblStores[Province])</f>
        <v>Eastern Cape</v>
      </c>
      <c r="F2218" t="str">
        <f>_xlfn.XLOOKUP(tblSales[[#This Row],[Store ID]],tblStores[Store ID],tblStores[Manager])</f>
        <v>Daniel Evans</v>
      </c>
      <c r="G2218" t="str">
        <f>_xlfn.XLOOKUP(tblSales[[#This Row],[Category ID]],tblCategories[Category ID],tblCategories[Category])</f>
        <v>Ladieswear</v>
      </c>
      <c r="H2218">
        <v>68112</v>
      </c>
      <c r="I2218">
        <v>77670</v>
      </c>
      <c r="J2218">
        <v>172</v>
      </c>
      <c r="K2218">
        <f>tblSales[[#This Row],[Sales]]-tblSales[[#This Row],[Budget]]</f>
        <v>-9558</v>
      </c>
      <c r="L2218" s="3">
        <f>(tblSales[[#This Row],[Sales]]-tblSales[[#This Row],[Budget]])/tblSales[[#This Row],[Budget]]</f>
        <v>-0.12305909617612978</v>
      </c>
      <c r="M2218" s="2">
        <f>tblSales[[#This Row],[Sales]]/tblSales[[#This Row],[Transactions]]</f>
        <v>396</v>
      </c>
    </row>
    <row r="2219" spans="1:13" x14ac:dyDescent="0.25">
      <c r="A2219" s="1">
        <v>46133</v>
      </c>
      <c r="B2219" t="s">
        <v>28</v>
      </c>
      <c r="C2219" t="s">
        <v>19</v>
      </c>
      <c r="D2219" t="str">
        <f>_xlfn.XLOOKUP(tblSales[[#This Row],[Store ID]],tblStores[Store ID],tblStores[Store Name])</f>
        <v>Bloemfontein</v>
      </c>
      <c r="E2219" t="str">
        <f>_xlfn.XLOOKUP(tblSales[[#This Row],[Store ID]],tblStores[Store ID],tblStores[Province])</f>
        <v>Free State</v>
      </c>
      <c r="F2219" t="str">
        <f>_xlfn.XLOOKUP(tblSales[[#This Row],[Store ID]],tblStores[Store ID],tblStores[Manager])</f>
        <v>Rachel Moore</v>
      </c>
      <c r="G2219" t="str">
        <f>_xlfn.XLOOKUP(tblSales[[#This Row],[Category ID]],tblCategories[Category ID],tblCategories[Category])</f>
        <v>Accessories</v>
      </c>
      <c r="H2219">
        <v>30150</v>
      </c>
      <c r="I2219">
        <v>27142</v>
      </c>
      <c r="J2219">
        <v>150</v>
      </c>
      <c r="K2219">
        <f>tblSales[[#This Row],[Sales]]-tblSales[[#This Row],[Budget]]</f>
        <v>3008</v>
      </c>
      <c r="L2219" s="3">
        <f>(tblSales[[#This Row],[Sales]]-tblSales[[#This Row],[Budget]])/tblSales[[#This Row],[Budget]]</f>
        <v>0.11082455235428487</v>
      </c>
      <c r="M2219" s="2">
        <f>tblSales[[#This Row],[Sales]]/tblSales[[#This Row],[Transactions]]</f>
        <v>201</v>
      </c>
    </row>
    <row r="2220" spans="1:13" x14ac:dyDescent="0.25">
      <c r="A2220" s="1">
        <v>46133</v>
      </c>
      <c r="B2220" t="s">
        <v>29</v>
      </c>
      <c r="C2220" t="s">
        <v>11</v>
      </c>
      <c r="D2220" t="str">
        <f>_xlfn.XLOOKUP(tblSales[[#This Row],[Store ID]],tblStores[Store ID],tblStores[Store Name])</f>
        <v>Polokwane</v>
      </c>
      <c r="E2220" t="str">
        <f>_xlfn.XLOOKUP(tblSales[[#This Row],[Store ID]],tblStores[Store ID],tblStores[Province])</f>
        <v>Limpopo</v>
      </c>
      <c r="F2220" t="str">
        <f>_xlfn.XLOOKUP(tblSales[[#This Row],[Store ID]],tblStores[Store ID],tblStores[Manager])</f>
        <v>Kevin Harris</v>
      </c>
      <c r="G2220" t="str">
        <f>_xlfn.XLOOKUP(tblSales[[#This Row],[Category ID]],tblCategories[Category ID],tblCategories[Category])</f>
        <v>Footwear</v>
      </c>
      <c r="H2220">
        <v>63304</v>
      </c>
      <c r="I2220">
        <v>67308</v>
      </c>
      <c r="J2220">
        <v>193</v>
      </c>
      <c r="K2220">
        <f>tblSales[[#This Row],[Sales]]-tblSales[[#This Row],[Budget]]</f>
        <v>-4004</v>
      </c>
      <c r="L2220" s="3">
        <f>(tblSales[[#This Row],[Sales]]-tblSales[[#This Row],[Budget]])/tblSales[[#This Row],[Budget]]</f>
        <v>-5.9487728056100315E-2</v>
      </c>
      <c r="M2220" s="2">
        <f>tblSales[[#This Row],[Sales]]/tblSales[[#This Row],[Transactions]]</f>
        <v>328</v>
      </c>
    </row>
    <row r="2221" spans="1:13" x14ac:dyDescent="0.25">
      <c r="A2221" s="1">
        <v>46133</v>
      </c>
      <c r="B2221" t="s">
        <v>30</v>
      </c>
      <c r="C2221" t="s">
        <v>9</v>
      </c>
      <c r="D2221" t="str">
        <f>_xlfn.XLOOKUP(tblSales[[#This Row],[Store ID]],tblStores[Store ID],tblStores[Store Name])</f>
        <v>Nelspruit</v>
      </c>
      <c r="E2221" t="str">
        <f>_xlfn.XLOOKUP(tblSales[[#This Row],[Store ID]],tblStores[Store ID],tblStores[Province])</f>
        <v>Mpumalanga</v>
      </c>
      <c r="F2221" t="str">
        <f>_xlfn.XLOOKUP(tblSales[[#This Row],[Store ID]],tblStores[Store ID],tblStores[Manager])</f>
        <v>Olivia Turner</v>
      </c>
      <c r="G2221" t="str">
        <f>_xlfn.XLOOKUP(tblSales[[#This Row],[Category ID]],tblCategories[Category ID],tblCategories[Category])</f>
        <v>Ladieswear</v>
      </c>
      <c r="H2221">
        <v>7350</v>
      </c>
      <c r="I2221">
        <v>8330</v>
      </c>
      <c r="J2221">
        <v>35</v>
      </c>
      <c r="K2221">
        <f>tblSales[[#This Row],[Sales]]-tblSales[[#This Row],[Budget]]</f>
        <v>-980</v>
      </c>
      <c r="L2221" s="3">
        <f>(tblSales[[#This Row],[Sales]]-tblSales[[#This Row],[Budget]])/tblSales[[#This Row],[Budget]]</f>
        <v>-0.11764705882352941</v>
      </c>
      <c r="M2221" s="2">
        <f>tblSales[[#This Row],[Sales]]/tblSales[[#This Row],[Transactions]]</f>
        <v>210</v>
      </c>
    </row>
    <row r="2222" spans="1:13" x14ac:dyDescent="0.25">
      <c r="A2222" s="1">
        <v>46134</v>
      </c>
      <c r="B2222" t="s">
        <v>6</v>
      </c>
      <c r="C2222" t="s">
        <v>11</v>
      </c>
      <c r="D2222" t="str">
        <f>_xlfn.XLOOKUP(tblSales[[#This Row],[Store ID]],tblStores[Store ID],tblStores[Store Name])</f>
        <v>Durban CBD</v>
      </c>
      <c r="E2222" t="str">
        <f>_xlfn.XLOOKUP(tblSales[[#This Row],[Store ID]],tblStores[Store ID],tblStores[Province])</f>
        <v>KZN</v>
      </c>
      <c r="F2222" t="str">
        <f>_xlfn.XLOOKUP(tblSales[[#This Row],[Store ID]],tblStores[Store ID],tblStores[Manager])</f>
        <v>Sarah Adams</v>
      </c>
      <c r="G2222" t="str">
        <f>_xlfn.XLOOKUP(tblSales[[#This Row],[Category ID]],tblCategories[Category ID],tblCategories[Category])</f>
        <v>Footwear</v>
      </c>
      <c r="H2222">
        <v>50544</v>
      </c>
      <c r="I2222">
        <v>48659</v>
      </c>
      <c r="J2222">
        <v>104</v>
      </c>
      <c r="K2222">
        <f>tblSales[[#This Row],[Sales]]-tblSales[[#This Row],[Budget]]</f>
        <v>1885</v>
      </c>
      <c r="L2222" s="3">
        <f>(tblSales[[#This Row],[Sales]]-tblSales[[#This Row],[Budget]])/tblSales[[#This Row],[Budget]]</f>
        <v>3.8738979428266096E-2</v>
      </c>
      <c r="M2222" s="2">
        <f>tblSales[[#This Row],[Sales]]/tblSales[[#This Row],[Transactions]]</f>
        <v>486</v>
      </c>
    </row>
    <row r="2223" spans="1:13" x14ac:dyDescent="0.25">
      <c r="A2223" s="1">
        <v>46134</v>
      </c>
      <c r="B2223" t="s">
        <v>8</v>
      </c>
      <c r="C2223" t="s">
        <v>11</v>
      </c>
      <c r="D2223" t="str">
        <f>_xlfn.XLOOKUP(tblSales[[#This Row],[Store ID]],tblStores[Store ID],tblStores[Store Name])</f>
        <v>Gateway</v>
      </c>
      <c r="E2223" t="str">
        <f>_xlfn.XLOOKUP(tblSales[[#This Row],[Store ID]],tblStores[Store ID],tblStores[Province])</f>
        <v>KZN</v>
      </c>
      <c r="F2223" t="str">
        <f>_xlfn.XLOOKUP(tblSales[[#This Row],[Store ID]],tblStores[Store ID],tblStores[Manager])</f>
        <v>Michael Jones</v>
      </c>
      <c r="G2223" t="str">
        <f>_xlfn.XLOOKUP(tblSales[[#This Row],[Category ID]],tblCategories[Category ID],tblCategories[Category])</f>
        <v>Footwear</v>
      </c>
      <c r="H2223">
        <v>62372</v>
      </c>
      <c r="I2223">
        <v>59452</v>
      </c>
      <c r="J2223">
        <v>124</v>
      </c>
      <c r="K2223">
        <f>tblSales[[#This Row],[Sales]]-tblSales[[#This Row],[Budget]]</f>
        <v>2920</v>
      </c>
      <c r="L2223" s="3">
        <f>(tblSales[[#This Row],[Sales]]-tblSales[[#This Row],[Budget]])/tblSales[[#This Row],[Budget]]</f>
        <v>4.9115252640785846E-2</v>
      </c>
      <c r="M2223" s="2">
        <f>tblSales[[#This Row],[Sales]]/tblSales[[#This Row],[Transactions]]</f>
        <v>503</v>
      </c>
    </row>
    <row r="2224" spans="1:13" x14ac:dyDescent="0.25">
      <c r="A2224" s="1">
        <v>46134</v>
      </c>
      <c r="B2224" t="s">
        <v>10</v>
      </c>
      <c r="C2224" t="s">
        <v>19</v>
      </c>
      <c r="D2224" t="str">
        <f>_xlfn.XLOOKUP(tblSales[[#This Row],[Store ID]],tblStores[Store ID],tblStores[Store Name])</f>
        <v>Ballito</v>
      </c>
      <c r="E2224" t="str">
        <f>_xlfn.XLOOKUP(tblSales[[#This Row],[Store ID]],tblStores[Store ID],tblStores[Province])</f>
        <v>KZN</v>
      </c>
      <c r="F2224" t="str">
        <f>_xlfn.XLOOKUP(tblSales[[#This Row],[Store ID]],tblStores[Store ID],tblStores[Manager])</f>
        <v>Linda Smith</v>
      </c>
      <c r="G2224" t="str">
        <f>_xlfn.XLOOKUP(tblSales[[#This Row],[Category ID]],tblCategories[Category ID],tblCategories[Category])</f>
        <v>Accessories</v>
      </c>
      <c r="H2224">
        <v>21721</v>
      </c>
      <c r="I2224">
        <v>20425</v>
      </c>
      <c r="J2224">
        <v>107</v>
      </c>
      <c r="K2224">
        <f>tblSales[[#This Row],[Sales]]-tblSales[[#This Row],[Budget]]</f>
        <v>1296</v>
      </c>
      <c r="L2224" s="3">
        <f>(tblSales[[#This Row],[Sales]]-tblSales[[#This Row],[Budget]])/tblSales[[#This Row],[Budget]]</f>
        <v>6.345165238678091E-2</v>
      </c>
      <c r="M2224" s="2">
        <f>tblSales[[#This Row],[Sales]]/tblSales[[#This Row],[Transactions]]</f>
        <v>203</v>
      </c>
    </row>
    <row r="2225" spans="1:13" x14ac:dyDescent="0.25">
      <c r="A2225" s="1">
        <v>46134</v>
      </c>
      <c r="B2225" t="s">
        <v>12</v>
      </c>
      <c r="C2225" t="s">
        <v>19</v>
      </c>
      <c r="D2225" t="str">
        <f>_xlfn.XLOOKUP(tblSales[[#This Row],[Store ID]],tblStores[Store ID],tblStores[Store Name])</f>
        <v>Pietermaritzburg</v>
      </c>
      <c r="E2225" t="str">
        <f>_xlfn.XLOOKUP(tblSales[[#This Row],[Store ID]],tblStores[Store ID],tblStores[Province])</f>
        <v>KZN</v>
      </c>
      <c r="F2225" t="str">
        <f>_xlfn.XLOOKUP(tblSales[[#This Row],[Store ID]],tblStores[Store ID],tblStores[Manager])</f>
        <v>Peter Brown</v>
      </c>
      <c r="G2225" t="str">
        <f>_xlfn.XLOOKUP(tblSales[[#This Row],[Category ID]],tblCategories[Category ID],tblCategories[Category])</f>
        <v>Accessories</v>
      </c>
      <c r="H2225">
        <v>38485</v>
      </c>
      <c r="I2225">
        <v>37529</v>
      </c>
      <c r="J2225">
        <v>179</v>
      </c>
      <c r="K2225">
        <f>tblSales[[#This Row],[Sales]]-tblSales[[#This Row],[Budget]]</f>
        <v>956</v>
      </c>
      <c r="L2225" s="3">
        <f>(tblSales[[#This Row],[Sales]]-tblSales[[#This Row],[Budget]])/tblSales[[#This Row],[Budget]]</f>
        <v>2.5473633723254018E-2</v>
      </c>
      <c r="M2225" s="2">
        <f>tblSales[[#This Row],[Sales]]/tblSales[[#This Row],[Transactions]]</f>
        <v>215</v>
      </c>
    </row>
    <row r="2226" spans="1:13" x14ac:dyDescent="0.25">
      <c r="A2226" s="1">
        <v>46134</v>
      </c>
      <c r="B2226" t="s">
        <v>13</v>
      </c>
      <c r="C2226" t="s">
        <v>11</v>
      </c>
      <c r="D2226" t="str">
        <f>_xlfn.XLOOKUP(tblSales[[#This Row],[Store ID]],tblStores[Store ID],tblStores[Store Name])</f>
        <v>Richards Bay</v>
      </c>
      <c r="E2226" t="str">
        <f>_xlfn.XLOOKUP(tblSales[[#This Row],[Store ID]],tblStores[Store ID],tblStores[Province])</f>
        <v>KZN</v>
      </c>
      <c r="F2226" t="str">
        <f>_xlfn.XLOOKUP(tblSales[[#This Row],[Store ID]],tblStores[Store ID],tblStores[Manager])</f>
        <v>David Green</v>
      </c>
      <c r="G2226" t="str">
        <f>_xlfn.XLOOKUP(tblSales[[#This Row],[Category ID]],tblCategories[Category ID],tblCategories[Category])</f>
        <v>Footwear</v>
      </c>
      <c r="H2226">
        <v>51546</v>
      </c>
      <c r="I2226">
        <v>57093</v>
      </c>
      <c r="J2226">
        <v>213</v>
      </c>
      <c r="K2226">
        <f>tblSales[[#This Row],[Sales]]-tblSales[[#This Row],[Budget]]</f>
        <v>-5547</v>
      </c>
      <c r="L2226" s="3">
        <f>(tblSales[[#This Row],[Sales]]-tblSales[[#This Row],[Budget]])/tblSales[[#This Row],[Budget]]</f>
        <v>-9.7157269717828801E-2</v>
      </c>
      <c r="M2226" s="2">
        <f>tblSales[[#This Row],[Sales]]/tblSales[[#This Row],[Transactions]]</f>
        <v>242</v>
      </c>
    </row>
    <row r="2227" spans="1:13" x14ac:dyDescent="0.25">
      <c r="A2227" s="1">
        <v>46134</v>
      </c>
      <c r="B2227" t="s">
        <v>14</v>
      </c>
      <c r="C2227" t="s">
        <v>19</v>
      </c>
      <c r="D2227" t="str">
        <f>_xlfn.XLOOKUP(tblSales[[#This Row],[Store ID]],tblStores[Store ID],tblStores[Store Name])</f>
        <v>Sandton</v>
      </c>
      <c r="E2227" t="str">
        <f>_xlfn.XLOOKUP(tblSales[[#This Row],[Store ID]],tblStores[Store ID],tblStores[Province])</f>
        <v>Gauteng</v>
      </c>
      <c r="F2227" t="str">
        <f>_xlfn.XLOOKUP(tblSales[[#This Row],[Store ID]],tblStores[Store ID],tblStores[Manager])</f>
        <v>Karen White</v>
      </c>
      <c r="G2227" t="str">
        <f>_xlfn.XLOOKUP(tblSales[[#This Row],[Category ID]],tblCategories[Category ID],tblCategories[Category])</f>
        <v>Accessories</v>
      </c>
      <c r="H2227">
        <v>42506</v>
      </c>
      <c r="I2227">
        <v>40495</v>
      </c>
      <c r="J2227">
        <v>106</v>
      </c>
      <c r="K2227">
        <f>tblSales[[#This Row],[Sales]]-tblSales[[#This Row],[Budget]]</f>
        <v>2011</v>
      </c>
      <c r="L2227" s="3">
        <f>(tblSales[[#This Row],[Sales]]-tblSales[[#This Row],[Budget]])/tblSales[[#This Row],[Budget]]</f>
        <v>4.966045190764292E-2</v>
      </c>
      <c r="M2227" s="2">
        <f>tblSales[[#This Row],[Sales]]/tblSales[[#This Row],[Transactions]]</f>
        <v>401</v>
      </c>
    </row>
    <row r="2228" spans="1:13" x14ac:dyDescent="0.25">
      <c r="A2228" s="1">
        <v>46134</v>
      </c>
      <c r="B2228" t="s">
        <v>15</v>
      </c>
      <c r="C2228" t="s">
        <v>19</v>
      </c>
      <c r="D2228" t="str">
        <f>_xlfn.XLOOKUP(tblSales[[#This Row],[Store ID]],tblStores[Store ID],tblStores[Store Name])</f>
        <v>Rosebank</v>
      </c>
      <c r="E2228" t="str">
        <f>_xlfn.XLOOKUP(tblSales[[#This Row],[Store ID]],tblStores[Store ID],tblStores[Province])</f>
        <v>Gauteng</v>
      </c>
      <c r="F2228" t="str">
        <f>_xlfn.XLOOKUP(tblSales[[#This Row],[Store ID]],tblStores[Store ID],tblStores[Manager])</f>
        <v>James Taylor</v>
      </c>
      <c r="G2228" t="str">
        <f>_xlfn.XLOOKUP(tblSales[[#This Row],[Category ID]],tblCategories[Category ID],tblCategories[Category])</f>
        <v>Accessories</v>
      </c>
      <c r="H2228">
        <v>41180</v>
      </c>
      <c r="I2228">
        <v>43601</v>
      </c>
      <c r="J2228">
        <v>116</v>
      </c>
      <c r="K2228">
        <f>tblSales[[#This Row],[Sales]]-tblSales[[#This Row],[Budget]]</f>
        <v>-2421</v>
      </c>
      <c r="L2228" s="3">
        <f>(tblSales[[#This Row],[Sales]]-tblSales[[#This Row],[Budget]])/tblSales[[#This Row],[Budget]]</f>
        <v>-5.552624939794959E-2</v>
      </c>
      <c r="M2228" s="2">
        <f>tblSales[[#This Row],[Sales]]/tblSales[[#This Row],[Transactions]]</f>
        <v>355</v>
      </c>
    </row>
    <row r="2229" spans="1:13" x14ac:dyDescent="0.25">
      <c r="A2229" s="1">
        <v>46134</v>
      </c>
      <c r="B2229" t="s">
        <v>16</v>
      </c>
      <c r="C2229" t="s">
        <v>11</v>
      </c>
      <c r="D2229" t="str">
        <f>_xlfn.XLOOKUP(tblSales[[#This Row],[Store ID]],tblStores[Store ID],tblStores[Store Name])</f>
        <v>Pretoria</v>
      </c>
      <c r="E2229" t="str">
        <f>_xlfn.XLOOKUP(tblSales[[#This Row],[Store ID]],tblStores[Store ID],tblStores[Province])</f>
        <v>Gauteng</v>
      </c>
      <c r="F2229" t="str">
        <f>_xlfn.XLOOKUP(tblSales[[#This Row],[Store ID]],tblStores[Store ID],tblStores[Manager])</f>
        <v>Susan Clark</v>
      </c>
      <c r="G2229" t="str">
        <f>_xlfn.XLOOKUP(tblSales[[#This Row],[Category ID]],tblCategories[Category ID],tblCategories[Category])</f>
        <v>Footwear</v>
      </c>
      <c r="H2229">
        <v>31720</v>
      </c>
      <c r="I2229">
        <v>33799</v>
      </c>
      <c r="J2229">
        <v>104</v>
      </c>
      <c r="K2229">
        <f>tblSales[[#This Row],[Sales]]-tblSales[[#This Row],[Budget]]</f>
        <v>-2079</v>
      </c>
      <c r="L2229" s="3">
        <f>(tblSales[[#This Row],[Sales]]-tblSales[[#This Row],[Budget]])/tblSales[[#This Row],[Budget]]</f>
        <v>-6.1510695582709544E-2</v>
      </c>
      <c r="M2229" s="2">
        <f>tblSales[[#This Row],[Sales]]/tblSales[[#This Row],[Transactions]]</f>
        <v>305</v>
      </c>
    </row>
    <row r="2230" spans="1:13" x14ac:dyDescent="0.25">
      <c r="A2230" s="1">
        <v>46134</v>
      </c>
      <c r="B2230" t="s">
        <v>17</v>
      </c>
      <c r="C2230" t="s">
        <v>22</v>
      </c>
      <c r="D2230" t="str">
        <f>_xlfn.XLOOKUP(tblSales[[#This Row],[Store ID]],tblStores[Store ID],tblStores[Store Name])</f>
        <v>Centurion</v>
      </c>
      <c r="E2230" t="str">
        <f>_xlfn.XLOOKUP(tblSales[[#This Row],[Store ID]],tblStores[Store ID],tblStores[Province])</f>
        <v>Gauteng</v>
      </c>
      <c r="F2230" t="str">
        <f>_xlfn.XLOOKUP(tblSales[[#This Row],[Store ID]],tblStores[Store ID],tblStores[Manager])</f>
        <v>Mark Wilson</v>
      </c>
      <c r="G2230" t="str">
        <f>_xlfn.XLOOKUP(tblSales[[#This Row],[Category ID]],tblCategories[Category ID],tblCategories[Category])</f>
        <v>Kids</v>
      </c>
      <c r="H2230">
        <v>35014</v>
      </c>
      <c r="I2230">
        <v>35537</v>
      </c>
      <c r="J2230">
        <v>122</v>
      </c>
      <c r="K2230">
        <f>tblSales[[#This Row],[Sales]]-tblSales[[#This Row],[Budget]]</f>
        <v>-523</v>
      </c>
      <c r="L2230" s="3">
        <f>(tblSales[[#This Row],[Sales]]-tblSales[[#This Row],[Budget]])/tblSales[[#This Row],[Budget]]</f>
        <v>-1.471705546331992E-2</v>
      </c>
      <c r="M2230" s="2">
        <f>tblSales[[#This Row],[Sales]]/tblSales[[#This Row],[Transactions]]</f>
        <v>287</v>
      </c>
    </row>
    <row r="2231" spans="1:13" x14ac:dyDescent="0.25">
      <c r="A2231" s="1">
        <v>46134</v>
      </c>
      <c r="B2231" t="s">
        <v>18</v>
      </c>
      <c r="C2231" t="s">
        <v>19</v>
      </c>
      <c r="D2231" t="str">
        <f>_xlfn.XLOOKUP(tblSales[[#This Row],[Store ID]],tblStores[Store ID],tblStores[Store Name])</f>
        <v>East Rand</v>
      </c>
      <c r="E2231" t="str">
        <f>_xlfn.XLOOKUP(tblSales[[#This Row],[Store ID]],tblStores[Store ID],tblStores[Province])</f>
        <v>Gauteng</v>
      </c>
      <c r="F2231" t="str">
        <f>_xlfn.XLOOKUP(tblSales[[#This Row],[Store ID]],tblStores[Store ID],tblStores[Manager])</f>
        <v>Lisa Young</v>
      </c>
      <c r="G2231" t="str">
        <f>_xlfn.XLOOKUP(tblSales[[#This Row],[Category ID]],tblCategories[Category ID],tblCategories[Category])</f>
        <v>Accessories</v>
      </c>
      <c r="H2231">
        <v>22372</v>
      </c>
      <c r="I2231">
        <v>25246</v>
      </c>
      <c r="J2231">
        <v>119</v>
      </c>
      <c r="K2231">
        <f>tblSales[[#This Row],[Sales]]-tblSales[[#This Row],[Budget]]</f>
        <v>-2874</v>
      </c>
      <c r="L2231" s="3">
        <f>(tblSales[[#This Row],[Sales]]-tblSales[[#This Row],[Budget]])/tblSales[[#This Row],[Budget]]</f>
        <v>-0.11383981620850828</v>
      </c>
      <c r="M2231" s="2">
        <f>tblSales[[#This Row],[Sales]]/tblSales[[#This Row],[Transactions]]</f>
        <v>188</v>
      </c>
    </row>
    <row r="2232" spans="1:13" x14ac:dyDescent="0.25">
      <c r="A2232" s="1">
        <v>46134</v>
      </c>
      <c r="B2232" t="s">
        <v>20</v>
      </c>
      <c r="C2232" t="s">
        <v>9</v>
      </c>
      <c r="D2232" t="str">
        <f>_xlfn.XLOOKUP(tblSales[[#This Row],[Store ID]],tblStores[Store ID],tblStores[Store Name])</f>
        <v>Cape Town CBD</v>
      </c>
      <c r="E2232" t="str">
        <f>_xlfn.XLOOKUP(tblSales[[#This Row],[Store ID]],tblStores[Store ID],tblStores[Province])</f>
        <v>Western Cape</v>
      </c>
      <c r="F2232" t="str">
        <f>_xlfn.XLOOKUP(tblSales[[#This Row],[Store ID]],tblStores[Store ID],tblStores[Manager])</f>
        <v>Brian Hall</v>
      </c>
      <c r="G2232" t="str">
        <f>_xlfn.XLOOKUP(tblSales[[#This Row],[Category ID]],tblCategories[Category ID],tblCategories[Category])</f>
        <v>Ladieswear</v>
      </c>
      <c r="H2232">
        <v>36200</v>
      </c>
      <c r="I2232">
        <v>38089</v>
      </c>
      <c r="J2232">
        <v>200</v>
      </c>
      <c r="K2232">
        <f>tblSales[[#This Row],[Sales]]-tblSales[[#This Row],[Budget]]</f>
        <v>-1889</v>
      </c>
      <c r="L2232" s="3">
        <f>(tblSales[[#This Row],[Sales]]-tblSales[[#This Row],[Budget]])/tblSales[[#This Row],[Budget]]</f>
        <v>-4.9594371078264067E-2</v>
      </c>
      <c r="M2232" s="2">
        <f>tblSales[[#This Row],[Sales]]/tblSales[[#This Row],[Transactions]]</f>
        <v>181</v>
      </c>
    </row>
    <row r="2233" spans="1:13" x14ac:dyDescent="0.25">
      <c r="A2233" s="1">
        <v>46134</v>
      </c>
      <c r="B2233" t="s">
        <v>21</v>
      </c>
      <c r="C2233" t="s">
        <v>7</v>
      </c>
      <c r="D2233" t="str">
        <f>_xlfn.XLOOKUP(tblSales[[#This Row],[Store ID]],tblStores[Store ID],tblStores[Store Name])</f>
        <v>Canal Walk</v>
      </c>
      <c r="E2233" t="str">
        <f>_xlfn.XLOOKUP(tblSales[[#This Row],[Store ID]],tblStores[Store ID],tblStores[Province])</f>
        <v>Western Cape</v>
      </c>
      <c r="F2233" t="str">
        <f>_xlfn.XLOOKUP(tblSales[[#This Row],[Store ID]],tblStores[Store ID],tblStores[Manager])</f>
        <v>Megan Scott</v>
      </c>
      <c r="G2233" t="str">
        <f>_xlfn.XLOOKUP(tblSales[[#This Row],[Category ID]],tblCategories[Category ID],tblCategories[Category])</f>
        <v>Menswear</v>
      </c>
      <c r="H2233">
        <v>9916</v>
      </c>
      <c r="I2233">
        <v>9948</v>
      </c>
      <c r="J2233">
        <v>37</v>
      </c>
      <c r="K2233">
        <f>tblSales[[#This Row],[Sales]]-tblSales[[#This Row],[Budget]]</f>
        <v>-32</v>
      </c>
      <c r="L2233" s="3">
        <f>(tblSales[[#This Row],[Sales]]-tblSales[[#This Row],[Budget]])/tblSales[[#This Row],[Budget]]</f>
        <v>-3.2167269802975472E-3</v>
      </c>
      <c r="M2233" s="2">
        <f>tblSales[[#This Row],[Sales]]/tblSales[[#This Row],[Transactions]]</f>
        <v>268</v>
      </c>
    </row>
    <row r="2234" spans="1:13" x14ac:dyDescent="0.25">
      <c r="A2234" s="1">
        <v>46134</v>
      </c>
      <c r="B2234" t="s">
        <v>23</v>
      </c>
      <c r="C2234" t="s">
        <v>11</v>
      </c>
      <c r="D2234" t="str">
        <f>_xlfn.XLOOKUP(tblSales[[#This Row],[Store ID]],tblStores[Store ID],tblStores[Store Name])</f>
        <v>Stellenbosch</v>
      </c>
      <c r="E2234" t="str">
        <f>_xlfn.XLOOKUP(tblSales[[#This Row],[Store ID]],tblStores[Store ID],tblStores[Province])</f>
        <v>Western Cape</v>
      </c>
      <c r="F2234" t="str">
        <f>_xlfn.XLOOKUP(tblSales[[#This Row],[Store ID]],tblStores[Store ID],tblStores[Manager])</f>
        <v>Jason King</v>
      </c>
      <c r="G2234" t="str">
        <f>_xlfn.XLOOKUP(tblSales[[#This Row],[Category ID]],tblCategories[Category ID],tblCategories[Category])</f>
        <v>Footwear</v>
      </c>
      <c r="H2234">
        <v>61425</v>
      </c>
      <c r="I2234">
        <v>56528</v>
      </c>
      <c r="J2234">
        <v>135</v>
      </c>
      <c r="K2234">
        <f>tblSales[[#This Row],[Sales]]-tblSales[[#This Row],[Budget]]</f>
        <v>4897</v>
      </c>
      <c r="L2234" s="3">
        <f>(tblSales[[#This Row],[Sales]]-tblSales[[#This Row],[Budget]])/tblSales[[#This Row],[Budget]]</f>
        <v>8.6629634871214264E-2</v>
      </c>
      <c r="M2234" s="2">
        <f>tblSales[[#This Row],[Sales]]/tblSales[[#This Row],[Transactions]]</f>
        <v>455</v>
      </c>
    </row>
    <row r="2235" spans="1:13" x14ac:dyDescent="0.25">
      <c r="A2235" s="1">
        <v>46134</v>
      </c>
      <c r="B2235" t="s">
        <v>24</v>
      </c>
      <c r="C2235" t="s">
        <v>7</v>
      </c>
      <c r="D2235" t="str">
        <f>_xlfn.XLOOKUP(tblSales[[#This Row],[Store ID]],tblStores[Store ID],tblStores[Store Name])</f>
        <v>George</v>
      </c>
      <c r="E2235" t="str">
        <f>_xlfn.XLOOKUP(tblSales[[#This Row],[Store ID]],tblStores[Store ID],tblStores[Province])</f>
        <v>Western Cape</v>
      </c>
      <c r="F2235" t="str">
        <f>_xlfn.XLOOKUP(tblSales[[#This Row],[Store ID]],tblStores[Store ID],tblStores[Manager])</f>
        <v>Chloe Hill</v>
      </c>
      <c r="G2235" t="str">
        <f>_xlfn.XLOOKUP(tblSales[[#This Row],[Category ID]],tblCategories[Category ID],tblCategories[Category])</f>
        <v>Menswear</v>
      </c>
      <c r="H2235">
        <v>33540</v>
      </c>
      <c r="I2235">
        <v>37670</v>
      </c>
      <c r="J2235">
        <v>172</v>
      </c>
      <c r="K2235">
        <f>tblSales[[#This Row],[Sales]]-tblSales[[#This Row],[Budget]]</f>
        <v>-4130</v>
      </c>
      <c r="L2235" s="3">
        <f>(tblSales[[#This Row],[Sales]]-tblSales[[#This Row],[Budget]])/tblSales[[#This Row],[Budget]]</f>
        <v>-0.10963631537032122</v>
      </c>
      <c r="M2235" s="2">
        <f>tblSales[[#This Row],[Sales]]/tblSales[[#This Row],[Transactions]]</f>
        <v>195</v>
      </c>
    </row>
    <row r="2236" spans="1:13" x14ac:dyDescent="0.25">
      <c r="A2236" s="1">
        <v>46134</v>
      </c>
      <c r="B2236" t="s">
        <v>25</v>
      </c>
      <c r="C2236" t="s">
        <v>11</v>
      </c>
      <c r="D2236" t="str">
        <f>_xlfn.XLOOKUP(tblSales[[#This Row],[Store ID]],tblStores[Store ID],tblStores[Store Name])</f>
        <v>Paarl</v>
      </c>
      <c r="E2236" t="str">
        <f>_xlfn.XLOOKUP(tblSales[[#This Row],[Store ID]],tblStores[Store ID],tblStores[Province])</f>
        <v>Western Cape</v>
      </c>
      <c r="F2236" t="str">
        <f>_xlfn.XLOOKUP(tblSales[[#This Row],[Store ID]],tblStores[Store ID],tblStores[Manager])</f>
        <v>Andrew Lee</v>
      </c>
      <c r="G2236" t="str">
        <f>_xlfn.XLOOKUP(tblSales[[#This Row],[Category ID]],tblCategories[Category ID],tblCategories[Category])</f>
        <v>Footwear</v>
      </c>
      <c r="H2236">
        <v>50301</v>
      </c>
      <c r="I2236">
        <v>49709</v>
      </c>
      <c r="J2236">
        <v>207</v>
      </c>
      <c r="K2236">
        <f>tblSales[[#This Row],[Sales]]-tblSales[[#This Row],[Budget]]</f>
        <v>592</v>
      </c>
      <c r="L2236" s="3">
        <f>(tblSales[[#This Row],[Sales]]-tblSales[[#This Row],[Budget]])/tblSales[[#This Row],[Budget]]</f>
        <v>1.1909312196986462E-2</v>
      </c>
      <c r="M2236" s="2">
        <f>tblSales[[#This Row],[Sales]]/tblSales[[#This Row],[Transactions]]</f>
        <v>243</v>
      </c>
    </row>
    <row r="2237" spans="1:13" x14ac:dyDescent="0.25">
      <c r="A2237" s="1">
        <v>46134</v>
      </c>
      <c r="B2237" t="s">
        <v>26</v>
      </c>
      <c r="C2237" t="s">
        <v>11</v>
      </c>
      <c r="D2237" t="str">
        <f>_xlfn.XLOOKUP(tblSales[[#This Row],[Store ID]],tblStores[Store ID],tblStores[Store Name])</f>
        <v>Gqeberha</v>
      </c>
      <c r="E2237" t="str">
        <f>_xlfn.XLOOKUP(tblSales[[#This Row],[Store ID]],tblStores[Store ID],tblStores[Province])</f>
        <v>Eastern Cape</v>
      </c>
      <c r="F2237" t="str">
        <f>_xlfn.XLOOKUP(tblSales[[#This Row],[Store ID]],tblStores[Store ID],tblStores[Manager])</f>
        <v>Emma Baker</v>
      </c>
      <c r="G2237" t="str">
        <f>_xlfn.XLOOKUP(tblSales[[#This Row],[Category ID]],tblCategories[Category ID],tblCategories[Category])</f>
        <v>Footwear</v>
      </c>
      <c r="H2237">
        <v>68244</v>
      </c>
      <c r="I2237">
        <v>68017</v>
      </c>
      <c r="J2237">
        <v>188</v>
      </c>
      <c r="K2237">
        <f>tblSales[[#This Row],[Sales]]-tblSales[[#This Row],[Budget]]</f>
        <v>227</v>
      </c>
      <c r="L2237" s="3">
        <f>(tblSales[[#This Row],[Sales]]-tblSales[[#This Row],[Budget]])/tblSales[[#This Row],[Budget]]</f>
        <v>3.3374009438816767E-3</v>
      </c>
      <c r="M2237" s="2">
        <f>tblSales[[#This Row],[Sales]]/tblSales[[#This Row],[Transactions]]</f>
        <v>363</v>
      </c>
    </row>
    <row r="2238" spans="1:13" x14ac:dyDescent="0.25">
      <c r="A2238" s="1">
        <v>46134</v>
      </c>
      <c r="B2238" t="s">
        <v>27</v>
      </c>
      <c r="C2238" t="s">
        <v>7</v>
      </c>
      <c r="D2238" t="str">
        <f>_xlfn.XLOOKUP(tblSales[[#This Row],[Store ID]],tblStores[Store ID],tblStores[Store Name])</f>
        <v>East London</v>
      </c>
      <c r="E2238" t="str">
        <f>_xlfn.XLOOKUP(tblSales[[#This Row],[Store ID]],tblStores[Store ID],tblStores[Province])</f>
        <v>Eastern Cape</v>
      </c>
      <c r="F2238" t="str">
        <f>_xlfn.XLOOKUP(tblSales[[#This Row],[Store ID]],tblStores[Store ID],tblStores[Manager])</f>
        <v>Daniel Evans</v>
      </c>
      <c r="G2238" t="str">
        <f>_xlfn.XLOOKUP(tblSales[[#This Row],[Category ID]],tblCategories[Category ID],tblCategories[Category])</f>
        <v>Menswear</v>
      </c>
      <c r="H2238">
        <v>27456</v>
      </c>
      <c r="I2238">
        <v>27253</v>
      </c>
      <c r="J2238">
        <v>66</v>
      </c>
      <c r="K2238">
        <f>tblSales[[#This Row],[Sales]]-tblSales[[#This Row],[Budget]]</f>
        <v>203</v>
      </c>
      <c r="L2238" s="3">
        <f>(tblSales[[#This Row],[Sales]]-tblSales[[#This Row],[Budget]])/tblSales[[#This Row],[Budget]]</f>
        <v>7.4487212416981616E-3</v>
      </c>
      <c r="M2238" s="2">
        <f>tblSales[[#This Row],[Sales]]/tblSales[[#This Row],[Transactions]]</f>
        <v>416</v>
      </c>
    </row>
    <row r="2239" spans="1:13" x14ac:dyDescent="0.25">
      <c r="A2239" s="1">
        <v>46134</v>
      </c>
      <c r="B2239" t="s">
        <v>28</v>
      </c>
      <c r="C2239" t="s">
        <v>9</v>
      </c>
      <c r="D2239" t="str">
        <f>_xlfn.XLOOKUP(tblSales[[#This Row],[Store ID]],tblStores[Store ID],tblStores[Store Name])</f>
        <v>Bloemfontein</v>
      </c>
      <c r="E2239" t="str">
        <f>_xlfn.XLOOKUP(tblSales[[#This Row],[Store ID]],tblStores[Store ID],tblStores[Province])</f>
        <v>Free State</v>
      </c>
      <c r="F2239" t="str">
        <f>_xlfn.XLOOKUP(tblSales[[#This Row],[Store ID]],tblStores[Store ID],tblStores[Manager])</f>
        <v>Rachel Moore</v>
      </c>
      <c r="G2239" t="str">
        <f>_xlfn.XLOOKUP(tblSales[[#This Row],[Category ID]],tblCategories[Category ID],tblCategories[Category])</f>
        <v>Ladieswear</v>
      </c>
      <c r="H2239">
        <v>27232</v>
      </c>
      <c r="I2239">
        <v>26016</v>
      </c>
      <c r="J2239">
        <v>148</v>
      </c>
      <c r="K2239">
        <f>tblSales[[#This Row],[Sales]]-tblSales[[#This Row],[Budget]]</f>
        <v>1216</v>
      </c>
      <c r="L2239" s="3">
        <f>(tblSales[[#This Row],[Sales]]-tblSales[[#This Row],[Budget]])/tblSales[[#This Row],[Budget]]</f>
        <v>4.6740467404674045E-2</v>
      </c>
      <c r="M2239" s="2">
        <f>tblSales[[#This Row],[Sales]]/tblSales[[#This Row],[Transactions]]</f>
        <v>184</v>
      </c>
    </row>
    <row r="2240" spans="1:13" x14ac:dyDescent="0.25">
      <c r="A2240" s="1">
        <v>46134</v>
      </c>
      <c r="B2240" t="s">
        <v>29</v>
      </c>
      <c r="C2240" t="s">
        <v>7</v>
      </c>
      <c r="D2240" t="str">
        <f>_xlfn.XLOOKUP(tblSales[[#This Row],[Store ID]],tblStores[Store ID],tblStores[Store Name])</f>
        <v>Polokwane</v>
      </c>
      <c r="E2240" t="str">
        <f>_xlfn.XLOOKUP(tblSales[[#This Row],[Store ID]],tblStores[Store ID],tblStores[Province])</f>
        <v>Limpopo</v>
      </c>
      <c r="F2240" t="str">
        <f>_xlfn.XLOOKUP(tblSales[[#This Row],[Store ID]],tblStores[Store ID],tblStores[Manager])</f>
        <v>Kevin Harris</v>
      </c>
      <c r="G2240" t="str">
        <f>_xlfn.XLOOKUP(tblSales[[#This Row],[Category ID]],tblCategories[Category ID],tblCategories[Category])</f>
        <v>Menswear</v>
      </c>
      <c r="H2240">
        <v>38478</v>
      </c>
      <c r="I2240">
        <v>36472</v>
      </c>
      <c r="J2240">
        <v>106</v>
      </c>
      <c r="K2240">
        <f>tblSales[[#This Row],[Sales]]-tblSales[[#This Row],[Budget]]</f>
        <v>2006</v>
      </c>
      <c r="L2240" s="3">
        <f>(tblSales[[#This Row],[Sales]]-tblSales[[#This Row],[Budget]])/tblSales[[#This Row],[Budget]]</f>
        <v>5.5001096731739418E-2</v>
      </c>
      <c r="M2240" s="2">
        <f>tblSales[[#This Row],[Sales]]/tblSales[[#This Row],[Transactions]]</f>
        <v>363</v>
      </c>
    </row>
    <row r="2241" spans="1:13" x14ac:dyDescent="0.25">
      <c r="A2241" s="1">
        <v>46134</v>
      </c>
      <c r="B2241" t="s">
        <v>30</v>
      </c>
      <c r="C2241" t="s">
        <v>19</v>
      </c>
      <c r="D2241" t="str">
        <f>_xlfn.XLOOKUP(tblSales[[#This Row],[Store ID]],tblStores[Store ID],tblStores[Store Name])</f>
        <v>Nelspruit</v>
      </c>
      <c r="E2241" t="str">
        <f>_xlfn.XLOOKUP(tblSales[[#This Row],[Store ID]],tblStores[Store ID],tblStores[Province])</f>
        <v>Mpumalanga</v>
      </c>
      <c r="F2241" t="str">
        <f>_xlfn.XLOOKUP(tblSales[[#This Row],[Store ID]],tblStores[Store ID],tblStores[Manager])</f>
        <v>Olivia Turner</v>
      </c>
      <c r="G2241" t="str">
        <f>_xlfn.XLOOKUP(tblSales[[#This Row],[Category ID]],tblCategories[Category ID],tblCategories[Category])</f>
        <v>Accessories</v>
      </c>
      <c r="H2241">
        <v>65325</v>
      </c>
      <c r="I2241">
        <v>71994</v>
      </c>
      <c r="J2241">
        <v>195</v>
      </c>
      <c r="K2241">
        <f>tblSales[[#This Row],[Sales]]-tblSales[[#This Row],[Budget]]</f>
        <v>-6669</v>
      </c>
      <c r="L2241" s="3">
        <f>(tblSales[[#This Row],[Sales]]-tblSales[[#This Row],[Budget]])/tblSales[[#This Row],[Budget]]</f>
        <v>-9.263271939328277E-2</v>
      </c>
      <c r="M2241" s="2">
        <f>tblSales[[#This Row],[Sales]]/tblSales[[#This Row],[Transactions]]</f>
        <v>335</v>
      </c>
    </row>
    <row r="2242" spans="1:13" x14ac:dyDescent="0.25">
      <c r="A2242" s="1">
        <v>46135</v>
      </c>
      <c r="B2242" t="s">
        <v>6</v>
      </c>
      <c r="C2242" t="s">
        <v>9</v>
      </c>
      <c r="D2242" t="str">
        <f>_xlfn.XLOOKUP(tblSales[[#This Row],[Store ID]],tblStores[Store ID],tblStores[Store Name])</f>
        <v>Durban CBD</v>
      </c>
      <c r="E2242" t="str">
        <f>_xlfn.XLOOKUP(tblSales[[#This Row],[Store ID]],tblStores[Store ID],tblStores[Province])</f>
        <v>KZN</v>
      </c>
      <c r="F2242" t="str">
        <f>_xlfn.XLOOKUP(tblSales[[#This Row],[Store ID]],tblStores[Store ID],tblStores[Manager])</f>
        <v>Sarah Adams</v>
      </c>
      <c r="G2242" t="str">
        <f>_xlfn.XLOOKUP(tblSales[[#This Row],[Category ID]],tblCategories[Category ID],tblCategories[Category])</f>
        <v>Ladieswear</v>
      </c>
      <c r="H2242">
        <v>40608</v>
      </c>
      <c r="I2242">
        <v>46367</v>
      </c>
      <c r="J2242">
        <v>94</v>
      </c>
      <c r="K2242">
        <f>tblSales[[#This Row],[Sales]]-tblSales[[#This Row],[Budget]]</f>
        <v>-5759</v>
      </c>
      <c r="L2242" s="3">
        <f>(tblSales[[#This Row],[Sales]]-tblSales[[#This Row],[Budget]])/tblSales[[#This Row],[Budget]]</f>
        <v>-0.12420471455992409</v>
      </c>
      <c r="M2242" s="2">
        <f>tblSales[[#This Row],[Sales]]/tblSales[[#This Row],[Transactions]]</f>
        <v>432</v>
      </c>
    </row>
    <row r="2243" spans="1:13" x14ac:dyDescent="0.25">
      <c r="A2243" s="1">
        <v>46135</v>
      </c>
      <c r="B2243" t="s">
        <v>8</v>
      </c>
      <c r="C2243" t="s">
        <v>7</v>
      </c>
      <c r="D2243" t="str">
        <f>_xlfn.XLOOKUP(tblSales[[#This Row],[Store ID]],tblStores[Store ID],tblStores[Store Name])</f>
        <v>Gateway</v>
      </c>
      <c r="E2243" t="str">
        <f>_xlfn.XLOOKUP(tblSales[[#This Row],[Store ID]],tblStores[Store ID],tblStores[Province])</f>
        <v>KZN</v>
      </c>
      <c r="F2243" t="str">
        <f>_xlfn.XLOOKUP(tblSales[[#This Row],[Store ID]],tblStores[Store ID],tblStores[Manager])</f>
        <v>Michael Jones</v>
      </c>
      <c r="G2243" t="str">
        <f>_xlfn.XLOOKUP(tblSales[[#This Row],[Category ID]],tblCategories[Category ID],tblCategories[Category])</f>
        <v>Menswear</v>
      </c>
      <c r="H2243">
        <v>45792</v>
      </c>
      <c r="I2243">
        <v>51567</v>
      </c>
      <c r="J2243">
        <v>106</v>
      </c>
      <c r="K2243">
        <f>tblSales[[#This Row],[Sales]]-tblSales[[#This Row],[Budget]]</f>
        <v>-5775</v>
      </c>
      <c r="L2243" s="3">
        <f>(tblSales[[#This Row],[Sales]]-tblSales[[#This Row],[Budget]])/tblSales[[#This Row],[Budget]]</f>
        <v>-0.11199022630752226</v>
      </c>
      <c r="M2243" s="2">
        <f>tblSales[[#This Row],[Sales]]/tblSales[[#This Row],[Transactions]]</f>
        <v>432</v>
      </c>
    </row>
    <row r="2244" spans="1:13" x14ac:dyDescent="0.25">
      <c r="A2244" s="1">
        <v>46135</v>
      </c>
      <c r="B2244" t="s">
        <v>10</v>
      </c>
      <c r="C2244" t="s">
        <v>19</v>
      </c>
      <c r="D2244" t="str">
        <f>_xlfn.XLOOKUP(tblSales[[#This Row],[Store ID]],tblStores[Store ID],tblStores[Store Name])</f>
        <v>Ballito</v>
      </c>
      <c r="E2244" t="str">
        <f>_xlfn.XLOOKUP(tblSales[[#This Row],[Store ID]],tblStores[Store ID],tblStores[Province])</f>
        <v>KZN</v>
      </c>
      <c r="F2244" t="str">
        <f>_xlfn.XLOOKUP(tblSales[[#This Row],[Store ID]],tblStores[Store ID],tblStores[Manager])</f>
        <v>Linda Smith</v>
      </c>
      <c r="G2244" t="str">
        <f>_xlfn.XLOOKUP(tblSales[[#This Row],[Category ID]],tblCategories[Category ID],tblCategories[Category])</f>
        <v>Accessories</v>
      </c>
      <c r="H2244">
        <v>16104</v>
      </c>
      <c r="I2244">
        <v>15283</v>
      </c>
      <c r="J2244">
        <v>88</v>
      </c>
      <c r="K2244">
        <f>tblSales[[#This Row],[Sales]]-tblSales[[#This Row],[Budget]]</f>
        <v>821</v>
      </c>
      <c r="L2244" s="3">
        <f>(tblSales[[#This Row],[Sales]]-tblSales[[#This Row],[Budget]])/tblSales[[#This Row],[Budget]]</f>
        <v>5.3719819407184455E-2</v>
      </c>
      <c r="M2244" s="2">
        <f>tblSales[[#This Row],[Sales]]/tblSales[[#This Row],[Transactions]]</f>
        <v>183</v>
      </c>
    </row>
    <row r="2245" spans="1:13" x14ac:dyDescent="0.25">
      <c r="A2245" s="1">
        <v>46135</v>
      </c>
      <c r="B2245" t="s">
        <v>12</v>
      </c>
      <c r="C2245" t="s">
        <v>11</v>
      </c>
      <c r="D2245" t="str">
        <f>_xlfn.XLOOKUP(tblSales[[#This Row],[Store ID]],tblStores[Store ID],tblStores[Store Name])</f>
        <v>Pietermaritzburg</v>
      </c>
      <c r="E2245" t="str">
        <f>_xlfn.XLOOKUP(tblSales[[#This Row],[Store ID]],tblStores[Store ID],tblStores[Province])</f>
        <v>KZN</v>
      </c>
      <c r="F2245" t="str">
        <f>_xlfn.XLOOKUP(tblSales[[#This Row],[Store ID]],tblStores[Store ID],tblStores[Manager])</f>
        <v>Peter Brown</v>
      </c>
      <c r="G2245" t="str">
        <f>_xlfn.XLOOKUP(tblSales[[#This Row],[Category ID]],tblCategories[Category ID],tblCategories[Category])</f>
        <v>Footwear</v>
      </c>
      <c r="H2245">
        <v>20286</v>
      </c>
      <c r="I2245">
        <v>21143</v>
      </c>
      <c r="J2245">
        <v>63</v>
      </c>
      <c r="K2245">
        <f>tblSales[[#This Row],[Sales]]-tblSales[[#This Row],[Budget]]</f>
        <v>-857</v>
      </c>
      <c r="L2245" s="3">
        <f>(tblSales[[#This Row],[Sales]]-tblSales[[#This Row],[Budget]])/tblSales[[#This Row],[Budget]]</f>
        <v>-4.0533509908716833E-2</v>
      </c>
      <c r="M2245" s="2">
        <f>tblSales[[#This Row],[Sales]]/tblSales[[#This Row],[Transactions]]</f>
        <v>322</v>
      </c>
    </row>
    <row r="2246" spans="1:13" x14ac:dyDescent="0.25">
      <c r="A2246" s="1">
        <v>46135</v>
      </c>
      <c r="B2246" t="s">
        <v>13</v>
      </c>
      <c r="C2246" t="s">
        <v>11</v>
      </c>
      <c r="D2246" t="str">
        <f>_xlfn.XLOOKUP(tblSales[[#This Row],[Store ID]],tblStores[Store ID],tblStores[Store Name])</f>
        <v>Richards Bay</v>
      </c>
      <c r="E2246" t="str">
        <f>_xlfn.XLOOKUP(tblSales[[#This Row],[Store ID]],tblStores[Store ID],tblStores[Province])</f>
        <v>KZN</v>
      </c>
      <c r="F2246" t="str">
        <f>_xlfn.XLOOKUP(tblSales[[#This Row],[Store ID]],tblStores[Store ID],tblStores[Manager])</f>
        <v>David Green</v>
      </c>
      <c r="G2246" t="str">
        <f>_xlfn.XLOOKUP(tblSales[[#This Row],[Category ID]],tblCategories[Category ID],tblCategories[Category])</f>
        <v>Footwear</v>
      </c>
      <c r="H2246">
        <v>36036</v>
      </c>
      <c r="I2246">
        <v>34178</v>
      </c>
      <c r="J2246">
        <v>78</v>
      </c>
      <c r="K2246">
        <f>tblSales[[#This Row],[Sales]]-tblSales[[#This Row],[Budget]]</f>
        <v>1858</v>
      </c>
      <c r="L2246" s="3">
        <f>(tblSales[[#This Row],[Sales]]-tblSales[[#This Row],[Budget]])/tblSales[[#This Row],[Budget]]</f>
        <v>5.436245538065422E-2</v>
      </c>
      <c r="M2246" s="2">
        <f>tblSales[[#This Row],[Sales]]/tblSales[[#This Row],[Transactions]]</f>
        <v>462</v>
      </c>
    </row>
    <row r="2247" spans="1:13" x14ac:dyDescent="0.25">
      <c r="A2247" s="1">
        <v>46135</v>
      </c>
      <c r="B2247" t="s">
        <v>14</v>
      </c>
      <c r="C2247" t="s">
        <v>19</v>
      </c>
      <c r="D2247" t="str">
        <f>_xlfn.XLOOKUP(tblSales[[#This Row],[Store ID]],tblStores[Store ID],tblStores[Store Name])</f>
        <v>Sandton</v>
      </c>
      <c r="E2247" t="str">
        <f>_xlfn.XLOOKUP(tblSales[[#This Row],[Store ID]],tblStores[Store ID],tblStores[Province])</f>
        <v>Gauteng</v>
      </c>
      <c r="F2247" t="str">
        <f>_xlfn.XLOOKUP(tblSales[[#This Row],[Store ID]],tblStores[Store ID],tblStores[Manager])</f>
        <v>Karen White</v>
      </c>
      <c r="G2247" t="str">
        <f>_xlfn.XLOOKUP(tblSales[[#This Row],[Category ID]],tblCategories[Category ID],tblCategories[Category])</f>
        <v>Accessories</v>
      </c>
      <c r="H2247">
        <v>101016</v>
      </c>
      <c r="I2247">
        <v>105186</v>
      </c>
      <c r="J2247">
        <v>207</v>
      </c>
      <c r="K2247">
        <f>tblSales[[#This Row],[Sales]]-tblSales[[#This Row],[Budget]]</f>
        <v>-4170</v>
      </c>
      <c r="L2247" s="3">
        <f>(tblSales[[#This Row],[Sales]]-tblSales[[#This Row],[Budget]])/tblSales[[#This Row],[Budget]]</f>
        <v>-3.9644059095316868E-2</v>
      </c>
      <c r="M2247" s="2">
        <f>tblSales[[#This Row],[Sales]]/tblSales[[#This Row],[Transactions]]</f>
        <v>488</v>
      </c>
    </row>
    <row r="2248" spans="1:13" x14ac:dyDescent="0.25">
      <c r="A2248" s="1">
        <v>46135</v>
      </c>
      <c r="B2248" t="s">
        <v>15</v>
      </c>
      <c r="C2248" t="s">
        <v>7</v>
      </c>
      <c r="D2248" t="str">
        <f>_xlfn.XLOOKUP(tblSales[[#This Row],[Store ID]],tblStores[Store ID],tblStores[Store Name])</f>
        <v>Rosebank</v>
      </c>
      <c r="E2248" t="str">
        <f>_xlfn.XLOOKUP(tblSales[[#This Row],[Store ID]],tblStores[Store ID],tblStores[Province])</f>
        <v>Gauteng</v>
      </c>
      <c r="F2248" t="str">
        <f>_xlfn.XLOOKUP(tblSales[[#This Row],[Store ID]],tblStores[Store ID],tblStores[Manager])</f>
        <v>James Taylor</v>
      </c>
      <c r="G2248" t="str">
        <f>_xlfn.XLOOKUP(tblSales[[#This Row],[Category ID]],tblCategories[Category ID],tblCategories[Category])</f>
        <v>Menswear</v>
      </c>
      <c r="H2248">
        <v>45325</v>
      </c>
      <c r="I2248">
        <v>49245</v>
      </c>
      <c r="J2248">
        <v>185</v>
      </c>
      <c r="K2248">
        <f>tblSales[[#This Row],[Sales]]-tblSales[[#This Row],[Budget]]</f>
        <v>-3920</v>
      </c>
      <c r="L2248" s="3">
        <f>(tblSales[[#This Row],[Sales]]-tblSales[[#This Row],[Budget]])/tblSales[[#This Row],[Budget]]</f>
        <v>-7.9601990049751242E-2</v>
      </c>
      <c r="M2248" s="2">
        <f>tblSales[[#This Row],[Sales]]/tblSales[[#This Row],[Transactions]]</f>
        <v>245</v>
      </c>
    </row>
    <row r="2249" spans="1:13" x14ac:dyDescent="0.25">
      <c r="A2249" s="1">
        <v>46135</v>
      </c>
      <c r="B2249" t="s">
        <v>16</v>
      </c>
      <c r="C2249" t="s">
        <v>9</v>
      </c>
      <c r="D2249" t="str">
        <f>_xlfn.XLOOKUP(tblSales[[#This Row],[Store ID]],tblStores[Store ID],tblStores[Store Name])</f>
        <v>Pretoria</v>
      </c>
      <c r="E2249" t="str">
        <f>_xlfn.XLOOKUP(tblSales[[#This Row],[Store ID]],tblStores[Store ID],tblStores[Province])</f>
        <v>Gauteng</v>
      </c>
      <c r="F2249" t="str">
        <f>_xlfn.XLOOKUP(tblSales[[#This Row],[Store ID]],tblStores[Store ID],tblStores[Manager])</f>
        <v>Susan Clark</v>
      </c>
      <c r="G2249" t="str">
        <f>_xlfn.XLOOKUP(tblSales[[#This Row],[Category ID]],tblCategories[Category ID],tblCategories[Category])</f>
        <v>Ladieswear</v>
      </c>
      <c r="H2249">
        <v>47571</v>
      </c>
      <c r="I2249">
        <v>52987</v>
      </c>
      <c r="J2249">
        <v>101</v>
      </c>
      <c r="K2249">
        <f>tblSales[[#This Row],[Sales]]-tblSales[[#This Row],[Budget]]</f>
        <v>-5416</v>
      </c>
      <c r="L2249" s="3">
        <f>(tblSales[[#This Row],[Sales]]-tblSales[[#This Row],[Budget]])/tblSales[[#This Row],[Budget]]</f>
        <v>-0.10221375054258591</v>
      </c>
      <c r="M2249" s="2">
        <f>tblSales[[#This Row],[Sales]]/tblSales[[#This Row],[Transactions]]</f>
        <v>471</v>
      </c>
    </row>
    <row r="2250" spans="1:13" x14ac:dyDescent="0.25">
      <c r="A2250" s="1">
        <v>46135</v>
      </c>
      <c r="B2250" t="s">
        <v>17</v>
      </c>
      <c r="C2250" t="s">
        <v>19</v>
      </c>
      <c r="D2250" t="str">
        <f>_xlfn.XLOOKUP(tblSales[[#This Row],[Store ID]],tblStores[Store ID],tblStores[Store Name])</f>
        <v>Centurion</v>
      </c>
      <c r="E2250" t="str">
        <f>_xlfn.XLOOKUP(tblSales[[#This Row],[Store ID]],tblStores[Store ID],tblStores[Province])</f>
        <v>Gauteng</v>
      </c>
      <c r="F2250" t="str">
        <f>_xlfn.XLOOKUP(tblSales[[#This Row],[Store ID]],tblStores[Store ID],tblStores[Manager])</f>
        <v>Mark Wilson</v>
      </c>
      <c r="G2250" t="str">
        <f>_xlfn.XLOOKUP(tblSales[[#This Row],[Category ID]],tblCategories[Category ID],tblCategories[Category])</f>
        <v>Accessories</v>
      </c>
      <c r="H2250">
        <v>29190</v>
      </c>
      <c r="I2250">
        <v>32456</v>
      </c>
      <c r="J2250">
        <v>105</v>
      </c>
      <c r="K2250">
        <f>tblSales[[#This Row],[Sales]]-tblSales[[#This Row],[Budget]]</f>
        <v>-3266</v>
      </c>
      <c r="L2250" s="3">
        <f>(tblSales[[#This Row],[Sales]]-tblSales[[#This Row],[Budget]])/tblSales[[#This Row],[Budget]]</f>
        <v>-0.10062854325856545</v>
      </c>
      <c r="M2250" s="2">
        <f>tblSales[[#This Row],[Sales]]/tblSales[[#This Row],[Transactions]]</f>
        <v>278</v>
      </c>
    </row>
    <row r="2251" spans="1:13" x14ac:dyDescent="0.25">
      <c r="A2251" s="1">
        <v>46135</v>
      </c>
      <c r="B2251" t="s">
        <v>18</v>
      </c>
      <c r="C2251" t="s">
        <v>7</v>
      </c>
      <c r="D2251" t="str">
        <f>_xlfn.XLOOKUP(tblSales[[#This Row],[Store ID]],tblStores[Store ID],tblStores[Store Name])</f>
        <v>East Rand</v>
      </c>
      <c r="E2251" t="str">
        <f>_xlfn.XLOOKUP(tblSales[[#This Row],[Store ID]],tblStores[Store ID],tblStores[Province])</f>
        <v>Gauteng</v>
      </c>
      <c r="F2251" t="str">
        <f>_xlfn.XLOOKUP(tblSales[[#This Row],[Store ID]],tblStores[Store ID],tblStores[Manager])</f>
        <v>Lisa Young</v>
      </c>
      <c r="G2251" t="str">
        <f>_xlfn.XLOOKUP(tblSales[[#This Row],[Category ID]],tblCategories[Category ID],tblCategories[Category])</f>
        <v>Menswear</v>
      </c>
      <c r="H2251">
        <v>95824</v>
      </c>
      <c r="I2251">
        <v>100961</v>
      </c>
      <c r="J2251">
        <v>212</v>
      </c>
      <c r="K2251">
        <f>tblSales[[#This Row],[Sales]]-tblSales[[#This Row],[Budget]]</f>
        <v>-5137</v>
      </c>
      <c r="L2251" s="3">
        <f>(tblSales[[#This Row],[Sales]]-tblSales[[#This Row],[Budget]])/tblSales[[#This Row],[Budget]]</f>
        <v>-5.0881033270272678E-2</v>
      </c>
      <c r="M2251" s="2">
        <f>tblSales[[#This Row],[Sales]]/tblSales[[#This Row],[Transactions]]</f>
        <v>452</v>
      </c>
    </row>
    <row r="2252" spans="1:13" x14ac:dyDescent="0.25">
      <c r="A2252" s="1">
        <v>46135</v>
      </c>
      <c r="B2252" t="s">
        <v>20</v>
      </c>
      <c r="C2252" t="s">
        <v>19</v>
      </c>
      <c r="D2252" t="str">
        <f>_xlfn.XLOOKUP(tblSales[[#This Row],[Store ID]],tblStores[Store ID],tblStores[Store Name])</f>
        <v>Cape Town CBD</v>
      </c>
      <c r="E2252" t="str">
        <f>_xlfn.XLOOKUP(tblSales[[#This Row],[Store ID]],tblStores[Store ID],tblStores[Province])</f>
        <v>Western Cape</v>
      </c>
      <c r="F2252" t="str">
        <f>_xlfn.XLOOKUP(tblSales[[#This Row],[Store ID]],tblStores[Store ID],tblStores[Manager])</f>
        <v>Brian Hall</v>
      </c>
      <c r="G2252" t="str">
        <f>_xlfn.XLOOKUP(tblSales[[#This Row],[Category ID]],tblCategories[Category ID],tblCategories[Category])</f>
        <v>Accessories</v>
      </c>
      <c r="H2252">
        <v>27331</v>
      </c>
      <c r="I2252">
        <v>31006</v>
      </c>
      <c r="J2252">
        <v>151</v>
      </c>
      <c r="K2252">
        <f>tblSales[[#This Row],[Sales]]-tblSales[[#This Row],[Budget]]</f>
        <v>-3675</v>
      </c>
      <c r="L2252" s="3">
        <f>(tblSales[[#This Row],[Sales]]-tblSales[[#This Row],[Budget]])/tblSales[[#This Row],[Budget]]</f>
        <v>-0.11852544668773786</v>
      </c>
      <c r="M2252" s="2">
        <f>tblSales[[#This Row],[Sales]]/tblSales[[#This Row],[Transactions]]</f>
        <v>181</v>
      </c>
    </row>
    <row r="2253" spans="1:13" x14ac:dyDescent="0.25">
      <c r="A2253" s="1">
        <v>46135</v>
      </c>
      <c r="B2253" t="s">
        <v>21</v>
      </c>
      <c r="C2253" t="s">
        <v>7</v>
      </c>
      <c r="D2253" t="str">
        <f>_xlfn.XLOOKUP(tblSales[[#This Row],[Store ID]],tblStores[Store ID],tblStores[Store Name])</f>
        <v>Canal Walk</v>
      </c>
      <c r="E2253" t="str">
        <f>_xlfn.XLOOKUP(tblSales[[#This Row],[Store ID]],tblStores[Store ID],tblStores[Province])</f>
        <v>Western Cape</v>
      </c>
      <c r="F2253" t="str">
        <f>_xlfn.XLOOKUP(tblSales[[#This Row],[Store ID]],tblStores[Store ID],tblStores[Manager])</f>
        <v>Megan Scott</v>
      </c>
      <c r="G2253" t="str">
        <f>_xlfn.XLOOKUP(tblSales[[#This Row],[Category ID]],tblCategories[Category ID],tblCategories[Category])</f>
        <v>Menswear</v>
      </c>
      <c r="H2253">
        <v>46917</v>
      </c>
      <c r="I2253">
        <v>52128</v>
      </c>
      <c r="J2253">
        <v>117</v>
      </c>
      <c r="K2253">
        <f>tblSales[[#This Row],[Sales]]-tblSales[[#This Row],[Budget]]</f>
        <v>-5211</v>
      </c>
      <c r="L2253" s="3">
        <f>(tblSales[[#This Row],[Sales]]-tblSales[[#This Row],[Budget]])/tblSales[[#This Row],[Budget]]</f>
        <v>-9.9965469613259667E-2</v>
      </c>
      <c r="M2253" s="2">
        <f>tblSales[[#This Row],[Sales]]/tblSales[[#This Row],[Transactions]]</f>
        <v>401</v>
      </c>
    </row>
    <row r="2254" spans="1:13" x14ac:dyDescent="0.25">
      <c r="A2254" s="1">
        <v>46135</v>
      </c>
      <c r="B2254" t="s">
        <v>23</v>
      </c>
      <c r="C2254" t="s">
        <v>11</v>
      </c>
      <c r="D2254" t="str">
        <f>_xlfn.XLOOKUP(tblSales[[#This Row],[Store ID]],tblStores[Store ID],tblStores[Store Name])</f>
        <v>Stellenbosch</v>
      </c>
      <c r="E2254" t="str">
        <f>_xlfn.XLOOKUP(tblSales[[#This Row],[Store ID]],tblStores[Store ID],tblStores[Province])</f>
        <v>Western Cape</v>
      </c>
      <c r="F2254" t="str">
        <f>_xlfn.XLOOKUP(tblSales[[#This Row],[Store ID]],tblStores[Store ID],tblStores[Manager])</f>
        <v>Jason King</v>
      </c>
      <c r="G2254" t="str">
        <f>_xlfn.XLOOKUP(tblSales[[#This Row],[Category ID]],tblCategories[Category ID],tblCategories[Category])</f>
        <v>Footwear</v>
      </c>
      <c r="H2254">
        <v>25410</v>
      </c>
      <c r="I2254">
        <v>27189</v>
      </c>
      <c r="J2254">
        <v>105</v>
      </c>
      <c r="K2254">
        <f>tblSales[[#This Row],[Sales]]-tblSales[[#This Row],[Budget]]</f>
        <v>-1779</v>
      </c>
      <c r="L2254" s="3">
        <f>(tblSales[[#This Row],[Sales]]-tblSales[[#This Row],[Budget]])/tblSales[[#This Row],[Budget]]</f>
        <v>-6.5430872779432853E-2</v>
      </c>
      <c r="M2254" s="2">
        <f>tblSales[[#This Row],[Sales]]/tblSales[[#This Row],[Transactions]]</f>
        <v>242</v>
      </c>
    </row>
    <row r="2255" spans="1:13" x14ac:dyDescent="0.25">
      <c r="A2255" s="1">
        <v>46135</v>
      </c>
      <c r="B2255" t="s">
        <v>24</v>
      </c>
      <c r="C2255" t="s">
        <v>11</v>
      </c>
      <c r="D2255" t="str">
        <f>_xlfn.XLOOKUP(tblSales[[#This Row],[Store ID]],tblStores[Store ID],tblStores[Store Name])</f>
        <v>George</v>
      </c>
      <c r="E2255" t="str">
        <f>_xlfn.XLOOKUP(tblSales[[#This Row],[Store ID]],tblStores[Store ID],tblStores[Province])</f>
        <v>Western Cape</v>
      </c>
      <c r="F2255" t="str">
        <f>_xlfn.XLOOKUP(tblSales[[#This Row],[Store ID]],tblStores[Store ID],tblStores[Manager])</f>
        <v>Chloe Hill</v>
      </c>
      <c r="G2255" t="str">
        <f>_xlfn.XLOOKUP(tblSales[[#This Row],[Category ID]],tblCategories[Category ID],tblCategories[Category])</f>
        <v>Footwear</v>
      </c>
      <c r="H2255">
        <v>58765</v>
      </c>
      <c r="I2255">
        <v>60487</v>
      </c>
      <c r="J2255">
        <v>161</v>
      </c>
      <c r="K2255">
        <f>tblSales[[#This Row],[Sales]]-tblSales[[#This Row],[Budget]]</f>
        <v>-1722</v>
      </c>
      <c r="L2255" s="3">
        <f>(tblSales[[#This Row],[Sales]]-tblSales[[#This Row],[Budget]])/tblSales[[#This Row],[Budget]]</f>
        <v>-2.846892720749913E-2</v>
      </c>
      <c r="M2255" s="2">
        <f>tblSales[[#This Row],[Sales]]/tblSales[[#This Row],[Transactions]]</f>
        <v>365</v>
      </c>
    </row>
    <row r="2256" spans="1:13" x14ac:dyDescent="0.25">
      <c r="A2256" s="1">
        <v>46135</v>
      </c>
      <c r="B2256" t="s">
        <v>25</v>
      </c>
      <c r="C2256" t="s">
        <v>7</v>
      </c>
      <c r="D2256" t="str">
        <f>_xlfn.XLOOKUP(tblSales[[#This Row],[Store ID]],tblStores[Store ID],tblStores[Store Name])</f>
        <v>Paarl</v>
      </c>
      <c r="E2256" t="str">
        <f>_xlfn.XLOOKUP(tblSales[[#This Row],[Store ID]],tblStores[Store ID],tblStores[Province])</f>
        <v>Western Cape</v>
      </c>
      <c r="F2256" t="str">
        <f>_xlfn.XLOOKUP(tblSales[[#This Row],[Store ID]],tblStores[Store ID],tblStores[Manager])</f>
        <v>Andrew Lee</v>
      </c>
      <c r="G2256" t="str">
        <f>_xlfn.XLOOKUP(tblSales[[#This Row],[Category ID]],tblCategories[Category ID],tblCategories[Category])</f>
        <v>Menswear</v>
      </c>
      <c r="H2256">
        <v>64386</v>
      </c>
      <c r="I2256">
        <v>58703</v>
      </c>
      <c r="J2256">
        <v>219</v>
      </c>
      <c r="K2256">
        <f>tblSales[[#This Row],[Sales]]-tblSales[[#This Row],[Budget]]</f>
        <v>5683</v>
      </c>
      <c r="L2256" s="3">
        <f>(tblSales[[#This Row],[Sales]]-tblSales[[#This Row],[Budget]])/tblSales[[#This Row],[Budget]]</f>
        <v>9.6809362383523834E-2</v>
      </c>
      <c r="M2256" s="2">
        <f>tblSales[[#This Row],[Sales]]/tblSales[[#This Row],[Transactions]]</f>
        <v>294</v>
      </c>
    </row>
    <row r="2257" spans="1:13" x14ac:dyDescent="0.25">
      <c r="A2257" s="1">
        <v>46135</v>
      </c>
      <c r="B2257" t="s">
        <v>26</v>
      </c>
      <c r="C2257" t="s">
        <v>11</v>
      </c>
      <c r="D2257" t="str">
        <f>_xlfn.XLOOKUP(tblSales[[#This Row],[Store ID]],tblStores[Store ID],tblStores[Store Name])</f>
        <v>Gqeberha</v>
      </c>
      <c r="E2257" t="str">
        <f>_xlfn.XLOOKUP(tblSales[[#This Row],[Store ID]],tblStores[Store ID],tblStores[Province])</f>
        <v>Eastern Cape</v>
      </c>
      <c r="F2257" t="str">
        <f>_xlfn.XLOOKUP(tblSales[[#This Row],[Store ID]],tblStores[Store ID],tblStores[Manager])</f>
        <v>Emma Baker</v>
      </c>
      <c r="G2257" t="str">
        <f>_xlfn.XLOOKUP(tblSales[[#This Row],[Category ID]],tblCategories[Category ID],tblCategories[Category])</f>
        <v>Footwear</v>
      </c>
      <c r="H2257">
        <v>69939</v>
      </c>
      <c r="I2257">
        <v>68474</v>
      </c>
      <c r="J2257">
        <v>171</v>
      </c>
      <c r="K2257">
        <f>tblSales[[#This Row],[Sales]]-tblSales[[#This Row],[Budget]]</f>
        <v>1465</v>
      </c>
      <c r="L2257" s="3">
        <f>(tblSales[[#This Row],[Sales]]-tblSales[[#This Row],[Budget]])/tblSales[[#This Row],[Budget]]</f>
        <v>2.1394982036977539E-2</v>
      </c>
      <c r="M2257" s="2">
        <f>tblSales[[#This Row],[Sales]]/tblSales[[#This Row],[Transactions]]</f>
        <v>409</v>
      </c>
    </row>
    <row r="2258" spans="1:13" x14ac:dyDescent="0.25">
      <c r="A2258" s="1">
        <v>46135</v>
      </c>
      <c r="B2258" t="s">
        <v>27</v>
      </c>
      <c r="C2258" t="s">
        <v>11</v>
      </c>
      <c r="D2258" t="str">
        <f>_xlfn.XLOOKUP(tblSales[[#This Row],[Store ID]],tblStores[Store ID],tblStores[Store Name])</f>
        <v>East London</v>
      </c>
      <c r="E2258" t="str">
        <f>_xlfn.XLOOKUP(tblSales[[#This Row],[Store ID]],tblStores[Store ID],tblStores[Province])</f>
        <v>Eastern Cape</v>
      </c>
      <c r="F2258" t="str">
        <f>_xlfn.XLOOKUP(tblSales[[#This Row],[Store ID]],tblStores[Store ID],tblStores[Manager])</f>
        <v>Daniel Evans</v>
      </c>
      <c r="G2258" t="str">
        <f>_xlfn.XLOOKUP(tblSales[[#This Row],[Category ID]],tblCategories[Category ID],tblCategories[Category])</f>
        <v>Footwear</v>
      </c>
      <c r="H2258">
        <v>29484</v>
      </c>
      <c r="I2258">
        <v>27138</v>
      </c>
      <c r="J2258">
        <v>84</v>
      </c>
      <c r="K2258">
        <f>tblSales[[#This Row],[Sales]]-tblSales[[#This Row],[Budget]]</f>
        <v>2346</v>
      </c>
      <c r="L2258" s="3">
        <f>(tblSales[[#This Row],[Sales]]-tblSales[[#This Row],[Budget]])/tblSales[[#This Row],[Budget]]</f>
        <v>8.6447048419190806E-2</v>
      </c>
      <c r="M2258" s="2">
        <f>tblSales[[#This Row],[Sales]]/tblSales[[#This Row],[Transactions]]</f>
        <v>351</v>
      </c>
    </row>
    <row r="2259" spans="1:13" x14ac:dyDescent="0.25">
      <c r="A2259" s="1">
        <v>46135</v>
      </c>
      <c r="B2259" t="s">
        <v>28</v>
      </c>
      <c r="C2259" t="s">
        <v>19</v>
      </c>
      <c r="D2259" t="str">
        <f>_xlfn.XLOOKUP(tblSales[[#This Row],[Store ID]],tblStores[Store ID],tblStores[Store Name])</f>
        <v>Bloemfontein</v>
      </c>
      <c r="E2259" t="str">
        <f>_xlfn.XLOOKUP(tblSales[[#This Row],[Store ID]],tblStores[Store ID],tblStores[Province])</f>
        <v>Free State</v>
      </c>
      <c r="F2259" t="str">
        <f>_xlfn.XLOOKUP(tblSales[[#This Row],[Store ID]],tblStores[Store ID],tblStores[Manager])</f>
        <v>Rachel Moore</v>
      </c>
      <c r="G2259" t="str">
        <f>_xlfn.XLOOKUP(tblSales[[#This Row],[Category ID]],tblCategories[Category ID],tblCategories[Category])</f>
        <v>Accessories</v>
      </c>
      <c r="H2259">
        <v>12095</v>
      </c>
      <c r="I2259">
        <v>13843</v>
      </c>
      <c r="J2259">
        <v>41</v>
      </c>
      <c r="K2259">
        <f>tblSales[[#This Row],[Sales]]-tblSales[[#This Row],[Budget]]</f>
        <v>-1748</v>
      </c>
      <c r="L2259" s="3">
        <f>(tblSales[[#This Row],[Sales]]-tblSales[[#This Row],[Budget]])/tblSales[[#This Row],[Budget]]</f>
        <v>-0.12627320667485373</v>
      </c>
      <c r="M2259" s="2">
        <f>tblSales[[#This Row],[Sales]]/tblSales[[#This Row],[Transactions]]</f>
        <v>295</v>
      </c>
    </row>
    <row r="2260" spans="1:13" x14ac:dyDescent="0.25">
      <c r="A2260" s="1">
        <v>46135</v>
      </c>
      <c r="B2260" t="s">
        <v>29</v>
      </c>
      <c r="C2260" t="s">
        <v>11</v>
      </c>
      <c r="D2260" t="str">
        <f>_xlfn.XLOOKUP(tblSales[[#This Row],[Store ID]],tblStores[Store ID],tblStores[Store Name])</f>
        <v>Polokwane</v>
      </c>
      <c r="E2260" t="str">
        <f>_xlfn.XLOOKUP(tblSales[[#This Row],[Store ID]],tblStores[Store ID],tblStores[Province])</f>
        <v>Limpopo</v>
      </c>
      <c r="F2260" t="str">
        <f>_xlfn.XLOOKUP(tblSales[[#This Row],[Store ID]],tblStores[Store ID],tblStores[Manager])</f>
        <v>Kevin Harris</v>
      </c>
      <c r="G2260" t="str">
        <f>_xlfn.XLOOKUP(tblSales[[#This Row],[Category ID]],tblCategories[Category ID],tblCategories[Category])</f>
        <v>Footwear</v>
      </c>
      <c r="H2260">
        <v>16578</v>
      </c>
      <c r="I2260">
        <v>15736</v>
      </c>
      <c r="J2260">
        <v>54</v>
      </c>
      <c r="K2260">
        <f>tblSales[[#This Row],[Sales]]-tblSales[[#This Row],[Budget]]</f>
        <v>842</v>
      </c>
      <c r="L2260" s="3">
        <f>(tblSales[[#This Row],[Sales]]-tblSales[[#This Row],[Budget]])/tblSales[[#This Row],[Budget]]</f>
        <v>5.350788002033554E-2</v>
      </c>
      <c r="M2260" s="2">
        <f>tblSales[[#This Row],[Sales]]/tblSales[[#This Row],[Transactions]]</f>
        <v>307</v>
      </c>
    </row>
    <row r="2261" spans="1:13" x14ac:dyDescent="0.25">
      <c r="A2261" s="1">
        <v>46135</v>
      </c>
      <c r="B2261" t="s">
        <v>30</v>
      </c>
      <c r="C2261" t="s">
        <v>22</v>
      </c>
      <c r="D2261" t="str">
        <f>_xlfn.XLOOKUP(tblSales[[#This Row],[Store ID]],tblStores[Store ID],tblStores[Store Name])</f>
        <v>Nelspruit</v>
      </c>
      <c r="E2261" t="str">
        <f>_xlfn.XLOOKUP(tblSales[[#This Row],[Store ID]],tblStores[Store ID],tblStores[Province])</f>
        <v>Mpumalanga</v>
      </c>
      <c r="F2261" t="str">
        <f>_xlfn.XLOOKUP(tblSales[[#This Row],[Store ID]],tblStores[Store ID],tblStores[Manager])</f>
        <v>Olivia Turner</v>
      </c>
      <c r="G2261" t="str">
        <f>_xlfn.XLOOKUP(tblSales[[#This Row],[Category ID]],tblCategories[Category ID],tblCategories[Category])</f>
        <v>Kids</v>
      </c>
      <c r="H2261">
        <v>24168</v>
      </c>
      <c r="I2261">
        <v>25533</v>
      </c>
      <c r="J2261">
        <v>114</v>
      </c>
      <c r="K2261">
        <f>tblSales[[#This Row],[Sales]]-tblSales[[#This Row],[Budget]]</f>
        <v>-1365</v>
      </c>
      <c r="L2261" s="3">
        <f>(tblSales[[#This Row],[Sales]]-tblSales[[#This Row],[Budget]])/tblSales[[#This Row],[Budget]]</f>
        <v>-5.3460227940312535E-2</v>
      </c>
      <c r="M2261" s="2">
        <f>tblSales[[#This Row],[Sales]]/tblSales[[#This Row],[Transactions]]</f>
        <v>212</v>
      </c>
    </row>
    <row r="2262" spans="1:13" x14ac:dyDescent="0.25">
      <c r="A2262" s="1">
        <v>46136</v>
      </c>
      <c r="B2262" t="s">
        <v>6</v>
      </c>
      <c r="C2262" t="s">
        <v>7</v>
      </c>
      <c r="D2262" t="str">
        <f>_xlfn.XLOOKUP(tblSales[[#This Row],[Store ID]],tblStores[Store ID],tblStores[Store Name])</f>
        <v>Durban CBD</v>
      </c>
      <c r="E2262" t="str">
        <f>_xlfn.XLOOKUP(tblSales[[#This Row],[Store ID]],tblStores[Store ID],tblStores[Province])</f>
        <v>KZN</v>
      </c>
      <c r="F2262" t="str">
        <f>_xlfn.XLOOKUP(tblSales[[#This Row],[Store ID]],tblStores[Store ID],tblStores[Manager])</f>
        <v>Sarah Adams</v>
      </c>
      <c r="G2262" t="str">
        <f>_xlfn.XLOOKUP(tblSales[[#This Row],[Category ID]],tblCategories[Category ID],tblCategories[Category])</f>
        <v>Menswear</v>
      </c>
      <c r="H2262">
        <v>17850</v>
      </c>
      <c r="I2262">
        <v>17992</v>
      </c>
      <c r="J2262">
        <v>42</v>
      </c>
      <c r="K2262">
        <f>tblSales[[#This Row],[Sales]]-tblSales[[#This Row],[Budget]]</f>
        <v>-142</v>
      </c>
      <c r="L2262" s="3">
        <f>(tblSales[[#This Row],[Sales]]-tblSales[[#This Row],[Budget]])/tblSales[[#This Row],[Budget]]</f>
        <v>-7.8923966207203201E-3</v>
      </c>
      <c r="M2262" s="2">
        <f>tblSales[[#This Row],[Sales]]/tblSales[[#This Row],[Transactions]]</f>
        <v>425</v>
      </c>
    </row>
    <row r="2263" spans="1:13" x14ac:dyDescent="0.25">
      <c r="A2263" s="1">
        <v>46136</v>
      </c>
      <c r="B2263" t="s">
        <v>8</v>
      </c>
      <c r="C2263" t="s">
        <v>7</v>
      </c>
      <c r="D2263" t="str">
        <f>_xlfn.XLOOKUP(tblSales[[#This Row],[Store ID]],tblStores[Store ID],tblStores[Store Name])</f>
        <v>Gateway</v>
      </c>
      <c r="E2263" t="str">
        <f>_xlfn.XLOOKUP(tblSales[[#This Row],[Store ID]],tblStores[Store ID],tblStores[Province])</f>
        <v>KZN</v>
      </c>
      <c r="F2263" t="str">
        <f>_xlfn.XLOOKUP(tblSales[[#This Row],[Store ID]],tblStores[Store ID],tblStores[Manager])</f>
        <v>Michael Jones</v>
      </c>
      <c r="G2263" t="str">
        <f>_xlfn.XLOOKUP(tblSales[[#This Row],[Category ID]],tblCategories[Category ID],tblCategories[Category])</f>
        <v>Menswear</v>
      </c>
      <c r="H2263">
        <v>93000</v>
      </c>
      <c r="I2263">
        <v>105440</v>
      </c>
      <c r="J2263">
        <v>186</v>
      </c>
      <c r="K2263">
        <f>tblSales[[#This Row],[Sales]]-tblSales[[#This Row],[Budget]]</f>
        <v>-12440</v>
      </c>
      <c r="L2263" s="3">
        <f>(tblSales[[#This Row],[Sales]]-tblSales[[#This Row],[Budget]])/tblSales[[#This Row],[Budget]]</f>
        <v>-0.11798179059180576</v>
      </c>
      <c r="M2263" s="2">
        <f>tblSales[[#This Row],[Sales]]/tblSales[[#This Row],[Transactions]]</f>
        <v>500</v>
      </c>
    </row>
    <row r="2264" spans="1:13" x14ac:dyDescent="0.25">
      <c r="A2264" s="1">
        <v>46136</v>
      </c>
      <c r="B2264" t="s">
        <v>10</v>
      </c>
      <c r="C2264" t="s">
        <v>22</v>
      </c>
      <c r="D2264" t="str">
        <f>_xlfn.XLOOKUP(tblSales[[#This Row],[Store ID]],tblStores[Store ID],tblStores[Store Name])</f>
        <v>Ballito</v>
      </c>
      <c r="E2264" t="str">
        <f>_xlfn.XLOOKUP(tblSales[[#This Row],[Store ID]],tblStores[Store ID],tblStores[Province])</f>
        <v>KZN</v>
      </c>
      <c r="F2264" t="str">
        <f>_xlfn.XLOOKUP(tblSales[[#This Row],[Store ID]],tblStores[Store ID],tblStores[Manager])</f>
        <v>Linda Smith</v>
      </c>
      <c r="G2264" t="str">
        <f>_xlfn.XLOOKUP(tblSales[[#This Row],[Category ID]],tblCategories[Category ID],tblCategories[Category])</f>
        <v>Kids</v>
      </c>
      <c r="H2264">
        <v>23030</v>
      </c>
      <c r="I2264">
        <v>23453</v>
      </c>
      <c r="J2264">
        <v>98</v>
      </c>
      <c r="K2264">
        <f>tblSales[[#This Row],[Sales]]-tblSales[[#This Row],[Budget]]</f>
        <v>-423</v>
      </c>
      <c r="L2264" s="3">
        <f>(tblSales[[#This Row],[Sales]]-tblSales[[#This Row],[Budget]])/tblSales[[#This Row],[Budget]]</f>
        <v>-1.8036072144288578E-2</v>
      </c>
      <c r="M2264" s="2">
        <f>tblSales[[#This Row],[Sales]]/tblSales[[#This Row],[Transactions]]</f>
        <v>235</v>
      </c>
    </row>
    <row r="2265" spans="1:13" x14ac:dyDescent="0.25">
      <c r="A2265" s="1">
        <v>46136</v>
      </c>
      <c r="B2265" t="s">
        <v>12</v>
      </c>
      <c r="C2265" t="s">
        <v>22</v>
      </c>
      <c r="D2265" t="str">
        <f>_xlfn.XLOOKUP(tblSales[[#This Row],[Store ID]],tblStores[Store ID],tblStores[Store Name])</f>
        <v>Pietermaritzburg</v>
      </c>
      <c r="E2265" t="str">
        <f>_xlfn.XLOOKUP(tblSales[[#This Row],[Store ID]],tblStores[Store ID],tblStores[Province])</f>
        <v>KZN</v>
      </c>
      <c r="F2265" t="str">
        <f>_xlfn.XLOOKUP(tblSales[[#This Row],[Store ID]],tblStores[Store ID],tblStores[Manager])</f>
        <v>Peter Brown</v>
      </c>
      <c r="G2265" t="str">
        <f>_xlfn.XLOOKUP(tblSales[[#This Row],[Category ID]],tblCategories[Category ID],tblCategories[Category])</f>
        <v>Kids</v>
      </c>
      <c r="H2265">
        <v>16800</v>
      </c>
      <c r="I2265">
        <v>17302</v>
      </c>
      <c r="J2265">
        <v>48</v>
      </c>
      <c r="K2265">
        <f>tblSales[[#This Row],[Sales]]-tblSales[[#This Row],[Budget]]</f>
        <v>-502</v>
      </c>
      <c r="L2265" s="3">
        <f>(tblSales[[#This Row],[Sales]]-tblSales[[#This Row],[Budget]])/tblSales[[#This Row],[Budget]]</f>
        <v>-2.901398682233268E-2</v>
      </c>
      <c r="M2265" s="2">
        <f>tblSales[[#This Row],[Sales]]/tblSales[[#This Row],[Transactions]]</f>
        <v>350</v>
      </c>
    </row>
    <row r="2266" spans="1:13" x14ac:dyDescent="0.25">
      <c r="A2266" s="1">
        <v>46136</v>
      </c>
      <c r="B2266" t="s">
        <v>13</v>
      </c>
      <c r="C2266" t="s">
        <v>9</v>
      </c>
      <c r="D2266" t="str">
        <f>_xlfn.XLOOKUP(tblSales[[#This Row],[Store ID]],tblStores[Store ID],tblStores[Store Name])</f>
        <v>Richards Bay</v>
      </c>
      <c r="E2266" t="str">
        <f>_xlfn.XLOOKUP(tblSales[[#This Row],[Store ID]],tblStores[Store ID],tblStores[Province])</f>
        <v>KZN</v>
      </c>
      <c r="F2266" t="str">
        <f>_xlfn.XLOOKUP(tblSales[[#This Row],[Store ID]],tblStores[Store ID],tblStores[Manager])</f>
        <v>David Green</v>
      </c>
      <c r="G2266" t="str">
        <f>_xlfn.XLOOKUP(tblSales[[#This Row],[Category ID]],tblCategories[Category ID],tblCategories[Category])</f>
        <v>Ladieswear</v>
      </c>
      <c r="H2266">
        <v>25811</v>
      </c>
      <c r="I2266">
        <v>27227</v>
      </c>
      <c r="J2266">
        <v>53</v>
      </c>
      <c r="K2266">
        <f>tblSales[[#This Row],[Sales]]-tblSales[[#This Row],[Budget]]</f>
        <v>-1416</v>
      </c>
      <c r="L2266" s="3">
        <f>(tblSales[[#This Row],[Sales]]-tblSales[[#This Row],[Budget]])/tblSales[[#This Row],[Budget]]</f>
        <v>-5.2007198736548278E-2</v>
      </c>
      <c r="M2266" s="2">
        <f>tblSales[[#This Row],[Sales]]/tblSales[[#This Row],[Transactions]]</f>
        <v>487</v>
      </c>
    </row>
    <row r="2267" spans="1:13" x14ac:dyDescent="0.25">
      <c r="A2267" s="1">
        <v>46136</v>
      </c>
      <c r="B2267" t="s">
        <v>14</v>
      </c>
      <c r="C2267" t="s">
        <v>7</v>
      </c>
      <c r="D2267" t="str">
        <f>_xlfn.XLOOKUP(tblSales[[#This Row],[Store ID]],tblStores[Store ID],tblStores[Store Name])</f>
        <v>Sandton</v>
      </c>
      <c r="E2267" t="str">
        <f>_xlfn.XLOOKUP(tblSales[[#This Row],[Store ID]],tblStores[Store ID],tblStores[Province])</f>
        <v>Gauteng</v>
      </c>
      <c r="F2267" t="str">
        <f>_xlfn.XLOOKUP(tblSales[[#This Row],[Store ID]],tblStores[Store ID],tblStores[Manager])</f>
        <v>Karen White</v>
      </c>
      <c r="G2267" t="str">
        <f>_xlfn.XLOOKUP(tblSales[[#This Row],[Category ID]],tblCategories[Category ID],tblCategories[Category])</f>
        <v>Menswear</v>
      </c>
      <c r="H2267">
        <v>79560</v>
      </c>
      <c r="I2267">
        <v>83119</v>
      </c>
      <c r="J2267">
        <v>195</v>
      </c>
      <c r="K2267">
        <f>tblSales[[#This Row],[Sales]]-tblSales[[#This Row],[Budget]]</f>
        <v>-3559</v>
      </c>
      <c r="L2267" s="3">
        <f>(tblSales[[#This Row],[Sales]]-tblSales[[#This Row],[Budget]])/tblSales[[#This Row],[Budget]]</f>
        <v>-4.2818128225796746E-2</v>
      </c>
      <c r="M2267" s="2">
        <f>tblSales[[#This Row],[Sales]]/tblSales[[#This Row],[Transactions]]</f>
        <v>408</v>
      </c>
    </row>
    <row r="2268" spans="1:13" x14ac:dyDescent="0.25">
      <c r="A2268" s="1">
        <v>46136</v>
      </c>
      <c r="B2268" t="s">
        <v>15</v>
      </c>
      <c r="C2268" t="s">
        <v>7</v>
      </c>
      <c r="D2268" t="str">
        <f>_xlfn.XLOOKUP(tblSales[[#This Row],[Store ID]],tblStores[Store ID],tblStores[Store Name])</f>
        <v>Rosebank</v>
      </c>
      <c r="E2268" t="str">
        <f>_xlfn.XLOOKUP(tblSales[[#This Row],[Store ID]],tblStores[Store ID],tblStores[Province])</f>
        <v>Gauteng</v>
      </c>
      <c r="F2268" t="str">
        <f>_xlfn.XLOOKUP(tblSales[[#This Row],[Store ID]],tblStores[Store ID],tblStores[Manager])</f>
        <v>James Taylor</v>
      </c>
      <c r="G2268" t="str">
        <f>_xlfn.XLOOKUP(tblSales[[#This Row],[Category ID]],tblCategories[Category ID],tblCategories[Category])</f>
        <v>Menswear</v>
      </c>
      <c r="H2268">
        <v>9850</v>
      </c>
      <c r="I2268">
        <v>9794</v>
      </c>
      <c r="J2268">
        <v>50</v>
      </c>
      <c r="K2268">
        <f>tblSales[[#This Row],[Sales]]-tblSales[[#This Row],[Budget]]</f>
        <v>56</v>
      </c>
      <c r="L2268" s="3">
        <f>(tblSales[[#This Row],[Sales]]-tblSales[[#This Row],[Budget]])/tblSales[[#This Row],[Budget]]</f>
        <v>5.717786399836635E-3</v>
      </c>
      <c r="M2268" s="2">
        <f>tblSales[[#This Row],[Sales]]/tblSales[[#This Row],[Transactions]]</f>
        <v>197</v>
      </c>
    </row>
    <row r="2269" spans="1:13" x14ac:dyDescent="0.25">
      <c r="A2269" s="1">
        <v>46136</v>
      </c>
      <c r="B2269" t="s">
        <v>16</v>
      </c>
      <c r="C2269" t="s">
        <v>7</v>
      </c>
      <c r="D2269" t="str">
        <f>_xlfn.XLOOKUP(tblSales[[#This Row],[Store ID]],tblStores[Store ID],tblStores[Store Name])</f>
        <v>Pretoria</v>
      </c>
      <c r="E2269" t="str">
        <f>_xlfn.XLOOKUP(tblSales[[#This Row],[Store ID]],tblStores[Store ID],tblStores[Province])</f>
        <v>Gauteng</v>
      </c>
      <c r="F2269" t="str">
        <f>_xlfn.XLOOKUP(tblSales[[#This Row],[Store ID]],tblStores[Store ID],tblStores[Manager])</f>
        <v>Susan Clark</v>
      </c>
      <c r="G2269" t="str">
        <f>_xlfn.XLOOKUP(tblSales[[#This Row],[Category ID]],tblCategories[Category ID],tblCategories[Category])</f>
        <v>Menswear</v>
      </c>
      <c r="H2269">
        <v>14137</v>
      </c>
      <c r="I2269">
        <v>15971</v>
      </c>
      <c r="J2269">
        <v>67</v>
      </c>
      <c r="K2269">
        <f>tblSales[[#This Row],[Sales]]-tblSales[[#This Row],[Budget]]</f>
        <v>-1834</v>
      </c>
      <c r="L2269" s="3">
        <f>(tblSales[[#This Row],[Sales]]-tblSales[[#This Row],[Budget]])/tblSales[[#This Row],[Budget]]</f>
        <v>-0.11483313505729134</v>
      </c>
      <c r="M2269" s="2">
        <f>tblSales[[#This Row],[Sales]]/tblSales[[#This Row],[Transactions]]</f>
        <v>211</v>
      </c>
    </row>
    <row r="2270" spans="1:13" x14ac:dyDescent="0.25">
      <c r="A2270" s="1">
        <v>46136</v>
      </c>
      <c r="B2270" t="s">
        <v>17</v>
      </c>
      <c r="C2270" t="s">
        <v>11</v>
      </c>
      <c r="D2270" t="str">
        <f>_xlfn.XLOOKUP(tblSales[[#This Row],[Store ID]],tblStores[Store ID],tblStores[Store Name])</f>
        <v>Centurion</v>
      </c>
      <c r="E2270" t="str">
        <f>_xlfn.XLOOKUP(tblSales[[#This Row],[Store ID]],tblStores[Store ID],tblStores[Province])</f>
        <v>Gauteng</v>
      </c>
      <c r="F2270" t="str">
        <f>_xlfn.XLOOKUP(tblSales[[#This Row],[Store ID]],tblStores[Store ID],tblStores[Manager])</f>
        <v>Mark Wilson</v>
      </c>
      <c r="G2270" t="str">
        <f>_xlfn.XLOOKUP(tblSales[[#This Row],[Category ID]],tblCategories[Category ID],tblCategories[Category])</f>
        <v>Footwear</v>
      </c>
      <c r="H2270">
        <v>16366</v>
      </c>
      <c r="I2270">
        <v>17228</v>
      </c>
      <c r="J2270">
        <v>49</v>
      </c>
      <c r="K2270">
        <f>tblSales[[#This Row],[Sales]]-tblSales[[#This Row],[Budget]]</f>
        <v>-862</v>
      </c>
      <c r="L2270" s="3">
        <f>(tblSales[[#This Row],[Sales]]-tblSales[[#This Row],[Budget]])/tblSales[[#This Row],[Budget]]</f>
        <v>-5.0034827025772E-2</v>
      </c>
      <c r="M2270" s="2">
        <f>tblSales[[#This Row],[Sales]]/tblSales[[#This Row],[Transactions]]</f>
        <v>334</v>
      </c>
    </row>
    <row r="2271" spans="1:13" x14ac:dyDescent="0.25">
      <c r="A2271" s="1">
        <v>46136</v>
      </c>
      <c r="B2271" t="s">
        <v>18</v>
      </c>
      <c r="C2271" t="s">
        <v>11</v>
      </c>
      <c r="D2271" t="str">
        <f>_xlfn.XLOOKUP(tblSales[[#This Row],[Store ID]],tblStores[Store ID],tblStores[Store Name])</f>
        <v>East Rand</v>
      </c>
      <c r="E2271" t="str">
        <f>_xlfn.XLOOKUP(tblSales[[#This Row],[Store ID]],tblStores[Store ID],tblStores[Province])</f>
        <v>Gauteng</v>
      </c>
      <c r="F2271" t="str">
        <f>_xlfn.XLOOKUP(tblSales[[#This Row],[Store ID]],tblStores[Store ID],tblStores[Manager])</f>
        <v>Lisa Young</v>
      </c>
      <c r="G2271" t="str">
        <f>_xlfn.XLOOKUP(tblSales[[#This Row],[Category ID]],tblCategories[Category ID],tblCategories[Category])</f>
        <v>Footwear</v>
      </c>
      <c r="H2271">
        <v>11832</v>
      </c>
      <c r="I2271">
        <v>12653</v>
      </c>
      <c r="J2271">
        <v>51</v>
      </c>
      <c r="K2271">
        <f>tblSales[[#This Row],[Sales]]-tblSales[[#This Row],[Budget]]</f>
        <v>-821</v>
      </c>
      <c r="L2271" s="3">
        <f>(tblSales[[#This Row],[Sales]]-tblSales[[#This Row],[Budget]])/tblSales[[#This Row],[Budget]]</f>
        <v>-6.4885797834505654E-2</v>
      </c>
      <c r="M2271" s="2">
        <f>tblSales[[#This Row],[Sales]]/tblSales[[#This Row],[Transactions]]</f>
        <v>232</v>
      </c>
    </row>
    <row r="2272" spans="1:13" x14ac:dyDescent="0.25">
      <c r="A2272" s="1">
        <v>46136</v>
      </c>
      <c r="B2272" t="s">
        <v>20</v>
      </c>
      <c r="C2272" t="s">
        <v>19</v>
      </c>
      <c r="D2272" t="str">
        <f>_xlfn.XLOOKUP(tblSales[[#This Row],[Store ID]],tblStores[Store ID],tblStores[Store Name])</f>
        <v>Cape Town CBD</v>
      </c>
      <c r="E2272" t="str">
        <f>_xlfn.XLOOKUP(tblSales[[#This Row],[Store ID]],tblStores[Store ID],tblStores[Province])</f>
        <v>Western Cape</v>
      </c>
      <c r="F2272" t="str">
        <f>_xlfn.XLOOKUP(tblSales[[#This Row],[Store ID]],tblStores[Store ID],tblStores[Manager])</f>
        <v>Brian Hall</v>
      </c>
      <c r="G2272" t="str">
        <f>_xlfn.XLOOKUP(tblSales[[#This Row],[Category ID]],tblCategories[Category ID],tblCategories[Category])</f>
        <v>Accessories</v>
      </c>
      <c r="H2272">
        <v>15840</v>
      </c>
      <c r="I2272">
        <v>17621</v>
      </c>
      <c r="J2272">
        <v>48</v>
      </c>
      <c r="K2272">
        <f>tblSales[[#This Row],[Sales]]-tblSales[[#This Row],[Budget]]</f>
        <v>-1781</v>
      </c>
      <c r="L2272" s="3">
        <f>(tblSales[[#This Row],[Sales]]-tblSales[[#This Row],[Budget]])/tblSales[[#This Row],[Budget]]</f>
        <v>-0.10107258384881675</v>
      </c>
      <c r="M2272" s="2">
        <f>tblSales[[#This Row],[Sales]]/tblSales[[#This Row],[Transactions]]</f>
        <v>330</v>
      </c>
    </row>
    <row r="2273" spans="1:13" x14ac:dyDescent="0.25">
      <c r="A2273" s="1">
        <v>46136</v>
      </c>
      <c r="B2273" t="s">
        <v>21</v>
      </c>
      <c r="C2273" t="s">
        <v>11</v>
      </c>
      <c r="D2273" t="str">
        <f>_xlfn.XLOOKUP(tblSales[[#This Row],[Store ID]],tblStores[Store ID],tblStores[Store Name])</f>
        <v>Canal Walk</v>
      </c>
      <c r="E2273" t="str">
        <f>_xlfn.XLOOKUP(tblSales[[#This Row],[Store ID]],tblStores[Store ID],tblStores[Province])</f>
        <v>Western Cape</v>
      </c>
      <c r="F2273" t="str">
        <f>_xlfn.XLOOKUP(tblSales[[#This Row],[Store ID]],tblStores[Store ID],tblStores[Manager])</f>
        <v>Megan Scott</v>
      </c>
      <c r="G2273" t="str">
        <f>_xlfn.XLOOKUP(tblSales[[#This Row],[Category ID]],tblCategories[Category ID],tblCategories[Category])</f>
        <v>Footwear</v>
      </c>
      <c r="H2273">
        <v>29264</v>
      </c>
      <c r="I2273">
        <v>31838</v>
      </c>
      <c r="J2273">
        <v>59</v>
      </c>
      <c r="K2273">
        <f>tblSales[[#This Row],[Sales]]-tblSales[[#This Row],[Budget]]</f>
        <v>-2574</v>
      </c>
      <c r="L2273" s="3">
        <f>(tblSales[[#This Row],[Sales]]-tblSales[[#This Row],[Budget]])/tblSales[[#This Row],[Budget]]</f>
        <v>-8.0846786858471006E-2</v>
      </c>
      <c r="M2273" s="2">
        <f>tblSales[[#This Row],[Sales]]/tblSales[[#This Row],[Transactions]]</f>
        <v>496</v>
      </c>
    </row>
    <row r="2274" spans="1:13" x14ac:dyDescent="0.25">
      <c r="A2274" s="1">
        <v>46136</v>
      </c>
      <c r="B2274" t="s">
        <v>23</v>
      </c>
      <c r="C2274" t="s">
        <v>9</v>
      </c>
      <c r="D2274" t="str">
        <f>_xlfn.XLOOKUP(tblSales[[#This Row],[Store ID]],tblStores[Store ID],tblStores[Store Name])</f>
        <v>Stellenbosch</v>
      </c>
      <c r="E2274" t="str">
        <f>_xlfn.XLOOKUP(tblSales[[#This Row],[Store ID]],tblStores[Store ID],tblStores[Province])</f>
        <v>Western Cape</v>
      </c>
      <c r="F2274" t="str">
        <f>_xlfn.XLOOKUP(tblSales[[#This Row],[Store ID]],tblStores[Store ID],tblStores[Manager])</f>
        <v>Jason King</v>
      </c>
      <c r="G2274" t="str">
        <f>_xlfn.XLOOKUP(tblSales[[#This Row],[Category ID]],tblCategories[Category ID],tblCategories[Category])</f>
        <v>Ladieswear</v>
      </c>
      <c r="H2274">
        <v>97196</v>
      </c>
      <c r="I2274">
        <v>102639</v>
      </c>
      <c r="J2274">
        <v>188</v>
      </c>
      <c r="K2274">
        <f>tblSales[[#This Row],[Sales]]-tblSales[[#This Row],[Budget]]</f>
        <v>-5443</v>
      </c>
      <c r="L2274" s="3">
        <f>(tblSales[[#This Row],[Sales]]-tblSales[[#This Row],[Budget]])/tblSales[[#This Row],[Budget]]</f>
        <v>-5.3030524459513444E-2</v>
      </c>
      <c r="M2274" s="2">
        <f>tblSales[[#This Row],[Sales]]/tblSales[[#This Row],[Transactions]]</f>
        <v>517</v>
      </c>
    </row>
    <row r="2275" spans="1:13" x14ac:dyDescent="0.25">
      <c r="A2275" s="1">
        <v>46136</v>
      </c>
      <c r="B2275" t="s">
        <v>24</v>
      </c>
      <c r="C2275" t="s">
        <v>11</v>
      </c>
      <c r="D2275" t="str">
        <f>_xlfn.XLOOKUP(tblSales[[#This Row],[Store ID]],tblStores[Store ID],tblStores[Store Name])</f>
        <v>George</v>
      </c>
      <c r="E2275" t="str">
        <f>_xlfn.XLOOKUP(tblSales[[#This Row],[Store ID]],tblStores[Store ID],tblStores[Province])</f>
        <v>Western Cape</v>
      </c>
      <c r="F2275" t="str">
        <f>_xlfn.XLOOKUP(tblSales[[#This Row],[Store ID]],tblStores[Store ID],tblStores[Manager])</f>
        <v>Chloe Hill</v>
      </c>
      <c r="G2275" t="str">
        <f>_xlfn.XLOOKUP(tblSales[[#This Row],[Category ID]],tblCategories[Category ID],tblCategories[Category])</f>
        <v>Footwear</v>
      </c>
      <c r="H2275">
        <v>55461</v>
      </c>
      <c r="I2275">
        <v>60940</v>
      </c>
      <c r="J2275">
        <v>133</v>
      </c>
      <c r="K2275">
        <f>tblSales[[#This Row],[Sales]]-tblSales[[#This Row],[Budget]]</f>
        <v>-5479</v>
      </c>
      <c r="L2275" s="3">
        <f>(tblSales[[#This Row],[Sales]]-tblSales[[#This Row],[Budget]])/tblSales[[#This Row],[Budget]]</f>
        <v>-8.9908106334099111E-2</v>
      </c>
      <c r="M2275" s="2">
        <f>tblSales[[#This Row],[Sales]]/tblSales[[#This Row],[Transactions]]</f>
        <v>417</v>
      </c>
    </row>
    <row r="2276" spans="1:13" x14ac:dyDescent="0.25">
      <c r="A2276" s="1">
        <v>46136</v>
      </c>
      <c r="B2276" t="s">
        <v>25</v>
      </c>
      <c r="C2276" t="s">
        <v>19</v>
      </c>
      <c r="D2276" t="str">
        <f>_xlfn.XLOOKUP(tblSales[[#This Row],[Store ID]],tblStores[Store ID],tblStores[Store Name])</f>
        <v>Paarl</v>
      </c>
      <c r="E2276" t="str">
        <f>_xlfn.XLOOKUP(tblSales[[#This Row],[Store ID]],tblStores[Store ID],tblStores[Province])</f>
        <v>Western Cape</v>
      </c>
      <c r="F2276" t="str">
        <f>_xlfn.XLOOKUP(tblSales[[#This Row],[Store ID]],tblStores[Store ID],tblStores[Manager])</f>
        <v>Andrew Lee</v>
      </c>
      <c r="G2276" t="str">
        <f>_xlfn.XLOOKUP(tblSales[[#This Row],[Category ID]],tblCategories[Category ID],tblCategories[Category])</f>
        <v>Accessories</v>
      </c>
      <c r="H2276">
        <v>44583</v>
      </c>
      <c r="I2276">
        <v>43909</v>
      </c>
      <c r="J2276">
        <v>193</v>
      </c>
      <c r="K2276">
        <f>tblSales[[#This Row],[Sales]]-tblSales[[#This Row],[Budget]]</f>
        <v>674</v>
      </c>
      <c r="L2276" s="3">
        <f>(tblSales[[#This Row],[Sales]]-tblSales[[#This Row],[Budget]])/tblSales[[#This Row],[Budget]]</f>
        <v>1.5349928260721037E-2</v>
      </c>
      <c r="M2276" s="2">
        <f>tblSales[[#This Row],[Sales]]/tblSales[[#This Row],[Transactions]]</f>
        <v>231</v>
      </c>
    </row>
    <row r="2277" spans="1:13" x14ac:dyDescent="0.25">
      <c r="A2277" s="1">
        <v>46136</v>
      </c>
      <c r="B2277" t="s">
        <v>26</v>
      </c>
      <c r="C2277" t="s">
        <v>7</v>
      </c>
      <c r="D2277" t="str">
        <f>_xlfn.XLOOKUP(tblSales[[#This Row],[Store ID]],tblStores[Store ID],tblStores[Store Name])</f>
        <v>Gqeberha</v>
      </c>
      <c r="E2277" t="str">
        <f>_xlfn.XLOOKUP(tblSales[[#This Row],[Store ID]],tblStores[Store ID],tblStores[Province])</f>
        <v>Eastern Cape</v>
      </c>
      <c r="F2277" t="str">
        <f>_xlfn.XLOOKUP(tblSales[[#This Row],[Store ID]],tblStores[Store ID],tblStores[Manager])</f>
        <v>Emma Baker</v>
      </c>
      <c r="G2277" t="str">
        <f>_xlfn.XLOOKUP(tblSales[[#This Row],[Category ID]],tblCategories[Category ID],tblCategories[Category])</f>
        <v>Menswear</v>
      </c>
      <c r="H2277">
        <v>67044</v>
      </c>
      <c r="I2277">
        <v>65840</v>
      </c>
      <c r="J2277">
        <v>151</v>
      </c>
      <c r="K2277">
        <f>tblSales[[#This Row],[Sales]]-tblSales[[#This Row],[Budget]]</f>
        <v>1204</v>
      </c>
      <c r="L2277" s="3">
        <f>(tblSales[[#This Row],[Sales]]-tblSales[[#This Row],[Budget]])/tblSales[[#This Row],[Budget]]</f>
        <v>1.8286755771567437E-2</v>
      </c>
      <c r="M2277" s="2">
        <f>tblSales[[#This Row],[Sales]]/tblSales[[#This Row],[Transactions]]</f>
        <v>444</v>
      </c>
    </row>
    <row r="2278" spans="1:13" x14ac:dyDescent="0.25">
      <c r="A2278" s="1">
        <v>46136</v>
      </c>
      <c r="B2278" t="s">
        <v>27</v>
      </c>
      <c r="C2278" t="s">
        <v>9</v>
      </c>
      <c r="D2278" t="str">
        <f>_xlfn.XLOOKUP(tblSales[[#This Row],[Store ID]],tblStores[Store ID],tblStores[Store Name])</f>
        <v>East London</v>
      </c>
      <c r="E2278" t="str">
        <f>_xlfn.XLOOKUP(tblSales[[#This Row],[Store ID]],tblStores[Store ID],tblStores[Province])</f>
        <v>Eastern Cape</v>
      </c>
      <c r="F2278" t="str">
        <f>_xlfn.XLOOKUP(tblSales[[#This Row],[Store ID]],tblStores[Store ID],tblStores[Manager])</f>
        <v>Daniel Evans</v>
      </c>
      <c r="G2278" t="str">
        <f>_xlfn.XLOOKUP(tblSales[[#This Row],[Category ID]],tblCategories[Category ID],tblCategories[Category])</f>
        <v>Ladieswear</v>
      </c>
      <c r="H2278">
        <v>14384</v>
      </c>
      <c r="I2278">
        <v>12989</v>
      </c>
      <c r="J2278">
        <v>62</v>
      </c>
      <c r="K2278">
        <f>tblSales[[#This Row],[Sales]]-tblSales[[#This Row],[Budget]]</f>
        <v>1395</v>
      </c>
      <c r="L2278" s="3">
        <f>(tblSales[[#This Row],[Sales]]-tblSales[[#This Row],[Budget]])/tblSales[[#This Row],[Budget]]</f>
        <v>0.10739856801909307</v>
      </c>
      <c r="M2278" s="2">
        <f>tblSales[[#This Row],[Sales]]/tblSales[[#This Row],[Transactions]]</f>
        <v>232</v>
      </c>
    </row>
    <row r="2279" spans="1:13" x14ac:dyDescent="0.25">
      <c r="A2279" s="1">
        <v>46136</v>
      </c>
      <c r="B2279" t="s">
        <v>28</v>
      </c>
      <c r="C2279" t="s">
        <v>7</v>
      </c>
      <c r="D2279" t="str">
        <f>_xlfn.XLOOKUP(tblSales[[#This Row],[Store ID]],tblStores[Store ID],tblStores[Store Name])</f>
        <v>Bloemfontein</v>
      </c>
      <c r="E2279" t="str">
        <f>_xlfn.XLOOKUP(tblSales[[#This Row],[Store ID]],tblStores[Store ID],tblStores[Province])</f>
        <v>Free State</v>
      </c>
      <c r="F2279" t="str">
        <f>_xlfn.XLOOKUP(tblSales[[#This Row],[Store ID]],tblStores[Store ID],tblStores[Manager])</f>
        <v>Rachel Moore</v>
      </c>
      <c r="G2279" t="str">
        <f>_xlfn.XLOOKUP(tblSales[[#This Row],[Category ID]],tblCategories[Category ID],tblCategories[Category])</f>
        <v>Menswear</v>
      </c>
      <c r="H2279">
        <v>51894</v>
      </c>
      <c r="I2279">
        <v>58437</v>
      </c>
      <c r="J2279">
        <v>186</v>
      </c>
      <c r="K2279">
        <f>tblSales[[#This Row],[Sales]]-tblSales[[#This Row],[Budget]]</f>
        <v>-6543</v>
      </c>
      <c r="L2279" s="3">
        <f>(tblSales[[#This Row],[Sales]]-tblSales[[#This Row],[Budget]])/tblSales[[#This Row],[Budget]]</f>
        <v>-0.1119667334052056</v>
      </c>
      <c r="M2279" s="2">
        <f>tblSales[[#This Row],[Sales]]/tblSales[[#This Row],[Transactions]]</f>
        <v>279</v>
      </c>
    </row>
    <row r="2280" spans="1:13" x14ac:dyDescent="0.25">
      <c r="A2280" s="1">
        <v>46136</v>
      </c>
      <c r="B2280" t="s">
        <v>29</v>
      </c>
      <c r="C2280" t="s">
        <v>9</v>
      </c>
      <c r="D2280" t="str">
        <f>_xlfn.XLOOKUP(tblSales[[#This Row],[Store ID]],tblStores[Store ID],tblStores[Store Name])</f>
        <v>Polokwane</v>
      </c>
      <c r="E2280" t="str">
        <f>_xlfn.XLOOKUP(tblSales[[#This Row],[Store ID]],tblStores[Store ID],tblStores[Province])</f>
        <v>Limpopo</v>
      </c>
      <c r="F2280" t="str">
        <f>_xlfn.XLOOKUP(tblSales[[#This Row],[Store ID]],tblStores[Store ID],tblStores[Manager])</f>
        <v>Kevin Harris</v>
      </c>
      <c r="G2280" t="str">
        <f>_xlfn.XLOOKUP(tblSales[[#This Row],[Category ID]],tblCategories[Category ID],tblCategories[Category])</f>
        <v>Ladieswear</v>
      </c>
      <c r="H2280">
        <v>87120</v>
      </c>
      <c r="I2280">
        <v>83989</v>
      </c>
      <c r="J2280">
        <v>198</v>
      </c>
      <c r="K2280">
        <f>tblSales[[#This Row],[Sales]]-tblSales[[#This Row],[Budget]]</f>
        <v>3131</v>
      </c>
      <c r="L2280" s="3">
        <f>(tblSales[[#This Row],[Sales]]-tblSales[[#This Row],[Budget]])/tblSales[[#This Row],[Budget]]</f>
        <v>3.727869125718844E-2</v>
      </c>
      <c r="M2280" s="2">
        <f>tblSales[[#This Row],[Sales]]/tblSales[[#This Row],[Transactions]]</f>
        <v>440</v>
      </c>
    </row>
    <row r="2281" spans="1:13" x14ac:dyDescent="0.25">
      <c r="A2281" s="1">
        <v>46136</v>
      </c>
      <c r="B2281" t="s">
        <v>30</v>
      </c>
      <c r="C2281" t="s">
        <v>11</v>
      </c>
      <c r="D2281" t="str">
        <f>_xlfn.XLOOKUP(tblSales[[#This Row],[Store ID]],tblStores[Store ID],tblStores[Store Name])</f>
        <v>Nelspruit</v>
      </c>
      <c r="E2281" t="str">
        <f>_xlfn.XLOOKUP(tblSales[[#This Row],[Store ID]],tblStores[Store ID],tblStores[Province])</f>
        <v>Mpumalanga</v>
      </c>
      <c r="F2281" t="str">
        <f>_xlfn.XLOOKUP(tblSales[[#This Row],[Store ID]],tblStores[Store ID],tblStores[Manager])</f>
        <v>Olivia Turner</v>
      </c>
      <c r="G2281" t="str">
        <f>_xlfn.XLOOKUP(tblSales[[#This Row],[Category ID]],tblCategories[Category ID],tblCategories[Category])</f>
        <v>Footwear</v>
      </c>
      <c r="H2281">
        <v>78526</v>
      </c>
      <c r="I2281">
        <v>79402</v>
      </c>
      <c r="J2281">
        <v>158</v>
      </c>
      <c r="K2281">
        <f>tblSales[[#This Row],[Sales]]-tblSales[[#This Row],[Budget]]</f>
        <v>-876</v>
      </c>
      <c r="L2281" s="3">
        <f>(tblSales[[#This Row],[Sales]]-tblSales[[#This Row],[Budget]])/tblSales[[#This Row],[Budget]]</f>
        <v>-1.1032467696027807E-2</v>
      </c>
      <c r="M2281" s="2">
        <f>tblSales[[#This Row],[Sales]]/tblSales[[#This Row],[Transactions]]</f>
        <v>497</v>
      </c>
    </row>
    <row r="2282" spans="1:13" x14ac:dyDescent="0.25">
      <c r="A2282" s="1">
        <v>46137</v>
      </c>
      <c r="B2282" t="s">
        <v>6</v>
      </c>
      <c r="C2282" t="s">
        <v>9</v>
      </c>
      <c r="D2282" t="str">
        <f>_xlfn.XLOOKUP(tblSales[[#This Row],[Store ID]],tblStores[Store ID],tblStores[Store Name])</f>
        <v>Durban CBD</v>
      </c>
      <c r="E2282" t="str">
        <f>_xlfn.XLOOKUP(tblSales[[#This Row],[Store ID]],tblStores[Store ID],tblStores[Province])</f>
        <v>KZN</v>
      </c>
      <c r="F2282" t="str">
        <f>_xlfn.XLOOKUP(tblSales[[#This Row],[Store ID]],tblStores[Store ID],tblStores[Manager])</f>
        <v>Sarah Adams</v>
      </c>
      <c r="G2282" t="str">
        <f>_xlfn.XLOOKUP(tblSales[[#This Row],[Category ID]],tblCategories[Category ID],tblCategories[Category])</f>
        <v>Ladieswear</v>
      </c>
      <c r="H2282">
        <v>14140</v>
      </c>
      <c r="I2282">
        <v>12939</v>
      </c>
      <c r="J2282">
        <v>70</v>
      </c>
      <c r="K2282">
        <f>tblSales[[#This Row],[Sales]]-tblSales[[#This Row],[Budget]]</f>
        <v>1201</v>
      </c>
      <c r="L2282" s="3">
        <f>(tblSales[[#This Row],[Sales]]-tblSales[[#This Row],[Budget]])/tblSales[[#This Row],[Budget]]</f>
        <v>9.2820156117165153E-2</v>
      </c>
      <c r="M2282" s="2">
        <f>tblSales[[#This Row],[Sales]]/tblSales[[#This Row],[Transactions]]</f>
        <v>202</v>
      </c>
    </row>
    <row r="2283" spans="1:13" x14ac:dyDescent="0.25">
      <c r="A2283" s="1">
        <v>46137</v>
      </c>
      <c r="B2283" t="s">
        <v>8</v>
      </c>
      <c r="C2283" t="s">
        <v>22</v>
      </c>
      <c r="D2283" t="str">
        <f>_xlfn.XLOOKUP(tblSales[[#This Row],[Store ID]],tblStores[Store ID],tblStores[Store Name])</f>
        <v>Gateway</v>
      </c>
      <c r="E2283" t="str">
        <f>_xlfn.XLOOKUP(tblSales[[#This Row],[Store ID]],tblStores[Store ID],tblStores[Province])</f>
        <v>KZN</v>
      </c>
      <c r="F2283" t="str">
        <f>_xlfn.XLOOKUP(tblSales[[#This Row],[Store ID]],tblStores[Store ID],tblStores[Manager])</f>
        <v>Michael Jones</v>
      </c>
      <c r="G2283" t="str">
        <f>_xlfn.XLOOKUP(tblSales[[#This Row],[Category ID]],tblCategories[Category ID],tblCategories[Category])</f>
        <v>Kids</v>
      </c>
      <c r="H2283">
        <v>74152</v>
      </c>
      <c r="I2283">
        <v>76249</v>
      </c>
      <c r="J2283">
        <v>184</v>
      </c>
      <c r="K2283">
        <f>tblSales[[#This Row],[Sales]]-tblSales[[#This Row],[Budget]]</f>
        <v>-2097</v>
      </c>
      <c r="L2283" s="3">
        <f>(tblSales[[#This Row],[Sales]]-tblSales[[#This Row],[Budget]])/tblSales[[#This Row],[Budget]]</f>
        <v>-2.7502000026229854E-2</v>
      </c>
      <c r="M2283" s="2">
        <f>tblSales[[#This Row],[Sales]]/tblSales[[#This Row],[Transactions]]</f>
        <v>403</v>
      </c>
    </row>
    <row r="2284" spans="1:13" x14ac:dyDescent="0.25">
      <c r="A2284" s="1">
        <v>46137</v>
      </c>
      <c r="B2284" t="s">
        <v>10</v>
      </c>
      <c r="C2284" t="s">
        <v>22</v>
      </c>
      <c r="D2284" t="str">
        <f>_xlfn.XLOOKUP(tblSales[[#This Row],[Store ID]],tblStores[Store ID],tblStores[Store Name])</f>
        <v>Ballito</v>
      </c>
      <c r="E2284" t="str">
        <f>_xlfn.XLOOKUP(tblSales[[#This Row],[Store ID]],tblStores[Store ID],tblStores[Province])</f>
        <v>KZN</v>
      </c>
      <c r="F2284" t="str">
        <f>_xlfn.XLOOKUP(tblSales[[#This Row],[Store ID]],tblStores[Store ID],tblStores[Manager])</f>
        <v>Linda Smith</v>
      </c>
      <c r="G2284" t="str">
        <f>_xlfn.XLOOKUP(tblSales[[#This Row],[Category ID]],tblCategories[Category ID],tblCategories[Category])</f>
        <v>Kids</v>
      </c>
      <c r="H2284">
        <v>54492</v>
      </c>
      <c r="I2284">
        <v>61102</v>
      </c>
      <c r="J2284">
        <v>114</v>
      </c>
      <c r="K2284">
        <f>tblSales[[#This Row],[Sales]]-tblSales[[#This Row],[Budget]]</f>
        <v>-6610</v>
      </c>
      <c r="L2284" s="3">
        <f>(tblSales[[#This Row],[Sales]]-tblSales[[#This Row],[Budget]])/tblSales[[#This Row],[Budget]]</f>
        <v>-0.10817976498314294</v>
      </c>
      <c r="M2284" s="2">
        <f>tblSales[[#This Row],[Sales]]/tblSales[[#This Row],[Transactions]]</f>
        <v>478</v>
      </c>
    </row>
    <row r="2285" spans="1:13" x14ac:dyDescent="0.25">
      <c r="A2285" s="1">
        <v>46137</v>
      </c>
      <c r="B2285" t="s">
        <v>12</v>
      </c>
      <c r="C2285" t="s">
        <v>9</v>
      </c>
      <c r="D2285" t="str">
        <f>_xlfn.XLOOKUP(tblSales[[#This Row],[Store ID]],tblStores[Store ID],tblStores[Store Name])</f>
        <v>Pietermaritzburg</v>
      </c>
      <c r="E2285" t="str">
        <f>_xlfn.XLOOKUP(tblSales[[#This Row],[Store ID]],tblStores[Store ID],tblStores[Province])</f>
        <v>KZN</v>
      </c>
      <c r="F2285" t="str">
        <f>_xlfn.XLOOKUP(tblSales[[#This Row],[Store ID]],tblStores[Store ID],tblStores[Manager])</f>
        <v>Peter Brown</v>
      </c>
      <c r="G2285" t="str">
        <f>_xlfn.XLOOKUP(tblSales[[#This Row],[Category ID]],tblCategories[Category ID],tblCategories[Category])</f>
        <v>Ladieswear</v>
      </c>
      <c r="H2285">
        <v>30240</v>
      </c>
      <c r="I2285">
        <v>29549</v>
      </c>
      <c r="J2285">
        <v>72</v>
      </c>
      <c r="K2285">
        <f>tblSales[[#This Row],[Sales]]-tblSales[[#This Row],[Budget]]</f>
        <v>691</v>
      </c>
      <c r="L2285" s="3">
        <f>(tblSales[[#This Row],[Sales]]-tblSales[[#This Row],[Budget]])/tblSales[[#This Row],[Budget]]</f>
        <v>2.3384886121357744E-2</v>
      </c>
      <c r="M2285" s="2">
        <f>tblSales[[#This Row],[Sales]]/tblSales[[#This Row],[Transactions]]</f>
        <v>420</v>
      </c>
    </row>
    <row r="2286" spans="1:13" x14ac:dyDescent="0.25">
      <c r="A2286" s="1">
        <v>46137</v>
      </c>
      <c r="B2286" t="s">
        <v>13</v>
      </c>
      <c r="C2286" t="s">
        <v>22</v>
      </c>
      <c r="D2286" t="str">
        <f>_xlfn.XLOOKUP(tblSales[[#This Row],[Store ID]],tblStores[Store ID],tblStores[Store Name])</f>
        <v>Richards Bay</v>
      </c>
      <c r="E2286" t="str">
        <f>_xlfn.XLOOKUP(tblSales[[#This Row],[Store ID]],tblStores[Store ID],tblStores[Province])</f>
        <v>KZN</v>
      </c>
      <c r="F2286" t="str">
        <f>_xlfn.XLOOKUP(tblSales[[#This Row],[Store ID]],tblStores[Store ID],tblStores[Manager])</f>
        <v>David Green</v>
      </c>
      <c r="G2286" t="str">
        <f>_xlfn.XLOOKUP(tblSales[[#This Row],[Category ID]],tblCategories[Category ID],tblCategories[Category])</f>
        <v>Kids</v>
      </c>
      <c r="H2286">
        <v>40112</v>
      </c>
      <c r="I2286">
        <v>45830</v>
      </c>
      <c r="J2286">
        <v>109</v>
      </c>
      <c r="K2286">
        <f>tblSales[[#This Row],[Sales]]-tblSales[[#This Row],[Budget]]</f>
        <v>-5718</v>
      </c>
      <c r="L2286" s="3">
        <f>(tblSales[[#This Row],[Sales]]-tblSales[[#This Row],[Budget]])/tblSales[[#This Row],[Budget]]</f>
        <v>-0.12476543748636265</v>
      </c>
      <c r="M2286" s="2">
        <f>tblSales[[#This Row],[Sales]]/tblSales[[#This Row],[Transactions]]</f>
        <v>368</v>
      </c>
    </row>
    <row r="2287" spans="1:13" x14ac:dyDescent="0.25">
      <c r="A2287" s="1">
        <v>46137</v>
      </c>
      <c r="B2287" t="s">
        <v>14</v>
      </c>
      <c r="C2287" t="s">
        <v>19</v>
      </c>
      <c r="D2287" t="str">
        <f>_xlfn.XLOOKUP(tblSales[[#This Row],[Store ID]],tblStores[Store ID],tblStores[Store Name])</f>
        <v>Sandton</v>
      </c>
      <c r="E2287" t="str">
        <f>_xlfn.XLOOKUP(tblSales[[#This Row],[Store ID]],tblStores[Store ID],tblStores[Province])</f>
        <v>Gauteng</v>
      </c>
      <c r="F2287" t="str">
        <f>_xlfn.XLOOKUP(tblSales[[#This Row],[Store ID]],tblStores[Store ID],tblStores[Manager])</f>
        <v>Karen White</v>
      </c>
      <c r="G2287" t="str">
        <f>_xlfn.XLOOKUP(tblSales[[#This Row],[Category ID]],tblCategories[Category ID],tblCategories[Category])</f>
        <v>Accessories</v>
      </c>
      <c r="H2287">
        <v>95460</v>
      </c>
      <c r="I2287">
        <v>102101</v>
      </c>
      <c r="J2287">
        <v>185</v>
      </c>
      <c r="K2287">
        <f>tblSales[[#This Row],[Sales]]-tblSales[[#This Row],[Budget]]</f>
        <v>-6641</v>
      </c>
      <c r="L2287" s="3">
        <f>(tblSales[[#This Row],[Sales]]-tblSales[[#This Row],[Budget]])/tblSales[[#This Row],[Budget]]</f>
        <v>-6.5043437380632896E-2</v>
      </c>
      <c r="M2287" s="2">
        <f>tblSales[[#This Row],[Sales]]/tblSales[[#This Row],[Transactions]]</f>
        <v>516</v>
      </c>
    </row>
    <row r="2288" spans="1:13" x14ac:dyDescent="0.25">
      <c r="A2288" s="1">
        <v>46137</v>
      </c>
      <c r="B2288" t="s">
        <v>15</v>
      </c>
      <c r="C2288" t="s">
        <v>7</v>
      </c>
      <c r="D2288" t="str">
        <f>_xlfn.XLOOKUP(tblSales[[#This Row],[Store ID]],tblStores[Store ID],tblStores[Store Name])</f>
        <v>Rosebank</v>
      </c>
      <c r="E2288" t="str">
        <f>_xlfn.XLOOKUP(tblSales[[#This Row],[Store ID]],tblStores[Store ID],tblStores[Province])</f>
        <v>Gauteng</v>
      </c>
      <c r="F2288" t="str">
        <f>_xlfn.XLOOKUP(tblSales[[#This Row],[Store ID]],tblStores[Store ID],tblStores[Manager])</f>
        <v>James Taylor</v>
      </c>
      <c r="G2288" t="str">
        <f>_xlfn.XLOOKUP(tblSales[[#This Row],[Category ID]],tblCategories[Category ID],tblCategories[Category])</f>
        <v>Menswear</v>
      </c>
      <c r="H2288">
        <v>41705</v>
      </c>
      <c r="I2288">
        <v>46075</v>
      </c>
      <c r="J2288">
        <v>95</v>
      </c>
      <c r="K2288">
        <f>tblSales[[#This Row],[Sales]]-tblSales[[#This Row],[Budget]]</f>
        <v>-4370</v>
      </c>
      <c r="L2288" s="3">
        <f>(tblSales[[#This Row],[Sales]]-tblSales[[#This Row],[Budget]])/tblSales[[#This Row],[Budget]]</f>
        <v>-9.4845360824742264E-2</v>
      </c>
      <c r="M2288" s="2">
        <f>tblSales[[#This Row],[Sales]]/tblSales[[#This Row],[Transactions]]</f>
        <v>439</v>
      </c>
    </row>
    <row r="2289" spans="1:13" x14ac:dyDescent="0.25">
      <c r="A2289" s="1">
        <v>46137</v>
      </c>
      <c r="B2289" t="s">
        <v>16</v>
      </c>
      <c r="C2289" t="s">
        <v>19</v>
      </c>
      <c r="D2289" t="str">
        <f>_xlfn.XLOOKUP(tblSales[[#This Row],[Store ID]],tblStores[Store ID],tblStores[Store Name])</f>
        <v>Pretoria</v>
      </c>
      <c r="E2289" t="str">
        <f>_xlfn.XLOOKUP(tblSales[[#This Row],[Store ID]],tblStores[Store ID],tblStores[Province])</f>
        <v>Gauteng</v>
      </c>
      <c r="F2289" t="str">
        <f>_xlfn.XLOOKUP(tblSales[[#This Row],[Store ID]],tblStores[Store ID],tblStores[Manager])</f>
        <v>Susan Clark</v>
      </c>
      <c r="G2289" t="str">
        <f>_xlfn.XLOOKUP(tblSales[[#This Row],[Category ID]],tblCategories[Category ID],tblCategories[Category])</f>
        <v>Accessories</v>
      </c>
      <c r="H2289">
        <v>19008</v>
      </c>
      <c r="I2289">
        <v>18741</v>
      </c>
      <c r="J2289">
        <v>48</v>
      </c>
      <c r="K2289">
        <f>tblSales[[#This Row],[Sales]]-tblSales[[#This Row],[Budget]]</f>
        <v>267</v>
      </c>
      <c r="L2289" s="3">
        <f>(tblSales[[#This Row],[Sales]]-tblSales[[#This Row],[Budget]])/tblSales[[#This Row],[Budget]]</f>
        <v>1.4246838482471587E-2</v>
      </c>
      <c r="M2289" s="2">
        <f>tblSales[[#This Row],[Sales]]/tblSales[[#This Row],[Transactions]]</f>
        <v>396</v>
      </c>
    </row>
    <row r="2290" spans="1:13" x14ac:dyDescent="0.25">
      <c r="A2290" s="1">
        <v>46137</v>
      </c>
      <c r="B2290" t="s">
        <v>17</v>
      </c>
      <c r="C2290" t="s">
        <v>9</v>
      </c>
      <c r="D2290" t="str">
        <f>_xlfn.XLOOKUP(tblSales[[#This Row],[Store ID]],tblStores[Store ID],tblStores[Store Name])</f>
        <v>Centurion</v>
      </c>
      <c r="E2290" t="str">
        <f>_xlfn.XLOOKUP(tblSales[[#This Row],[Store ID]],tblStores[Store ID],tblStores[Province])</f>
        <v>Gauteng</v>
      </c>
      <c r="F2290" t="str">
        <f>_xlfn.XLOOKUP(tblSales[[#This Row],[Store ID]],tblStores[Store ID],tblStores[Manager])</f>
        <v>Mark Wilson</v>
      </c>
      <c r="G2290" t="str">
        <f>_xlfn.XLOOKUP(tblSales[[#This Row],[Category ID]],tblCategories[Category ID],tblCategories[Category])</f>
        <v>Ladieswear</v>
      </c>
      <c r="H2290">
        <v>56034</v>
      </c>
      <c r="I2290">
        <v>61430</v>
      </c>
      <c r="J2290">
        <v>198</v>
      </c>
      <c r="K2290">
        <f>tblSales[[#This Row],[Sales]]-tblSales[[#This Row],[Budget]]</f>
        <v>-5396</v>
      </c>
      <c r="L2290" s="3">
        <f>(tblSales[[#This Row],[Sales]]-tblSales[[#This Row],[Budget]])/tblSales[[#This Row],[Budget]]</f>
        <v>-8.783981767865863E-2</v>
      </c>
      <c r="M2290" s="2">
        <f>tblSales[[#This Row],[Sales]]/tblSales[[#This Row],[Transactions]]</f>
        <v>283</v>
      </c>
    </row>
    <row r="2291" spans="1:13" x14ac:dyDescent="0.25">
      <c r="A2291" s="1">
        <v>46137</v>
      </c>
      <c r="B2291" t="s">
        <v>18</v>
      </c>
      <c r="C2291" t="s">
        <v>22</v>
      </c>
      <c r="D2291" t="str">
        <f>_xlfn.XLOOKUP(tblSales[[#This Row],[Store ID]],tblStores[Store ID],tblStores[Store Name])</f>
        <v>East Rand</v>
      </c>
      <c r="E2291" t="str">
        <f>_xlfn.XLOOKUP(tblSales[[#This Row],[Store ID]],tblStores[Store ID],tblStores[Province])</f>
        <v>Gauteng</v>
      </c>
      <c r="F2291" t="str">
        <f>_xlfn.XLOOKUP(tblSales[[#This Row],[Store ID]],tblStores[Store ID],tblStores[Manager])</f>
        <v>Lisa Young</v>
      </c>
      <c r="G2291" t="str">
        <f>_xlfn.XLOOKUP(tblSales[[#This Row],[Category ID]],tblCategories[Category ID],tblCategories[Category])</f>
        <v>Kids</v>
      </c>
      <c r="H2291">
        <v>35109</v>
      </c>
      <c r="I2291">
        <v>37696</v>
      </c>
      <c r="J2291">
        <v>83</v>
      </c>
      <c r="K2291">
        <f>tblSales[[#This Row],[Sales]]-tblSales[[#This Row],[Budget]]</f>
        <v>-2587</v>
      </c>
      <c r="L2291" s="3">
        <f>(tblSales[[#This Row],[Sales]]-tblSales[[#This Row],[Budget]])/tblSales[[#This Row],[Budget]]</f>
        <v>-6.8627971137521226E-2</v>
      </c>
      <c r="M2291" s="2">
        <f>tblSales[[#This Row],[Sales]]/tblSales[[#This Row],[Transactions]]</f>
        <v>423</v>
      </c>
    </row>
    <row r="2292" spans="1:13" x14ac:dyDescent="0.25">
      <c r="A2292" s="1">
        <v>46137</v>
      </c>
      <c r="B2292" t="s">
        <v>20</v>
      </c>
      <c r="C2292" t="s">
        <v>11</v>
      </c>
      <c r="D2292" t="str">
        <f>_xlfn.XLOOKUP(tblSales[[#This Row],[Store ID]],tblStores[Store ID],tblStores[Store Name])</f>
        <v>Cape Town CBD</v>
      </c>
      <c r="E2292" t="str">
        <f>_xlfn.XLOOKUP(tblSales[[#This Row],[Store ID]],tblStores[Store ID],tblStores[Province])</f>
        <v>Western Cape</v>
      </c>
      <c r="F2292" t="str">
        <f>_xlfn.XLOOKUP(tblSales[[#This Row],[Store ID]],tblStores[Store ID],tblStores[Manager])</f>
        <v>Brian Hall</v>
      </c>
      <c r="G2292" t="str">
        <f>_xlfn.XLOOKUP(tblSales[[#This Row],[Category ID]],tblCategories[Category ID],tblCategories[Category])</f>
        <v>Footwear</v>
      </c>
      <c r="H2292">
        <v>65612</v>
      </c>
      <c r="I2292">
        <v>73026</v>
      </c>
      <c r="J2292">
        <v>188</v>
      </c>
      <c r="K2292">
        <f>tblSales[[#This Row],[Sales]]-tblSales[[#This Row],[Budget]]</f>
        <v>-7414</v>
      </c>
      <c r="L2292" s="3">
        <f>(tblSales[[#This Row],[Sales]]-tblSales[[#This Row],[Budget]])/tblSales[[#This Row],[Budget]]</f>
        <v>-0.10152548407416537</v>
      </c>
      <c r="M2292" s="2">
        <f>tblSales[[#This Row],[Sales]]/tblSales[[#This Row],[Transactions]]</f>
        <v>349</v>
      </c>
    </row>
    <row r="2293" spans="1:13" x14ac:dyDescent="0.25">
      <c r="A2293" s="1">
        <v>46137</v>
      </c>
      <c r="B2293" t="s">
        <v>21</v>
      </c>
      <c r="C2293" t="s">
        <v>19</v>
      </c>
      <c r="D2293" t="str">
        <f>_xlfn.XLOOKUP(tblSales[[#This Row],[Store ID]],tblStores[Store ID],tblStores[Store Name])</f>
        <v>Canal Walk</v>
      </c>
      <c r="E2293" t="str">
        <f>_xlfn.XLOOKUP(tblSales[[#This Row],[Store ID]],tblStores[Store ID],tblStores[Province])</f>
        <v>Western Cape</v>
      </c>
      <c r="F2293" t="str">
        <f>_xlfn.XLOOKUP(tblSales[[#This Row],[Store ID]],tblStores[Store ID],tblStores[Manager])</f>
        <v>Megan Scott</v>
      </c>
      <c r="G2293" t="str">
        <f>_xlfn.XLOOKUP(tblSales[[#This Row],[Category ID]],tblCategories[Category ID],tblCategories[Category])</f>
        <v>Accessories</v>
      </c>
      <c r="H2293">
        <v>59400</v>
      </c>
      <c r="I2293">
        <v>57909</v>
      </c>
      <c r="J2293">
        <v>120</v>
      </c>
      <c r="K2293">
        <f>tblSales[[#This Row],[Sales]]-tblSales[[#This Row],[Budget]]</f>
        <v>1491</v>
      </c>
      <c r="L2293" s="3">
        <f>(tblSales[[#This Row],[Sales]]-tblSales[[#This Row],[Budget]])/tblSales[[#This Row],[Budget]]</f>
        <v>2.5747293166865255E-2</v>
      </c>
      <c r="M2293" s="2">
        <f>tblSales[[#This Row],[Sales]]/tblSales[[#This Row],[Transactions]]</f>
        <v>495</v>
      </c>
    </row>
    <row r="2294" spans="1:13" x14ac:dyDescent="0.25">
      <c r="A2294" s="1">
        <v>46137</v>
      </c>
      <c r="B2294" t="s">
        <v>23</v>
      </c>
      <c r="C2294" t="s">
        <v>22</v>
      </c>
      <c r="D2294" t="str">
        <f>_xlfn.XLOOKUP(tblSales[[#This Row],[Store ID]],tblStores[Store ID],tblStores[Store Name])</f>
        <v>Stellenbosch</v>
      </c>
      <c r="E2294" t="str">
        <f>_xlfn.XLOOKUP(tblSales[[#This Row],[Store ID]],tblStores[Store ID],tblStores[Province])</f>
        <v>Western Cape</v>
      </c>
      <c r="F2294" t="str">
        <f>_xlfn.XLOOKUP(tblSales[[#This Row],[Store ID]],tblStores[Store ID],tblStores[Manager])</f>
        <v>Jason King</v>
      </c>
      <c r="G2294" t="str">
        <f>_xlfn.XLOOKUP(tblSales[[#This Row],[Category ID]],tblCategories[Category ID],tblCategories[Category])</f>
        <v>Kids</v>
      </c>
      <c r="H2294">
        <v>17708</v>
      </c>
      <c r="I2294">
        <v>17948</v>
      </c>
      <c r="J2294">
        <v>76</v>
      </c>
      <c r="K2294">
        <f>tblSales[[#This Row],[Sales]]-tblSales[[#This Row],[Budget]]</f>
        <v>-240</v>
      </c>
      <c r="L2294" s="3">
        <f>(tblSales[[#This Row],[Sales]]-tblSales[[#This Row],[Budget]])/tblSales[[#This Row],[Budget]]</f>
        <v>-1.337196344996657E-2</v>
      </c>
      <c r="M2294" s="2">
        <f>tblSales[[#This Row],[Sales]]/tblSales[[#This Row],[Transactions]]</f>
        <v>233</v>
      </c>
    </row>
    <row r="2295" spans="1:13" x14ac:dyDescent="0.25">
      <c r="A2295" s="1">
        <v>46137</v>
      </c>
      <c r="B2295" t="s">
        <v>24</v>
      </c>
      <c r="C2295" t="s">
        <v>7</v>
      </c>
      <c r="D2295" t="str">
        <f>_xlfn.XLOOKUP(tblSales[[#This Row],[Store ID]],tblStores[Store ID],tblStores[Store Name])</f>
        <v>George</v>
      </c>
      <c r="E2295" t="str">
        <f>_xlfn.XLOOKUP(tblSales[[#This Row],[Store ID]],tblStores[Store ID],tblStores[Province])</f>
        <v>Western Cape</v>
      </c>
      <c r="F2295" t="str">
        <f>_xlfn.XLOOKUP(tblSales[[#This Row],[Store ID]],tblStores[Store ID],tblStores[Manager])</f>
        <v>Chloe Hill</v>
      </c>
      <c r="G2295" t="str">
        <f>_xlfn.XLOOKUP(tblSales[[#This Row],[Category ID]],tblCategories[Category ID],tblCategories[Category])</f>
        <v>Menswear</v>
      </c>
      <c r="H2295">
        <v>47012</v>
      </c>
      <c r="I2295">
        <v>53123</v>
      </c>
      <c r="J2295">
        <v>161</v>
      </c>
      <c r="K2295">
        <f>tblSales[[#This Row],[Sales]]-tblSales[[#This Row],[Budget]]</f>
        <v>-6111</v>
      </c>
      <c r="L2295" s="3">
        <f>(tblSales[[#This Row],[Sales]]-tblSales[[#This Row],[Budget]])/tblSales[[#This Row],[Budget]]</f>
        <v>-0.11503491896165503</v>
      </c>
      <c r="M2295" s="2">
        <f>tblSales[[#This Row],[Sales]]/tblSales[[#This Row],[Transactions]]</f>
        <v>292</v>
      </c>
    </row>
    <row r="2296" spans="1:13" x14ac:dyDescent="0.25">
      <c r="A2296" s="1">
        <v>46137</v>
      </c>
      <c r="B2296" t="s">
        <v>25</v>
      </c>
      <c r="C2296" t="s">
        <v>9</v>
      </c>
      <c r="D2296" t="str">
        <f>_xlfn.XLOOKUP(tblSales[[#This Row],[Store ID]],tblStores[Store ID],tblStores[Store Name])</f>
        <v>Paarl</v>
      </c>
      <c r="E2296" t="str">
        <f>_xlfn.XLOOKUP(tblSales[[#This Row],[Store ID]],tblStores[Store ID],tblStores[Province])</f>
        <v>Western Cape</v>
      </c>
      <c r="F2296" t="str">
        <f>_xlfn.XLOOKUP(tblSales[[#This Row],[Store ID]],tblStores[Store ID],tblStores[Manager])</f>
        <v>Andrew Lee</v>
      </c>
      <c r="G2296" t="str">
        <f>_xlfn.XLOOKUP(tblSales[[#This Row],[Category ID]],tblCategories[Category ID],tblCategories[Category])</f>
        <v>Ladieswear</v>
      </c>
      <c r="H2296">
        <v>62964</v>
      </c>
      <c r="I2296">
        <v>64011</v>
      </c>
      <c r="J2296">
        <v>212</v>
      </c>
      <c r="K2296">
        <f>tblSales[[#This Row],[Sales]]-tblSales[[#This Row],[Budget]]</f>
        <v>-1047</v>
      </c>
      <c r="L2296" s="3">
        <f>(tblSales[[#This Row],[Sales]]-tblSales[[#This Row],[Budget]])/tblSales[[#This Row],[Budget]]</f>
        <v>-1.635656371561138E-2</v>
      </c>
      <c r="M2296" s="2">
        <f>tblSales[[#This Row],[Sales]]/tblSales[[#This Row],[Transactions]]</f>
        <v>297</v>
      </c>
    </row>
    <row r="2297" spans="1:13" x14ac:dyDescent="0.25">
      <c r="A2297" s="1">
        <v>46137</v>
      </c>
      <c r="B2297" t="s">
        <v>26</v>
      </c>
      <c r="C2297" t="s">
        <v>9</v>
      </c>
      <c r="D2297" t="str">
        <f>_xlfn.XLOOKUP(tblSales[[#This Row],[Store ID]],tblStores[Store ID],tblStores[Store Name])</f>
        <v>Gqeberha</v>
      </c>
      <c r="E2297" t="str">
        <f>_xlfn.XLOOKUP(tblSales[[#This Row],[Store ID]],tblStores[Store ID],tblStores[Province])</f>
        <v>Eastern Cape</v>
      </c>
      <c r="F2297" t="str">
        <f>_xlfn.XLOOKUP(tblSales[[#This Row],[Store ID]],tblStores[Store ID],tblStores[Manager])</f>
        <v>Emma Baker</v>
      </c>
      <c r="G2297" t="str">
        <f>_xlfn.XLOOKUP(tblSales[[#This Row],[Category ID]],tblCategories[Category ID],tblCategories[Category])</f>
        <v>Ladieswear</v>
      </c>
      <c r="H2297">
        <v>40896</v>
      </c>
      <c r="I2297">
        <v>44316</v>
      </c>
      <c r="J2297">
        <v>96</v>
      </c>
      <c r="K2297">
        <f>tblSales[[#This Row],[Sales]]-tblSales[[#This Row],[Budget]]</f>
        <v>-3420</v>
      </c>
      <c r="L2297" s="3">
        <f>(tblSales[[#This Row],[Sales]]-tblSales[[#This Row],[Budget]])/tblSales[[#This Row],[Budget]]</f>
        <v>-7.7173030056864336E-2</v>
      </c>
      <c r="M2297" s="2">
        <f>tblSales[[#This Row],[Sales]]/tblSales[[#This Row],[Transactions]]</f>
        <v>426</v>
      </c>
    </row>
    <row r="2298" spans="1:13" x14ac:dyDescent="0.25">
      <c r="A2298" s="1">
        <v>46137</v>
      </c>
      <c r="B2298" t="s">
        <v>27</v>
      </c>
      <c r="C2298" t="s">
        <v>22</v>
      </c>
      <c r="D2298" t="str">
        <f>_xlfn.XLOOKUP(tblSales[[#This Row],[Store ID]],tblStores[Store ID],tblStores[Store Name])</f>
        <v>East London</v>
      </c>
      <c r="E2298" t="str">
        <f>_xlfn.XLOOKUP(tblSales[[#This Row],[Store ID]],tblStores[Store ID],tblStores[Province])</f>
        <v>Eastern Cape</v>
      </c>
      <c r="F2298" t="str">
        <f>_xlfn.XLOOKUP(tblSales[[#This Row],[Store ID]],tblStores[Store ID],tblStores[Manager])</f>
        <v>Daniel Evans</v>
      </c>
      <c r="G2298" t="str">
        <f>_xlfn.XLOOKUP(tblSales[[#This Row],[Category ID]],tblCategories[Category ID],tblCategories[Category])</f>
        <v>Kids</v>
      </c>
      <c r="H2298">
        <v>37335</v>
      </c>
      <c r="I2298">
        <v>37337</v>
      </c>
      <c r="J2298">
        <v>131</v>
      </c>
      <c r="K2298">
        <f>tblSales[[#This Row],[Sales]]-tblSales[[#This Row],[Budget]]</f>
        <v>-2</v>
      </c>
      <c r="L2298" s="3">
        <f>(tblSales[[#This Row],[Sales]]-tblSales[[#This Row],[Budget]])/tblSales[[#This Row],[Budget]]</f>
        <v>-5.3566167608538446E-5</v>
      </c>
      <c r="M2298" s="2">
        <f>tblSales[[#This Row],[Sales]]/tblSales[[#This Row],[Transactions]]</f>
        <v>285</v>
      </c>
    </row>
    <row r="2299" spans="1:13" x14ac:dyDescent="0.25">
      <c r="A2299" s="1">
        <v>46137</v>
      </c>
      <c r="B2299" t="s">
        <v>28</v>
      </c>
      <c r="C2299" t="s">
        <v>7</v>
      </c>
      <c r="D2299" t="str">
        <f>_xlfn.XLOOKUP(tblSales[[#This Row],[Store ID]],tblStores[Store ID],tblStores[Store Name])</f>
        <v>Bloemfontein</v>
      </c>
      <c r="E2299" t="str">
        <f>_xlfn.XLOOKUP(tblSales[[#This Row],[Store ID]],tblStores[Store ID],tblStores[Province])</f>
        <v>Free State</v>
      </c>
      <c r="F2299" t="str">
        <f>_xlfn.XLOOKUP(tblSales[[#This Row],[Store ID]],tblStores[Store ID],tblStores[Manager])</f>
        <v>Rachel Moore</v>
      </c>
      <c r="G2299" t="str">
        <f>_xlfn.XLOOKUP(tblSales[[#This Row],[Category ID]],tblCategories[Category ID],tblCategories[Category])</f>
        <v>Menswear</v>
      </c>
      <c r="H2299">
        <v>23495</v>
      </c>
      <c r="I2299">
        <v>21578</v>
      </c>
      <c r="J2299">
        <v>127</v>
      </c>
      <c r="K2299">
        <f>tblSales[[#This Row],[Sales]]-tblSales[[#This Row],[Budget]]</f>
        <v>1917</v>
      </c>
      <c r="L2299" s="3">
        <f>(tblSales[[#This Row],[Sales]]-tblSales[[#This Row],[Budget]])/tblSales[[#This Row],[Budget]]</f>
        <v>8.884048567985911E-2</v>
      </c>
      <c r="M2299" s="2">
        <f>tblSales[[#This Row],[Sales]]/tblSales[[#This Row],[Transactions]]</f>
        <v>185</v>
      </c>
    </row>
    <row r="2300" spans="1:13" x14ac:dyDescent="0.25">
      <c r="A2300" s="1">
        <v>46137</v>
      </c>
      <c r="B2300" t="s">
        <v>29</v>
      </c>
      <c r="C2300" t="s">
        <v>7</v>
      </c>
      <c r="D2300" t="str">
        <f>_xlfn.XLOOKUP(tblSales[[#This Row],[Store ID]],tblStores[Store ID],tblStores[Store Name])</f>
        <v>Polokwane</v>
      </c>
      <c r="E2300" t="str">
        <f>_xlfn.XLOOKUP(tblSales[[#This Row],[Store ID]],tblStores[Store ID],tblStores[Province])</f>
        <v>Limpopo</v>
      </c>
      <c r="F2300" t="str">
        <f>_xlfn.XLOOKUP(tblSales[[#This Row],[Store ID]],tblStores[Store ID],tblStores[Manager])</f>
        <v>Kevin Harris</v>
      </c>
      <c r="G2300" t="str">
        <f>_xlfn.XLOOKUP(tblSales[[#This Row],[Category ID]],tblCategories[Category ID],tblCategories[Category])</f>
        <v>Menswear</v>
      </c>
      <c r="H2300">
        <v>42126</v>
      </c>
      <c r="I2300">
        <v>39413</v>
      </c>
      <c r="J2300">
        <v>177</v>
      </c>
      <c r="K2300">
        <f>tblSales[[#This Row],[Sales]]-tblSales[[#This Row],[Budget]]</f>
        <v>2713</v>
      </c>
      <c r="L2300" s="3">
        <f>(tblSales[[#This Row],[Sales]]-tblSales[[#This Row],[Budget]])/tblSales[[#This Row],[Budget]]</f>
        <v>6.8835155913023624E-2</v>
      </c>
      <c r="M2300" s="2">
        <f>tblSales[[#This Row],[Sales]]/tblSales[[#This Row],[Transactions]]</f>
        <v>238</v>
      </c>
    </row>
    <row r="2301" spans="1:13" x14ac:dyDescent="0.25">
      <c r="A2301" s="1">
        <v>46137</v>
      </c>
      <c r="B2301" t="s">
        <v>30</v>
      </c>
      <c r="C2301" t="s">
        <v>11</v>
      </c>
      <c r="D2301" t="str">
        <f>_xlfn.XLOOKUP(tblSales[[#This Row],[Store ID]],tblStores[Store ID],tblStores[Store Name])</f>
        <v>Nelspruit</v>
      </c>
      <c r="E2301" t="str">
        <f>_xlfn.XLOOKUP(tblSales[[#This Row],[Store ID]],tblStores[Store ID],tblStores[Province])</f>
        <v>Mpumalanga</v>
      </c>
      <c r="F2301" t="str">
        <f>_xlfn.XLOOKUP(tblSales[[#This Row],[Store ID]],tblStores[Store ID],tblStores[Manager])</f>
        <v>Olivia Turner</v>
      </c>
      <c r="G2301" t="str">
        <f>_xlfn.XLOOKUP(tblSales[[#This Row],[Category ID]],tblCategories[Category ID],tblCategories[Category])</f>
        <v>Footwear</v>
      </c>
      <c r="H2301">
        <v>42252</v>
      </c>
      <c r="I2301">
        <v>44213</v>
      </c>
      <c r="J2301">
        <v>84</v>
      </c>
      <c r="K2301">
        <f>tblSales[[#This Row],[Sales]]-tblSales[[#This Row],[Budget]]</f>
        <v>-1961</v>
      </c>
      <c r="L2301" s="3">
        <f>(tblSales[[#This Row],[Sales]]-tblSales[[#This Row],[Budget]])/tblSales[[#This Row],[Budget]]</f>
        <v>-4.4353470698663286E-2</v>
      </c>
      <c r="M2301" s="2">
        <f>tblSales[[#This Row],[Sales]]/tblSales[[#This Row],[Transactions]]</f>
        <v>503</v>
      </c>
    </row>
    <row r="2302" spans="1:13" x14ac:dyDescent="0.25">
      <c r="A2302" s="1">
        <v>46138</v>
      </c>
      <c r="B2302" t="s">
        <v>6</v>
      </c>
      <c r="C2302" t="s">
        <v>22</v>
      </c>
      <c r="D2302" t="str">
        <f>_xlfn.XLOOKUP(tblSales[[#This Row],[Store ID]],tblStores[Store ID],tblStores[Store Name])</f>
        <v>Durban CBD</v>
      </c>
      <c r="E2302" t="str">
        <f>_xlfn.XLOOKUP(tblSales[[#This Row],[Store ID]],tblStores[Store ID],tblStores[Province])</f>
        <v>KZN</v>
      </c>
      <c r="F2302" t="str">
        <f>_xlfn.XLOOKUP(tblSales[[#This Row],[Store ID]],tblStores[Store ID],tblStores[Manager])</f>
        <v>Sarah Adams</v>
      </c>
      <c r="G2302" t="str">
        <f>_xlfn.XLOOKUP(tblSales[[#This Row],[Category ID]],tblCategories[Category ID],tblCategories[Category])</f>
        <v>Kids</v>
      </c>
      <c r="H2302">
        <v>8970</v>
      </c>
      <c r="I2302">
        <v>8519</v>
      </c>
      <c r="J2302">
        <v>46</v>
      </c>
      <c r="K2302">
        <f>tblSales[[#This Row],[Sales]]-tblSales[[#This Row],[Budget]]</f>
        <v>451</v>
      </c>
      <c r="L2302" s="3">
        <f>(tblSales[[#This Row],[Sales]]-tblSales[[#This Row],[Budget]])/tblSales[[#This Row],[Budget]]</f>
        <v>5.2940485972531988E-2</v>
      </c>
      <c r="M2302" s="2">
        <f>tblSales[[#This Row],[Sales]]/tblSales[[#This Row],[Transactions]]</f>
        <v>195</v>
      </c>
    </row>
    <row r="2303" spans="1:13" x14ac:dyDescent="0.25">
      <c r="A2303" s="1">
        <v>46138</v>
      </c>
      <c r="B2303" t="s">
        <v>8</v>
      </c>
      <c r="C2303" t="s">
        <v>22</v>
      </c>
      <c r="D2303" t="str">
        <f>_xlfn.XLOOKUP(tblSales[[#This Row],[Store ID]],tblStores[Store ID],tblStores[Store Name])</f>
        <v>Gateway</v>
      </c>
      <c r="E2303" t="str">
        <f>_xlfn.XLOOKUP(tblSales[[#This Row],[Store ID]],tblStores[Store ID],tblStores[Province])</f>
        <v>KZN</v>
      </c>
      <c r="F2303" t="str">
        <f>_xlfn.XLOOKUP(tblSales[[#This Row],[Store ID]],tblStores[Store ID],tblStores[Manager])</f>
        <v>Michael Jones</v>
      </c>
      <c r="G2303" t="str">
        <f>_xlfn.XLOOKUP(tblSales[[#This Row],[Category ID]],tblCategories[Category ID],tblCategories[Category])</f>
        <v>Kids</v>
      </c>
      <c r="H2303">
        <v>23068</v>
      </c>
      <c r="I2303">
        <v>25867</v>
      </c>
      <c r="J2303">
        <v>79</v>
      </c>
      <c r="K2303">
        <f>tblSales[[#This Row],[Sales]]-tblSales[[#This Row],[Budget]]</f>
        <v>-2799</v>
      </c>
      <c r="L2303" s="3">
        <f>(tblSales[[#This Row],[Sales]]-tblSales[[#This Row],[Budget]])/tblSales[[#This Row],[Budget]]</f>
        <v>-0.10820736846174663</v>
      </c>
      <c r="M2303" s="2">
        <f>tblSales[[#This Row],[Sales]]/tblSales[[#This Row],[Transactions]]</f>
        <v>292</v>
      </c>
    </row>
    <row r="2304" spans="1:13" x14ac:dyDescent="0.25">
      <c r="A2304" s="1">
        <v>46138</v>
      </c>
      <c r="B2304" t="s">
        <v>10</v>
      </c>
      <c r="C2304" t="s">
        <v>9</v>
      </c>
      <c r="D2304" t="str">
        <f>_xlfn.XLOOKUP(tblSales[[#This Row],[Store ID]],tblStores[Store ID],tblStores[Store Name])</f>
        <v>Ballito</v>
      </c>
      <c r="E2304" t="str">
        <f>_xlfn.XLOOKUP(tblSales[[#This Row],[Store ID]],tblStores[Store ID],tblStores[Province])</f>
        <v>KZN</v>
      </c>
      <c r="F2304" t="str">
        <f>_xlfn.XLOOKUP(tblSales[[#This Row],[Store ID]],tblStores[Store ID],tblStores[Manager])</f>
        <v>Linda Smith</v>
      </c>
      <c r="G2304" t="str">
        <f>_xlfn.XLOOKUP(tblSales[[#This Row],[Category ID]],tblCategories[Category ID],tblCategories[Category])</f>
        <v>Ladieswear</v>
      </c>
      <c r="H2304">
        <v>56023</v>
      </c>
      <c r="I2304">
        <v>53865</v>
      </c>
      <c r="J2304">
        <v>121</v>
      </c>
      <c r="K2304">
        <f>tblSales[[#This Row],[Sales]]-tblSales[[#This Row],[Budget]]</f>
        <v>2158</v>
      </c>
      <c r="L2304" s="3">
        <f>(tblSales[[#This Row],[Sales]]-tblSales[[#This Row],[Budget]])/tblSales[[#This Row],[Budget]]</f>
        <v>4.006312076487515E-2</v>
      </c>
      <c r="M2304" s="2">
        <f>tblSales[[#This Row],[Sales]]/tblSales[[#This Row],[Transactions]]</f>
        <v>463</v>
      </c>
    </row>
    <row r="2305" spans="1:13" x14ac:dyDescent="0.25">
      <c r="A2305" s="1">
        <v>46138</v>
      </c>
      <c r="B2305" t="s">
        <v>12</v>
      </c>
      <c r="C2305" t="s">
        <v>9</v>
      </c>
      <c r="D2305" t="str">
        <f>_xlfn.XLOOKUP(tblSales[[#This Row],[Store ID]],tblStores[Store ID],tblStores[Store Name])</f>
        <v>Pietermaritzburg</v>
      </c>
      <c r="E2305" t="str">
        <f>_xlfn.XLOOKUP(tblSales[[#This Row],[Store ID]],tblStores[Store ID],tblStores[Province])</f>
        <v>KZN</v>
      </c>
      <c r="F2305" t="str">
        <f>_xlfn.XLOOKUP(tblSales[[#This Row],[Store ID]],tblStores[Store ID],tblStores[Manager])</f>
        <v>Peter Brown</v>
      </c>
      <c r="G2305" t="str">
        <f>_xlfn.XLOOKUP(tblSales[[#This Row],[Category ID]],tblCategories[Category ID],tblCategories[Category])</f>
        <v>Ladieswear</v>
      </c>
      <c r="H2305">
        <v>10800</v>
      </c>
      <c r="I2305">
        <v>11995</v>
      </c>
      <c r="J2305">
        <v>40</v>
      </c>
      <c r="K2305">
        <f>tblSales[[#This Row],[Sales]]-tblSales[[#This Row],[Budget]]</f>
        <v>-1195</v>
      </c>
      <c r="L2305" s="3">
        <f>(tblSales[[#This Row],[Sales]]-tblSales[[#This Row],[Budget]])/tblSales[[#This Row],[Budget]]</f>
        <v>-9.9624843684868694E-2</v>
      </c>
      <c r="M2305" s="2">
        <f>tblSales[[#This Row],[Sales]]/tblSales[[#This Row],[Transactions]]</f>
        <v>270</v>
      </c>
    </row>
    <row r="2306" spans="1:13" x14ac:dyDescent="0.25">
      <c r="A2306" s="1">
        <v>46138</v>
      </c>
      <c r="B2306" t="s">
        <v>13</v>
      </c>
      <c r="C2306" t="s">
        <v>7</v>
      </c>
      <c r="D2306" t="str">
        <f>_xlfn.XLOOKUP(tblSales[[#This Row],[Store ID]],tblStores[Store ID],tblStores[Store Name])</f>
        <v>Richards Bay</v>
      </c>
      <c r="E2306" t="str">
        <f>_xlfn.XLOOKUP(tblSales[[#This Row],[Store ID]],tblStores[Store ID],tblStores[Province])</f>
        <v>KZN</v>
      </c>
      <c r="F2306" t="str">
        <f>_xlfn.XLOOKUP(tblSales[[#This Row],[Store ID]],tblStores[Store ID],tblStores[Manager])</f>
        <v>David Green</v>
      </c>
      <c r="G2306" t="str">
        <f>_xlfn.XLOOKUP(tblSales[[#This Row],[Category ID]],tblCategories[Category ID],tblCategories[Category])</f>
        <v>Menswear</v>
      </c>
      <c r="H2306">
        <v>10000</v>
      </c>
      <c r="I2306">
        <v>9947</v>
      </c>
      <c r="J2306">
        <v>40</v>
      </c>
      <c r="K2306">
        <f>tblSales[[#This Row],[Sales]]-tblSales[[#This Row],[Budget]]</f>
        <v>53</v>
      </c>
      <c r="L2306" s="3">
        <f>(tblSales[[#This Row],[Sales]]-tblSales[[#This Row],[Budget]])/tblSales[[#This Row],[Budget]]</f>
        <v>5.3282396702523374E-3</v>
      </c>
      <c r="M2306" s="2">
        <f>tblSales[[#This Row],[Sales]]/tblSales[[#This Row],[Transactions]]</f>
        <v>250</v>
      </c>
    </row>
    <row r="2307" spans="1:13" x14ac:dyDescent="0.25">
      <c r="A2307" s="1">
        <v>46138</v>
      </c>
      <c r="B2307" t="s">
        <v>14</v>
      </c>
      <c r="C2307" t="s">
        <v>7</v>
      </c>
      <c r="D2307" t="str">
        <f>_xlfn.XLOOKUP(tblSales[[#This Row],[Store ID]],tblStores[Store ID],tblStores[Store Name])</f>
        <v>Sandton</v>
      </c>
      <c r="E2307" t="str">
        <f>_xlfn.XLOOKUP(tblSales[[#This Row],[Store ID]],tblStores[Store ID],tblStores[Province])</f>
        <v>Gauteng</v>
      </c>
      <c r="F2307" t="str">
        <f>_xlfn.XLOOKUP(tblSales[[#This Row],[Store ID]],tblStores[Store ID],tblStores[Manager])</f>
        <v>Karen White</v>
      </c>
      <c r="G2307" t="str">
        <f>_xlfn.XLOOKUP(tblSales[[#This Row],[Category ID]],tblCategories[Category ID],tblCategories[Category])</f>
        <v>Menswear</v>
      </c>
      <c r="H2307">
        <v>34727</v>
      </c>
      <c r="I2307">
        <v>33902</v>
      </c>
      <c r="J2307">
        <v>121</v>
      </c>
      <c r="K2307">
        <f>tblSales[[#This Row],[Sales]]-tblSales[[#This Row],[Budget]]</f>
        <v>825</v>
      </c>
      <c r="L2307" s="3">
        <f>(tblSales[[#This Row],[Sales]]-tblSales[[#This Row],[Budget]])/tblSales[[#This Row],[Budget]]</f>
        <v>2.4334847501622323E-2</v>
      </c>
      <c r="M2307" s="2">
        <f>tblSales[[#This Row],[Sales]]/tblSales[[#This Row],[Transactions]]</f>
        <v>287</v>
      </c>
    </row>
    <row r="2308" spans="1:13" x14ac:dyDescent="0.25">
      <c r="A2308" s="1">
        <v>46138</v>
      </c>
      <c r="B2308" t="s">
        <v>15</v>
      </c>
      <c r="C2308" t="s">
        <v>9</v>
      </c>
      <c r="D2308" t="str">
        <f>_xlfn.XLOOKUP(tblSales[[#This Row],[Store ID]],tblStores[Store ID],tblStores[Store Name])</f>
        <v>Rosebank</v>
      </c>
      <c r="E2308" t="str">
        <f>_xlfn.XLOOKUP(tblSales[[#This Row],[Store ID]],tblStores[Store ID],tblStores[Province])</f>
        <v>Gauteng</v>
      </c>
      <c r="F2308" t="str">
        <f>_xlfn.XLOOKUP(tblSales[[#This Row],[Store ID]],tblStores[Store ID],tblStores[Manager])</f>
        <v>James Taylor</v>
      </c>
      <c r="G2308" t="str">
        <f>_xlfn.XLOOKUP(tblSales[[#This Row],[Category ID]],tblCategories[Category ID],tblCategories[Category])</f>
        <v>Ladieswear</v>
      </c>
      <c r="H2308">
        <v>47730</v>
      </c>
      <c r="I2308">
        <v>50843</v>
      </c>
      <c r="J2308">
        <v>129</v>
      </c>
      <c r="K2308">
        <f>tblSales[[#This Row],[Sales]]-tblSales[[#This Row],[Budget]]</f>
        <v>-3113</v>
      </c>
      <c r="L2308" s="3">
        <f>(tblSales[[#This Row],[Sales]]-tblSales[[#This Row],[Budget]])/tblSales[[#This Row],[Budget]]</f>
        <v>-6.1227700961784315E-2</v>
      </c>
      <c r="M2308" s="2">
        <f>tblSales[[#This Row],[Sales]]/tblSales[[#This Row],[Transactions]]</f>
        <v>370</v>
      </c>
    </row>
    <row r="2309" spans="1:13" x14ac:dyDescent="0.25">
      <c r="A2309" s="1">
        <v>46138</v>
      </c>
      <c r="B2309" t="s">
        <v>16</v>
      </c>
      <c r="C2309" t="s">
        <v>19</v>
      </c>
      <c r="D2309" t="str">
        <f>_xlfn.XLOOKUP(tblSales[[#This Row],[Store ID]],tblStores[Store ID],tblStores[Store Name])</f>
        <v>Pretoria</v>
      </c>
      <c r="E2309" t="str">
        <f>_xlfn.XLOOKUP(tblSales[[#This Row],[Store ID]],tblStores[Store ID],tblStores[Province])</f>
        <v>Gauteng</v>
      </c>
      <c r="F2309" t="str">
        <f>_xlfn.XLOOKUP(tblSales[[#This Row],[Store ID]],tblStores[Store ID],tblStores[Manager])</f>
        <v>Susan Clark</v>
      </c>
      <c r="G2309" t="str">
        <f>_xlfn.XLOOKUP(tblSales[[#This Row],[Category ID]],tblCategories[Category ID],tblCategories[Category])</f>
        <v>Accessories</v>
      </c>
      <c r="H2309">
        <v>77988</v>
      </c>
      <c r="I2309">
        <v>87315</v>
      </c>
      <c r="J2309">
        <v>194</v>
      </c>
      <c r="K2309">
        <f>tblSales[[#This Row],[Sales]]-tblSales[[#This Row],[Budget]]</f>
        <v>-9327</v>
      </c>
      <c r="L2309" s="3">
        <f>(tblSales[[#This Row],[Sales]]-tblSales[[#This Row],[Budget]])/tblSales[[#This Row],[Budget]]</f>
        <v>-0.10682013399759492</v>
      </c>
      <c r="M2309" s="2">
        <f>tblSales[[#This Row],[Sales]]/tblSales[[#This Row],[Transactions]]</f>
        <v>402</v>
      </c>
    </row>
    <row r="2310" spans="1:13" x14ac:dyDescent="0.25">
      <c r="A2310" s="1">
        <v>46138</v>
      </c>
      <c r="B2310" t="s">
        <v>17</v>
      </c>
      <c r="C2310" t="s">
        <v>7</v>
      </c>
      <c r="D2310" t="str">
        <f>_xlfn.XLOOKUP(tblSales[[#This Row],[Store ID]],tblStores[Store ID],tblStores[Store Name])</f>
        <v>Centurion</v>
      </c>
      <c r="E2310" t="str">
        <f>_xlfn.XLOOKUP(tblSales[[#This Row],[Store ID]],tblStores[Store ID],tblStores[Province])</f>
        <v>Gauteng</v>
      </c>
      <c r="F2310" t="str">
        <f>_xlfn.XLOOKUP(tblSales[[#This Row],[Store ID]],tblStores[Store ID],tblStores[Manager])</f>
        <v>Mark Wilson</v>
      </c>
      <c r="G2310" t="str">
        <f>_xlfn.XLOOKUP(tblSales[[#This Row],[Category ID]],tblCategories[Category ID],tblCategories[Category])</f>
        <v>Menswear</v>
      </c>
      <c r="H2310">
        <v>16445</v>
      </c>
      <c r="I2310">
        <v>18429</v>
      </c>
      <c r="J2310">
        <v>65</v>
      </c>
      <c r="K2310">
        <f>tblSales[[#This Row],[Sales]]-tblSales[[#This Row],[Budget]]</f>
        <v>-1984</v>
      </c>
      <c r="L2310" s="3">
        <f>(tblSales[[#This Row],[Sales]]-tblSales[[#This Row],[Budget]])/tblSales[[#This Row],[Budget]]</f>
        <v>-0.10765641109121493</v>
      </c>
      <c r="M2310" s="2">
        <f>tblSales[[#This Row],[Sales]]/tblSales[[#This Row],[Transactions]]</f>
        <v>253</v>
      </c>
    </row>
    <row r="2311" spans="1:13" x14ac:dyDescent="0.25">
      <c r="A2311" s="1">
        <v>46138</v>
      </c>
      <c r="B2311" t="s">
        <v>18</v>
      </c>
      <c r="C2311" t="s">
        <v>9</v>
      </c>
      <c r="D2311" t="str">
        <f>_xlfn.XLOOKUP(tblSales[[#This Row],[Store ID]],tblStores[Store ID],tblStores[Store Name])</f>
        <v>East Rand</v>
      </c>
      <c r="E2311" t="str">
        <f>_xlfn.XLOOKUP(tblSales[[#This Row],[Store ID]],tblStores[Store ID],tblStores[Province])</f>
        <v>Gauteng</v>
      </c>
      <c r="F2311" t="str">
        <f>_xlfn.XLOOKUP(tblSales[[#This Row],[Store ID]],tblStores[Store ID],tblStores[Manager])</f>
        <v>Lisa Young</v>
      </c>
      <c r="G2311" t="str">
        <f>_xlfn.XLOOKUP(tblSales[[#This Row],[Category ID]],tblCategories[Category ID],tblCategories[Category])</f>
        <v>Ladieswear</v>
      </c>
      <c r="H2311">
        <v>23074</v>
      </c>
      <c r="I2311">
        <v>23838</v>
      </c>
      <c r="J2311">
        <v>83</v>
      </c>
      <c r="K2311">
        <f>tblSales[[#This Row],[Sales]]-tblSales[[#This Row],[Budget]]</f>
        <v>-764</v>
      </c>
      <c r="L2311" s="3">
        <f>(tblSales[[#This Row],[Sales]]-tblSales[[#This Row],[Budget]])/tblSales[[#This Row],[Budget]]</f>
        <v>-3.2049668596358757E-2</v>
      </c>
      <c r="M2311" s="2">
        <f>tblSales[[#This Row],[Sales]]/tblSales[[#This Row],[Transactions]]</f>
        <v>278</v>
      </c>
    </row>
    <row r="2312" spans="1:13" x14ac:dyDescent="0.25">
      <c r="A2312" s="1">
        <v>46138</v>
      </c>
      <c r="B2312" t="s">
        <v>20</v>
      </c>
      <c r="C2312" t="s">
        <v>22</v>
      </c>
      <c r="D2312" t="str">
        <f>_xlfn.XLOOKUP(tblSales[[#This Row],[Store ID]],tblStores[Store ID],tblStores[Store Name])</f>
        <v>Cape Town CBD</v>
      </c>
      <c r="E2312" t="str">
        <f>_xlfn.XLOOKUP(tblSales[[#This Row],[Store ID]],tblStores[Store ID],tblStores[Province])</f>
        <v>Western Cape</v>
      </c>
      <c r="F2312" t="str">
        <f>_xlfn.XLOOKUP(tblSales[[#This Row],[Store ID]],tblStores[Store ID],tblStores[Manager])</f>
        <v>Brian Hall</v>
      </c>
      <c r="G2312" t="str">
        <f>_xlfn.XLOOKUP(tblSales[[#This Row],[Category ID]],tblCategories[Category ID],tblCategories[Category])</f>
        <v>Kids</v>
      </c>
      <c r="H2312">
        <v>56376</v>
      </c>
      <c r="I2312">
        <v>56792</v>
      </c>
      <c r="J2312">
        <v>116</v>
      </c>
      <c r="K2312">
        <f>tblSales[[#This Row],[Sales]]-tblSales[[#This Row],[Budget]]</f>
        <v>-416</v>
      </c>
      <c r="L2312" s="3">
        <f>(tblSales[[#This Row],[Sales]]-tblSales[[#This Row],[Budget]])/tblSales[[#This Row],[Budget]]</f>
        <v>-7.3249753486406537E-3</v>
      </c>
      <c r="M2312" s="2">
        <f>tblSales[[#This Row],[Sales]]/tblSales[[#This Row],[Transactions]]</f>
        <v>486</v>
      </c>
    </row>
    <row r="2313" spans="1:13" x14ac:dyDescent="0.25">
      <c r="A2313" s="1">
        <v>46138</v>
      </c>
      <c r="B2313" t="s">
        <v>21</v>
      </c>
      <c r="C2313" t="s">
        <v>9</v>
      </c>
      <c r="D2313" t="str">
        <f>_xlfn.XLOOKUP(tblSales[[#This Row],[Store ID]],tblStores[Store ID],tblStores[Store Name])</f>
        <v>Canal Walk</v>
      </c>
      <c r="E2313" t="str">
        <f>_xlfn.XLOOKUP(tblSales[[#This Row],[Store ID]],tblStores[Store ID],tblStores[Province])</f>
        <v>Western Cape</v>
      </c>
      <c r="F2313" t="str">
        <f>_xlfn.XLOOKUP(tblSales[[#This Row],[Store ID]],tblStores[Store ID],tblStores[Manager])</f>
        <v>Megan Scott</v>
      </c>
      <c r="G2313" t="str">
        <f>_xlfn.XLOOKUP(tblSales[[#This Row],[Category ID]],tblCategories[Category ID],tblCategories[Category])</f>
        <v>Ladieswear</v>
      </c>
      <c r="H2313">
        <v>22770</v>
      </c>
      <c r="I2313">
        <v>23836</v>
      </c>
      <c r="J2313">
        <v>46</v>
      </c>
      <c r="K2313">
        <f>tblSales[[#This Row],[Sales]]-tblSales[[#This Row],[Budget]]</f>
        <v>-1066</v>
      </c>
      <c r="L2313" s="3">
        <f>(tblSales[[#This Row],[Sales]]-tblSales[[#This Row],[Budget]])/tblSales[[#This Row],[Budget]]</f>
        <v>-4.47222688370532E-2</v>
      </c>
      <c r="M2313" s="2">
        <f>tblSales[[#This Row],[Sales]]/tblSales[[#This Row],[Transactions]]</f>
        <v>495</v>
      </c>
    </row>
    <row r="2314" spans="1:13" x14ac:dyDescent="0.25">
      <c r="A2314" s="1">
        <v>46138</v>
      </c>
      <c r="B2314" t="s">
        <v>23</v>
      </c>
      <c r="C2314" t="s">
        <v>19</v>
      </c>
      <c r="D2314" t="str">
        <f>_xlfn.XLOOKUP(tblSales[[#This Row],[Store ID]],tblStores[Store ID],tblStores[Store Name])</f>
        <v>Stellenbosch</v>
      </c>
      <c r="E2314" t="str">
        <f>_xlfn.XLOOKUP(tblSales[[#This Row],[Store ID]],tblStores[Store ID],tblStores[Province])</f>
        <v>Western Cape</v>
      </c>
      <c r="F2314" t="str">
        <f>_xlfn.XLOOKUP(tblSales[[#This Row],[Store ID]],tblStores[Store ID],tblStores[Manager])</f>
        <v>Jason King</v>
      </c>
      <c r="G2314" t="str">
        <f>_xlfn.XLOOKUP(tblSales[[#This Row],[Category ID]],tblCategories[Category ID],tblCategories[Category])</f>
        <v>Accessories</v>
      </c>
      <c r="H2314">
        <v>28160</v>
      </c>
      <c r="I2314">
        <v>27650</v>
      </c>
      <c r="J2314">
        <v>110</v>
      </c>
      <c r="K2314">
        <f>tblSales[[#This Row],[Sales]]-tblSales[[#This Row],[Budget]]</f>
        <v>510</v>
      </c>
      <c r="L2314" s="3">
        <f>(tblSales[[#This Row],[Sales]]-tblSales[[#This Row],[Budget]])/tblSales[[#This Row],[Budget]]</f>
        <v>1.8444846292947559E-2</v>
      </c>
      <c r="M2314" s="2">
        <f>tblSales[[#This Row],[Sales]]/tblSales[[#This Row],[Transactions]]</f>
        <v>256</v>
      </c>
    </row>
    <row r="2315" spans="1:13" x14ac:dyDescent="0.25">
      <c r="A2315" s="1">
        <v>46138</v>
      </c>
      <c r="B2315" t="s">
        <v>24</v>
      </c>
      <c r="C2315" t="s">
        <v>7</v>
      </c>
      <c r="D2315" t="str">
        <f>_xlfn.XLOOKUP(tblSales[[#This Row],[Store ID]],tblStores[Store ID],tblStores[Store Name])</f>
        <v>George</v>
      </c>
      <c r="E2315" t="str">
        <f>_xlfn.XLOOKUP(tblSales[[#This Row],[Store ID]],tblStores[Store ID],tblStores[Province])</f>
        <v>Western Cape</v>
      </c>
      <c r="F2315" t="str">
        <f>_xlfn.XLOOKUP(tblSales[[#This Row],[Store ID]],tblStores[Store ID],tblStores[Manager])</f>
        <v>Chloe Hill</v>
      </c>
      <c r="G2315" t="str">
        <f>_xlfn.XLOOKUP(tblSales[[#This Row],[Category ID]],tblCategories[Category ID],tblCategories[Category])</f>
        <v>Menswear</v>
      </c>
      <c r="H2315">
        <v>63308</v>
      </c>
      <c r="I2315">
        <v>70791</v>
      </c>
      <c r="J2315">
        <v>196</v>
      </c>
      <c r="K2315">
        <f>tblSales[[#This Row],[Sales]]-tblSales[[#This Row],[Budget]]</f>
        <v>-7483</v>
      </c>
      <c r="L2315" s="3">
        <f>(tblSales[[#This Row],[Sales]]-tblSales[[#This Row],[Budget]])/tblSales[[#This Row],[Budget]]</f>
        <v>-0.10570552753881143</v>
      </c>
      <c r="M2315" s="2">
        <f>tblSales[[#This Row],[Sales]]/tblSales[[#This Row],[Transactions]]</f>
        <v>323</v>
      </c>
    </row>
    <row r="2316" spans="1:13" x14ac:dyDescent="0.25">
      <c r="A2316" s="1">
        <v>46138</v>
      </c>
      <c r="B2316" t="s">
        <v>25</v>
      </c>
      <c r="C2316" t="s">
        <v>19</v>
      </c>
      <c r="D2316" t="str">
        <f>_xlfn.XLOOKUP(tblSales[[#This Row],[Store ID]],tblStores[Store ID],tblStores[Store Name])</f>
        <v>Paarl</v>
      </c>
      <c r="E2316" t="str">
        <f>_xlfn.XLOOKUP(tblSales[[#This Row],[Store ID]],tblStores[Store ID],tblStores[Province])</f>
        <v>Western Cape</v>
      </c>
      <c r="F2316" t="str">
        <f>_xlfn.XLOOKUP(tblSales[[#This Row],[Store ID]],tblStores[Store ID],tblStores[Manager])</f>
        <v>Andrew Lee</v>
      </c>
      <c r="G2316" t="str">
        <f>_xlfn.XLOOKUP(tblSales[[#This Row],[Category ID]],tblCategories[Category ID],tblCategories[Category])</f>
        <v>Accessories</v>
      </c>
      <c r="H2316">
        <v>79120</v>
      </c>
      <c r="I2316">
        <v>75346</v>
      </c>
      <c r="J2316">
        <v>184</v>
      </c>
      <c r="K2316">
        <f>tblSales[[#This Row],[Sales]]-tblSales[[#This Row],[Budget]]</f>
        <v>3774</v>
      </c>
      <c r="L2316" s="3">
        <f>(tblSales[[#This Row],[Sales]]-tblSales[[#This Row],[Budget]])/tblSales[[#This Row],[Budget]]</f>
        <v>5.0088923101425424E-2</v>
      </c>
      <c r="M2316" s="2">
        <f>tblSales[[#This Row],[Sales]]/tblSales[[#This Row],[Transactions]]</f>
        <v>430</v>
      </c>
    </row>
    <row r="2317" spans="1:13" x14ac:dyDescent="0.25">
      <c r="A2317" s="1">
        <v>46138</v>
      </c>
      <c r="B2317" t="s">
        <v>26</v>
      </c>
      <c r="C2317" t="s">
        <v>7</v>
      </c>
      <c r="D2317" t="str">
        <f>_xlfn.XLOOKUP(tblSales[[#This Row],[Store ID]],tblStores[Store ID],tblStores[Store Name])</f>
        <v>Gqeberha</v>
      </c>
      <c r="E2317" t="str">
        <f>_xlfn.XLOOKUP(tblSales[[#This Row],[Store ID]],tblStores[Store ID],tblStores[Province])</f>
        <v>Eastern Cape</v>
      </c>
      <c r="F2317" t="str">
        <f>_xlfn.XLOOKUP(tblSales[[#This Row],[Store ID]],tblStores[Store ID],tblStores[Manager])</f>
        <v>Emma Baker</v>
      </c>
      <c r="G2317" t="str">
        <f>_xlfn.XLOOKUP(tblSales[[#This Row],[Category ID]],tblCategories[Category ID],tblCategories[Category])</f>
        <v>Menswear</v>
      </c>
      <c r="H2317">
        <v>80445</v>
      </c>
      <c r="I2317">
        <v>84766</v>
      </c>
      <c r="J2317">
        <v>155</v>
      </c>
      <c r="K2317">
        <f>tblSales[[#This Row],[Sales]]-tblSales[[#This Row],[Budget]]</f>
        <v>-4321</v>
      </c>
      <c r="L2317" s="3">
        <f>(tblSales[[#This Row],[Sales]]-tblSales[[#This Row],[Budget]])/tblSales[[#This Row],[Budget]]</f>
        <v>-5.0975627020267561E-2</v>
      </c>
      <c r="M2317" s="2">
        <f>tblSales[[#This Row],[Sales]]/tblSales[[#This Row],[Transactions]]</f>
        <v>519</v>
      </c>
    </row>
    <row r="2318" spans="1:13" x14ac:dyDescent="0.25">
      <c r="A2318" s="1">
        <v>46138</v>
      </c>
      <c r="B2318" t="s">
        <v>27</v>
      </c>
      <c r="C2318" t="s">
        <v>9</v>
      </c>
      <c r="D2318" t="str">
        <f>_xlfn.XLOOKUP(tblSales[[#This Row],[Store ID]],tblStores[Store ID],tblStores[Store Name])</f>
        <v>East London</v>
      </c>
      <c r="E2318" t="str">
        <f>_xlfn.XLOOKUP(tblSales[[#This Row],[Store ID]],tblStores[Store ID],tblStores[Province])</f>
        <v>Eastern Cape</v>
      </c>
      <c r="F2318" t="str">
        <f>_xlfn.XLOOKUP(tblSales[[#This Row],[Store ID]],tblStores[Store ID],tblStores[Manager])</f>
        <v>Daniel Evans</v>
      </c>
      <c r="G2318" t="str">
        <f>_xlfn.XLOOKUP(tblSales[[#This Row],[Category ID]],tblCategories[Category ID],tblCategories[Category])</f>
        <v>Ladieswear</v>
      </c>
      <c r="H2318">
        <v>62370</v>
      </c>
      <c r="I2318">
        <v>67847</v>
      </c>
      <c r="J2318">
        <v>165</v>
      </c>
      <c r="K2318">
        <f>tblSales[[#This Row],[Sales]]-tblSales[[#This Row],[Budget]]</f>
        <v>-5477</v>
      </c>
      <c r="L2318" s="3">
        <f>(tblSales[[#This Row],[Sales]]-tblSales[[#This Row],[Budget]])/tblSales[[#This Row],[Budget]]</f>
        <v>-8.072575058587704E-2</v>
      </c>
      <c r="M2318" s="2">
        <f>tblSales[[#This Row],[Sales]]/tblSales[[#This Row],[Transactions]]</f>
        <v>378</v>
      </c>
    </row>
    <row r="2319" spans="1:13" x14ac:dyDescent="0.25">
      <c r="A2319" s="1">
        <v>46138</v>
      </c>
      <c r="B2319" t="s">
        <v>28</v>
      </c>
      <c r="C2319" t="s">
        <v>19</v>
      </c>
      <c r="D2319" t="str">
        <f>_xlfn.XLOOKUP(tblSales[[#This Row],[Store ID]],tblStores[Store ID],tblStores[Store Name])</f>
        <v>Bloemfontein</v>
      </c>
      <c r="E2319" t="str">
        <f>_xlfn.XLOOKUP(tblSales[[#This Row],[Store ID]],tblStores[Store ID],tblStores[Province])</f>
        <v>Free State</v>
      </c>
      <c r="F2319" t="str">
        <f>_xlfn.XLOOKUP(tblSales[[#This Row],[Store ID]],tblStores[Store ID],tblStores[Manager])</f>
        <v>Rachel Moore</v>
      </c>
      <c r="G2319" t="str">
        <f>_xlfn.XLOOKUP(tblSales[[#This Row],[Category ID]],tblCategories[Category ID],tblCategories[Category])</f>
        <v>Accessories</v>
      </c>
      <c r="H2319">
        <v>56550</v>
      </c>
      <c r="I2319">
        <v>58230</v>
      </c>
      <c r="J2319">
        <v>130</v>
      </c>
      <c r="K2319">
        <f>tblSales[[#This Row],[Sales]]-tblSales[[#This Row],[Budget]]</f>
        <v>-1680</v>
      </c>
      <c r="L2319" s="3">
        <f>(tblSales[[#This Row],[Sales]]-tblSales[[#This Row],[Budget]])/tblSales[[#This Row],[Budget]]</f>
        <v>-2.8851107676455434E-2</v>
      </c>
      <c r="M2319" s="2">
        <f>tblSales[[#This Row],[Sales]]/tblSales[[#This Row],[Transactions]]</f>
        <v>435</v>
      </c>
    </row>
    <row r="2320" spans="1:13" x14ac:dyDescent="0.25">
      <c r="A2320" s="1">
        <v>46138</v>
      </c>
      <c r="B2320" t="s">
        <v>29</v>
      </c>
      <c r="C2320" t="s">
        <v>9</v>
      </c>
      <c r="D2320" t="str">
        <f>_xlfn.XLOOKUP(tblSales[[#This Row],[Store ID]],tblStores[Store ID],tblStores[Store Name])</f>
        <v>Polokwane</v>
      </c>
      <c r="E2320" t="str">
        <f>_xlfn.XLOOKUP(tblSales[[#This Row],[Store ID]],tblStores[Store ID],tblStores[Province])</f>
        <v>Limpopo</v>
      </c>
      <c r="F2320" t="str">
        <f>_xlfn.XLOOKUP(tblSales[[#This Row],[Store ID]],tblStores[Store ID],tblStores[Manager])</f>
        <v>Kevin Harris</v>
      </c>
      <c r="G2320" t="str">
        <f>_xlfn.XLOOKUP(tblSales[[#This Row],[Category ID]],tblCategories[Category ID],tblCategories[Category])</f>
        <v>Ladieswear</v>
      </c>
      <c r="H2320">
        <v>43407</v>
      </c>
      <c r="I2320">
        <v>44768</v>
      </c>
      <c r="J2320">
        <v>117</v>
      </c>
      <c r="K2320">
        <f>tblSales[[#This Row],[Sales]]-tblSales[[#This Row],[Budget]]</f>
        <v>-1361</v>
      </c>
      <c r="L2320" s="3">
        <f>(tblSales[[#This Row],[Sales]]-tblSales[[#This Row],[Budget]])/tblSales[[#This Row],[Budget]]</f>
        <v>-3.0401179413867049E-2</v>
      </c>
      <c r="M2320" s="2">
        <f>tblSales[[#This Row],[Sales]]/tblSales[[#This Row],[Transactions]]</f>
        <v>371</v>
      </c>
    </row>
    <row r="2321" spans="1:13" x14ac:dyDescent="0.25">
      <c r="A2321" s="1">
        <v>46138</v>
      </c>
      <c r="B2321" t="s">
        <v>30</v>
      </c>
      <c r="C2321" t="s">
        <v>11</v>
      </c>
      <c r="D2321" t="str">
        <f>_xlfn.XLOOKUP(tblSales[[#This Row],[Store ID]],tblStores[Store ID],tblStores[Store Name])</f>
        <v>Nelspruit</v>
      </c>
      <c r="E2321" t="str">
        <f>_xlfn.XLOOKUP(tblSales[[#This Row],[Store ID]],tblStores[Store ID],tblStores[Province])</f>
        <v>Mpumalanga</v>
      </c>
      <c r="F2321" t="str">
        <f>_xlfn.XLOOKUP(tblSales[[#This Row],[Store ID]],tblStores[Store ID],tblStores[Manager])</f>
        <v>Olivia Turner</v>
      </c>
      <c r="G2321" t="str">
        <f>_xlfn.XLOOKUP(tblSales[[#This Row],[Category ID]],tblCategories[Category ID],tblCategories[Category])</f>
        <v>Footwear</v>
      </c>
      <c r="H2321">
        <v>94394</v>
      </c>
      <c r="I2321">
        <v>96134</v>
      </c>
      <c r="J2321">
        <v>218</v>
      </c>
      <c r="K2321">
        <f>tblSales[[#This Row],[Sales]]-tblSales[[#This Row],[Budget]]</f>
        <v>-1740</v>
      </c>
      <c r="L2321" s="3">
        <f>(tblSales[[#This Row],[Sales]]-tblSales[[#This Row],[Budget]])/tblSales[[#This Row],[Budget]]</f>
        <v>-1.8099735785466121E-2</v>
      </c>
      <c r="M2321" s="2">
        <f>tblSales[[#This Row],[Sales]]/tblSales[[#This Row],[Transactions]]</f>
        <v>433</v>
      </c>
    </row>
    <row r="2322" spans="1:13" x14ac:dyDescent="0.25">
      <c r="A2322" s="1">
        <v>46139</v>
      </c>
      <c r="B2322" t="s">
        <v>6</v>
      </c>
      <c r="C2322" t="s">
        <v>19</v>
      </c>
      <c r="D2322" t="str">
        <f>_xlfn.XLOOKUP(tblSales[[#This Row],[Store ID]],tblStores[Store ID],tblStores[Store Name])</f>
        <v>Durban CBD</v>
      </c>
      <c r="E2322" t="str">
        <f>_xlfn.XLOOKUP(tblSales[[#This Row],[Store ID]],tblStores[Store ID],tblStores[Province])</f>
        <v>KZN</v>
      </c>
      <c r="F2322" t="str">
        <f>_xlfn.XLOOKUP(tblSales[[#This Row],[Store ID]],tblStores[Store ID],tblStores[Manager])</f>
        <v>Sarah Adams</v>
      </c>
      <c r="G2322" t="str">
        <f>_xlfn.XLOOKUP(tblSales[[#This Row],[Category ID]],tblCategories[Category ID],tblCategories[Category])</f>
        <v>Accessories</v>
      </c>
      <c r="H2322">
        <v>69322</v>
      </c>
      <c r="I2322">
        <v>78354</v>
      </c>
      <c r="J2322">
        <v>137</v>
      </c>
      <c r="K2322">
        <f>tblSales[[#This Row],[Sales]]-tblSales[[#This Row],[Budget]]</f>
        <v>-9032</v>
      </c>
      <c r="L2322" s="3">
        <f>(tblSales[[#This Row],[Sales]]-tblSales[[#This Row],[Budget]])/tblSales[[#This Row],[Budget]]</f>
        <v>-0.11527171554738749</v>
      </c>
      <c r="M2322" s="2">
        <f>tblSales[[#This Row],[Sales]]/tblSales[[#This Row],[Transactions]]</f>
        <v>506</v>
      </c>
    </row>
    <row r="2323" spans="1:13" x14ac:dyDescent="0.25">
      <c r="A2323" s="1">
        <v>46139</v>
      </c>
      <c r="B2323" t="s">
        <v>8</v>
      </c>
      <c r="C2323" t="s">
        <v>19</v>
      </c>
      <c r="D2323" t="str">
        <f>_xlfn.XLOOKUP(tblSales[[#This Row],[Store ID]],tblStores[Store ID],tblStores[Store Name])</f>
        <v>Gateway</v>
      </c>
      <c r="E2323" t="str">
        <f>_xlfn.XLOOKUP(tblSales[[#This Row],[Store ID]],tblStores[Store ID],tblStores[Province])</f>
        <v>KZN</v>
      </c>
      <c r="F2323" t="str">
        <f>_xlfn.XLOOKUP(tblSales[[#This Row],[Store ID]],tblStores[Store ID],tblStores[Manager])</f>
        <v>Michael Jones</v>
      </c>
      <c r="G2323" t="str">
        <f>_xlfn.XLOOKUP(tblSales[[#This Row],[Category ID]],tblCategories[Category ID],tblCategories[Category])</f>
        <v>Accessories</v>
      </c>
      <c r="H2323">
        <v>39798</v>
      </c>
      <c r="I2323">
        <v>37879</v>
      </c>
      <c r="J2323">
        <v>201</v>
      </c>
      <c r="K2323">
        <f>tblSales[[#This Row],[Sales]]-tblSales[[#This Row],[Budget]]</f>
        <v>1919</v>
      </c>
      <c r="L2323" s="3">
        <f>(tblSales[[#This Row],[Sales]]-tblSales[[#This Row],[Budget]])/tblSales[[#This Row],[Budget]]</f>
        <v>5.066131629662874E-2</v>
      </c>
      <c r="M2323" s="2">
        <f>tblSales[[#This Row],[Sales]]/tblSales[[#This Row],[Transactions]]</f>
        <v>198</v>
      </c>
    </row>
    <row r="2324" spans="1:13" x14ac:dyDescent="0.25">
      <c r="A2324" s="1">
        <v>46139</v>
      </c>
      <c r="B2324" t="s">
        <v>10</v>
      </c>
      <c r="C2324" t="s">
        <v>9</v>
      </c>
      <c r="D2324" t="str">
        <f>_xlfn.XLOOKUP(tblSales[[#This Row],[Store ID]],tblStores[Store ID],tblStores[Store Name])</f>
        <v>Ballito</v>
      </c>
      <c r="E2324" t="str">
        <f>_xlfn.XLOOKUP(tblSales[[#This Row],[Store ID]],tblStores[Store ID],tblStores[Province])</f>
        <v>KZN</v>
      </c>
      <c r="F2324" t="str">
        <f>_xlfn.XLOOKUP(tblSales[[#This Row],[Store ID]],tblStores[Store ID],tblStores[Manager])</f>
        <v>Linda Smith</v>
      </c>
      <c r="G2324" t="str">
        <f>_xlfn.XLOOKUP(tblSales[[#This Row],[Category ID]],tblCategories[Category ID],tblCategories[Category])</f>
        <v>Ladieswear</v>
      </c>
      <c r="H2324">
        <v>45000</v>
      </c>
      <c r="I2324">
        <v>44953</v>
      </c>
      <c r="J2324">
        <v>150</v>
      </c>
      <c r="K2324">
        <f>tblSales[[#This Row],[Sales]]-tblSales[[#This Row],[Budget]]</f>
        <v>47</v>
      </c>
      <c r="L2324" s="3">
        <f>(tblSales[[#This Row],[Sales]]-tblSales[[#This Row],[Budget]])/tblSales[[#This Row],[Budget]]</f>
        <v>1.045536449180255E-3</v>
      </c>
      <c r="M2324" s="2">
        <f>tblSales[[#This Row],[Sales]]/tblSales[[#This Row],[Transactions]]</f>
        <v>300</v>
      </c>
    </row>
    <row r="2325" spans="1:13" x14ac:dyDescent="0.25">
      <c r="A2325" s="1">
        <v>46139</v>
      </c>
      <c r="B2325" t="s">
        <v>12</v>
      </c>
      <c r="C2325" t="s">
        <v>22</v>
      </c>
      <c r="D2325" t="str">
        <f>_xlfn.XLOOKUP(tblSales[[#This Row],[Store ID]],tblStores[Store ID],tblStores[Store Name])</f>
        <v>Pietermaritzburg</v>
      </c>
      <c r="E2325" t="str">
        <f>_xlfn.XLOOKUP(tblSales[[#This Row],[Store ID]],tblStores[Store ID],tblStores[Province])</f>
        <v>KZN</v>
      </c>
      <c r="F2325" t="str">
        <f>_xlfn.XLOOKUP(tblSales[[#This Row],[Store ID]],tblStores[Store ID],tblStores[Manager])</f>
        <v>Peter Brown</v>
      </c>
      <c r="G2325" t="str">
        <f>_xlfn.XLOOKUP(tblSales[[#This Row],[Category ID]],tblCategories[Category ID],tblCategories[Category])</f>
        <v>Kids</v>
      </c>
      <c r="H2325">
        <v>53339</v>
      </c>
      <c r="I2325">
        <v>55624</v>
      </c>
      <c r="J2325">
        <v>143</v>
      </c>
      <c r="K2325">
        <f>tblSales[[#This Row],[Sales]]-tblSales[[#This Row],[Budget]]</f>
        <v>-2285</v>
      </c>
      <c r="L2325" s="3">
        <f>(tblSales[[#This Row],[Sales]]-tblSales[[#This Row],[Budget]])/tblSales[[#This Row],[Budget]]</f>
        <v>-4.1079390191284336E-2</v>
      </c>
      <c r="M2325" s="2">
        <f>tblSales[[#This Row],[Sales]]/tblSales[[#This Row],[Transactions]]</f>
        <v>373</v>
      </c>
    </row>
    <row r="2326" spans="1:13" x14ac:dyDescent="0.25">
      <c r="A2326" s="1">
        <v>46139</v>
      </c>
      <c r="B2326" t="s">
        <v>13</v>
      </c>
      <c r="C2326" t="s">
        <v>22</v>
      </c>
      <c r="D2326" t="str">
        <f>_xlfn.XLOOKUP(tblSales[[#This Row],[Store ID]],tblStores[Store ID],tblStores[Store Name])</f>
        <v>Richards Bay</v>
      </c>
      <c r="E2326" t="str">
        <f>_xlfn.XLOOKUP(tblSales[[#This Row],[Store ID]],tblStores[Store ID],tblStores[Province])</f>
        <v>KZN</v>
      </c>
      <c r="F2326" t="str">
        <f>_xlfn.XLOOKUP(tblSales[[#This Row],[Store ID]],tblStores[Store ID],tblStores[Manager])</f>
        <v>David Green</v>
      </c>
      <c r="G2326" t="str">
        <f>_xlfn.XLOOKUP(tblSales[[#This Row],[Category ID]],tblCategories[Category ID],tblCategories[Category])</f>
        <v>Kids</v>
      </c>
      <c r="H2326">
        <v>46100</v>
      </c>
      <c r="I2326">
        <v>42466</v>
      </c>
      <c r="J2326">
        <v>100</v>
      </c>
      <c r="K2326">
        <f>tblSales[[#This Row],[Sales]]-tblSales[[#This Row],[Budget]]</f>
        <v>3634</v>
      </c>
      <c r="L2326" s="3">
        <f>(tblSales[[#This Row],[Sales]]-tblSales[[#This Row],[Budget]])/tblSales[[#This Row],[Budget]]</f>
        <v>8.5574341826402292E-2</v>
      </c>
      <c r="M2326" s="2">
        <f>tblSales[[#This Row],[Sales]]/tblSales[[#This Row],[Transactions]]</f>
        <v>461</v>
      </c>
    </row>
    <row r="2327" spans="1:13" x14ac:dyDescent="0.25">
      <c r="A2327" s="1">
        <v>46139</v>
      </c>
      <c r="B2327" t="s">
        <v>14</v>
      </c>
      <c r="C2327" t="s">
        <v>7</v>
      </c>
      <c r="D2327" t="str">
        <f>_xlfn.XLOOKUP(tblSales[[#This Row],[Store ID]],tblStores[Store ID],tblStores[Store Name])</f>
        <v>Sandton</v>
      </c>
      <c r="E2327" t="str">
        <f>_xlfn.XLOOKUP(tblSales[[#This Row],[Store ID]],tblStores[Store ID],tblStores[Province])</f>
        <v>Gauteng</v>
      </c>
      <c r="F2327" t="str">
        <f>_xlfn.XLOOKUP(tblSales[[#This Row],[Store ID]],tblStores[Store ID],tblStores[Manager])</f>
        <v>Karen White</v>
      </c>
      <c r="G2327" t="str">
        <f>_xlfn.XLOOKUP(tblSales[[#This Row],[Category ID]],tblCategories[Category ID],tblCategories[Category])</f>
        <v>Menswear</v>
      </c>
      <c r="H2327">
        <v>44770</v>
      </c>
      <c r="I2327">
        <v>46099</v>
      </c>
      <c r="J2327">
        <v>110</v>
      </c>
      <c r="K2327">
        <f>tblSales[[#This Row],[Sales]]-tblSales[[#This Row],[Budget]]</f>
        <v>-1329</v>
      </c>
      <c r="L2327" s="3">
        <f>(tblSales[[#This Row],[Sales]]-tblSales[[#This Row],[Budget]])/tblSales[[#This Row],[Budget]]</f>
        <v>-2.8829258769170699E-2</v>
      </c>
      <c r="M2327" s="2">
        <f>tblSales[[#This Row],[Sales]]/tblSales[[#This Row],[Transactions]]</f>
        <v>407</v>
      </c>
    </row>
    <row r="2328" spans="1:13" x14ac:dyDescent="0.25">
      <c r="A2328" s="1">
        <v>46139</v>
      </c>
      <c r="B2328" t="s">
        <v>15</v>
      </c>
      <c r="C2328" t="s">
        <v>9</v>
      </c>
      <c r="D2328" t="str">
        <f>_xlfn.XLOOKUP(tblSales[[#This Row],[Store ID]],tblStores[Store ID],tblStores[Store Name])</f>
        <v>Rosebank</v>
      </c>
      <c r="E2328" t="str">
        <f>_xlfn.XLOOKUP(tblSales[[#This Row],[Store ID]],tblStores[Store ID],tblStores[Province])</f>
        <v>Gauteng</v>
      </c>
      <c r="F2328" t="str">
        <f>_xlfn.XLOOKUP(tblSales[[#This Row],[Store ID]],tblStores[Store ID],tblStores[Manager])</f>
        <v>James Taylor</v>
      </c>
      <c r="G2328" t="str">
        <f>_xlfn.XLOOKUP(tblSales[[#This Row],[Category ID]],tblCategories[Category ID],tblCategories[Category])</f>
        <v>Ladieswear</v>
      </c>
      <c r="H2328">
        <v>36984</v>
      </c>
      <c r="I2328">
        <v>37587</v>
      </c>
      <c r="J2328">
        <v>184</v>
      </c>
      <c r="K2328">
        <f>tblSales[[#This Row],[Sales]]-tblSales[[#This Row],[Budget]]</f>
        <v>-603</v>
      </c>
      <c r="L2328" s="3">
        <f>(tblSales[[#This Row],[Sales]]-tblSales[[#This Row],[Budget]])/tblSales[[#This Row],[Budget]]</f>
        <v>-1.6042780748663103E-2</v>
      </c>
      <c r="M2328" s="2">
        <f>tblSales[[#This Row],[Sales]]/tblSales[[#This Row],[Transactions]]</f>
        <v>201</v>
      </c>
    </row>
    <row r="2329" spans="1:13" x14ac:dyDescent="0.25">
      <c r="A2329" s="1">
        <v>46139</v>
      </c>
      <c r="B2329" t="s">
        <v>16</v>
      </c>
      <c r="C2329" t="s">
        <v>19</v>
      </c>
      <c r="D2329" t="str">
        <f>_xlfn.XLOOKUP(tblSales[[#This Row],[Store ID]],tblStores[Store ID],tblStores[Store Name])</f>
        <v>Pretoria</v>
      </c>
      <c r="E2329" t="str">
        <f>_xlfn.XLOOKUP(tblSales[[#This Row],[Store ID]],tblStores[Store ID],tblStores[Province])</f>
        <v>Gauteng</v>
      </c>
      <c r="F2329" t="str">
        <f>_xlfn.XLOOKUP(tblSales[[#This Row],[Store ID]],tblStores[Store ID],tblStores[Manager])</f>
        <v>Susan Clark</v>
      </c>
      <c r="G2329" t="str">
        <f>_xlfn.XLOOKUP(tblSales[[#This Row],[Category ID]],tblCategories[Category ID],tblCategories[Category])</f>
        <v>Accessories</v>
      </c>
      <c r="H2329">
        <v>48158</v>
      </c>
      <c r="I2329">
        <v>48773</v>
      </c>
      <c r="J2329">
        <v>121</v>
      </c>
      <c r="K2329">
        <f>tblSales[[#This Row],[Sales]]-tblSales[[#This Row],[Budget]]</f>
        <v>-615</v>
      </c>
      <c r="L2329" s="3">
        <f>(tblSales[[#This Row],[Sales]]-tblSales[[#This Row],[Budget]])/tblSales[[#This Row],[Budget]]</f>
        <v>-1.2609435548356673E-2</v>
      </c>
      <c r="M2329" s="2">
        <f>tblSales[[#This Row],[Sales]]/tblSales[[#This Row],[Transactions]]</f>
        <v>398</v>
      </c>
    </row>
    <row r="2330" spans="1:13" x14ac:dyDescent="0.25">
      <c r="A2330" s="1">
        <v>46139</v>
      </c>
      <c r="B2330" t="s">
        <v>17</v>
      </c>
      <c r="C2330" t="s">
        <v>11</v>
      </c>
      <c r="D2330" t="str">
        <f>_xlfn.XLOOKUP(tblSales[[#This Row],[Store ID]],tblStores[Store ID],tblStores[Store Name])</f>
        <v>Centurion</v>
      </c>
      <c r="E2330" t="str">
        <f>_xlfn.XLOOKUP(tblSales[[#This Row],[Store ID]],tblStores[Store ID],tblStores[Province])</f>
        <v>Gauteng</v>
      </c>
      <c r="F2330" t="str">
        <f>_xlfn.XLOOKUP(tblSales[[#This Row],[Store ID]],tblStores[Store ID],tblStores[Manager])</f>
        <v>Mark Wilson</v>
      </c>
      <c r="G2330" t="str">
        <f>_xlfn.XLOOKUP(tblSales[[#This Row],[Category ID]],tblCategories[Category ID],tblCategories[Category])</f>
        <v>Footwear</v>
      </c>
      <c r="H2330">
        <v>51152</v>
      </c>
      <c r="I2330">
        <v>56324</v>
      </c>
      <c r="J2330">
        <v>139</v>
      </c>
      <c r="K2330">
        <f>tblSales[[#This Row],[Sales]]-tblSales[[#This Row],[Budget]]</f>
        <v>-5172</v>
      </c>
      <c r="L2330" s="3">
        <f>(tblSales[[#This Row],[Sales]]-tblSales[[#This Row],[Budget]])/tblSales[[#This Row],[Budget]]</f>
        <v>-9.1825864640295435E-2</v>
      </c>
      <c r="M2330" s="2">
        <f>tblSales[[#This Row],[Sales]]/tblSales[[#This Row],[Transactions]]</f>
        <v>368</v>
      </c>
    </row>
    <row r="2331" spans="1:13" x14ac:dyDescent="0.25">
      <c r="A2331" s="1">
        <v>46139</v>
      </c>
      <c r="B2331" t="s">
        <v>18</v>
      </c>
      <c r="C2331" t="s">
        <v>22</v>
      </c>
      <c r="D2331" t="str">
        <f>_xlfn.XLOOKUP(tblSales[[#This Row],[Store ID]],tblStores[Store ID],tblStores[Store Name])</f>
        <v>East Rand</v>
      </c>
      <c r="E2331" t="str">
        <f>_xlfn.XLOOKUP(tblSales[[#This Row],[Store ID]],tblStores[Store ID],tblStores[Province])</f>
        <v>Gauteng</v>
      </c>
      <c r="F2331" t="str">
        <f>_xlfn.XLOOKUP(tblSales[[#This Row],[Store ID]],tblStores[Store ID],tblStores[Manager])</f>
        <v>Lisa Young</v>
      </c>
      <c r="G2331" t="str">
        <f>_xlfn.XLOOKUP(tblSales[[#This Row],[Category ID]],tblCategories[Category ID],tblCategories[Category])</f>
        <v>Kids</v>
      </c>
      <c r="H2331">
        <v>39000</v>
      </c>
      <c r="I2331">
        <v>35341</v>
      </c>
      <c r="J2331">
        <v>104</v>
      </c>
      <c r="K2331">
        <f>tblSales[[#This Row],[Sales]]-tblSales[[#This Row],[Budget]]</f>
        <v>3659</v>
      </c>
      <c r="L2331" s="3">
        <f>(tblSales[[#This Row],[Sales]]-tblSales[[#This Row],[Budget]])/tblSales[[#This Row],[Budget]]</f>
        <v>0.10353413881893551</v>
      </c>
      <c r="M2331" s="2">
        <f>tblSales[[#This Row],[Sales]]/tblSales[[#This Row],[Transactions]]</f>
        <v>375</v>
      </c>
    </row>
    <row r="2332" spans="1:13" x14ac:dyDescent="0.25">
      <c r="A2332" s="1">
        <v>46139</v>
      </c>
      <c r="B2332" t="s">
        <v>20</v>
      </c>
      <c r="C2332" t="s">
        <v>11</v>
      </c>
      <c r="D2332" t="str">
        <f>_xlfn.XLOOKUP(tblSales[[#This Row],[Store ID]],tblStores[Store ID],tblStores[Store Name])</f>
        <v>Cape Town CBD</v>
      </c>
      <c r="E2332" t="str">
        <f>_xlfn.XLOOKUP(tblSales[[#This Row],[Store ID]],tblStores[Store ID],tblStores[Province])</f>
        <v>Western Cape</v>
      </c>
      <c r="F2332" t="str">
        <f>_xlfn.XLOOKUP(tblSales[[#This Row],[Store ID]],tblStores[Store ID],tblStores[Manager])</f>
        <v>Brian Hall</v>
      </c>
      <c r="G2332" t="str">
        <f>_xlfn.XLOOKUP(tblSales[[#This Row],[Category ID]],tblCategories[Category ID],tblCategories[Category])</f>
        <v>Footwear</v>
      </c>
      <c r="H2332">
        <v>29610</v>
      </c>
      <c r="I2332">
        <v>31426</v>
      </c>
      <c r="J2332">
        <v>94</v>
      </c>
      <c r="K2332">
        <f>tblSales[[#This Row],[Sales]]-tblSales[[#This Row],[Budget]]</f>
        <v>-1816</v>
      </c>
      <c r="L2332" s="3">
        <f>(tblSales[[#This Row],[Sales]]-tblSales[[#This Row],[Budget]])/tblSales[[#This Row],[Budget]]</f>
        <v>-5.7786546171959524E-2</v>
      </c>
      <c r="M2332" s="2">
        <f>tblSales[[#This Row],[Sales]]/tblSales[[#This Row],[Transactions]]</f>
        <v>315</v>
      </c>
    </row>
    <row r="2333" spans="1:13" x14ac:dyDescent="0.25">
      <c r="A2333" s="1">
        <v>46139</v>
      </c>
      <c r="B2333" t="s">
        <v>21</v>
      </c>
      <c r="C2333" t="s">
        <v>22</v>
      </c>
      <c r="D2333" t="str">
        <f>_xlfn.XLOOKUP(tblSales[[#This Row],[Store ID]],tblStores[Store ID],tblStores[Store Name])</f>
        <v>Canal Walk</v>
      </c>
      <c r="E2333" t="str">
        <f>_xlfn.XLOOKUP(tblSales[[#This Row],[Store ID]],tblStores[Store ID],tblStores[Province])</f>
        <v>Western Cape</v>
      </c>
      <c r="F2333" t="str">
        <f>_xlfn.XLOOKUP(tblSales[[#This Row],[Store ID]],tblStores[Store ID],tblStores[Manager])</f>
        <v>Megan Scott</v>
      </c>
      <c r="G2333" t="str">
        <f>_xlfn.XLOOKUP(tblSales[[#This Row],[Category ID]],tblCategories[Category ID],tblCategories[Category])</f>
        <v>Kids</v>
      </c>
      <c r="H2333">
        <v>18480</v>
      </c>
      <c r="I2333">
        <v>20524</v>
      </c>
      <c r="J2333">
        <v>56</v>
      </c>
      <c r="K2333">
        <f>tblSales[[#This Row],[Sales]]-tblSales[[#This Row],[Budget]]</f>
        <v>-2044</v>
      </c>
      <c r="L2333" s="3">
        <f>(tblSales[[#This Row],[Sales]]-tblSales[[#This Row],[Budget]])/tblSales[[#This Row],[Budget]]</f>
        <v>-9.9590723055934513E-2</v>
      </c>
      <c r="M2333" s="2">
        <f>tblSales[[#This Row],[Sales]]/tblSales[[#This Row],[Transactions]]</f>
        <v>330</v>
      </c>
    </row>
    <row r="2334" spans="1:13" x14ac:dyDescent="0.25">
      <c r="A2334" s="1">
        <v>46139</v>
      </c>
      <c r="B2334" t="s">
        <v>23</v>
      </c>
      <c r="C2334" t="s">
        <v>19</v>
      </c>
      <c r="D2334" t="str">
        <f>_xlfn.XLOOKUP(tblSales[[#This Row],[Store ID]],tblStores[Store ID],tblStores[Store Name])</f>
        <v>Stellenbosch</v>
      </c>
      <c r="E2334" t="str">
        <f>_xlfn.XLOOKUP(tblSales[[#This Row],[Store ID]],tblStores[Store ID],tblStores[Province])</f>
        <v>Western Cape</v>
      </c>
      <c r="F2334" t="str">
        <f>_xlfn.XLOOKUP(tblSales[[#This Row],[Store ID]],tblStores[Store ID],tblStores[Manager])</f>
        <v>Jason King</v>
      </c>
      <c r="G2334" t="str">
        <f>_xlfn.XLOOKUP(tblSales[[#This Row],[Category ID]],tblCategories[Category ID],tblCategories[Category])</f>
        <v>Accessories</v>
      </c>
      <c r="H2334">
        <v>88566</v>
      </c>
      <c r="I2334">
        <v>81439</v>
      </c>
      <c r="J2334">
        <v>174</v>
      </c>
      <c r="K2334">
        <f>tblSales[[#This Row],[Sales]]-tblSales[[#This Row],[Budget]]</f>
        <v>7127</v>
      </c>
      <c r="L2334" s="3">
        <f>(tblSales[[#This Row],[Sales]]-tblSales[[#This Row],[Budget]])/tblSales[[#This Row],[Budget]]</f>
        <v>8.7513353552966022E-2</v>
      </c>
      <c r="M2334" s="2">
        <f>tblSales[[#This Row],[Sales]]/tblSales[[#This Row],[Transactions]]</f>
        <v>509</v>
      </c>
    </row>
    <row r="2335" spans="1:13" x14ac:dyDescent="0.25">
      <c r="A2335" s="1">
        <v>46139</v>
      </c>
      <c r="B2335" t="s">
        <v>24</v>
      </c>
      <c r="C2335" t="s">
        <v>22</v>
      </c>
      <c r="D2335" t="str">
        <f>_xlfn.XLOOKUP(tblSales[[#This Row],[Store ID]],tblStores[Store ID],tblStores[Store Name])</f>
        <v>George</v>
      </c>
      <c r="E2335" t="str">
        <f>_xlfn.XLOOKUP(tblSales[[#This Row],[Store ID]],tblStores[Store ID],tblStores[Province])</f>
        <v>Western Cape</v>
      </c>
      <c r="F2335" t="str">
        <f>_xlfn.XLOOKUP(tblSales[[#This Row],[Store ID]],tblStores[Store ID],tblStores[Manager])</f>
        <v>Chloe Hill</v>
      </c>
      <c r="G2335" t="str">
        <f>_xlfn.XLOOKUP(tblSales[[#This Row],[Category ID]],tblCategories[Category ID],tblCategories[Category])</f>
        <v>Kids</v>
      </c>
      <c r="H2335">
        <v>21390</v>
      </c>
      <c r="I2335">
        <v>19885</v>
      </c>
      <c r="J2335">
        <v>93</v>
      </c>
      <c r="K2335">
        <f>tblSales[[#This Row],[Sales]]-tblSales[[#This Row],[Budget]]</f>
        <v>1505</v>
      </c>
      <c r="L2335" s="3">
        <f>(tblSales[[#This Row],[Sales]]-tblSales[[#This Row],[Budget]])/tblSales[[#This Row],[Budget]]</f>
        <v>7.5685189841589132E-2</v>
      </c>
      <c r="M2335" s="2">
        <f>tblSales[[#This Row],[Sales]]/tblSales[[#This Row],[Transactions]]</f>
        <v>230</v>
      </c>
    </row>
    <row r="2336" spans="1:13" x14ac:dyDescent="0.25">
      <c r="A2336" s="1">
        <v>46139</v>
      </c>
      <c r="B2336" t="s">
        <v>25</v>
      </c>
      <c r="C2336" t="s">
        <v>22</v>
      </c>
      <c r="D2336" t="str">
        <f>_xlfn.XLOOKUP(tblSales[[#This Row],[Store ID]],tblStores[Store ID],tblStores[Store Name])</f>
        <v>Paarl</v>
      </c>
      <c r="E2336" t="str">
        <f>_xlfn.XLOOKUP(tblSales[[#This Row],[Store ID]],tblStores[Store ID],tblStores[Province])</f>
        <v>Western Cape</v>
      </c>
      <c r="F2336" t="str">
        <f>_xlfn.XLOOKUP(tblSales[[#This Row],[Store ID]],tblStores[Store ID],tblStores[Manager])</f>
        <v>Andrew Lee</v>
      </c>
      <c r="G2336" t="str">
        <f>_xlfn.XLOOKUP(tblSales[[#This Row],[Category ID]],tblCategories[Category ID],tblCategories[Category])</f>
        <v>Kids</v>
      </c>
      <c r="H2336">
        <v>20196</v>
      </c>
      <c r="I2336">
        <v>19187</v>
      </c>
      <c r="J2336">
        <v>44</v>
      </c>
      <c r="K2336">
        <f>tblSales[[#This Row],[Sales]]-tblSales[[#This Row],[Budget]]</f>
        <v>1009</v>
      </c>
      <c r="L2336" s="3">
        <f>(tblSales[[#This Row],[Sales]]-tblSales[[#This Row],[Budget]])/tblSales[[#This Row],[Budget]]</f>
        <v>5.2587689581487462E-2</v>
      </c>
      <c r="M2336" s="2">
        <f>tblSales[[#This Row],[Sales]]/tblSales[[#This Row],[Transactions]]</f>
        <v>459</v>
      </c>
    </row>
    <row r="2337" spans="1:13" x14ac:dyDescent="0.25">
      <c r="A2337" s="1">
        <v>46139</v>
      </c>
      <c r="B2337" t="s">
        <v>26</v>
      </c>
      <c r="C2337" t="s">
        <v>9</v>
      </c>
      <c r="D2337" t="str">
        <f>_xlfn.XLOOKUP(tblSales[[#This Row],[Store ID]],tblStores[Store ID],tblStores[Store Name])</f>
        <v>Gqeberha</v>
      </c>
      <c r="E2337" t="str">
        <f>_xlfn.XLOOKUP(tblSales[[#This Row],[Store ID]],tblStores[Store ID],tblStores[Province])</f>
        <v>Eastern Cape</v>
      </c>
      <c r="F2337" t="str">
        <f>_xlfn.XLOOKUP(tblSales[[#This Row],[Store ID]],tblStores[Store ID],tblStores[Manager])</f>
        <v>Emma Baker</v>
      </c>
      <c r="G2337" t="str">
        <f>_xlfn.XLOOKUP(tblSales[[#This Row],[Category ID]],tblCategories[Category ID],tblCategories[Category])</f>
        <v>Ladieswear</v>
      </c>
      <c r="H2337">
        <v>72036</v>
      </c>
      <c r="I2337">
        <v>69335</v>
      </c>
      <c r="J2337">
        <v>207</v>
      </c>
      <c r="K2337">
        <f>tblSales[[#This Row],[Sales]]-tblSales[[#This Row],[Budget]]</f>
        <v>2701</v>
      </c>
      <c r="L2337" s="3">
        <f>(tblSales[[#This Row],[Sales]]-tblSales[[#This Row],[Budget]])/tblSales[[#This Row],[Budget]]</f>
        <v>3.8955794331867022E-2</v>
      </c>
      <c r="M2337" s="2">
        <f>tblSales[[#This Row],[Sales]]/tblSales[[#This Row],[Transactions]]</f>
        <v>348</v>
      </c>
    </row>
    <row r="2338" spans="1:13" x14ac:dyDescent="0.25">
      <c r="A2338" s="1">
        <v>46139</v>
      </c>
      <c r="B2338" t="s">
        <v>27</v>
      </c>
      <c r="C2338" t="s">
        <v>22</v>
      </c>
      <c r="D2338" t="str">
        <f>_xlfn.XLOOKUP(tblSales[[#This Row],[Store ID]],tblStores[Store ID],tblStores[Store Name])</f>
        <v>East London</v>
      </c>
      <c r="E2338" t="str">
        <f>_xlfn.XLOOKUP(tblSales[[#This Row],[Store ID]],tblStores[Store ID],tblStores[Province])</f>
        <v>Eastern Cape</v>
      </c>
      <c r="F2338" t="str">
        <f>_xlfn.XLOOKUP(tblSales[[#This Row],[Store ID]],tblStores[Store ID],tblStores[Manager])</f>
        <v>Daniel Evans</v>
      </c>
      <c r="G2338" t="str">
        <f>_xlfn.XLOOKUP(tblSales[[#This Row],[Category ID]],tblCategories[Category ID],tblCategories[Category])</f>
        <v>Kids</v>
      </c>
      <c r="H2338">
        <v>40587</v>
      </c>
      <c r="I2338">
        <v>46654</v>
      </c>
      <c r="J2338">
        <v>83</v>
      </c>
      <c r="K2338">
        <f>tblSales[[#This Row],[Sales]]-tblSales[[#This Row],[Budget]]</f>
        <v>-6067</v>
      </c>
      <c r="L2338" s="3">
        <f>(tblSales[[#This Row],[Sales]]-tblSales[[#This Row],[Budget]])/tblSales[[#This Row],[Budget]]</f>
        <v>-0.13004244009088181</v>
      </c>
      <c r="M2338" s="2">
        <f>tblSales[[#This Row],[Sales]]/tblSales[[#This Row],[Transactions]]</f>
        <v>489</v>
      </c>
    </row>
    <row r="2339" spans="1:13" x14ac:dyDescent="0.25">
      <c r="A2339" s="1">
        <v>46139</v>
      </c>
      <c r="B2339" t="s">
        <v>28</v>
      </c>
      <c r="C2339" t="s">
        <v>19</v>
      </c>
      <c r="D2339" t="str">
        <f>_xlfn.XLOOKUP(tblSales[[#This Row],[Store ID]],tblStores[Store ID],tblStores[Store Name])</f>
        <v>Bloemfontein</v>
      </c>
      <c r="E2339" t="str">
        <f>_xlfn.XLOOKUP(tblSales[[#This Row],[Store ID]],tblStores[Store ID],tblStores[Province])</f>
        <v>Free State</v>
      </c>
      <c r="F2339" t="str">
        <f>_xlfn.XLOOKUP(tblSales[[#This Row],[Store ID]],tblStores[Store ID],tblStores[Manager])</f>
        <v>Rachel Moore</v>
      </c>
      <c r="G2339" t="str">
        <f>_xlfn.XLOOKUP(tblSales[[#This Row],[Category ID]],tblCategories[Category ID],tblCategories[Category])</f>
        <v>Accessories</v>
      </c>
      <c r="H2339">
        <v>18584</v>
      </c>
      <c r="I2339">
        <v>20303</v>
      </c>
      <c r="J2339">
        <v>101</v>
      </c>
      <c r="K2339">
        <f>tblSales[[#This Row],[Sales]]-tblSales[[#This Row],[Budget]]</f>
        <v>-1719</v>
      </c>
      <c r="L2339" s="3">
        <f>(tblSales[[#This Row],[Sales]]-tblSales[[#This Row],[Budget]])/tblSales[[#This Row],[Budget]]</f>
        <v>-8.4667290548194843E-2</v>
      </c>
      <c r="M2339" s="2">
        <f>tblSales[[#This Row],[Sales]]/tblSales[[#This Row],[Transactions]]</f>
        <v>184</v>
      </c>
    </row>
    <row r="2340" spans="1:13" x14ac:dyDescent="0.25">
      <c r="A2340" s="1">
        <v>46139</v>
      </c>
      <c r="B2340" t="s">
        <v>29</v>
      </c>
      <c r="C2340" t="s">
        <v>22</v>
      </c>
      <c r="D2340" t="str">
        <f>_xlfn.XLOOKUP(tblSales[[#This Row],[Store ID]],tblStores[Store ID],tblStores[Store Name])</f>
        <v>Polokwane</v>
      </c>
      <c r="E2340" t="str">
        <f>_xlfn.XLOOKUP(tblSales[[#This Row],[Store ID]],tblStores[Store ID],tblStores[Province])</f>
        <v>Limpopo</v>
      </c>
      <c r="F2340" t="str">
        <f>_xlfn.XLOOKUP(tblSales[[#This Row],[Store ID]],tblStores[Store ID],tblStores[Manager])</f>
        <v>Kevin Harris</v>
      </c>
      <c r="G2340" t="str">
        <f>_xlfn.XLOOKUP(tblSales[[#This Row],[Category ID]],tblCategories[Category ID],tblCategories[Category])</f>
        <v>Kids</v>
      </c>
      <c r="H2340">
        <v>47478</v>
      </c>
      <c r="I2340">
        <v>53956</v>
      </c>
      <c r="J2340">
        <v>123</v>
      </c>
      <c r="K2340">
        <f>tblSales[[#This Row],[Sales]]-tblSales[[#This Row],[Budget]]</f>
        <v>-6478</v>
      </c>
      <c r="L2340" s="3">
        <f>(tblSales[[#This Row],[Sales]]-tblSales[[#This Row],[Budget]])/tblSales[[#This Row],[Budget]]</f>
        <v>-0.12006079027355623</v>
      </c>
      <c r="M2340" s="2">
        <f>tblSales[[#This Row],[Sales]]/tblSales[[#This Row],[Transactions]]</f>
        <v>386</v>
      </c>
    </row>
    <row r="2341" spans="1:13" x14ac:dyDescent="0.25">
      <c r="A2341" s="1">
        <v>46139</v>
      </c>
      <c r="B2341" t="s">
        <v>30</v>
      </c>
      <c r="C2341" t="s">
        <v>19</v>
      </c>
      <c r="D2341" t="str">
        <f>_xlfn.XLOOKUP(tblSales[[#This Row],[Store ID]],tblStores[Store ID],tblStores[Store Name])</f>
        <v>Nelspruit</v>
      </c>
      <c r="E2341" t="str">
        <f>_xlfn.XLOOKUP(tblSales[[#This Row],[Store ID]],tblStores[Store ID],tblStores[Province])</f>
        <v>Mpumalanga</v>
      </c>
      <c r="F2341" t="str">
        <f>_xlfn.XLOOKUP(tblSales[[#This Row],[Store ID]],tblStores[Store ID],tblStores[Manager])</f>
        <v>Olivia Turner</v>
      </c>
      <c r="G2341" t="str">
        <f>_xlfn.XLOOKUP(tblSales[[#This Row],[Category ID]],tblCategories[Category ID],tblCategories[Category])</f>
        <v>Accessories</v>
      </c>
      <c r="H2341">
        <v>37572</v>
      </c>
      <c r="I2341">
        <v>38248</v>
      </c>
      <c r="J2341">
        <v>202</v>
      </c>
      <c r="K2341">
        <f>tblSales[[#This Row],[Sales]]-tblSales[[#This Row],[Budget]]</f>
        <v>-676</v>
      </c>
      <c r="L2341" s="3">
        <f>(tblSales[[#This Row],[Sales]]-tblSales[[#This Row],[Budget]])/tblSales[[#This Row],[Budget]]</f>
        <v>-1.7674126751725579E-2</v>
      </c>
      <c r="M2341" s="2">
        <f>tblSales[[#This Row],[Sales]]/tblSales[[#This Row],[Transactions]]</f>
        <v>186</v>
      </c>
    </row>
    <row r="2342" spans="1:13" x14ac:dyDescent="0.25">
      <c r="A2342" s="1">
        <v>46140</v>
      </c>
      <c r="B2342" t="s">
        <v>6</v>
      </c>
      <c r="C2342" t="s">
        <v>19</v>
      </c>
      <c r="D2342" t="str">
        <f>_xlfn.XLOOKUP(tblSales[[#This Row],[Store ID]],tblStores[Store ID],tblStores[Store Name])</f>
        <v>Durban CBD</v>
      </c>
      <c r="E2342" t="str">
        <f>_xlfn.XLOOKUP(tblSales[[#This Row],[Store ID]],tblStores[Store ID],tblStores[Province])</f>
        <v>KZN</v>
      </c>
      <c r="F2342" t="str">
        <f>_xlfn.XLOOKUP(tblSales[[#This Row],[Store ID]],tblStores[Store ID],tblStores[Manager])</f>
        <v>Sarah Adams</v>
      </c>
      <c r="G2342" t="str">
        <f>_xlfn.XLOOKUP(tblSales[[#This Row],[Category ID]],tblCategories[Category ID],tblCategories[Category])</f>
        <v>Accessories</v>
      </c>
      <c r="H2342">
        <v>27959</v>
      </c>
      <c r="I2342">
        <v>26753</v>
      </c>
      <c r="J2342">
        <v>73</v>
      </c>
      <c r="K2342">
        <f>tblSales[[#This Row],[Sales]]-tblSales[[#This Row],[Budget]]</f>
        <v>1206</v>
      </c>
      <c r="L2342" s="3">
        <f>(tblSales[[#This Row],[Sales]]-tblSales[[#This Row],[Budget]])/tblSales[[#This Row],[Budget]]</f>
        <v>4.5079056554405111E-2</v>
      </c>
      <c r="M2342" s="2">
        <f>tblSales[[#This Row],[Sales]]/tblSales[[#This Row],[Transactions]]</f>
        <v>383</v>
      </c>
    </row>
    <row r="2343" spans="1:13" x14ac:dyDescent="0.25">
      <c r="A2343" s="1">
        <v>46140</v>
      </c>
      <c r="B2343" t="s">
        <v>8</v>
      </c>
      <c r="C2343" t="s">
        <v>9</v>
      </c>
      <c r="D2343" t="str">
        <f>_xlfn.XLOOKUP(tblSales[[#This Row],[Store ID]],tblStores[Store ID],tblStores[Store Name])</f>
        <v>Gateway</v>
      </c>
      <c r="E2343" t="str">
        <f>_xlfn.XLOOKUP(tblSales[[#This Row],[Store ID]],tblStores[Store ID],tblStores[Province])</f>
        <v>KZN</v>
      </c>
      <c r="F2343" t="str">
        <f>_xlfn.XLOOKUP(tblSales[[#This Row],[Store ID]],tblStores[Store ID],tblStores[Manager])</f>
        <v>Michael Jones</v>
      </c>
      <c r="G2343" t="str">
        <f>_xlfn.XLOOKUP(tblSales[[#This Row],[Category ID]],tblCategories[Category ID],tblCategories[Category])</f>
        <v>Ladieswear</v>
      </c>
      <c r="H2343">
        <v>46644</v>
      </c>
      <c r="I2343">
        <v>47994</v>
      </c>
      <c r="J2343">
        <v>156</v>
      </c>
      <c r="K2343">
        <f>tblSales[[#This Row],[Sales]]-tblSales[[#This Row],[Budget]]</f>
        <v>-1350</v>
      </c>
      <c r="L2343" s="3">
        <f>(tblSales[[#This Row],[Sales]]-tblSales[[#This Row],[Budget]])/tblSales[[#This Row],[Budget]]</f>
        <v>-2.8128516064508065E-2</v>
      </c>
      <c r="M2343" s="2">
        <f>tblSales[[#This Row],[Sales]]/tblSales[[#This Row],[Transactions]]</f>
        <v>299</v>
      </c>
    </row>
    <row r="2344" spans="1:13" x14ac:dyDescent="0.25">
      <c r="A2344" s="1">
        <v>46140</v>
      </c>
      <c r="B2344" t="s">
        <v>10</v>
      </c>
      <c r="C2344" t="s">
        <v>19</v>
      </c>
      <c r="D2344" t="str">
        <f>_xlfn.XLOOKUP(tblSales[[#This Row],[Store ID]],tblStores[Store ID],tblStores[Store Name])</f>
        <v>Ballito</v>
      </c>
      <c r="E2344" t="str">
        <f>_xlfn.XLOOKUP(tblSales[[#This Row],[Store ID]],tblStores[Store ID],tblStores[Province])</f>
        <v>KZN</v>
      </c>
      <c r="F2344" t="str">
        <f>_xlfn.XLOOKUP(tblSales[[#This Row],[Store ID]],tblStores[Store ID],tblStores[Manager])</f>
        <v>Linda Smith</v>
      </c>
      <c r="G2344" t="str">
        <f>_xlfn.XLOOKUP(tblSales[[#This Row],[Category ID]],tblCategories[Category ID],tblCategories[Category])</f>
        <v>Accessories</v>
      </c>
      <c r="H2344">
        <v>64064</v>
      </c>
      <c r="I2344">
        <v>63113</v>
      </c>
      <c r="J2344">
        <v>154</v>
      </c>
      <c r="K2344">
        <f>tblSales[[#This Row],[Sales]]-tblSales[[#This Row],[Budget]]</f>
        <v>951</v>
      </c>
      <c r="L2344" s="3">
        <f>(tblSales[[#This Row],[Sales]]-tblSales[[#This Row],[Budget]])/tblSales[[#This Row],[Budget]]</f>
        <v>1.5068210986643005E-2</v>
      </c>
      <c r="M2344" s="2">
        <f>tblSales[[#This Row],[Sales]]/tblSales[[#This Row],[Transactions]]</f>
        <v>416</v>
      </c>
    </row>
    <row r="2345" spans="1:13" x14ac:dyDescent="0.25">
      <c r="A2345" s="1">
        <v>46140</v>
      </c>
      <c r="B2345" t="s">
        <v>12</v>
      </c>
      <c r="C2345" t="s">
        <v>7</v>
      </c>
      <c r="D2345" t="str">
        <f>_xlfn.XLOOKUP(tblSales[[#This Row],[Store ID]],tblStores[Store ID],tblStores[Store Name])</f>
        <v>Pietermaritzburg</v>
      </c>
      <c r="E2345" t="str">
        <f>_xlfn.XLOOKUP(tblSales[[#This Row],[Store ID]],tblStores[Store ID],tblStores[Province])</f>
        <v>KZN</v>
      </c>
      <c r="F2345" t="str">
        <f>_xlfn.XLOOKUP(tblSales[[#This Row],[Store ID]],tblStores[Store ID],tblStores[Manager])</f>
        <v>Peter Brown</v>
      </c>
      <c r="G2345" t="str">
        <f>_xlfn.XLOOKUP(tblSales[[#This Row],[Category ID]],tblCategories[Category ID],tblCategories[Category])</f>
        <v>Menswear</v>
      </c>
      <c r="H2345">
        <v>31740</v>
      </c>
      <c r="I2345">
        <v>31968</v>
      </c>
      <c r="J2345">
        <v>115</v>
      </c>
      <c r="K2345">
        <f>tblSales[[#This Row],[Sales]]-tblSales[[#This Row],[Budget]]</f>
        <v>-228</v>
      </c>
      <c r="L2345" s="3">
        <f>(tblSales[[#This Row],[Sales]]-tblSales[[#This Row],[Budget]])/tblSales[[#This Row],[Budget]]</f>
        <v>-7.1321321321321319E-3</v>
      </c>
      <c r="M2345" s="2">
        <f>tblSales[[#This Row],[Sales]]/tblSales[[#This Row],[Transactions]]</f>
        <v>276</v>
      </c>
    </row>
    <row r="2346" spans="1:13" x14ac:dyDescent="0.25">
      <c r="A2346" s="1">
        <v>46140</v>
      </c>
      <c r="B2346" t="s">
        <v>13</v>
      </c>
      <c r="C2346" t="s">
        <v>11</v>
      </c>
      <c r="D2346" t="str">
        <f>_xlfn.XLOOKUP(tblSales[[#This Row],[Store ID]],tblStores[Store ID],tblStores[Store Name])</f>
        <v>Richards Bay</v>
      </c>
      <c r="E2346" t="str">
        <f>_xlfn.XLOOKUP(tblSales[[#This Row],[Store ID]],tblStores[Store ID],tblStores[Province])</f>
        <v>KZN</v>
      </c>
      <c r="F2346" t="str">
        <f>_xlfn.XLOOKUP(tblSales[[#This Row],[Store ID]],tblStores[Store ID],tblStores[Manager])</f>
        <v>David Green</v>
      </c>
      <c r="G2346" t="str">
        <f>_xlfn.XLOOKUP(tblSales[[#This Row],[Category ID]],tblCategories[Category ID],tblCategories[Category])</f>
        <v>Footwear</v>
      </c>
      <c r="H2346">
        <v>35552</v>
      </c>
      <c r="I2346">
        <v>35996</v>
      </c>
      <c r="J2346">
        <v>88</v>
      </c>
      <c r="K2346">
        <f>tblSales[[#This Row],[Sales]]-tblSales[[#This Row],[Budget]]</f>
        <v>-444</v>
      </c>
      <c r="L2346" s="3">
        <f>(tblSales[[#This Row],[Sales]]-tblSales[[#This Row],[Budget]])/tblSales[[#This Row],[Budget]]</f>
        <v>-1.2334703855983998E-2</v>
      </c>
      <c r="M2346" s="2">
        <f>tblSales[[#This Row],[Sales]]/tblSales[[#This Row],[Transactions]]</f>
        <v>404</v>
      </c>
    </row>
    <row r="2347" spans="1:13" x14ac:dyDescent="0.25">
      <c r="A2347" s="1">
        <v>46140</v>
      </c>
      <c r="B2347" t="s">
        <v>14</v>
      </c>
      <c r="C2347" t="s">
        <v>19</v>
      </c>
      <c r="D2347" t="str">
        <f>_xlfn.XLOOKUP(tblSales[[#This Row],[Store ID]],tblStores[Store ID],tblStores[Store Name])</f>
        <v>Sandton</v>
      </c>
      <c r="E2347" t="str">
        <f>_xlfn.XLOOKUP(tblSales[[#This Row],[Store ID]],tblStores[Store ID],tblStores[Province])</f>
        <v>Gauteng</v>
      </c>
      <c r="F2347" t="str">
        <f>_xlfn.XLOOKUP(tblSales[[#This Row],[Store ID]],tblStores[Store ID],tblStores[Manager])</f>
        <v>Karen White</v>
      </c>
      <c r="G2347" t="str">
        <f>_xlfn.XLOOKUP(tblSales[[#This Row],[Category ID]],tblCategories[Category ID],tblCategories[Category])</f>
        <v>Accessories</v>
      </c>
      <c r="H2347">
        <v>15582</v>
      </c>
      <c r="I2347">
        <v>14565</v>
      </c>
      <c r="J2347">
        <v>42</v>
      </c>
      <c r="K2347">
        <f>tblSales[[#This Row],[Sales]]-tblSales[[#This Row],[Budget]]</f>
        <v>1017</v>
      </c>
      <c r="L2347" s="3">
        <f>(tblSales[[#This Row],[Sales]]-tblSales[[#This Row],[Budget]])/tblSales[[#This Row],[Budget]]</f>
        <v>6.9824922760041194E-2</v>
      </c>
      <c r="M2347" s="2">
        <f>tblSales[[#This Row],[Sales]]/tblSales[[#This Row],[Transactions]]</f>
        <v>371</v>
      </c>
    </row>
    <row r="2348" spans="1:13" x14ac:dyDescent="0.25">
      <c r="A2348" s="1">
        <v>46140</v>
      </c>
      <c r="B2348" t="s">
        <v>15</v>
      </c>
      <c r="C2348" t="s">
        <v>9</v>
      </c>
      <c r="D2348" t="str">
        <f>_xlfn.XLOOKUP(tblSales[[#This Row],[Store ID]],tblStores[Store ID],tblStores[Store Name])</f>
        <v>Rosebank</v>
      </c>
      <c r="E2348" t="str">
        <f>_xlfn.XLOOKUP(tblSales[[#This Row],[Store ID]],tblStores[Store ID],tblStores[Province])</f>
        <v>Gauteng</v>
      </c>
      <c r="F2348" t="str">
        <f>_xlfn.XLOOKUP(tblSales[[#This Row],[Store ID]],tblStores[Store ID],tblStores[Manager])</f>
        <v>James Taylor</v>
      </c>
      <c r="G2348" t="str">
        <f>_xlfn.XLOOKUP(tblSales[[#This Row],[Category ID]],tblCategories[Category ID],tblCategories[Category])</f>
        <v>Ladieswear</v>
      </c>
      <c r="H2348">
        <v>20792</v>
      </c>
      <c r="I2348">
        <v>21310</v>
      </c>
      <c r="J2348">
        <v>113</v>
      </c>
      <c r="K2348">
        <f>tblSales[[#This Row],[Sales]]-tblSales[[#This Row],[Budget]]</f>
        <v>-518</v>
      </c>
      <c r="L2348" s="3">
        <f>(tblSales[[#This Row],[Sales]]-tblSales[[#This Row],[Budget]])/tblSales[[#This Row],[Budget]]</f>
        <v>-2.4307836696386673E-2</v>
      </c>
      <c r="M2348" s="2">
        <f>tblSales[[#This Row],[Sales]]/tblSales[[#This Row],[Transactions]]</f>
        <v>184</v>
      </c>
    </row>
    <row r="2349" spans="1:13" x14ac:dyDescent="0.25">
      <c r="A2349" s="1">
        <v>46140</v>
      </c>
      <c r="B2349" t="s">
        <v>16</v>
      </c>
      <c r="C2349" t="s">
        <v>22</v>
      </c>
      <c r="D2349" t="str">
        <f>_xlfn.XLOOKUP(tblSales[[#This Row],[Store ID]],tblStores[Store ID],tblStores[Store Name])</f>
        <v>Pretoria</v>
      </c>
      <c r="E2349" t="str">
        <f>_xlfn.XLOOKUP(tblSales[[#This Row],[Store ID]],tblStores[Store ID],tblStores[Province])</f>
        <v>Gauteng</v>
      </c>
      <c r="F2349" t="str">
        <f>_xlfn.XLOOKUP(tblSales[[#This Row],[Store ID]],tblStores[Store ID],tblStores[Manager])</f>
        <v>Susan Clark</v>
      </c>
      <c r="G2349" t="str">
        <f>_xlfn.XLOOKUP(tblSales[[#This Row],[Category ID]],tblCategories[Category ID],tblCategories[Category])</f>
        <v>Kids</v>
      </c>
      <c r="H2349">
        <v>35695</v>
      </c>
      <c r="I2349">
        <v>35865</v>
      </c>
      <c r="J2349">
        <v>121</v>
      </c>
      <c r="K2349">
        <f>tblSales[[#This Row],[Sales]]-tblSales[[#This Row],[Budget]]</f>
        <v>-170</v>
      </c>
      <c r="L2349" s="3">
        <f>(tblSales[[#This Row],[Sales]]-tblSales[[#This Row],[Budget]])/tblSales[[#This Row],[Budget]]</f>
        <v>-4.7399972117663459E-3</v>
      </c>
      <c r="M2349" s="2">
        <f>tblSales[[#This Row],[Sales]]/tblSales[[#This Row],[Transactions]]</f>
        <v>295</v>
      </c>
    </row>
    <row r="2350" spans="1:13" x14ac:dyDescent="0.25">
      <c r="A2350" s="1">
        <v>46140</v>
      </c>
      <c r="B2350" t="s">
        <v>17</v>
      </c>
      <c r="C2350" t="s">
        <v>11</v>
      </c>
      <c r="D2350" t="str">
        <f>_xlfn.XLOOKUP(tblSales[[#This Row],[Store ID]],tblStores[Store ID],tblStores[Store Name])</f>
        <v>Centurion</v>
      </c>
      <c r="E2350" t="str">
        <f>_xlfn.XLOOKUP(tblSales[[#This Row],[Store ID]],tblStores[Store ID],tblStores[Province])</f>
        <v>Gauteng</v>
      </c>
      <c r="F2350" t="str">
        <f>_xlfn.XLOOKUP(tblSales[[#This Row],[Store ID]],tblStores[Store ID],tblStores[Manager])</f>
        <v>Mark Wilson</v>
      </c>
      <c r="G2350" t="str">
        <f>_xlfn.XLOOKUP(tblSales[[#This Row],[Category ID]],tblCategories[Category ID],tblCategories[Category])</f>
        <v>Footwear</v>
      </c>
      <c r="H2350">
        <v>96005</v>
      </c>
      <c r="I2350">
        <v>93596</v>
      </c>
      <c r="J2350">
        <v>211</v>
      </c>
      <c r="K2350">
        <f>tblSales[[#This Row],[Sales]]-tblSales[[#This Row],[Budget]]</f>
        <v>2409</v>
      </c>
      <c r="L2350" s="3">
        <f>(tblSales[[#This Row],[Sales]]-tblSales[[#This Row],[Budget]])/tblSales[[#This Row],[Budget]]</f>
        <v>2.5738279413650155E-2</v>
      </c>
      <c r="M2350" s="2">
        <f>tblSales[[#This Row],[Sales]]/tblSales[[#This Row],[Transactions]]</f>
        <v>455</v>
      </c>
    </row>
    <row r="2351" spans="1:13" x14ac:dyDescent="0.25">
      <c r="A2351" s="1">
        <v>46140</v>
      </c>
      <c r="B2351" t="s">
        <v>18</v>
      </c>
      <c r="C2351" t="s">
        <v>19</v>
      </c>
      <c r="D2351" t="str">
        <f>_xlfn.XLOOKUP(tblSales[[#This Row],[Store ID]],tblStores[Store ID],tblStores[Store Name])</f>
        <v>East Rand</v>
      </c>
      <c r="E2351" t="str">
        <f>_xlfn.XLOOKUP(tblSales[[#This Row],[Store ID]],tblStores[Store ID],tblStores[Province])</f>
        <v>Gauteng</v>
      </c>
      <c r="F2351" t="str">
        <f>_xlfn.XLOOKUP(tblSales[[#This Row],[Store ID]],tblStores[Store ID],tblStores[Manager])</f>
        <v>Lisa Young</v>
      </c>
      <c r="G2351" t="str">
        <f>_xlfn.XLOOKUP(tblSales[[#This Row],[Category ID]],tblCategories[Category ID],tblCategories[Category])</f>
        <v>Accessories</v>
      </c>
      <c r="H2351">
        <v>18800</v>
      </c>
      <c r="I2351">
        <v>20611</v>
      </c>
      <c r="J2351">
        <v>40</v>
      </c>
      <c r="K2351">
        <f>tblSales[[#This Row],[Sales]]-tblSales[[#This Row],[Budget]]</f>
        <v>-1811</v>
      </c>
      <c r="L2351" s="3">
        <f>(tblSales[[#This Row],[Sales]]-tblSales[[#This Row],[Budget]])/tblSales[[#This Row],[Budget]]</f>
        <v>-8.7865702780068888E-2</v>
      </c>
      <c r="M2351" s="2">
        <f>tblSales[[#This Row],[Sales]]/tblSales[[#This Row],[Transactions]]</f>
        <v>470</v>
      </c>
    </row>
    <row r="2352" spans="1:13" x14ac:dyDescent="0.25">
      <c r="A2352" s="1">
        <v>46140</v>
      </c>
      <c r="B2352" t="s">
        <v>20</v>
      </c>
      <c r="C2352" t="s">
        <v>9</v>
      </c>
      <c r="D2352" t="str">
        <f>_xlfn.XLOOKUP(tblSales[[#This Row],[Store ID]],tblStores[Store ID],tblStores[Store Name])</f>
        <v>Cape Town CBD</v>
      </c>
      <c r="E2352" t="str">
        <f>_xlfn.XLOOKUP(tblSales[[#This Row],[Store ID]],tblStores[Store ID],tblStores[Province])</f>
        <v>Western Cape</v>
      </c>
      <c r="F2352" t="str">
        <f>_xlfn.XLOOKUP(tblSales[[#This Row],[Store ID]],tblStores[Store ID],tblStores[Manager])</f>
        <v>Brian Hall</v>
      </c>
      <c r="G2352" t="str">
        <f>_xlfn.XLOOKUP(tblSales[[#This Row],[Category ID]],tblCategories[Category ID],tblCategories[Category])</f>
        <v>Ladieswear</v>
      </c>
      <c r="H2352">
        <v>25826</v>
      </c>
      <c r="I2352">
        <v>26911</v>
      </c>
      <c r="J2352">
        <v>74</v>
      </c>
      <c r="K2352">
        <f>tblSales[[#This Row],[Sales]]-tblSales[[#This Row],[Budget]]</f>
        <v>-1085</v>
      </c>
      <c r="L2352" s="3">
        <f>(tblSales[[#This Row],[Sales]]-tblSales[[#This Row],[Budget]])/tblSales[[#This Row],[Budget]]</f>
        <v>-4.0318085541228496E-2</v>
      </c>
      <c r="M2352" s="2">
        <f>tblSales[[#This Row],[Sales]]/tblSales[[#This Row],[Transactions]]</f>
        <v>349</v>
      </c>
    </row>
    <row r="2353" spans="1:13" x14ac:dyDescent="0.25">
      <c r="A2353" s="1">
        <v>46140</v>
      </c>
      <c r="B2353" t="s">
        <v>21</v>
      </c>
      <c r="C2353" t="s">
        <v>19</v>
      </c>
      <c r="D2353" t="str">
        <f>_xlfn.XLOOKUP(tblSales[[#This Row],[Store ID]],tblStores[Store ID],tblStores[Store Name])</f>
        <v>Canal Walk</v>
      </c>
      <c r="E2353" t="str">
        <f>_xlfn.XLOOKUP(tblSales[[#This Row],[Store ID]],tblStores[Store ID],tblStores[Province])</f>
        <v>Western Cape</v>
      </c>
      <c r="F2353" t="str">
        <f>_xlfn.XLOOKUP(tblSales[[#This Row],[Store ID]],tblStores[Store ID],tblStores[Manager])</f>
        <v>Megan Scott</v>
      </c>
      <c r="G2353" t="str">
        <f>_xlfn.XLOOKUP(tblSales[[#This Row],[Category ID]],tblCategories[Category ID],tblCategories[Category])</f>
        <v>Accessories</v>
      </c>
      <c r="H2353">
        <v>89870</v>
      </c>
      <c r="I2353">
        <v>100361</v>
      </c>
      <c r="J2353">
        <v>190</v>
      </c>
      <c r="K2353">
        <f>tblSales[[#This Row],[Sales]]-tblSales[[#This Row],[Budget]]</f>
        <v>-10491</v>
      </c>
      <c r="L2353" s="3">
        <f>(tblSales[[#This Row],[Sales]]-tblSales[[#This Row],[Budget]])/tblSales[[#This Row],[Budget]]</f>
        <v>-0.10453263717978099</v>
      </c>
      <c r="M2353" s="2">
        <f>tblSales[[#This Row],[Sales]]/tblSales[[#This Row],[Transactions]]</f>
        <v>473</v>
      </c>
    </row>
    <row r="2354" spans="1:13" x14ac:dyDescent="0.25">
      <c r="A2354" s="1">
        <v>46140</v>
      </c>
      <c r="B2354" t="s">
        <v>23</v>
      </c>
      <c r="C2354" t="s">
        <v>11</v>
      </c>
      <c r="D2354" t="str">
        <f>_xlfn.XLOOKUP(tblSales[[#This Row],[Store ID]],tblStores[Store ID],tblStores[Store Name])</f>
        <v>Stellenbosch</v>
      </c>
      <c r="E2354" t="str">
        <f>_xlfn.XLOOKUP(tblSales[[#This Row],[Store ID]],tblStores[Store ID],tblStores[Province])</f>
        <v>Western Cape</v>
      </c>
      <c r="F2354" t="str">
        <f>_xlfn.XLOOKUP(tblSales[[#This Row],[Store ID]],tblStores[Store ID],tblStores[Manager])</f>
        <v>Jason King</v>
      </c>
      <c r="G2354" t="str">
        <f>_xlfn.XLOOKUP(tblSales[[#This Row],[Category ID]],tblCategories[Category ID],tblCategories[Category])</f>
        <v>Footwear</v>
      </c>
      <c r="H2354">
        <v>33060</v>
      </c>
      <c r="I2354">
        <v>30280</v>
      </c>
      <c r="J2354">
        <v>87</v>
      </c>
      <c r="K2354">
        <f>tblSales[[#This Row],[Sales]]-tblSales[[#This Row],[Budget]]</f>
        <v>2780</v>
      </c>
      <c r="L2354" s="3">
        <f>(tblSales[[#This Row],[Sales]]-tblSales[[#This Row],[Budget]])/tblSales[[#This Row],[Budget]]</f>
        <v>9.1809775429326293E-2</v>
      </c>
      <c r="M2354" s="2">
        <f>tblSales[[#This Row],[Sales]]/tblSales[[#This Row],[Transactions]]</f>
        <v>380</v>
      </c>
    </row>
    <row r="2355" spans="1:13" x14ac:dyDescent="0.25">
      <c r="A2355" s="1">
        <v>46140</v>
      </c>
      <c r="B2355" t="s">
        <v>24</v>
      </c>
      <c r="C2355" t="s">
        <v>11</v>
      </c>
      <c r="D2355" t="str">
        <f>_xlfn.XLOOKUP(tblSales[[#This Row],[Store ID]],tblStores[Store ID],tblStores[Store Name])</f>
        <v>George</v>
      </c>
      <c r="E2355" t="str">
        <f>_xlfn.XLOOKUP(tblSales[[#This Row],[Store ID]],tblStores[Store ID],tblStores[Province])</f>
        <v>Western Cape</v>
      </c>
      <c r="F2355" t="str">
        <f>_xlfn.XLOOKUP(tblSales[[#This Row],[Store ID]],tblStores[Store ID],tblStores[Manager])</f>
        <v>Chloe Hill</v>
      </c>
      <c r="G2355" t="str">
        <f>_xlfn.XLOOKUP(tblSales[[#This Row],[Category ID]],tblCategories[Category ID],tblCategories[Category])</f>
        <v>Footwear</v>
      </c>
      <c r="H2355">
        <v>35109</v>
      </c>
      <c r="I2355">
        <v>32551</v>
      </c>
      <c r="J2355">
        <v>83</v>
      </c>
      <c r="K2355">
        <f>tblSales[[#This Row],[Sales]]-tblSales[[#This Row],[Budget]]</f>
        <v>2558</v>
      </c>
      <c r="L2355" s="3">
        <f>(tblSales[[#This Row],[Sales]]-tblSales[[#This Row],[Budget]])/tblSales[[#This Row],[Budget]]</f>
        <v>7.8584375288009586E-2</v>
      </c>
      <c r="M2355" s="2">
        <f>tblSales[[#This Row],[Sales]]/tblSales[[#This Row],[Transactions]]</f>
        <v>423</v>
      </c>
    </row>
    <row r="2356" spans="1:13" x14ac:dyDescent="0.25">
      <c r="A2356" s="1">
        <v>46140</v>
      </c>
      <c r="B2356" t="s">
        <v>25</v>
      </c>
      <c r="C2356" t="s">
        <v>19</v>
      </c>
      <c r="D2356" t="str">
        <f>_xlfn.XLOOKUP(tblSales[[#This Row],[Store ID]],tblStores[Store ID],tblStores[Store Name])</f>
        <v>Paarl</v>
      </c>
      <c r="E2356" t="str">
        <f>_xlfn.XLOOKUP(tblSales[[#This Row],[Store ID]],tblStores[Store ID],tblStores[Province])</f>
        <v>Western Cape</v>
      </c>
      <c r="F2356" t="str">
        <f>_xlfn.XLOOKUP(tblSales[[#This Row],[Store ID]],tblStores[Store ID],tblStores[Manager])</f>
        <v>Andrew Lee</v>
      </c>
      <c r="G2356" t="str">
        <f>_xlfn.XLOOKUP(tblSales[[#This Row],[Category ID]],tblCategories[Category ID],tblCategories[Category])</f>
        <v>Accessories</v>
      </c>
      <c r="H2356">
        <v>76050</v>
      </c>
      <c r="I2356">
        <v>85456</v>
      </c>
      <c r="J2356">
        <v>150</v>
      </c>
      <c r="K2356">
        <f>tblSales[[#This Row],[Sales]]-tblSales[[#This Row],[Budget]]</f>
        <v>-9406</v>
      </c>
      <c r="L2356" s="3">
        <f>(tblSales[[#This Row],[Sales]]-tblSales[[#This Row],[Budget]])/tblSales[[#This Row],[Budget]]</f>
        <v>-0.11006833926231042</v>
      </c>
      <c r="M2356" s="2">
        <f>tblSales[[#This Row],[Sales]]/tblSales[[#This Row],[Transactions]]</f>
        <v>507</v>
      </c>
    </row>
    <row r="2357" spans="1:13" x14ac:dyDescent="0.25">
      <c r="A2357" s="1">
        <v>46140</v>
      </c>
      <c r="B2357" t="s">
        <v>26</v>
      </c>
      <c r="C2357" t="s">
        <v>7</v>
      </c>
      <c r="D2357" t="str">
        <f>_xlfn.XLOOKUP(tblSales[[#This Row],[Store ID]],tblStores[Store ID],tblStores[Store Name])</f>
        <v>Gqeberha</v>
      </c>
      <c r="E2357" t="str">
        <f>_xlfn.XLOOKUP(tblSales[[#This Row],[Store ID]],tblStores[Store ID],tblStores[Province])</f>
        <v>Eastern Cape</v>
      </c>
      <c r="F2357" t="str">
        <f>_xlfn.XLOOKUP(tblSales[[#This Row],[Store ID]],tblStores[Store ID],tblStores[Manager])</f>
        <v>Emma Baker</v>
      </c>
      <c r="G2357" t="str">
        <f>_xlfn.XLOOKUP(tblSales[[#This Row],[Category ID]],tblCategories[Category ID],tblCategories[Category])</f>
        <v>Menswear</v>
      </c>
      <c r="H2357">
        <v>18174</v>
      </c>
      <c r="I2357">
        <v>19422</v>
      </c>
      <c r="J2357">
        <v>78</v>
      </c>
      <c r="K2357">
        <f>tblSales[[#This Row],[Sales]]-tblSales[[#This Row],[Budget]]</f>
        <v>-1248</v>
      </c>
      <c r="L2357" s="3">
        <f>(tblSales[[#This Row],[Sales]]-tblSales[[#This Row],[Budget]])/tblSales[[#This Row],[Budget]]</f>
        <v>-6.4257028112449793E-2</v>
      </c>
      <c r="M2357" s="2">
        <f>tblSales[[#This Row],[Sales]]/tblSales[[#This Row],[Transactions]]</f>
        <v>233</v>
      </c>
    </row>
    <row r="2358" spans="1:13" x14ac:dyDescent="0.25">
      <c r="A2358" s="1">
        <v>46140</v>
      </c>
      <c r="B2358" t="s">
        <v>27</v>
      </c>
      <c r="C2358" t="s">
        <v>9</v>
      </c>
      <c r="D2358" t="str">
        <f>_xlfn.XLOOKUP(tblSales[[#This Row],[Store ID]],tblStores[Store ID],tblStores[Store Name])</f>
        <v>East London</v>
      </c>
      <c r="E2358" t="str">
        <f>_xlfn.XLOOKUP(tblSales[[#This Row],[Store ID]],tblStores[Store ID],tblStores[Province])</f>
        <v>Eastern Cape</v>
      </c>
      <c r="F2358" t="str">
        <f>_xlfn.XLOOKUP(tblSales[[#This Row],[Store ID]],tblStores[Store ID],tblStores[Manager])</f>
        <v>Daniel Evans</v>
      </c>
      <c r="G2358" t="str">
        <f>_xlfn.XLOOKUP(tblSales[[#This Row],[Category ID]],tblCategories[Category ID],tblCategories[Category])</f>
        <v>Ladieswear</v>
      </c>
      <c r="H2358">
        <v>20984</v>
      </c>
      <c r="I2358">
        <v>21448</v>
      </c>
      <c r="J2358">
        <v>43</v>
      </c>
      <c r="K2358">
        <f>tblSales[[#This Row],[Sales]]-tblSales[[#This Row],[Budget]]</f>
        <v>-464</v>
      </c>
      <c r="L2358" s="3">
        <f>(tblSales[[#This Row],[Sales]]-tblSales[[#This Row],[Budget]])/tblSales[[#This Row],[Budget]]</f>
        <v>-2.1633718761656099E-2</v>
      </c>
      <c r="M2358" s="2">
        <f>tblSales[[#This Row],[Sales]]/tblSales[[#This Row],[Transactions]]</f>
        <v>488</v>
      </c>
    </row>
    <row r="2359" spans="1:13" x14ac:dyDescent="0.25">
      <c r="A2359" s="1">
        <v>46140</v>
      </c>
      <c r="B2359" t="s">
        <v>28</v>
      </c>
      <c r="C2359" t="s">
        <v>9</v>
      </c>
      <c r="D2359" t="str">
        <f>_xlfn.XLOOKUP(tblSales[[#This Row],[Store ID]],tblStores[Store ID],tblStores[Store Name])</f>
        <v>Bloemfontein</v>
      </c>
      <c r="E2359" t="str">
        <f>_xlfn.XLOOKUP(tblSales[[#This Row],[Store ID]],tblStores[Store ID],tblStores[Province])</f>
        <v>Free State</v>
      </c>
      <c r="F2359" t="str">
        <f>_xlfn.XLOOKUP(tblSales[[#This Row],[Store ID]],tblStores[Store ID],tblStores[Manager])</f>
        <v>Rachel Moore</v>
      </c>
      <c r="G2359" t="str">
        <f>_xlfn.XLOOKUP(tblSales[[#This Row],[Category ID]],tblCategories[Category ID],tblCategories[Category])</f>
        <v>Ladieswear</v>
      </c>
      <c r="H2359">
        <v>18275</v>
      </c>
      <c r="I2359">
        <v>20611</v>
      </c>
      <c r="J2359">
        <v>85</v>
      </c>
      <c r="K2359">
        <f>tblSales[[#This Row],[Sales]]-tblSales[[#This Row],[Budget]]</f>
        <v>-2336</v>
      </c>
      <c r="L2359" s="3">
        <f>(tblSales[[#This Row],[Sales]]-tblSales[[#This Row],[Budget]])/tblSales[[#This Row],[Budget]]</f>
        <v>-0.11333753820775314</v>
      </c>
      <c r="M2359" s="2">
        <f>tblSales[[#This Row],[Sales]]/tblSales[[#This Row],[Transactions]]</f>
        <v>215</v>
      </c>
    </row>
    <row r="2360" spans="1:13" x14ac:dyDescent="0.25">
      <c r="A2360" s="1">
        <v>46140</v>
      </c>
      <c r="B2360" t="s">
        <v>29</v>
      </c>
      <c r="C2360" t="s">
        <v>11</v>
      </c>
      <c r="D2360" t="str">
        <f>_xlfn.XLOOKUP(tblSales[[#This Row],[Store ID]],tblStores[Store ID],tblStores[Store Name])</f>
        <v>Polokwane</v>
      </c>
      <c r="E2360" t="str">
        <f>_xlfn.XLOOKUP(tblSales[[#This Row],[Store ID]],tblStores[Store ID],tblStores[Province])</f>
        <v>Limpopo</v>
      </c>
      <c r="F2360" t="str">
        <f>_xlfn.XLOOKUP(tblSales[[#This Row],[Store ID]],tblStores[Store ID],tblStores[Manager])</f>
        <v>Kevin Harris</v>
      </c>
      <c r="G2360" t="str">
        <f>_xlfn.XLOOKUP(tblSales[[#This Row],[Category ID]],tblCategories[Category ID],tblCategories[Category])</f>
        <v>Footwear</v>
      </c>
      <c r="H2360">
        <v>30495</v>
      </c>
      <c r="I2360">
        <v>29222</v>
      </c>
      <c r="J2360">
        <v>107</v>
      </c>
      <c r="K2360">
        <f>tblSales[[#This Row],[Sales]]-tblSales[[#This Row],[Budget]]</f>
        <v>1273</v>
      </c>
      <c r="L2360" s="3">
        <f>(tblSales[[#This Row],[Sales]]-tblSales[[#This Row],[Budget]])/tblSales[[#This Row],[Budget]]</f>
        <v>4.3563068920676205E-2</v>
      </c>
      <c r="M2360" s="2">
        <f>tblSales[[#This Row],[Sales]]/tblSales[[#This Row],[Transactions]]</f>
        <v>285</v>
      </c>
    </row>
    <row r="2361" spans="1:13" x14ac:dyDescent="0.25">
      <c r="A2361" s="1">
        <v>46140</v>
      </c>
      <c r="B2361" t="s">
        <v>30</v>
      </c>
      <c r="C2361" t="s">
        <v>19</v>
      </c>
      <c r="D2361" t="str">
        <f>_xlfn.XLOOKUP(tblSales[[#This Row],[Store ID]],tblStores[Store ID],tblStores[Store Name])</f>
        <v>Nelspruit</v>
      </c>
      <c r="E2361" t="str">
        <f>_xlfn.XLOOKUP(tblSales[[#This Row],[Store ID]],tblStores[Store ID],tblStores[Province])</f>
        <v>Mpumalanga</v>
      </c>
      <c r="F2361" t="str">
        <f>_xlfn.XLOOKUP(tblSales[[#This Row],[Store ID]],tblStores[Store ID],tblStores[Manager])</f>
        <v>Olivia Turner</v>
      </c>
      <c r="G2361" t="str">
        <f>_xlfn.XLOOKUP(tblSales[[#This Row],[Category ID]],tblCategories[Category ID],tblCategories[Category])</f>
        <v>Accessories</v>
      </c>
      <c r="H2361">
        <v>21424</v>
      </c>
      <c r="I2361">
        <v>19589</v>
      </c>
      <c r="J2361">
        <v>52</v>
      </c>
      <c r="K2361">
        <f>tblSales[[#This Row],[Sales]]-tblSales[[#This Row],[Budget]]</f>
        <v>1835</v>
      </c>
      <c r="L2361" s="3">
        <f>(tblSales[[#This Row],[Sales]]-tblSales[[#This Row],[Budget]])/tblSales[[#This Row],[Budget]]</f>
        <v>9.3675021695849708E-2</v>
      </c>
      <c r="M2361" s="2">
        <f>tblSales[[#This Row],[Sales]]/tblSales[[#This Row],[Transactions]]</f>
        <v>412</v>
      </c>
    </row>
    <row r="2362" spans="1:13" x14ac:dyDescent="0.25">
      <c r="A2362" s="1">
        <v>46141</v>
      </c>
      <c r="B2362" t="s">
        <v>6</v>
      </c>
      <c r="C2362" t="s">
        <v>19</v>
      </c>
      <c r="D2362" t="str">
        <f>_xlfn.XLOOKUP(tblSales[[#This Row],[Store ID]],tblStores[Store ID],tblStores[Store Name])</f>
        <v>Durban CBD</v>
      </c>
      <c r="E2362" t="str">
        <f>_xlfn.XLOOKUP(tblSales[[#This Row],[Store ID]],tblStores[Store ID],tblStores[Province])</f>
        <v>KZN</v>
      </c>
      <c r="F2362" t="str">
        <f>_xlfn.XLOOKUP(tblSales[[#This Row],[Store ID]],tblStores[Store ID],tblStores[Manager])</f>
        <v>Sarah Adams</v>
      </c>
      <c r="G2362" t="str">
        <f>_xlfn.XLOOKUP(tblSales[[#This Row],[Category ID]],tblCategories[Category ID],tblCategories[Category])</f>
        <v>Accessories</v>
      </c>
      <c r="H2362">
        <v>9879</v>
      </c>
      <c r="I2362">
        <v>9698</v>
      </c>
      <c r="J2362">
        <v>37</v>
      </c>
      <c r="K2362">
        <f>tblSales[[#This Row],[Sales]]-tblSales[[#This Row],[Budget]]</f>
        <v>181</v>
      </c>
      <c r="L2362" s="3">
        <f>(tblSales[[#This Row],[Sales]]-tblSales[[#This Row],[Budget]])/tblSales[[#This Row],[Budget]]</f>
        <v>1.8663641988038771E-2</v>
      </c>
      <c r="M2362" s="2">
        <f>tblSales[[#This Row],[Sales]]/tblSales[[#This Row],[Transactions]]</f>
        <v>267</v>
      </c>
    </row>
    <row r="2363" spans="1:13" x14ac:dyDescent="0.25">
      <c r="A2363" s="1">
        <v>46141</v>
      </c>
      <c r="B2363" t="s">
        <v>8</v>
      </c>
      <c r="C2363" t="s">
        <v>11</v>
      </c>
      <c r="D2363" t="str">
        <f>_xlfn.XLOOKUP(tblSales[[#This Row],[Store ID]],tblStores[Store ID],tblStores[Store Name])</f>
        <v>Gateway</v>
      </c>
      <c r="E2363" t="str">
        <f>_xlfn.XLOOKUP(tblSales[[#This Row],[Store ID]],tblStores[Store ID],tblStores[Province])</f>
        <v>KZN</v>
      </c>
      <c r="F2363" t="str">
        <f>_xlfn.XLOOKUP(tblSales[[#This Row],[Store ID]],tblStores[Store ID],tblStores[Manager])</f>
        <v>Michael Jones</v>
      </c>
      <c r="G2363" t="str">
        <f>_xlfn.XLOOKUP(tblSales[[#This Row],[Category ID]],tblCategories[Category ID],tblCategories[Category])</f>
        <v>Footwear</v>
      </c>
      <c r="H2363">
        <v>35100</v>
      </c>
      <c r="I2363">
        <v>40273</v>
      </c>
      <c r="J2363">
        <v>135</v>
      </c>
      <c r="K2363">
        <f>tblSales[[#This Row],[Sales]]-tblSales[[#This Row],[Budget]]</f>
        <v>-5173</v>
      </c>
      <c r="L2363" s="3">
        <f>(tblSales[[#This Row],[Sales]]-tblSales[[#This Row],[Budget]])/tblSales[[#This Row],[Budget]]</f>
        <v>-0.12844834007896108</v>
      </c>
      <c r="M2363" s="2">
        <f>tblSales[[#This Row],[Sales]]/tblSales[[#This Row],[Transactions]]</f>
        <v>260</v>
      </c>
    </row>
    <row r="2364" spans="1:13" x14ac:dyDescent="0.25">
      <c r="A2364" s="1">
        <v>46141</v>
      </c>
      <c r="B2364" t="s">
        <v>10</v>
      </c>
      <c r="C2364" t="s">
        <v>9</v>
      </c>
      <c r="D2364" t="str">
        <f>_xlfn.XLOOKUP(tblSales[[#This Row],[Store ID]],tblStores[Store ID],tblStores[Store Name])</f>
        <v>Ballito</v>
      </c>
      <c r="E2364" t="str">
        <f>_xlfn.XLOOKUP(tblSales[[#This Row],[Store ID]],tblStores[Store ID],tblStores[Province])</f>
        <v>KZN</v>
      </c>
      <c r="F2364" t="str">
        <f>_xlfn.XLOOKUP(tblSales[[#This Row],[Store ID]],tblStores[Store ID],tblStores[Manager])</f>
        <v>Linda Smith</v>
      </c>
      <c r="G2364" t="str">
        <f>_xlfn.XLOOKUP(tblSales[[#This Row],[Category ID]],tblCategories[Category ID],tblCategories[Category])</f>
        <v>Ladieswear</v>
      </c>
      <c r="H2364">
        <v>67768</v>
      </c>
      <c r="I2364">
        <v>69093</v>
      </c>
      <c r="J2364">
        <v>172</v>
      </c>
      <c r="K2364">
        <f>tblSales[[#This Row],[Sales]]-tblSales[[#This Row],[Budget]]</f>
        <v>-1325</v>
      </c>
      <c r="L2364" s="3">
        <f>(tblSales[[#This Row],[Sales]]-tblSales[[#This Row],[Budget]])/tblSales[[#This Row],[Budget]]</f>
        <v>-1.9177051220818319E-2</v>
      </c>
      <c r="M2364" s="2">
        <f>tblSales[[#This Row],[Sales]]/tblSales[[#This Row],[Transactions]]</f>
        <v>394</v>
      </c>
    </row>
    <row r="2365" spans="1:13" x14ac:dyDescent="0.25">
      <c r="A2365" s="1">
        <v>46141</v>
      </c>
      <c r="B2365" t="s">
        <v>12</v>
      </c>
      <c r="C2365" t="s">
        <v>7</v>
      </c>
      <c r="D2365" t="str">
        <f>_xlfn.XLOOKUP(tblSales[[#This Row],[Store ID]],tblStores[Store ID],tblStores[Store Name])</f>
        <v>Pietermaritzburg</v>
      </c>
      <c r="E2365" t="str">
        <f>_xlfn.XLOOKUP(tblSales[[#This Row],[Store ID]],tblStores[Store ID],tblStores[Province])</f>
        <v>KZN</v>
      </c>
      <c r="F2365" t="str">
        <f>_xlfn.XLOOKUP(tblSales[[#This Row],[Store ID]],tblStores[Store ID],tblStores[Manager])</f>
        <v>Peter Brown</v>
      </c>
      <c r="G2365" t="str">
        <f>_xlfn.XLOOKUP(tblSales[[#This Row],[Category ID]],tblCategories[Category ID],tblCategories[Category])</f>
        <v>Menswear</v>
      </c>
      <c r="H2365">
        <v>38190</v>
      </c>
      <c r="I2365">
        <v>35611</v>
      </c>
      <c r="J2365">
        <v>134</v>
      </c>
      <c r="K2365">
        <f>tblSales[[#This Row],[Sales]]-tblSales[[#This Row],[Budget]]</f>
        <v>2579</v>
      </c>
      <c r="L2365" s="3">
        <f>(tblSales[[#This Row],[Sales]]-tblSales[[#This Row],[Budget]])/tblSales[[#This Row],[Budget]]</f>
        <v>7.2421442812614076E-2</v>
      </c>
      <c r="M2365" s="2">
        <f>tblSales[[#This Row],[Sales]]/tblSales[[#This Row],[Transactions]]</f>
        <v>285</v>
      </c>
    </row>
    <row r="2366" spans="1:13" x14ac:dyDescent="0.25">
      <c r="A2366" s="1">
        <v>46141</v>
      </c>
      <c r="B2366" t="s">
        <v>13</v>
      </c>
      <c r="C2366" t="s">
        <v>9</v>
      </c>
      <c r="D2366" t="str">
        <f>_xlfn.XLOOKUP(tblSales[[#This Row],[Store ID]],tblStores[Store ID],tblStores[Store Name])</f>
        <v>Richards Bay</v>
      </c>
      <c r="E2366" t="str">
        <f>_xlfn.XLOOKUP(tblSales[[#This Row],[Store ID]],tblStores[Store ID],tblStores[Province])</f>
        <v>KZN</v>
      </c>
      <c r="F2366" t="str">
        <f>_xlfn.XLOOKUP(tblSales[[#This Row],[Store ID]],tblStores[Store ID],tblStores[Manager])</f>
        <v>David Green</v>
      </c>
      <c r="G2366" t="str">
        <f>_xlfn.XLOOKUP(tblSales[[#This Row],[Category ID]],tblCategories[Category ID],tblCategories[Category])</f>
        <v>Ladieswear</v>
      </c>
      <c r="H2366">
        <v>45714</v>
      </c>
      <c r="I2366">
        <v>50489</v>
      </c>
      <c r="J2366">
        <v>114</v>
      </c>
      <c r="K2366">
        <f>tblSales[[#This Row],[Sales]]-tblSales[[#This Row],[Budget]]</f>
        <v>-4775</v>
      </c>
      <c r="L2366" s="3">
        <f>(tblSales[[#This Row],[Sales]]-tblSales[[#This Row],[Budget]])/tblSales[[#This Row],[Budget]]</f>
        <v>-9.4575055952781789E-2</v>
      </c>
      <c r="M2366" s="2">
        <f>tblSales[[#This Row],[Sales]]/tblSales[[#This Row],[Transactions]]</f>
        <v>401</v>
      </c>
    </row>
    <row r="2367" spans="1:13" x14ac:dyDescent="0.25">
      <c r="A2367" s="1">
        <v>46141</v>
      </c>
      <c r="B2367" t="s">
        <v>14</v>
      </c>
      <c r="C2367" t="s">
        <v>11</v>
      </c>
      <c r="D2367" t="str">
        <f>_xlfn.XLOOKUP(tblSales[[#This Row],[Store ID]],tblStores[Store ID],tblStores[Store Name])</f>
        <v>Sandton</v>
      </c>
      <c r="E2367" t="str">
        <f>_xlfn.XLOOKUP(tblSales[[#This Row],[Store ID]],tblStores[Store ID],tblStores[Province])</f>
        <v>Gauteng</v>
      </c>
      <c r="F2367" t="str">
        <f>_xlfn.XLOOKUP(tblSales[[#This Row],[Store ID]],tblStores[Store ID],tblStores[Manager])</f>
        <v>Karen White</v>
      </c>
      <c r="G2367" t="str">
        <f>_xlfn.XLOOKUP(tblSales[[#This Row],[Category ID]],tblCategories[Category ID],tblCategories[Category])</f>
        <v>Footwear</v>
      </c>
      <c r="H2367">
        <v>36675</v>
      </c>
      <c r="I2367">
        <v>38280</v>
      </c>
      <c r="J2367">
        <v>75</v>
      </c>
      <c r="K2367">
        <f>tblSales[[#This Row],[Sales]]-tblSales[[#This Row],[Budget]]</f>
        <v>-1605</v>
      </c>
      <c r="L2367" s="3">
        <f>(tblSales[[#This Row],[Sales]]-tblSales[[#This Row],[Budget]])/tblSales[[#This Row],[Budget]]</f>
        <v>-4.1927899686520373E-2</v>
      </c>
      <c r="M2367" s="2">
        <f>tblSales[[#This Row],[Sales]]/tblSales[[#This Row],[Transactions]]</f>
        <v>489</v>
      </c>
    </row>
    <row r="2368" spans="1:13" x14ac:dyDescent="0.25">
      <c r="A2368" s="1">
        <v>46141</v>
      </c>
      <c r="B2368" t="s">
        <v>15</v>
      </c>
      <c r="C2368" t="s">
        <v>22</v>
      </c>
      <c r="D2368" t="str">
        <f>_xlfn.XLOOKUP(tblSales[[#This Row],[Store ID]],tblStores[Store ID],tblStores[Store Name])</f>
        <v>Rosebank</v>
      </c>
      <c r="E2368" t="str">
        <f>_xlfn.XLOOKUP(tblSales[[#This Row],[Store ID]],tblStores[Store ID],tblStores[Province])</f>
        <v>Gauteng</v>
      </c>
      <c r="F2368" t="str">
        <f>_xlfn.XLOOKUP(tblSales[[#This Row],[Store ID]],tblStores[Store ID],tblStores[Manager])</f>
        <v>James Taylor</v>
      </c>
      <c r="G2368" t="str">
        <f>_xlfn.XLOOKUP(tblSales[[#This Row],[Category ID]],tblCategories[Category ID],tblCategories[Category])</f>
        <v>Kids</v>
      </c>
      <c r="H2368">
        <v>52355</v>
      </c>
      <c r="I2368">
        <v>53696</v>
      </c>
      <c r="J2368">
        <v>185</v>
      </c>
      <c r="K2368">
        <f>tblSales[[#This Row],[Sales]]-tblSales[[#This Row],[Budget]]</f>
        <v>-1341</v>
      </c>
      <c r="L2368" s="3">
        <f>(tblSales[[#This Row],[Sales]]-tblSales[[#This Row],[Budget]])/tblSales[[#This Row],[Budget]]</f>
        <v>-2.4973927294398093E-2</v>
      </c>
      <c r="M2368" s="2">
        <f>tblSales[[#This Row],[Sales]]/tblSales[[#This Row],[Transactions]]</f>
        <v>283</v>
      </c>
    </row>
    <row r="2369" spans="1:13" x14ac:dyDescent="0.25">
      <c r="A2369" s="1">
        <v>46141</v>
      </c>
      <c r="B2369" t="s">
        <v>16</v>
      </c>
      <c r="C2369" t="s">
        <v>11</v>
      </c>
      <c r="D2369" t="str">
        <f>_xlfn.XLOOKUP(tblSales[[#This Row],[Store ID]],tblStores[Store ID],tblStores[Store Name])</f>
        <v>Pretoria</v>
      </c>
      <c r="E2369" t="str">
        <f>_xlfn.XLOOKUP(tblSales[[#This Row],[Store ID]],tblStores[Store ID],tblStores[Province])</f>
        <v>Gauteng</v>
      </c>
      <c r="F2369" t="str">
        <f>_xlfn.XLOOKUP(tblSales[[#This Row],[Store ID]],tblStores[Store ID],tblStores[Manager])</f>
        <v>Susan Clark</v>
      </c>
      <c r="G2369" t="str">
        <f>_xlfn.XLOOKUP(tblSales[[#This Row],[Category ID]],tblCategories[Category ID],tblCategories[Category])</f>
        <v>Footwear</v>
      </c>
      <c r="H2369">
        <v>29715</v>
      </c>
      <c r="I2369">
        <v>26798</v>
      </c>
      <c r="J2369">
        <v>105</v>
      </c>
      <c r="K2369">
        <f>tblSales[[#This Row],[Sales]]-tblSales[[#This Row],[Budget]]</f>
        <v>2917</v>
      </c>
      <c r="L2369" s="3">
        <f>(tblSales[[#This Row],[Sales]]-tblSales[[#This Row],[Budget]])/tblSales[[#This Row],[Budget]]</f>
        <v>0.10885140682140458</v>
      </c>
      <c r="M2369" s="2">
        <f>tblSales[[#This Row],[Sales]]/tblSales[[#This Row],[Transactions]]</f>
        <v>283</v>
      </c>
    </row>
    <row r="2370" spans="1:13" x14ac:dyDescent="0.25">
      <c r="A2370" s="1">
        <v>46141</v>
      </c>
      <c r="B2370" t="s">
        <v>17</v>
      </c>
      <c r="C2370" t="s">
        <v>9</v>
      </c>
      <c r="D2370" t="str">
        <f>_xlfn.XLOOKUP(tblSales[[#This Row],[Store ID]],tblStores[Store ID],tblStores[Store Name])</f>
        <v>Centurion</v>
      </c>
      <c r="E2370" t="str">
        <f>_xlfn.XLOOKUP(tblSales[[#This Row],[Store ID]],tblStores[Store ID],tblStores[Province])</f>
        <v>Gauteng</v>
      </c>
      <c r="F2370" t="str">
        <f>_xlfn.XLOOKUP(tblSales[[#This Row],[Store ID]],tblStores[Store ID],tblStores[Manager])</f>
        <v>Mark Wilson</v>
      </c>
      <c r="G2370" t="str">
        <f>_xlfn.XLOOKUP(tblSales[[#This Row],[Category ID]],tblCategories[Category ID],tblCategories[Category])</f>
        <v>Ladieswear</v>
      </c>
      <c r="H2370">
        <v>31588</v>
      </c>
      <c r="I2370">
        <v>34940</v>
      </c>
      <c r="J2370">
        <v>149</v>
      </c>
      <c r="K2370">
        <f>tblSales[[#This Row],[Sales]]-tblSales[[#This Row],[Budget]]</f>
        <v>-3352</v>
      </c>
      <c r="L2370" s="3">
        <f>(tblSales[[#This Row],[Sales]]-tblSales[[#This Row],[Budget]])/tblSales[[#This Row],[Budget]]</f>
        <v>-9.593589009730967E-2</v>
      </c>
      <c r="M2370" s="2">
        <f>tblSales[[#This Row],[Sales]]/tblSales[[#This Row],[Transactions]]</f>
        <v>212</v>
      </c>
    </row>
    <row r="2371" spans="1:13" x14ac:dyDescent="0.25">
      <c r="A2371" s="1">
        <v>46141</v>
      </c>
      <c r="B2371" t="s">
        <v>18</v>
      </c>
      <c r="C2371" t="s">
        <v>19</v>
      </c>
      <c r="D2371" t="str">
        <f>_xlfn.XLOOKUP(tblSales[[#This Row],[Store ID]],tblStores[Store ID],tblStores[Store Name])</f>
        <v>East Rand</v>
      </c>
      <c r="E2371" t="str">
        <f>_xlfn.XLOOKUP(tblSales[[#This Row],[Store ID]],tblStores[Store ID],tblStores[Province])</f>
        <v>Gauteng</v>
      </c>
      <c r="F2371" t="str">
        <f>_xlfn.XLOOKUP(tblSales[[#This Row],[Store ID]],tblStores[Store ID],tblStores[Manager])</f>
        <v>Lisa Young</v>
      </c>
      <c r="G2371" t="str">
        <f>_xlfn.XLOOKUP(tblSales[[#This Row],[Category ID]],tblCategories[Category ID],tblCategories[Category])</f>
        <v>Accessories</v>
      </c>
      <c r="H2371">
        <v>44002</v>
      </c>
      <c r="I2371">
        <v>43219</v>
      </c>
      <c r="J2371">
        <v>98</v>
      </c>
      <c r="K2371">
        <f>tblSales[[#This Row],[Sales]]-tblSales[[#This Row],[Budget]]</f>
        <v>783</v>
      </c>
      <c r="L2371" s="3">
        <f>(tblSales[[#This Row],[Sales]]-tblSales[[#This Row],[Budget]])/tblSales[[#This Row],[Budget]]</f>
        <v>1.8117031860987065E-2</v>
      </c>
      <c r="M2371" s="2">
        <f>tblSales[[#This Row],[Sales]]/tblSales[[#This Row],[Transactions]]</f>
        <v>449</v>
      </c>
    </row>
    <row r="2372" spans="1:13" x14ac:dyDescent="0.25">
      <c r="A2372" s="1">
        <v>46141</v>
      </c>
      <c r="B2372" t="s">
        <v>20</v>
      </c>
      <c r="C2372" t="s">
        <v>19</v>
      </c>
      <c r="D2372" t="str">
        <f>_xlfn.XLOOKUP(tblSales[[#This Row],[Store ID]],tblStores[Store ID],tblStores[Store Name])</f>
        <v>Cape Town CBD</v>
      </c>
      <c r="E2372" t="str">
        <f>_xlfn.XLOOKUP(tblSales[[#This Row],[Store ID]],tblStores[Store ID],tblStores[Province])</f>
        <v>Western Cape</v>
      </c>
      <c r="F2372" t="str">
        <f>_xlfn.XLOOKUP(tblSales[[#This Row],[Store ID]],tblStores[Store ID],tblStores[Manager])</f>
        <v>Brian Hall</v>
      </c>
      <c r="G2372" t="str">
        <f>_xlfn.XLOOKUP(tblSales[[#This Row],[Category ID]],tblCategories[Category ID],tblCategories[Category])</f>
        <v>Accessories</v>
      </c>
      <c r="H2372">
        <v>66400</v>
      </c>
      <c r="I2372">
        <v>67440</v>
      </c>
      <c r="J2372">
        <v>160</v>
      </c>
      <c r="K2372">
        <f>tblSales[[#This Row],[Sales]]-tblSales[[#This Row],[Budget]]</f>
        <v>-1040</v>
      </c>
      <c r="L2372" s="3">
        <f>(tblSales[[#This Row],[Sales]]-tblSales[[#This Row],[Budget]])/tblSales[[#This Row],[Budget]]</f>
        <v>-1.542111506524318E-2</v>
      </c>
      <c r="M2372" s="2">
        <f>tblSales[[#This Row],[Sales]]/tblSales[[#This Row],[Transactions]]</f>
        <v>415</v>
      </c>
    </row>
    <row r="2373" spans="1:13" x14ac:dyDescent="0.25">
      <c r="A2373" s="1">
        <v>46141</v>
      </c>
      <c r="B2373" t="s">
        <v>21</v>
      </c>
      <c r="C2373" t="s">
        <v>7</v>
      </c>
      <c r="D2373" t="str">
        <f>_xlfn.XLOOKUP(tblSales[[#This Row],[Store ID]],tblStores[Store ID],tblStores[Store Name])</f>
        <v>Canal Walk</v>
      </c>
      <c r="E2373" t="str">
        <f>_xlfn.XLOOKUP(tblSales[[#This Row],[Store ID]],tblStores[Store ID],tblStores[Province])</f>
        <v>Western Cape</v>
      </c>
      <c r="F2373" t="str">
        <f>_xlfn.XLOOKUP(tblSales[[#This Row],[Store ID]],tblStores[Store ID],tblStores[Manager])</f>
        <v>Megan Scott</v>
      </c>
      <c r="G2373" t="str">
        <f>_xlfn.XLOOKUP(tblSales[[#This Row],[Category ID]],tblCategories[Category ID],tblCategories[Category])</f>
        <v>Menswear</v>
      </c>
      <c r="H2373">
        <v>18966</v>
      </c>
      <c r="I2373">
        <v>20133</v>
      </c>
      <c r="J2373">
        <v>58</v>
      </c>
      <c r="K2373">
        <f>tblSales[[#This Row],[Sales]]-tblSales[[#This Row],[Budget]]</f>
        <v>-1167</v>
      </c>
      <c r="L2373" s="3">
        <f>(tblSales[[#This Row],[Sales]]-tblSales[[#This Row],[Budget]])/tblSales[[#This Row],[Budget]]</f>
        <v>-5.7964535836686037E-2</v>
      </c>
      <c r="M2373" s="2">
        <f>tblSales[[#This Row],[Sales]]/tblSales[[#This Row],[Transactions]]</f>
        <v>327</v>
      </c>
    </row>
    <row r="2374" spans="1:13" x14ac:dyDescent="0.25">
      <c r="A2374" s="1">
        <v>46141</v>
      </c>
      <c r="B2374" t="s">
        <v>23</v>
      </c>
      <c r="C2374" t="s">
        <v>11</v>
      </c>
      <c r="D2374" t="str">
        <f>_xlfn.XLOOKUP(tblSales[[#This Row],[Store ID]],tblStores[Store ID],tblStores[Store Name])</f>
        <v>Stellenbosch</v>
      </c>
      <c r="E2374" t="str">
        <f>_xlfn.XLOOKUP(tblSales[[#This Row],[Store ID]],tblStores[Store ID],tblStores[Province])</f>
        <v>Western Cape</v>
      </c>
      <c r="F2374" t="str">
        <f>_xlfn.XLOOKUP(tblSales[[#This Row],[Store ID]],tblStores[Store ID],tblStores[Manager])</f>
        <v>Jason King</v>
      </c>
      <c r="G2374" t="str">
        <f>_xlfn.XLOOKUP(tblSales[[#This Row],[Category ID]],tblCategories[Category ID],tblCategories[Category])</f>
        <v>Footwear</v>
      </c>
      <c r="H2374">
        <v>40836</v>
      </c>
      <c r="I2374">
        <v>40745</v>
      </c>
      <c r="J2374">
        <v>123</v>
      </c>
      <c r="K2374">
        <f>tblSales[[#This Row],[Sales]]-tblSales[[#This Row],[Budget]]</f>
        <v>91</v>
      </c>
      <c r="L2374" s="3">
        <f>(tblSales[[#This Row],[Sales]]-tblSales[[#This Row],[Budget]])/tblSales[[#This Row],[Budget]]</f>
        <v>2.2334028715179778E-3</v>
      </c>
      <c r="M2374" s="2">
        <f>tblSales[[#This Row],[Sales]]/tblSales[[#This Row],[Transactions]]</f>
        <v>332</v>
      </c>
    </row>
    <row r="2375" spans="1:13" x14ac:dyDescent="0.25">
      <c r="A2375" s="1">
        <v>46141</v>
      </c>
      <c r="B2375" t="s">
        <v>24</v>
      </c>
      <c r="C2375" t="s">
        <v>9</v>
      </c>
      <c r="D2375" t="str">
        <f>_xlfn.XLOOKUP(tblSales[[#This Row],[Store ID]],tblStores[Store ID],tblStores[Store Name])</f>
        <v>George</v>
      </c>
      <c r="E2375" t="str">
        <f>_xlfn.XLOOKUP(tblSales[[#This Row],[Store ID]],tblStores[Store ID],tblStores[Province])</f>
        <v>Western Cape</v>
      </c>
      <c r="F2375" t="str">
        <f>_xlfn.XLOOKUP(tblSales[[#This Row],[Store ID]],tblStores[Store ID],tblStores[Manager])</f>
        <v>Chloe Hill</v>
      </c>
      <c r="G2375" t="str">
        <f>_xlfn.XLOOKUP(tblSales[[#This Row],[Category ID]],tblCategories[Category ID],tblCategories[Category])</f>
        <v>Ladieswear</v>
      </c>
      <c r="H2375">
        <v>43287</v>
      </c>
      <c r="I2375">
        <v>40901</v>
      </c>
      <c r="J2375">
        <v>141</v>
      </c>
      <c r="K2375">
        <f>tblSales[[#This Row],[Sales]]-tblSales[[#This Row],[Budget]]</f>
        <v>2386</v>
      </c>
      <c r="L2375" s="3">
        <f>(tblSales[[#This Row],[Sales]]-tblSales[[#This Row],[Budget]])/tblSales[[#This Row],[Budget]]</f>
        <v>5.8335982005329946E-2</v>
      </c>
      <c r="M2375" s="2">
        <f>tblSales[[#This Row],[Sales]]/tblSales[[#This Row],[Transactions]]</f>
        <v>307</v>
      </c>
    </row>
    <row r="2376" spans="1:13" x14ac:dyDescent="0.25">
      <c r="A2376" s="1">
        <v>46141</v>
      </c>
      <c r="B2376" t="s">
        <v>25</v>
      </c>
      <c r="C2376" t="s">
        <v>19</v>
      </c>
      <c r="D2376" t="str">
        <f>_xlfn.XLOOKUP(tblSales[[#This Row],[Store ID]],tblStores[Store ID],tblStores[Store Name])</f>
        <v>Paarl</v>
      </c>
      <c r="E2376" t="str">
        <f>_xlfn.XLOOKUP(tblSales[[#This Row],[Store ID]],tblStores[Store ID],tblStores[Province])</f>
        <v>Western Cape</v>
      </c>
      <c r="F2376" t="str">
        <f>_xlfn.XLOOKUP(tblSales[[#This Row],[Store ID]],tblStores[Store ID],tblStores[Manager])</f>
        <v>Andrew Lee</v>
      </c>
      <c r="G2376" t="str">
        <f>_xlfn.XLOOKUP(tblSales[[#This Row],[Category ID]],tblCategories[Category ID],tblCategories[Category])</f>
        <v>Accessories</v>
      </c>
      <c r="H2376">
        <v>60030</v>
      </c>
      <c r="I2376">
        <v>59799</v>
      </c>
      <c r="J2376">
        <v>145</v>
      </c>
      <c r="K2376">
        <f>tblSales[[#This Row],[Sales]]-tblSales[[#This Row],[Budget]]</f>
        <v>231</v>
      </c>
      <c r="L2376" s="3">
        <f>(tblSales[[#This Row],[Sales]]-tblSales[[#This Row],[Budget]])/tblSales[[#This Row],[Budget]]</f>
        <v>3.86294085185371E-3</v>
      </c>
      <c r="M2376" s="2">
        <f>tblSales[[#This Row],[Sales]]/tblSales[[#This Row],[Transactions]]</f>
        <v>414</v>
      </c>
    </row>
    <row r="2377" spans="1:13" x14ac:dyDescent="0.25">
      <c r="A2377" s="1">
        <v>46141</v>
      </c>
      <c r="B2377" t="s">
        <v>26</v>
      </c>
      <c r="C2377" t="s">
        <v>9</v>
      </c>
      <c r="D2377" t="str">
        <f>_xlfn.XLOOKUP(tblSales[[#This Row],[Store ID]],tblStores[Store ID],tblStores[Store Name])</f>
        <v>Gqeberha</v>
      </c>
      <c r="E2377" t="str">
        <f>_xlfn.XLOOKUP(tblSales[[#This Row],[Store ID]],tblStores[Store ID],tblStores[Province])</f>
        <v>Eastern Cape</v>
      </c>
      <c r="F2377" t="str">
        <f>_xlfn.XLOOKUP(tblSales[[#This Row],[Store ID]],tblStores[Store ID],tblStores[Manager])</f>
        <v>Emma Baker</v>
      </c>
      <c r="G2377" t="str">
        <f>_xlfn.XLOOKUP(tblSales[[#This Row],[Category ID]],tblCategories[Category ID],tblCategories[Category])</f>
        <v>Ladieswear</v>
      </c>
      <c r="H2377">
        <v>100323</v>
      </c>
      <c r="I2377">
        <v>92686</v>
      </c>
      <c r="J2377">
        <v>213</v>
      </c>
      <c r="K2377">
        <f>tblSales[[#This Row],[Sales]]-tblSales[[#This Row],[Budget]]</f>
        <v>7637</v>
      </c>
      <c r="L2377" s="3">
        <f>(tblSales[[#This Row],[Sales]]-tblSales[[#This Row],[Budget]])/tblSales[[#This Row],[Budget]]</f>
        <v>8.2396478432557235E-2</v>
      </c>
      <c r="M2377" s="2">
        <f>tblSales[[#This Row],[Sales]]/tblSales[[#This Row],[Transactions]]</f>
        <v>471</v>
      </c>
    </row>
    <row r="2378" spans="1:13" x14ac:dyDescent="0.25">
      <c r="A2378" s="1">
        <v>46141</v>
      </c>
      <c r="B2378" t="s">
        <v>27</v>
      </c>
      <c r="C2378" t="s">
        <v>7</v>
      </c>
      <c r="D2378" t="str">
        <f>_xlfn.XLOOKUP(tblSales[[#This Row],[Store ID]],tblStores[Store ID],tblStores[Store Name])</f>
        <v>East London</v>
      </c>
      <c r="E2378" t="str">
        <f>_xlfn.XLOOKUP(tblSales[[#This Row],[Store ID]],tblStores[Store ID],tblStores[Province])</f>
        <v>Eastern Cape</v>
      </c>
      <c r="F2378" t="str">
        <f>_xlfn.XLOOKUP(tblSales[[#This Row],[Store ID]],tblStores[Store ID],tblStores[Manager])</f>
        <v>Daniel Evans</v>
      </c>
      <c r="G2378" t="str">
        <f>_xlfn.XLOOKUP(tblSales[[#This Row],[Category ID]],tblCategories[Category ID],tblCategories[Category])</f>
        <v>Menswear</v>
      </c>
      <c r="H2378">
        <v>24960</v>
      </c>
      <c r="I2378">
        <v>24172</v>
      </c>
      <c r="J2378">
        <v>96</v>
      </c>
      <c r="K2378">
        <f>tblSales[[#This Row],[Sales]]-tblSales[[#This Row],[Budget]]</f>
        <v>788</v>
      </c>
      <c r="L2378" s="3">
        <f>(tblSales[[#This Row],[Sales]]-tblSales[[#This Row],[Budget]])/tblSales[[#This Row],[Budget]]</f>
        <v>3.2599702134701307E-2</v>
      </c>
      <c r="M2378" s="2">
        <f>tblSales[[#This Row],[Sales]]/tblSales[[#This Row],[Transactions]]</f>
        <v>260</v>
      </c>
    </row>
    <row r="2379" spans="1:13" x14ac:dyDescent="0.25">
      <c r="A2379" s="1">
        <v>46141</v>
      </c>
      <c r="B2379" t="s">
        <v>28</v>
      </c>
      <c r="C2379" t="s">
        <v>19</v>
      </c>
      <c r="D2379" t="str">
        <f>_xlfn.XLOOKUP(tblSales[[#This Row],[Store ID]],tblStores[Store ID],tblStores[Store Name])</f>
        <v>Bloemfontein</v>
      </c>
      <c r="E2379" t="str">
        <f>_xlfn.XLOOKUP(tblSales[[#This Row],[Store ID]],tblStores[Store ID],tblStores[Province])</f>
        <v>Free State</v>
      </c>
      <c r="F2379" t="str">
        <f>_xlfn.XLOOKUP(tblSales[[#This Row],[Store ID]],tblStores[Store ID],tblStores[Manager])</f>
        <v>Rachel Moore</v>
      </c>
      <c r="G2379" t="str">
        <f>_xlfn.XLOOKUP(tblSales[[#This Row],[Category ID]],tblCategories[Category ID],tblCategories[Category])</f>
        <v>Accessories</v>
      </c>
      <c r="H2379">
        <v>23326</v>
      </c>
      <c r="I2379">
        <v>25064</v>
      </c>
      <c r="J2379">
        <v>109</v>
      </c>
      <c r="K2379">
        <f>tblSales[[#This Row],[Sales]]-tblSales[[#This Row],[Budget]]</f>
        <v>-1738</v>
      </c>
      <c r="L2379" s="3">
        <f>(tblSales[[#This Row],[Sales]]-tblSales[[#This Row],[Budget]])/tblSales[[#This Row],[Budget]]</f>
        <v>-6.9342483242898184E-2</v>
      </c>
      <c r="M2379" s="2">
        <f>tblSales[[#This Row],[Sales]]/tblSales[[#This Row],[Transactions]]</f>
        <v>214</v>
      </c>
    </row>
    <row r="2380" spans="1:13" x14ac:dyDescent="0.25">
      <c r="A2380" s="1">
        <v>46141</v>
      </c>
      <c r="B2380" t="s">
        <v>29</v>
      </c>
      <c r="C2380" t="s">
        <v>9</v>
      </c>
      <c r="D2380" t="str">
        <f>_xlfn.XLOOKUP(tblSales[[#This Row],[Store ID]],tblStores[Store ID],tblStores[Store Name])</f>
        <v>Polokwane</v>
      </c>
      <c r="E2380" t="str">
        <f>_xlfn.XLOOKUP(tblSales[[#This Row],[Store ID]],tblStores[Store ID],tblStores[Province])</f>
        <v>Limpopo</v>
      </c>
      <c r="F2380" t="str">
        <f>_xlfn.XLOOKUP(tblSales[[#This Row],[Store ID]],tblStores[Store ID],tblStores[Manager])</f>
        <v>Kevin Harris</v>
      </c>
      <c r="G2380" t="str">
        <f>_xlfn.XLOOKUP(tblSales[[#This Row],[Category ID]],tblCategories[Category ID],tblCategories[Category])</f>
        <v>Ladieswear</v>
      </c>
      <c r="H2380">
        <v>62790</v>
      </c>
      <c r="I2380">
        <v>72089</v>
      </c>
      <c r="J2380">
        <v>161</v>
      </c>
      <c r="K2380">
        <f>tblSales[[#This Row],[Sales]]-tblSales[[#This Row],[Budget]]</f>
        <v>-9299</v>
      </c>
      <c r="L2380" s="3">
        <f>(tblSales[[#This Row],[Sales]]-tblSales[[#This Row],[Budget]])/tblSales[[#This Row],[Budget]]</f>
        <v>-0.12899332769215829</v>
      </c>
      <c r="M2380" s="2">
        <f>tblSales[[#This Row],[Sales]]/tblSales[[#This Row],[Transactions]]</f>
        <v>390</v>
      </c>
    </row>
    <row r="2381" spans="1:13" x14ac:dyDescent="0.25">
      <c r="A2381" s="1">
        <v>46141</v>
      </c>
      <c r="B2381" t="s">
        <v>30</v>
      </c>
      <c r="C2381" t="s">
        <v>19</v>
      </c>
      <c r="D2381" t="str">
        <f>_xlfn.XLOOKUP(tblSales[[#This Row],[Store ID]],tblStores[Store ID],tblStores[Store Name])</f>
        <v>Nelspruit</v>
      </c>
      <c r="E2381" t="str">
        <f>_xlfn.XLOOKUP(tblSales[[#This Row],[Store ID]],tblStores[Store ID],tblStores[Province])</f>
        <v>Mpumalanga</v>
      </c>
      <c r="F2381" t="str">
        <f>_xlfn.XLOOKUP(tblSales[[#This Row],[Store ID]],tblStores[Store ID],tblStores[Manager])</f>
        <v>Olivia Turner</v>
      </c>
      <c r="G2381" t="str">
        <f>_xlfn.XLOOKUP(tblSales[[#This Row],[Category ID]],tblCategories[Category ID],tblCategories[Category])</f>
        <v>Accessories</v>
      </c>
      <c r="H2381">
        <v>24288</v>
      </c>
      <c r="I2381">
        <v>22323</v>
      </c>
      <c r="J2381">
        <v>66</v>
      </c>
      <c r="K2381">
        <f>tblSales[[#This Row],[Sales]]-tblSales[[#This Row],[Budget]]</f>
        <v>1965</v>
      </c>
      <c r="L2381" s="3">
        <f>(tblSales[[#This Row],[Sales]]-tblSales[[#This Row],[Budget]])/tblSales[[#This Row],[Budget]]</f>
        <v>8.8025802983469958E-2</v>
      </c>
      <c r="M2381" s="2">
        <f>tblSales[[#This Row],[Sales]]/tblSales[[#This Row],[Transactions]]</f>
        <v>368</v>
      </c>
    </row>
    <row r="2382" spans="1:13" x14ac:dyDescent="0.25">
      <c r="A2382" s="1">
        <v>46142</v>
      </c>
      <c r="B2382" t="s">
        <v>6</v>
      </c>
      <c r="C2382" t="s">
        <v>7</v>
      </c>
      <c r="D2382" t="str">
        <f>_xlfn.XLOOKUP(tblSales[[#This Row],[Store ID]],tblStores[Store ID],tblStores[Store Name])</f>
        <v>Durban CBD</v>
      </c>
      <c r="E2382" t="str">
        <f>_xlfn.XLOOKUP(tblSales[[#This Row],[Store ID]],tblStores[Store ID],tblStores[Province])</f>
        <v>KZN</v>
      </c>
      <c r="F2382" t="str">
        <f>_xlfn.XLOOKUP(tblSales[[#This Row],[Store ID]],tblStores[Store ID],tblStores[Manager])</f>
        <v>Sarah Adams</v>
      </c>
      <c r="G2382" t="str">
        <f>_xlfn.XLOOKUP(tblSales[[#This Row],[Category ID]],tblCategories[Category ID],tblCategories[Category])</f>
        <v>Menswear</v>
      </c>
      <c r="H2382">
        <v>56744</v>
      </c>
      <c r="I2382">
        <v>56887</v>
      </c>
      <c r="J2382">
        <v>164</v>
      </c>
      <c r="K2382">
        <f>tblSales[[#This Row],[Sales]]-tblSales[[#This Row],[Budget]]</f>
        <v>-143</v>
      </c>
      <c r="L2382" s="3">
        <f>(tblSales[[#This Row],[Sales]]-tblSales[[#This Row],[Budget]])/tblSales[[#This Row],[Budget]]</f>
        <v>-2.5137553395327577E-3</v>
      </c>
      <c r="M2382" s="2">
        <f>tblSales[[#This Row],[Sales]]/tblSales[[#This Row],[Transactions]]</f>
        <v>346</v>
      </c>
    </row>
    <row r="2383" spans="1:13" x14ac:dyDescent="0.25">
      <c r="A2383" s="1">
        <v>46142</v>
      </c>
      <c r="B2383" t="s">
        <v>8</v>
      </c>
      <c r="C2383" t="s">
        <v>9</v>
      </c>
      <c r="D2383" t="str">
        <f>_xlfn.XLOOKUP(tblSales[[#This Row],[Store ID]],tblStores[Store ID],tblStores[Store Name])</f>
        <v>Gateway</v>
      </c>
      <c r="E2383" t="str">
        <f>_xlfn.XLOOKUP(tblSales[[#This Row],[Store ID]],tblStores[Store ID],tblStores[Province])</f>
        <v>KZN</v>
      </c>
      <c r="F2383" t="str">
        <f>_xlfn.XLOOKUP(tblSales[[#This Row],[Store ID]],tblStores[Store ID],tblStores[Manager])</f>
        <v>Michael Jones</v>
      </c>
      <c r="G2383" t="str">
        <f>_xlfn.XLOOKUP(tblSales[[#This Row],[Category ID]],tblCategories[Category ID],tblCategories[Category])</f>
        <v>Ladieswear</v>
      </c>
      <c r="H2383">
        <v>28314</v>
      </c>
      <c r="I2383">
        <v>29064</v>
      </c>
      <c r="J2383">
        <v>99</v>
      </c>
      <c r="K2383">
        <f>tblSales[[#This Row],[Sales]]-tblSales[[#This Row],[Budget]]</f>
        <v>-750</v>
      </c>
      <c r="L2383" s="3">
        <f>(tblSales[[#This Row],[Sales]]-tblSales[[#This Row],[Budget]])/tblSales[[#This Row],[Budget]]</f>
        <v>-2.5805119735755572E-2</v>
      </c>
      <c r="M2383" s="2">
        <f>tblSales[[#This Row],[Sales]]/tblSales[[#This Row],[Transactions]]</f>
        <v>286</v>
      </c>
    </row>
    <row r="2384" spans="1:13" x14ac:dyDescent="0.25">
      <c r="A2384" s="1">
        <v>46142</v>
      </c>
      <c r="B2384" t="s">
        <v>10</v>
      </c>
      <c r="C2384" t="s">
        <v>11</v>
      </c>
      <c r="D2384" t="str">
        <f>_xlfn.XLOOKUP(tblSales[[#This Row],[Store ID]],tblStores[Store ID],tblStores[Store Name])</f>
        <v>Ballito</v>
      </c>
      <c r="E2384" t="str">
        <f>_xlfn.XLOOKUP(tblSales[[#This Row],[Store ID]],tblStores[Store ID],tblStores[Province])</f>
        <v>KZN</v>
      </c>
      <c r="F2384" t="str">
        <f>_xlfn.XLOOKUP(tblSales[[#This Row],[Store ID]],tblStores[Store ID],tblStores[Manager])</f>
        <v>Linda Smith</v>
      </c>
      <c r="G2384" t="str">
        <f>_xlfn.XLOOKUP(tblSales[[#This Row],[Category ID]],tblCategories[Category ID],tblCategories[Category])</f>
        <v>Footwear</v>
      </c>
      <c r="H2384">
        <v>8897</v>
      </c>
      <c r="I2384">
        <v>9428</v>
      </c>
      <c r="J2384">
        <v>41</v>
      </c>
      <c r="K2384">
        <f>tblSales[[#This Row],[Sales]]-tblSales[[#This Row],[Budget]]</f>
        <v>-531</v>
      </c>
      <c r="L2384" s="3">
        <f>(tblSales[[#This Row],[Sales]]-tblSales[[#This Row],[Budget]])/tblSales[[#This Row],[Budget]]</f>
        <v>-5.6321595248196861E-2</v>
      </c>
      <c r="M2384" s="2">
        <f>tblSales[[#This Row],[Sales]]/tblSales[[#This Row],[Transactions]]</f>
        <v>217</v>
      </c>
    </row>
    <row r="2385" spans="1:13" x14ac:dyDescent="0.25">
      <c r="A2385" s="1">
        <v>46142</v>
      </c>
      <c r="B2385" t="s">
        <v>12</v>
      </c>
      <c r="C2385" t="s">
        <v>11</v>
      </c>
      <c r="D2385" t="str">
        <f>_xlfn.XLOOKUP(tblSales[[#This Row],[Store ID]],tblStores[Store ID],tblStores[Store Name])</f>
        <v>Pietermaritzburg</v>
      </c>
      <c r="E2385" t="str">
        <f>_xlfn.XLOOKUP(tblSales[[#This Row],[Store ID]],tblStores[Store ID],tblStores[Province])</f>
        <v>KZN</v>
      </c>
      <c r="F2385" t="str">
        <f>_xlfn.XLOOKUP(tblSales[[#This Row],[Store ID]],tblStores[Store ID],tblStores[Manager])</f>
        <v>Peter Brown</v>
      </c>
      <c r="G2385" t="str">
        <f>_xlfn.XLOOKUP(tblSales[[#This Row],[Category ID]],tblCategories[Category ID],tblCategories[Category])</f>
        <v>Footwear</v>
      </c>
      <c r="H2385">
        <v>46860</v>
      </c>
      <c r="I2385">
        <v>50912</v>
      </c>
      <c r="J2385">
        <v>132</v>
      </c>
      <c r="K2385">
        <f>tblSales[[#This Row],[Sales]]-tblSales[[#This Row],[Budget]]</f>
        <v>-4052</v>
      </c>
      <c r="L2385" s="3">
        <f>(tblSales[[#This Row],[Sales]]-tblSales[[#This Row],[Budget]])/tblSales[[#This Row],[Budget]]</f>
        <v>-7.9588309239472035E-2</v>
      </c>
      <c r="M2385" s="2">
        <f>tblSales[[#This Row],[Sales]]/tblSales[[#This Row],[Transactions]]</f>
        <v>355</v>
      </c>
    </row>
    <row r="2386" spans="1:13" x14ac:dyDescent="0.25">
      <c r="A2386" s="1">
        <v>46142</v>
      </c>
      <c r="B2386" t="s">
        <v>13</v>
      </c>
      <c r="C2386" t="s">
        <v>9</v>
      </c>
      <c r="D2386" t="str">
        <f>_xlfn.XLOOKUP(tblSales[[#This Row],[Store ID]],tblStores[Store ID],tblStores[Store Name])</f>
        <v>Richards Bay</v>
      </c>
      <c r="E2386" t="str">
        <f>_xlfn.XLOOKUP(tblSales[[#This Row],[Store ID]],tblStores[Store ID],tblStores[Province])</f>
        <v>KZN</v>
      </c>
      <c r="F2386" t="str">
        <f>_xlfn.XLOOKUP(tblSales[[#This Row],[Store ID]],tblStores[Store ID],tblStores[Manager])</f>
        <v>David Green</v>
      </c>
      <c r="G2386" t="str">
        <f>_xlfn.XLOOKUP(tblSales[[#This Row],[Category ID]],tblCategories[Category ID],tblCategories[Category])</f>
        <v>Ladieswear</v>
      </c>
      <c r="H2386">
        <v>27064</v>
      </c>
      <c r="I2386">
        <v>24430</v>
      </c>
      <c r="J2386">
        <v>136</v>
      </c>
      <c r="K2386">
        <f>tblSales[[#This Row],[Sales]]-tblSales[[#This Row],[Budget]]</f>
        <v>2634</v>
      </c>
      <c r="L2386" s="3">
        <f>(tblSales[[#This Row],[Sales]]-tblSales[[#This Row],[Budget]])/tblSales[[#This Row],[Budget]]</f>
        <v>0.10781825624232501</v>
      </c>
      <c r="M2386" s="2">
        <f>tblSales[[#This Row],[Sales]]/tblSales[[#This Row],[Transactions]]</f>
        <v>199</v>
      </c>
    </row>
    <row r="2387" spans="1:13" x14ac:dyDescent="0.25">
      <c r="A2387" s="1">
        <v>46142</v>
      </c>
      <c r="B2387" t="s">
        <v>14</v>
      </c>
      <c r="C2387" t="s">
        <v>7</v>
      </c>
      <c r="D2387" t="str">
        <f>_xlfn.XLOOKUP(tblSales[[#This Row],[Store ID]],tblStores[Store ID],tblStores[Store Name])</f>
        <v>Sandton</v>
      </c>
      <c r="E2387" t="str">
        <f>_xlfn.XLOOKUP(tblSales[[#This Row],[Store ID]],tblStores[Store ID],tblStores[Province])</f>
        <v>Gauteng</v>
      </c>
      <c r="F2387" t="str">
        <f>_xlfn.XLOOKUP(tblSales[[#This Row],[Store ID]],tblStores[Store ID],tblStores[Manager])</f>
        <v>Karen White</v>
      </c>
      <c r="G2387" t="str">
        <f>_xlfn.XLOOKUP(tblSales[[#This Row],[Category ID]],tblCategories[Category ID],tblCategories[Category])</f>
        <v>Menswear</v>
      </c>
      <c r="H2387">
        <v>53784</v>
      </c>
      <c r="I2387">
        <v>52803</v>
      </c>
      <c r="J2387">
        <v>216</v>
      </c>
      <c r="K2387">
        <f>tblSales[[#This Row],[Sales]]-tblSales[[#This Row],[Budget]]</f>
        <v>981</v>
      </c>
      <c r="L2387" s="3">
        <f>(tblSales[[#This Row],[Sales]]-tblSales[[#This Row],[Budget]])/tblSales[[#This Row],[Budget]]</f>
        <v>1.8578489858530764E-2</v>
      </c>
      <c r="M2387" s="2">
        <f>tblSales[[#This Row],[Sales]]/tblSales[[#This Row],[Transactions]]</f>
        <v>249</v>
      </c>
    </row>
    <row r="2388" spans="1:13" x14ac:dyDescent="0.25">
      <c r="A2388" s="1">
        <v>46142</v>
      </c>
      <c r="B2388" t="s">
        <v>15</v>
      </c>
      <c r="C2388" t="s">
        <v>11</v>
      </c>
      <c r="D2388" t="str">
        <f>_xlfn.XLOOKUP(tblSales[[#This Row],[Store ID]],tblStores[Store ID],tblStores[Store Name])</f>
        <v>Rosebank</v>
      </c>
      <c r="E2388" t="str">
        <f>_xlfn.XLOOKUP(tblSales[[#This Row],[Store ID]],tblStores[Store ID],tblStores[Province])</f>
        <v>Gauteng</v>
      </c>
      <c r="F2388" t="str">
        <f>_xlfn.XLOOKUP(tblSales[[#This Row],[Store ID]],tblStores[Store ID],tblStores[Manager])</f>
        <v>James Taylor</v>
      </c>
      <c r="G2388" t="str">
        <f>_xlfn.XLOOKUP(tblSales[[#This Row],[Category ID]],tblCategories[Category ID],tblCategories[Category])</f>
        <v>Footwear</v>
      </c>
      <c r="H2388">
        <v>66144</v>
      </c>
      <c r="I2388">
        <v>60657</v>
      </c>
      <c r="J2388">
        <v>159</v>
      </c>
      <c r="K2388">
        <f>tblSales[[#This Row],[Sales]]-tblSales[[#This Row],[Budget]]</f>
        <v>5487</v>
      </c>
      <c r="L2388" s="3">
        <f>(tblSales[[#This Row],[Sales]]-tblSales[[#This Row],[Budget]])/tblSales[[#This Row],[Budget]]</f>
        <v>9.0459468816459762E-2</v>
      </c>
      <c r="M2388" s="2">
        <f>tblSales[[#This Row],[Sales]]/tblSales[[#This Row],[Transactions]]</f>
        <v>416</v>
      </c>
    </row>
    <row r="2389" spans="1:13" x14ac:dyDescent="0.25">
      <c r="A2389" s="1">
        <v>46142</v>
      </c>
      <c r="B2389" t="s">
        <v>16</v>
      </c>
      <c r="C2389" t="s">
        <v>19</v>
      </c>
      <c r="D2389" t="str">
        <f>_xlfn.XLOOKUP(tblSales[[#This Row],[Store ID]],tblStores[Store ID],tblStores[Store Name])</f>
        <v>Pretoria</v>
      </c>
      <c r="E2389" t="str">
        <f>_xlfn.XLOOKUP(tblSales[[#This Row],[Store ID]],tblStores[Store ID],tblStores[Province])</f>
        <v>Gauteng</v>
      </c>
      <c r="F2389" t="str">
        <f>_xlfn.XLOOKUP(tblSales[[#This Row],[Store ID]],tblStores[Store ID],tblStores[Manager])</f>
        <v>Susan Clark</v>
      </c>
      <c r="G2389" t="str">
        <f>_xlfn.XLOOKUP(tblSales[[#This Row],[Category ID]],tblCategories[Category ID],tblCategories[Category])</f>
        <v>Accessories</v>
      </c>
      <c r="H2389">
        <v>61712</v>
      </c>
      <c r="I2389">
        <v>66549</v>
      </c>
      <c r="J2389">
        <v>203</v>
      </c>
      <c r="K2389">
        <f>tblSales[[#This Row],[Sales]]-tblSales[[#This Row],[Budget]]</f>
        <v>-4837</v>
      </c>
      <c r="L2389" s="3">
        <f>(tblSales[[#This Row],[Sales]]-tblSales[[#This Row],[Budget]])/tblSales[[#This Row],[Budget]]</f>
        <v>-7.2683285999789626E-2</v>
      </c>
      <c r="M2389" s="2">
        <f>tblSales[[#This Row],[Sales]]/tblSales[[#This Row],[Transactions]]</f>
        <v>304</v>
      </c>
    </row>
    <row r="2390" spans="1:13" x14ac:dyDescent="0.25">
      <c r="A2390" s="1">
        <v>46142</v>
      </c>
      <c r="B2390" t="s">
        <v>17</v>
      </c>
      <c r="C2390" t="s">
        <v>11</v>
      </c>
      <c r="D2390" t="str">
        <f>_xlfn.XLOOKUP(tblSales[[#This Row],[Store ID]],tblStores[Store ID],tblStores[Store Name])</f>
        <v>Centurion</v>
      </c>
      <c r="E2390" t="str">
        <f>_xlfn.XLOOKUP(tblSales[[#This Row],[Store ID]],tblStores[Store ID],tblStores[Province])</f>
        <v>Gauteng</v>
      </c>
      <c r="F2390" t="str">
        <f>_xlfn.XLOOKUP(tblSales[[#This Row],[Store ID]],tblStores[Store ID],tblStores[Manager])</f>
        <v>Mark Wilson</v>
      </c>
      <c r="G2390" t="str">
        <f>_xlfn.XLOOKUP(tblSales[[#This Row],[Category ID]],tblCategories[Category ID],tblCategories[Category])</f>
        <v>Footwear</v>
      </c>
      <c r="H2390">
        <v>29470</v>
      </c>
      <c r="I2390">
        <v>32567</v>
      </c>
      <c r="J2390">
        <v>70</v>
      </c>
      <c r="K2390">
        <f>tblSales[[#This Row],[Sales]]-tblSales[[#This Row],[Budget]]</f>
        <v>-3097</v>
      </c>
      <c r="L2390" s="3">
        <f>(tblSales[[#This Row],[Sales]]-tblSales[[#This Row],[Budget]])/tblSales[[#This Row],[Budget]]</f>
        <v>-9.5096263088402369E-2</v>
      </c>
      <c r="M2390" s="2">
        <f>tblSales[[#This Row],[Sales]]/tblSales[[#This Row],[Transactions]]</f>
        <v>421</v>
      </c>
    </row>
    <row r="2391" spans="1:13" x14ac:dyDescent="0.25">
      <c r="A2391" s="1">
        <v>46142</v>
      </c>
      <c r="B2391" t="s">
        <v>18</v>
      </c>
      <c r="C2391" t="s">
        <v>9</v>
      </c>
      <c r="D2391" t="str">
        <f>_xlfn.XLOOKUP(tblSales[[#This Row],[Store ID]],tblStores[Store ID],tblStores[Store Name])</f>
        <v>East Rand</v>
      </c>
      <c r="E2391" t="str">
        <f>_xlfn.XLOOKUP(tblSales[[#This Row],[Store ID]],tblStores[Store ID],tblStores[Province])</f>
        <v>Gauteng</v>
      </c>
      <c r="F2391" t="str">
        <f>_xlfn.XLOOKUP(tblSales[[#This Row],[Store ID]],tblStores[Store ID],tblStores[Manager])</f>
        <v>Lisa Young</v>
      </c>
      <c r="G2391" t="str">
        <f>_xlfn.XLOOKUP(tblSales[[#This Row],[Category ID]],tblCategories[Category ID],tblCategories[Category])</f>
        <v>Ladieswear</v>
      </c>
      <c r="H2391">
        <v>14742</v>
      </c>
      <c r="I2391">
        <v>15504</v>
      </c>
      <c r="J2391">
        <v>78</v>
      </c>
      <c r="K2391">
        <f>tblSales[[#This Row],[Sales]]-tblSales[[#This Row],[Budget]]</f>
        <v>-762</v>
      </c>
      <c r="L2391" s="3">
        <f>(tblSales[[#This Row],[Sales]]-tblSales[[#This Row],[Budget]])/tblSales[[#This Row],[Budget]]</f>
        <v>-4.9148606811145509E-2</v>
      </c>
      <c r="M2391" s="2">
        <f>tblSales[[#This Row],[Sales]]/tblSales[[#This Row],[Transactions]]</f>
        <v>189</v>
      </c>
    </row>
    <row r="2392" spans="1:13" x14ac:dyDescent="0.25">
      <c r="A2392" s="1">
        <v>46142</v>
      </c>
      <c r="B2392" t="s">
        <v>20</v>
      </c>
      <c r="C2392" t="s">
        <v>9</v>
      </c>
      <c r="D2392" t="str">
        <f>_xlfn.XLOOKUP(tblSales[[#This Row],[Store ID]],tblStores[Store ID],tblStores[Store Name])</f>
        <v>Cape Town CBD</v>
      </c>
      <c r="E2392" t="str">
        <f>_xlfn.XLOOKUP(tblSales[[#This Row],[Store ID]],tblStores[Store ID],tblStores[Province])</f>
        <v>Western Cape</v>
      </c>
      <c r="F2392" t="str">
        <f>_xlfn.XLOOKUP(tblSales[[#This Row],[Store ID]],tblStores[Store ID],tblStores[Manager])</f>
        <v>Brian Hall</v>
      </c>
      <c r="G2392" t="str">
        <f>_xlfn.XLOOKUP(tblSales[[#This Row],[Category ID]],tblCategories[Category ID],tblCategories[Category])</f>
        <v>Ladieswear</v>
      </c>
      <c r="H2392">
        <v>26730</v>
      </c>
      <c r="I2392">
        <v>27629</v>
      </c>
      <c r="J2392">
        <v>110</v>
      </c>
      <c r="K2392">
        <f>tblSales[[#This Row],[Sales]]-tblSales[[#This Row],[Budget]]</f>
        <v>-899</v>
      </c>
      <c r="L2392" s="3">
        <f>(tblSales[[#This Row],[Sales]]-tblSales[[#This Row],[Budget]])/tblSales[[#This Row],[Budget]]</f>
        <v>-3.2538275000904844E-2</v>
      </c>
      <c r="M2392" s="2">
        <f>tblSales[[#This Row],[Sales]]/tblSales[[#This Row],[Transactions]]</f>
        <v>243</v>
      </c>
    </row>
    <row r="2393" spans="1:13" x14ac:dyDescent="0.25">
      <c r="A2393" s="1">
        <v>46142</v>
      </c>
      <c r="B2393" t="s">
        <v>21</v>
      </c>
      <c r="C2393" t="s">
        <v>11</v>
      </c>
      <c r="D2393" t="str">
        <f>_xlfn.XLOOKUP(tblSales[[#This Row],[Store ID]],tblStores[Store ID],tblStores[Store Name])</f>
        <v>Canal Walk</v>
      </c>
      <c r="E2393" t="str">
        <f>_xlfn.XLOOKUP(tblSales[[#This Row],[Store ID]],tblStores[Store ID],tblStores[Province])</f>
        <v>Western Cape</v>
      </c>
      <c r="F2393" t="str">
        <f>_xlfn.XLOOKUP(tblSales[[#This Row],[Store ID]],tblStores[Store ID],tblStores[Manager])</f>
        <v>Megan Scott</v>
      </c>
      <c r="G2393" t="str">
        <f>_xlfn.XLOOKUP(tblSales[[#This Row],[Category ID]],tblCategories[Category ID],tblCategories[Category])</f>
        <v>Footwear</v>
      </c>
      <c r="H2393">
        <v>17082</v>
      </c>
      <c r="I2393">
        <v>18240</v>
      </c>
      <c r="J2393">
        <v>78</v>
      </c>
      <c r="K2393">
        <f>tblSales[[#This Row],[Sales]]-tblSales[[#This Row],[Budget]]</f>
        <v>-1158</v>
      </c>
      <c r="L2393" s="3">
        <f>(tblSales[[#This Row],[Sales]]-tblSales[[#This Row],[Budget]])/tblSales[[#This Row],[Budget]]</f>
        <v>-6.3486842105263161E-2</v>
      </c>
      <c r="M2393" s="2">
        <f>tblSales[[#This Row],[Sales]]/tblSales[[#This Row],[Transactions]]</f>
        <v>219</v>
      </c>
    </row>
    <row r="2394" spans="1:13" x14ac:dyDescent="0.25">
      <c r="A2394" s="1">
        <v>46142</v>
      </c>
      <c r="B2394" t="s">
        <v>23</v>
      </c>
      <c r="C2394" t="s">
        <v>7</v>
      </c>
      <c r="D2394" t="str">
        <f>_xlfn.XLOOKUP(tblSales[[#This Row],[Store ID]],tblStores[Store ID],tblStores[Store Name])</f>
        <v>Stellenbosch</v>
      </c>
      <c r="E2394" t="str">
        <f>_xlfn.XLOOKUP(tblSales[[#This Row],[Store ID]],tblStores[Store ID],tblStores[Province])</f>
        <v>Western Cape</v>
      </c>
      <c r="F2394" t="str">
        <f>_xlfn.XLOOKUP(tblSales[[#This Row],[Store ID]],tblStores[Store ID],tblStores[Manager])</f>
        <v>Jason King</v>
      </c>
      <c r="G2394" t="str">
        <f>_xlfn.XLOOKUP(tblSales[[#This Row],[Category ID]],tblCategories[Category ID],tblCategories[Category])</f>
        <v>Menswear</v>
      </c>
      <c r="H2394">
        <v>66352</v>
      </c>
      <c r="I2394">
        <v>62262</v>
      </c>
      <c r="J2394">
        <v>208</v>
      </c>
      <c r="K2394">
        <f>tblSales[[#This Row],[Sales]]-tblSales[[#This Row],[Budget]]</f>
        <v>4090</v>
      </c>
      <c r="L2394" s="3">
        <f>(tblSales[[#This Row],[Sales]]-tblSales[[#This Row],[Budget]])/tblSales[[#This Row],[Budget]]</f>
        <v>6.5690148083903499E-2</v>
      </c>
      <c r="M2394" s="2">
        <f>tblSales[[#This Row],[Sales]]/tblSales[[#This Row],[Transactions]]</f>
        <v>319</v>
      </c>
    </row>
    <row r="2395" spans="1:13" x14ac:dyDescent="0.25">
      <c r="A2395" s="1">
        <v>46142</v>
      </c>
      <c r="B2395" t="s">
        <v>24</v>
      </c>
      <c r="C2395" t="s">
        <v>22</v>
      </c>
      <c r="D2395" t="str">
        <f>_xlfn.XLOOKUP(tblSales[[#This Row],[Store ID]],tblStores[Store ID],tblStores[Store Name])</f>
        <v>George</v>
      </c>
      <c r="E2395" t="str">
        <f>_xlfn.XLOOKUP(tblSales[[#This Row],[Store ID]],tblStores[Store ID],tblStores[Province])</f>
        <v>Western Cape</v>
      </c>
      <c r="F2395" t="str">
        <f>_xlfn.XLOOKUP(tblSales[[#This Row],[Store ID]],tblStores[Store ID],tblStores[Manager])</f>
        <v>Chloe Hill</v>
      </c>
      <c r="G2395" t="str">
        <f>_xlfn.XLOOKUP(tblSales[[#This Row],[Category ID]],tblCategories[Category ID],tblCategories[Category])</f>
        <v>Kids</v>
      </c>
      <c r="H2395">
        <v>23200</v>
      </c>
      <c r="I2395">
        <v>25023</v>
      </c>
      <c r="J2395">
        <v>80</v>
      </c>
      <c r="K2395">
        <f>tblSales[[#This Row],[Sales]]-tblSales[[#This Row],[Budget]]</f>
        <v>-1823</v>
      </c>
      <c r="L2395" s="3">
        <f>(tblSales[[#This Row],[Sales]]-tblSales[[#This Row],[Budget]])/tblSales[[#This Row],[Budget]]</f>
        <v>-7.285297526275826E-2</v>
      </c>
      <c r="M2395" s="2">
        <f>tblSales[[#This Row],[Sales]]/tblSales[[#This Row],[Transactions]]</f>
        <v>290</v>
      </c>
    </row>
    <row r="2396" spans="1:13" x14ac:dyDescent="0.25">
      <c r="A2396" s="1">
        <v>46142</v>
      </c>
      <c r="B2396" t="s">
        <v>25</v>
      </c>
      <c r="C2396" t="s">
        <v>19</v>
      </c>
      <c r="D2396" t="str">
        <f>_xlfn.XLOOKUP(tblSales[[#This Row],[Store ID]],tblStores[Store ID],tblStores[Store Name])</f>
        <v>Paarl</v>
      </c>
      <c r="E2396" t="str">
        <f>_xlfn.XLOOKUP(tblSales[[#This Row],[Store ID]],tblStores[Store ID],tblStores[Province])</f>
        <v>Western Cape</v>
      </c>
      <c r="F2396" t="str">
        <f>_xlfn.XLOOKUP(tblSales[[#This Row],[Store ID]],tblStores[Store ID],tblStores[Manager])</f>
        <v>Andrew Lee</v>
      </c>
      <c r="G2396" t="str">
        <f>_xlfn.XLOOKUP(tblSales[[#This Row],[Category ID]],tblCategories[Category ID],tblCategories[Category])</f>
        <v>Accessories</v>
      </c>
      <c r="H2396">
        <v>36540</v>
      </c>
      <c r="I2396">
        <v>39250</v>
      </c>
      <c r="J2396">
        <v>90</v>
      </c>
      <c r="K2396">
        <f>tblSales[[#This Row],[Sales]]-tblSales[[#This Row],[Budget]]</f>
        <v>-2710</v>
      </c>
      <c r="L2396" s="3">
        <f>(tblSales[[#This Row],[Sales]]-tblSales[[#This Row],[Budget]])/tblSales[[#This Row],[Budget]]</f>
        <v>-6.9044585987261153E-2</v>
      </c>
      <c r="M2396" s="2">
        <f>tblSales[[#This Row],[Sales]]/tblSales[[#This Row],[Transactions]]</f>
        <v>406</v>
      </c>
    </row>
    <row r="2397" spans="1:13" x14ac:dyDescent="0.25">
      <c r="A2397" s="1">
        <v>46142</v>
      </c>
      <c r="B2397" t="s">
        <v>26</v>
      </c>
      <c r="C2397" t="s">
        <v>19</v>
      </c>
      <c r="D2397" t="str">
        <f>_xlfn.XLOOKUP(tblSales[[#This Row],[Store ID]],tblStores[Store ID],tblStores[Store Name])</f>
        <v>Gqeberha</v>
      </c>
      <c r="E2397" t="str">
        <f>_xlfn.XLOOKUP(tblSales[[#This Row],[Store ID]],tblStores[Store ID],tblStores[Province])</f>
        <v>Eastern Cape</v>
      </c>
      <c r="F2397" t="str">
        <f>_xlfn.XLOOKUP(tblSales[[#This Row],[Store ID]],tblStores[Store ID],tblStores[Manager])</f>
        <v>Emma Baker</v>
      </c>
      <c r="G2397" t="str">
        <f>_xlfn.XLOOKUP(tblSales[[#This Row],[Category ID]],tblCategories[Category ID],tblCategories[Category])</f>
        <v>Accessories</v>
      </c>
      <c r="H2397">
        <v>103281</v>
      </c>
      <c r="I2397">
        <v>111450</v>
      </c>
      <c r="J2397">
        <v>199</v>
      </c>
      <c r="K2397">
        <f>tblSales[[#This Row],[Sales]]-tblSales[[#This Row],[Budget]]</f>
        <v>-8169</v>
      </c>
      <c r="L2397" s="3">
        <f>(tblSales[[#This Row],[Sales]]-tblSales[[#This Row],[Budget]])/tblSales[[#This Row],[Budget]]</f>
        <v>-7.329744279946164E-2</v>
      </c>
      <c r="M2397" s="2">
        <f>tblSales[[#This Row],[Sales]]/tblSales[[#This Row],[Transactions]]</f>
        <v>519</v>
      </c>
    </row>
    <row r="2398" spans="1:13" x14ac:dyDescent="0.25">
      <c r="A2398" s="1">
        <v>46142</v>
      </c>
      <c r="B2398" t="s">
        <v>27</v>
      </c>
      <c r="C2398" t="s">
        <v>7</v>
      </c>
      <c r="D2398" t="str">
        <f>_xlfn.XLOOKUP(tblSales[[#This Row],[Store ID]],tblStores[Store ID],tblStores[Store Name])</f>
        <v>East London</v>
      </c>
      <c r="E2398" t="str">
        <f>_xlfn.XLOOKUP(tblSales[[#This Row],[Store ID]],tblStores[Store ID],tblStores[Province])</f>
        <v>Eastern Cape</v>
      </c>
      <c r="F2398" t="str">
        <f>_xlfn.XLOOKUP(tblSales[[#This Row],[Store ID]],tblStores[Store ID],tblStores[Manager])</f>
        <v>Daniel Evans</v>
      </c>
      <c r="G2398" t="str">
        <f>_xlfn.XLOOKUP(tblSales[[#This Row],[Category ID]],tblCategories[Category ID],tblCategories[Category])</f>
        <v>Menswear</v>
      </c>
      <c r="H2398">
        <v>45158</v>
      </c>
      <c r="I2398">
        <v>45654</v>
      </c>
      <c r="J2398">
        <v>134</v>
      </c>
      <c r="K2398">
        <f>tblSales[[#This Row],[Sales]]-tblSales[[#This Row],[Budget]]</f>
        <v>-496</v>
      </c>
      <c r="L2398" s="3">
        <f>(tblSales[[#This Row],[Sales]]-tblSales[[#This Row],[Budget]])/tblSales[[#This Row],[Budget]]</f>
        <v>-1.0864327331668639E-2</v>
      </c>
      <c r="M2398" s="2">
        <f>tblSales[[#This Row],[Sales]]/tblSales[[#This Row],[Transactions]]</f>
        <v>337</v>
      </c>
    </row>
    <row r="2399" spans="1:13" x14ac:dyDescent="0.25">
      <c r="A2399" s="1">
        <v>46142</v>
      </c>
      <c r="B2399" t="s">
        <v>28</v>
      </c>
      <c r="C2399" t="s">
        <v>19</v>
      </c>
      <c r="D2399" t="str">
        <f>_xlfn.XLOOKUP(tblSales[[#This Row],[Store ID]],tblStores[Store ID],tblStores[Store Name])</f>
        <v>Bloemfontein</v>
      </c>
      <c r="E2399" t="str">
        <f>_xlfn.XLOOKUP(tblSales[[#This Row],[Store ID]],tblStores[Store ID],tblStores[Province])</f>
        <v>Free State</v>
      </c>
      <c r="F2399" t="str">
        <f>_xlfn.XLOOKUP(tblSales[[#This Row],[Store ID]],tblStores[Store ID],tblStores[Manager])</f>
        <v>Rachel Moore</v>
      </c>
      <c r="G2399" t="str">
        <f>_xlfn.XLOOKUP(tblSales[[#This Row],[Category ID]],tblCategories[Category ID],tblCategories[Category])</f>
        <v>Accessories</v>
      </c>
      <c r="H2399">
        <v>7344</v>
      </c>
      <c r="I2399">
        <v>8027</v>
      </c>
      <c r="J2399">
        <v>36</v>
      </c>
      <c r="K2399">
        <f>tblSales[[#This Row],[Sales]]-tblSales[[#This Row],[Budget]]</f>
        <v>-683</v>
      </c>
      <c r="L2399" s="3">
        <f>(tblSales[[#This Row],[Sales]]-tblSales[[#This Row],[Budget]])/tblSales[[#This Row],[Budget]]</f>
        <v>-8.5087828578547409E-2</v>
      </c>
      <c r="M2399" s="2">
        <f>tblSales[[#This Row],[Sales]]/tblSales[[#This Row],[Transactions]]</f>
        <v>204</v>
      </c>
    </row>
    <row r="2400" spans="1:13" x14ac:dyDescent="0.25">
      <c r="A2400" s="1">
        <v>46142</v>
      </c>
      <c r="B2400" t="s">
        <v>29</v>
      </c>
      <c r="C2400" t="s">
        <v>9</v>
      </c>
      <c r="D2400" t="str">
        <f>_xlfn.XLOOKUP(tblSales[[#This Row],[Store ID]],tblStores[Store ID],tblStores[Store Name])</f>
        <v>Polokwane</v>
      </c>
      <c r="E2400" t="str">
        <f>_xlfn.XLOOKUP(tblSales[[#This Row],[Store ID]],tblStores[Store ID],tblStores[Province])</f>
        <v>Limpopo</v>
      </c>
      <c r="F2400" t="str">
        <f>_xlfn.XLOOKUP(tblSales[[#This Row],[Store ID]],tblStores[Store ID],tblStores[Manager])</f>
        <v>Kevin Harris</v>
      </c>
      <c r="G2400" t="str">
        <f>_xlfn.XLOOKUP(tblSales[[#This Row],[Category ID]],tblCategories[Category ID],tblCategories[Category])</f>
        <v>Ladieswear</v>
      </c>
      <c r="H2400">
        <v>36358</v>
      </c>
      <c r="I2400">
        <v>40982</v>
      </c>
      <c r="J2400">
        <v>98</v>
      </c>
      <c r="K2400">
        <f>tblSales[[#This Row],[Sales]]-tblSales[[#This Row],[Budget]]</f>
        <v>-4624</v>
      </c>
      <c r="L2400" s="3">
        <f>(tblSales[[#This Row],[Sales]]-tblSales[[#This Row],[Budget]])/tblSales[[#This Row],[Budget]]</f>
        <v>-0.11283002293689913</v>
      </c>
      <c r="M2400" s="2">
        <f>tblSales[[#This Row],[Sales]]/tblSales[[#This Row],[Transactions]]</f>
        <v>371</v>
      </c>
    </row>
    <row r="2401" spans="1:13" x14ac:dyDescent="0.25">
      <c r="A2401" s="1">
        <v>46142</v>
      </c>
      <c r="B2401" t="s">
        <v>30</v>
      </c>
      <c r="C2401" t="s">
        <v>9</v>
      </c>
      <c r="D2401" t="str">
        <f>_xlfn.XLOOKUP(tblSales[[#This Row],[Store ID]],tblStores[Store ID],tblStores[Store Name])</f>
        <v>Nelspruit</v>
      </c>
      <c r="E2401" t="str">
        <f>_xlfn.XLOOKUP(tblSales[[#This Row],[Store ID]],tblStores[Store ID],tblStores[Province])</f>
        <v>Mpumalanga</v>
      </c>
      <c r="F2401" t="str">
        <f>_xlfn.XLOOKUP(tblSales[[#This Row],[Store ID]],tblStores[Store ID],tblStores[Manager])</f>
        <v>Olivia Turner</v>
      </c>
      <c r="G2401" t="str">
        <f>_xlfn.XLOOKUP(tblSales[[#This Row],[Category ID]],tblCategories[Category ID],tblCategories[Category])</f>
        <v>Ladieswear</v>
      </c>
      <c r="H2401">
        <v>10904</v>
      </c>
      <c r="I2401">
        <v>10963</v>
      </c>
      <c r="J2401">
        <v>58</v>
      </c>
      <c r="K2401">
        <f>tblSales[[#This Row],[Sales]]-tblSales[[#This Row],[Budget]]</f>
        <v>-59</v>
      </c>
      <c r="L2401" s="3">
        <f>(tblSales[[#This Row],[Sales]]-tblSales[[#This Row],[Budget]])/tblSales[[#This Row],[Budget]]</f>
        <v>-5.3817385752075158E-3</v>
      </c>
      <c r="M2401" s="2">
        <f>tblSales[[#This Row],[Sales]]/tblSales[[#This Row],[Transactions]]</f>
        <v>188</v>
      </c>
    </row>
    <row r="2402" spans="1:13" x14ac:dyDescent="0.25">
      <c r="A2402" s="1">
        <v>46143</v>
      </c>
      <c r="B2402" t="s">
        <v>6</v>
      </c>
      <c r="C2402" t="s">
        <v>7</v>
      </c>
      <c r="D2402" t="str">
        <f>_xlfn.XLOOKUP(tblSales[[#This Row],[Store ID]],tblStores[Store ID],tblStores[Store Name])</f>
        <v>Durban CBD</v>
      </c>
      <c r="E2402" t="str">
        <f>_xlfn.XLOOKUP(tblSales[[#This Row],[Store ID]],tblStores[Store ID],tblStores[Province])</f>
        <v>KZN</v>
      </c>
      <c r="F2402" t="str">
        <f>_xlfn.XLOOKUP(tblSales[[#This Row],[Store ID]],tblStores[Store ID],tblStores[Manager])</f>
        <v>Sarah Adams</v>
      </c>
      <c r="G2402" t="str">
        <f>_xlfn.XLOOKUP(tblSales[[#This Row],[Category ID]],tblCategories[Category ID],tblCategories[Category])</f>
        <v>Menswear</v>
      </c>
      <c r="H2402">
        <v>33638</v>
      </c>
      <c r="I2402">
        <v>35992</v>
      </c>
      <c r="J2402">
        <v>121</v>
      </c>
      <c r="K2402">
        <f>tblSales[[#This Row],[Sales]]-tblSales[[#This Row],[Budget]]</f>
        <v>-2354</v>
      </c>
      <c r="L2402" s="3">
        <f>(tblSales[[#This Row],[Sales]]-tblSales[[#This Row],[Budget]])/tblSales[[#This Row],[Budget]]</f>
        <v>-6.5403422982885082E-2</v>
      </c>
      <c r="M2402" s="2">
        <f>tblSales[[#This Row],[Sales]]/tblSales[[#This Row],[Transactions]]</f>
        <v>278</v>
      </c>
    </row>
    <row r="2403" spans="1:13" x14ac:dyDescent="0.25">
      <c r="A2403" s="1">
        <v>46143</v>
      </c>
      <c r="B2403" t="s">
        <v>8</v>
      </c>
      <c r="C2403" t="s">
        <v>7</v>
      </c>
      <c r="D2403" t="str">
        <f>_xlfn.XLOOKUP(tblSales[[#This Row],[Store ID]],tblStores[Store ID],tblStores[Store Name])</f>
        <v>Gateway</v>
      </c>
      <c r="E2403" t="str">
        <f>_xlfn.XLOOKUP(tblSales[[#This Row],[Store ID]],tblStores[Store ID],tblStores[Province])</f>
        <v>KZN</v>
      </c>
      <c r="F2403" t="str">
        <f>_xlfn.XLOOKUP(tblSales[[#This Row],[Store ID]],tblStores[Store ID],tblStores[Manager])</f>
        <v>Michael Jones</v>
      </c>
      <c r="G2403" t="str">
        <f>_xlfn.XLOOKUP(tblSales[[#This Row],[Category ID]],tblCategories[Category ID],tblCategories[Category])</f>
        <v>Menswear</v>
      </c>
      <c r="H2403">
        <v>20839</v>
      </c>
      <c r="I2403">
        <v>22906</v>
      </c>
      <c r="J2403">
        <v>91</v>
      </c>
      <c r="K2403">
        <f>tblSales[[#This Row],[Sales]]-tblSales[[#This Row],[Budget]]</f>
        <v>-2067</v>
      </c>
      <c r="L2403" s="3">
        <f>(tblSales[[#This Row],[Sales]]-tblSales[[#This Row],[Budget]])/tblSales[[#This Row],[Budget]]</f>
        <v>-9.0238365493757092E-2</v>
      </c>
      <c r="M2403" s="2">
        <f>tblSales[[#This Row],[Sales]]/tblSales[[#This Row],[Transactions]]</f>
        <v>229</v>
      </c>
    </row>
    <row r="2404" spans="1:13" x14ac:dyDescent="0.25">
      <c r="A2404" s="1">
        <v>46143</v>
      </c>
      <c r="B2404" t="s">
        <v>10</v>
      </c>
      <c r="C2404" t="s">
        <v>9</v>
      </c>
      <c r="D2404" t="str">
        <f>_xlfn.XLOOKUP(tblSales[[#This Row],[Store ID]],tblStores[Store ID],tblStores[Store Name])</f>
        <v>Ballito</v>
      </c>
      <c r="E2404" t="str">
        <f>_xlfn.XLOOKUP(tblSales[[#This Row],[Store ID]],tblStores[Store ID],tblStores[Province])</f>
        <v>KZN</v>
      </c>
      <c r="F2404" t="str">
        <f>_xlfn.XLOOKUP(tblSales[[#This Row],[Store ID]],tblStores[Store ID],tblStores[Manager])</f>
        <v>Linda Smith</v>
      </c>
      <c r="G2404" t="str">
        <f>_xlfn.XLOOKUP(tblSales[[#This Row],[Category ID]],tblCategories[Category ID],tblCategories[Category])</f>
        <v>Ladieswear</v>
      </c>
      <c r="H2404">
        <v>58300</v>
      </c>
      <c r="I2404">
        <v>53111</v>
      </c>
      <c r="J2404">
        <v>220</v>
      </c>
      <c r="K2404">
        <f>tblSales[[#This Row],[Sales]]-tblSales[[#This Row],[Budget]]</f>
        <v>5189</v>
      </c>
      <c r="L2404" s="3">
        <f>(tblSales[[#This Row],[Sales]]-tblSales[[#This Row],[Budget]])/tblSales[[#This Row],[Budget]]</f>
        <v>9.77010412155674E-2</v>
      </c>
      <c r="M2404" s="2">
        <f>tblSales[[#This Row],[Sales]]/tblSales[[#This Row],[Transactions]]</f>
        <v>265</v>
      </c>
    </row>
    <row r="2405" spans="1:13" x14ac:dyDescent="0.25">
      <c r="A2405" s="1">
        <v>46143</v>
      </c>
      <c r="B2405" t="s">
        <v>12</v>
      </c>
      <c r="C2405" t="s">
        <v>19</v>
      </c>
      <c r="D2405" t="str">
        <f>_xlfn.XLOOKUP(tblSales[[#This Row],[Store ID]],tblStores[Store ID],tblStores[Store Name])</f>
        <v>Pietermaritzburg</v>
      </c>
      <c r="E2405" t="str">
        <f>_xlfn.XLOOKUP(tblSales[[#This Row],[Store ID]],tblStores[Store ID],tblStores[Province])</f>
        <v>KZN</v>
      </c>
      <c r="F2405" t="str">
        <f>_xlfn.XLOOKUP(tblSales[[#This Row],[Store ID]],tblStores[Store ID],tblStores[Manager])</f>
        <v>Peter Brown</v>
      </c>
      <c r="G2405" t="str">
        <f>_xlfn.XLOOKUP(tblSales[[#This Row],[Category ID]],tblCategories[Category ID],tblCategories[Category])</f>
        <v>Accessories</v>
      </c>
      <c r="H2405">
        <v>21514</v>
      </c>
      <c r="I2405">
        <v>21098</v>
      </c>
      <c r="J2405">
        <v>62</v>
      </c>
      <c r="K2405">
        <f>tblSales[[#This Row],[Sales]]-tblSales[[#This Row],[Budget]]</f>
        <v>416</v>
      </c>
      <c r="L2405" s="3">
        <f>(tblSales[[#This Row],[Sales]]-tblSales[[#This Row],[Budget]])/tblSales[[#This Row],[Budget]]</f>
        <v>1.9717508768603658E-2</v>
      </c>
      <c r="M2405" s="2">
        <f>tblSales[[#This Row],[Sales]]/tblSales[[#This Row],[Transactions]]</f>
        <v>347</v>
      </c>
    </row>
    <row r="2406" spans="1:13" x14ac:dyDescent="0.25">
      <c r="A2406" s="1">
        <v>46143</v>
      </c>
      <c r="B2406" t="s">
        <v>13</v>
      </c>
      <c r="C2406" t="s">
        <v>9</v>
      </c>
      <c r="D2406" t="str">
        <f>_xlfn.XLOOKUP(tblSales[[#This Row],[Store ID]],tblStores[Store ID],tblStores[Store Name])</f>
        <v>Richards Bay</v>
      </c>
      <c r="E2406" t="str">
        <f>_xlfn.XLOOKUP(tblSales[[#This Row],[Store ID]],tblStores[Store ID],tblStores[Province])</f>
        <v>KZN</v>
      </c>
      <c r="F2406" t="str">
        <f>_xlfn.XLOOKUP(tblSales[[#This Row],[Store ID]],tblStores[Store ID],tblStores[Manager])</f>
        <v>David Green</v>
      </c>
      <c r="G2406" t="str">
        <f>_xlfn.XLOOKUP(tblSales[[#This Row],[Category ID]],tblCategories[Category ID],tblCategories[Category])</f>
        <v>Ladieswear</v>
      </c>
      <c r="H2406">
        <v>55484</v>
      </c>
      <c r="I2406">
        <v>62895</v>
      </c>
      <c r="J2406">
        <v>194</v>
      </c>
      <c r="K2406">
        <f>tblSales[[#This Row],[Sales]]-tblSales[[#This Row],[Budget]]</f>
        <v>-7411</v>
      </c>
      <c r="L2406" s="3">
        <f>(tblSales[[#This Row],[Sales]]-tblSales[[#This Row],[Budget]])/tblSales[[#This Row],[Budget]]</f>
        <v>-0.11783130614516257</v>
      </c>
      <c r="M2406" s="2">
        <f>tblSales[[#This Row],[Sales]]/tblSales[[#This Row],[Transactions]]</f>
        <v>286</v>
      </c>
    </row>
    <row r="2407" spans="1:13" x14ac:dyDescent="0.25">
      <c r="A2407" s="1">
        <v>46143</v>
      </c>
      <c r="B2407" t="s">
        <v>14</v>
      </c>
      <c r="C2407" t="s">
        <v>11</v>
      </c>
      <c r="D2407" t="str">
        <f>_xlfn.XLOOKUP(tblSales[[#This Row],[Store ID]],tblStores[Store ID],tblStores[Store Name])</f>
        <v>Sandton</v>
      </c>
      <c r="E2407" t="str">
        <f>_xlfn.XLOOKUP(tblSales[[#This Row],[Store ID]],tblStores[Store ID],tblStores[Province])</f>
        <v>Gauteng</v>
      </c>
      <c r="F2407" t="str">
        <f>_xlfn.XLOOKUP(tblSales[[#This Row],[Store ID]],tblStores[Store ID],tblStores[Manager])</f>
        <v>Karen White</v>
      </c>
      <c r="G2407" t="str">
        <f>_xlfn.XLOOKUP(tblSales[[#This Row],[Category ID]],tblCategories[Category ID],tblCategories[Category])</f>
        <v>Footwear</v>
      </c>
      <c r="H2407">
        <v>34704</v>
      </c>
      <c r="I2407">
        <v>33249</v>
      </c>
      <c r="J2407">
        <v>144</v>
      </c>
      <c r="K2407">
        <f>tblSales[[#This Row],[Sales]]-tblSales[[#This Row],[Budget]]</f>
        <v>1455</v>
      </c>
      <c r="L2407" s="3">
        <f>(tblSales[[#This Row],[Sales]]-tblSales[[#This Row],[Budget]])/tblSales[[#This Row],[Budget]]</f>
        <v>4.3760714607958134E-2</v>
      </c>
      <c r="M2407" s="2">
        <f>tblSales[[#This Row],[Sales]]/tblSales[[#This Row],[Transactions]]</f>
        <v>241</v>
      </c>
    </row>
    <row r="2408" spans="1:13" x14ac:dyDescent="0.25">
      <c r="A2408" s="1">
        <v>46143</v>
      </c>
      <c r="B2408" t="s">
        <v>15</v>
      </c>
      <c r="C2408" t="s">
        <v>7</v>
      </c>
      <c r="D2408" t="str">
        <f>_xlfn.XLOOKUP(tblSales[[#This Row],[Store ID]],tblStores[Store ID],tblStores[Store Name])</f>
        <v>Rosebank</v>
      </c>
      <c r="E2408" t="str">
        <f>_xlfn.XLOOKUP(tblSales[[#This Row],[Store ID]],tblStores[Store ID],tblStores[Province])</f>
        <v>Gauteng</v>
      </c>
      <c r="F2408" t="str">
        <f>_xlfn.XLOOKUP(tblSales[[#This Row],[Store ID]],tblStores[Store ID],tblStores[Manager])</f>
        <v>James Taylor</v>
      </c>
      <c r="G2408" t="str">
        <f>_xlfn.XLOOKUP(tblSales[[#This Row],[Category ID]],tblCategories[Category ID],tblCategories[Category])</f>
        <v>Menswear</v>
      </c>
      <c r="H2408">
        <v>43470</v>
      </c>
      <c r="I2408">
        <v>41009</v>
      </c>
      <c r="J2408">
        <v>126</v>
      </c>
      <c r="K2408">
        <f>tblSales[[#This Row],[Sales]]-tblSales[[#This Row],[Budget]]</f>
        <v>2461</v>
      </c>
      <c r="L2408" s="3">
        <f>(tblSales[[#This Row],[Sales]]-tblSales[[#This Row],[Budget]])/tblSales[[#This Row],[Budget]]</f>
        <v>6.0011217049915869E-2</v>
      </c>
      <c r="M2408" s="2">
        <f>tblSales[[#This Row],[Sales]]/tblSales[[#This Row],[Transactions]]</f>
        <v>345</v>
      </c>
    </row>
    <row r="2409" spans="1:13" x14ac:dyDescent="0.25">
      <c r="A2409" s="1">
        <v>46143</v>
      </c>
      <c r="B2409" t="s">
        <v>16</v>
      </c>
      <c r="C2409" t="s">
        <v>11</v>
      </c>
      <c r="D2409" t="str">
        <f>_xlfn.XLOOKUP(tblSales[[#This Row],[Store ID]],tblStores[Store ID],tblStores[Store Name])</f>
        <v>Pretoria</v>
      </c>
      <c r="E2409" t="str">
        <f>_xlfn.XLOOKUP(tblSales[[#This Row],[Store ID]],tblStores[Store ID],tblStores[Province])</f>
        <v>Gauteng</v>
      </c>
      <c r="F2409" t="str">
        <f>_xlfn.XLOOKUP(tblSales[[#This Row],[Store ID]],tblStores[Store ID],tblStores[Manager])</f>
        <v>Susan Clark</v>
      </c>
      <c r="G2409" t="str">
        <f>_xlfn.XLOOKUP(tblSales[[#This Row],[Category ID]],tblCategories[Category ID],tblCategories[Category])</f>
        <v>Footwear</v>
      </c>
      <c r="H2409">
        <v>68882</v>
      </c>
      <c r="I2409">
        <v>62200</v>
      </c>
      <c r="J2409">
        <v>202</v>
      </c>
      <c r="K2409">
        <f>tblSales[[#This Row],[Sales]]-tblSales[[#This Row],[Budget]]</f>
        <v>6682</v>
      </c>
      <c r="L2409" s="3">
        <f>(tblSales[[#This Row],[Sales]]-tblSales[[#This Row],[Budget]])/tblSales[[#This Row],[Budget]]</f>
        <v>0.10742765273311897</v>
      </c>
      <c r="M2409" s="2">
        <f>tblSales[[#This Row],[Sales]]/tblSales[[#This Row],[Transactions]]</f>
        <v>341</v>
      </c>
    </row>
    <row r="2410" spans="1:13" x14ac:dyDescent="0.25">
      <c r="A2410" s="1">
        <v>46143</v>
      </c>
      <c r="B2410" t="s">
        <v>17</v>
      </c>
      <c r="C2410" t="s">
        <v>9</v>
      </c>
      <c r="D2410" t="str">
        <f>_xlfn.XLOOKUP(tblSales[[#This Row],[Store ID]],tblStores[Store ID],tblStores[Store Name])</f>
        <v>Centurion</v>
      </c>
      <c r="E2410" t="str">
        <f>_xlfn.XLOOKUP(tblSales[[#This Row],[Store ID]],tblStores[Store ID],tblStores[Province])</f>
        <v>Gauteng</v>
      </c>
      <c r="F2410" t="str">
        <f>_xlfn.XLOOKUP(tblSales[[#This Row],[Store ID]],tblStores[Store ID],tblStores[Manager])</f>
        <v>Mark Wilson</v>
      </c>
      <c r="G2410" t="str">
        <f>_xlfn.XLOOKUP(tblSales[[#This Row],[Category ID]],tblCategories[Category ID],tblCategories[Category])</f>
        <v>Ladieswear</v>
      </c>
      <c r="H2410">
        <v>44384</v>
      </c>
      <c r="I2410">
        <v>40678</v>
      </c>
      <c r="J2410">
        <v>152</v>
      </c>
      <c r="K2410">
        <f>tblSales[[#This Row],[Sales]]-tblSales[[#This Row],[Budget]]</f>
        <v>3706</v>
      </c>
      <c r="L2410" s="3">
        <f>(tblSales[[#This Row],[Sales]]-tblSales[[#This Row],[Budget]])/tblSales[[#This Row],[Budget]]</f>
        <v>9.1105757411868826E-2</v>
      </c>
      <c r="M2410" s="2">
        <f>tblSales[[#This Row],[Sales]]/tblSales[[#This Row],[Transactions]]</f>
        <v>292</v>
      </c>
    </row>
    <row r="2411" spans="1:13" x14ac:dyDescent="0.25">
      <c r="A2411" s="1">
        <v>46143</v>
      </c>
      <c r="B2411" t="s">
        <v>18</v>
      </c>
      <c r="C2411" t="s">
        <v>22</v>
      </c>
      <c r="D2411" t="str">
        <f>_xlfn.XLOOKUP(tblSales[[#This Row],[Store ID]],tblStores[Store ID],tblStores[Store Name])</f>
        <v>East Rand</v>
      </c>
      <c r="E2411" t="str">
        <f>_xlfn.XLOOKUP(tblSales[[#This Row],[Store ID]],tblStores[Store ID],tblStores[Province])</f>
        <v>Gauteng</v>
      </c>
      <c r="F2411" t="str">
        <f>_xlfn.XLOOKUP(tblSales[[#This Row],[Store ID]],tblStores[Store ID],tblStores[Manager])</f>
        <v>Lisa Young</v>
      </c>
      <c r="G2411" t="str">
        <f>_xlfn.XLOOKUP(tblSales[[#This Row],[Category ID]],tblCategories[Category ID],tblCategories[Category])</f>
        <v>Kids</v>
      </c>
      <c r="H2411">
        <v>100299</v>
      </c>
      <c r="I2411">
        <v>99521</v>
      </c>
      <c r="J2411">
        <v>201</v>
      </c>
      <c r="K2411">
        <f>tblSales[[#This Row],[Sales]]-tblSales[[#This Row],[Budget]]</f>
        <v>778</v>
      </c>
      <c r="L2411" s="3">
        <f>(tblSales[[#This Row],[Sales]]-tblSales[[#This Row],[Budget]])/tblSales[[#This Row],[Budget]]</f>
        <v>7.8174455642527705E-3</v>
      </c>
      <c r="M2411" s="2">
        <f>tblSales[[#This Row],[Sales]]/tblSales[[#This Row],[Transactions]]</f>
        <v>499</v>
      </c>
    </row>
    <row r="2412" spans="1:13" x14ac:dyDescent="0.25">
      <c r="A2412" s="1">
        <v>46143</v>
      </c>
      <c r="B2412" t="s">
        <v>20</v>
      </c>
      <c r="C2412" t="s">
        <v>7</v>
      </c>
      <c r="D2412" t="str">
        <f>_xlfn.XLOOKUP(tblSales[[#This Row],[Store ID]],tblStores[Store ID],tblStores[Store Name])</f>
        <v>Cape Town CBD</v>
      </c>
      <c r="E2412" t="str">
        <f>_xlfn.XLOOKUP(tblSales[[#This Row],[Store ID]],tblStores[Store ID],tblStores[Province])</f>
        <v>Western Cape</v>
      </c>
      <c r="F2412" t="str">
        <f>_xlfn.XLOOKUP(tblSales[[#This Row],[Store ID]],tblStores[Store ID],tblStores[Manager])</f>
        <v>Brian Hall</v>
      </c>
      <c r="G2412" t="str">
        <f>_xlfn.XLOOKUP(tblSales[[#This Row],[Category ID]],tblCategories[Category ID],tblCategories[Category])</f>
        <v>Menswear</v>
      </c>
      <c r="H2412">
        <v>35100</v>
      </c>
      <c r="I2412">
        <v>34235</v>
      </c>
      <c r="J2412">
        <v>90</v>
      </c>
      <c r="K2412">
        <f>tblSales[[#This Row],[Sales]]-tblSales[[#This Row],[Budget]]</f>
        <v>865</v>
      </c>
      <c r="L2412" s="3">
        <f>(tblSales[[#This Row],[Sales]]-tblSales[[#This Row],[Budget]])/tblSales[[#This Row],[Budget]]</f>
        <v>2.5266540090550606E-2</v>
      </c>
      <c r="M2412" s="2">
        <f>tblSales[[#This Row],[Sales]]/tblSales[[#This Row],[Transactions]]</f>
        <v>390</v>
      </c>
    </row>
    <row r="2413" spans="1:13" x14ac:dyDescent="0.25">
      <c r="A2413" s="1">
        <v>46143</v>
      </c>
      <c r="B2413" t="s">
        <v>21</v>
      </c>
      <c r="C2413" t="s">
        <v>19</v>
      </c>
      <c r="D2413" t="str">
        <f>_xlfn.XLOOKUP(tblSales[[#This Row],[Store ID]],tblStores[Store ID],tblStores[Store Name])</f>
        <v>Canal Walk</v>
      </c>
      <c r="E2413" t="str">
        <f>_xlfn.XLOOKUP(tblSales[[#This Row],[Store ID]],tblStores[Store ID],tblStores[Province])</f>
        <v>Western Cape</v>
      </c>
      <c r="F2413" t="str">
        <f>_xlfn.XLOOKUP(tblSales[[#This Row],[Store ID]],tblStores[Store ID],tblStores[Manager])</f>
        <v>Megan Scott</v>
      </c>
      <c r="G2413" t="str">
        <f>_xlfn.XLOOKUP(tblSales[[#This Row],[Category ID]],tblCategories[Category ID],tblCategories[Category])</f>
        <v>Accessories</v>
      </c>
      <c r="H2413">
        <v>37584</v>
      </c>
      <c r="I2413">
        <v>40520</v>
      </c>
      <c r="J2413">
        <v>162</v>
      </c>
      <c r="K2413">
        <f>tblSales[[#This Row],[Sales]]-tblSales[[#This Row],[Budget]]</f>
        <v>-2936</v>
      </c>
      <c r="L2413" s="3">
        <f>(tblSales[[#This Row],[Sales]]-tblSales[[#This Row],[Budget]])/tblSales[[#This Row],[Budget]]</f>
        <v>-7.2458045409674238E-2</v>
      </c>
      <c r="M2413" s="2">
        <f>tblSales[[#This Row],[Sales]]/tblSales[[#This Row],[Transactions]]</f>
        <v>232</v>
      </c>
    </row>
    <row r="2414" spans="1:13" x14ac:dyDescent="0.25">
      <c r="A2414" s="1">
        <v>46143</v>
      </c>
      <c r="B2414" t="s">
        <v>23</v>
      </c>
      <c r="C2414" t="s">
        <v>19</v>
      </c>
      <c r="D2414" t="str">
        <f>_xlfn.XLOOKUP(tblSales[[#This Row],[Store ID]],tblStores[Store ID],tblStores[Store Name])</f>
        <v>Stellenbosch</v>
      </c>
      <c r="E2414" t="str">
        <f>_xlfn.XLOOKUP(tblSales[[#This Row],[Store ID]],tblStores[Store ID],tblStores[Province])</f>
        <v>Western Cape</v>
      </c>
      <c r="F2414" t="str">
        <f>_xlfn.XLOOKUP(tblSales[[#This Row],[Store ID]],tblStores[Store ID],tblStores[Manager])</f>
        <v>Jason King</v>
      </c>
      <c r="G2414" t="str">
        <f>_xlfn.XLOOKUP(tblSales[[#This Row],[Category ID]],tblCategories[Category ID],tblCategories[Category])</f>
        <v>Accessories</v>
      </c>
      <c r="H2414">
        <v>24024</v>
      </c>
      <c r="I2414">
        <v>27381</v>
      </c>
      <c r="J2414">
        <v>78</v>
      </c>
      <c r="K2414">
        <f>tblSales[[#This Row],[Sales]]-tblSales[[#This Row],[Budget]]</f>
        <v>-3357</v>
      </c>
      <c r="L2414" s="3">
        <f>(tblSales[[#This Row],[Sales]]-tblSales[[#This Row],[Budget]])/tblSales[[#This Row],[Budget]]</f>
        <v>-0.12260326503779993</v>
      </c>
      <c r="M2414" s="2">
        <f>tblSales[[#This Row],[Sales]]/tblSales[[#This Row],[Transactions]]</f>
        <v>308</v>
      </c>
    </row>
    <row r="2415" spans="1:13" x14ac:dyDescent="0.25">
      <c r="A2415" s="1">
        <v>46143</v>
      </c>
      <c r="B2415" t="s">
        <v>24</v>
      </c>
      <c r="C2415" t="s">
        <v>19</v>
      </c>
      <c r="D2415" t="str">
        <f>_xlfn.XLOOKUP(tblSales[[#This Row],[Store ID]],tblStores[Store ID],tblStores[Store Name])</f>
        <v>George</v>
      </c>
      <c r="E2415" t="str">
        <f>_xlfn.XLOOKUP(tblSales[[#This Row],[Store ID]],tblStores[Store ID],tblStores[Province])</f>
        <v>Western Cape</v>
      </c>
      <c r="F2415" t="str">
        <f>_xlfn.XLOOKUP(tblSales[[#This Row],[Store ID]],tblStores[Store ID],tblStores[Manager])</f>
        <v>Chloe Hill</v>
      </c>
      <c r="G2415" t="str">
        <f>_xlfn.XLOOKUP(tblSales[[#This Row],[Category ID]],tblCategories[Category ID],tblCategories[Category])</f>
        <v>Accessories</v>
      </c>
      <c r="H2415">
        <v>59354</v>
      </c>
      <c r="I2415">
        <v>63750</v>
      </c>
      <c r="J2415">
        <v>118</v>
      </c>
      <c r="K2415">
        <f>tblSales[[#This Row],[Sales]]-tblSales[[#This Row],[Budget]]</f>
        <v>-4396</v>
      </c>
      <c r="L2415" s="3">
        <f>(tblSales[[#This Row],[Sales]]-tblSales[[#This Row],[Budget]])/tblSales[[#This Row],[Budget]]</f>
        <v>-6.8956862745098033E-2</v>
      </c>
      <c r="M2415" s="2">
        <f>tblSales[[#This Row],[Sales]]/tblSales[[#This Row],[Transactions]]</f>
        <v>503</v>
      </c>
    </row>
    <row r="2416" spans="1:13" x14ac:dyDescent="0.25">
      <c r="A2416" s="1">
        <v>46143</v>
      </c>
      <c r="B2416" t="s">
        <v>25</v>
      </c>
      <c r="C2416" t="s">
        <v>9</v>
      </c>
      <c r="D2416" t="str">
        <f>_xlfn.XLOOKUP(tblSales[[#This Row],[Store ID]],tblStores[Store ID],tblStores[Store Name])</f>
        <v>Paarl</v>
      </c>
      <c r="E2416" t="str">
        <f>_xlfn.XLOOKUP(tblSales[[#This Row],[Store ID]],tblStores[Store ID],tblStores[Province])</f>
        <v>Western Cape</v>
      </c>
      <c r="F2416" t="str">
        <f>_xlfn.XLOOKUP(tblSales[[#This Row],[Store ID]],tblStores[Store ID],tblStores[Manager])</f>
        <v>Andrew Lee</v>
      </c>
      <c r="G2416" t="str">
        <f>_xlfn.XLOOKUP(tblSales[[#This Row],[Category ID]],tblCategories[Category ID],tblCategories[Category])</f>
        <v>Ladieswear</v>
      </c>
      <c r="H2416">
        <v>32280</v>
      </c>
      <c r="I2416">
        <v>34179</v>
      </c>
      <c r="J2416">
        <v>120</v>
      </c>
      <c r="K2416">
        <f>tblSales[[#This Row],[Sales]]-tblSales[[#This Row],[Budget]]</f>
        <v>-1899</v>
      </c>
      <c r="L2416" s="3">
        <f>(tblSales[[#This Row],[Sales]]-tblSales[[#This Row],[Budget]])/tblSales[[#This Row],[Budget]]</f>
        <v>-5.5560431844114806E-2</v>
      </c>
      <c r="M2416" s="2">
        <f>tblSales[[#This Row],[Sales]]/tblSales[[#This Row],[Transactions]]</f>
        <v>269</v>
      </c>
    </row>
    <row r="2417" spans="1:13" x14ac:dyDescent="0.25">
      <c r="A2417" s="1">
        <v>46143</v>
      </c>
      <c r="B2417" t="s">
        <v>26</v>
      </c>
      <c r="C2417" t="s">
        <v>22</v>
      </c>
      <c r="D2417" t="str">
        <f>_xlfn.XLOOKUP(tblSales[[#This Row],[Store ID]],tblStores[Store ID],tblStores[Store Name])</f>
        <v>Gqeberha</v>
      </c>
      <c r="E2417" t="str">
        <f>_xlfn.XLOOKUP(tblSales[[#This Row],[Store ID]],tblStores[Store ID],tblStores[Province])</f>
        <v>Eastern Cape</v>
      </c>
      <c r="F2417" t="str">
        <f>_xlfn.XLOOKUP(tblSales[[#This Row],[Store ID]],tblStores[Store ID],tblStores[Manager])</f>
        <v>Emma Baker</v>
      </c>
      <c r="G2417" t="str">
        <f>_xlfn.XLOOKUP(tblSales[[#This Row],[Category ID]],tblCategories[Category ID],tblCategories[Category])</f>
        <v>Kids</v>
      </c>
      <c r="H2417">
        <v>87330</v>
      </c>
      <c r="I2417">
        <v>80070</v>
      </c>
      <c r="J2417">
        <v>205</v>
      </c>
      <c r="K2417">
        <f>tblSales[[#This Row],[Sales]]-tblSales[[#This Row],[Budget]]</f>
        <v>7260</v>
      </c>
      <c r="L2417" s="3">
        <f>(tblSales[[#This Row],[Sales]]-tblSales[[#This Row],[Budget]])/tblSales[[#This Row],[Budget]]</f>
        <v>9.0670663169726495E-2</v>
      </c>
      <c r="M2417" s="2">
        <f>tblSales[[#This Row],[Sales]]/tblSales[[#This Row],[Transactions]]</f>
        <v>426</v>
      </c>
    </row>
    <row r="2418" spans="1:13" x14ac:dyDescent="0.25">
      <c r="A2418" s="1">
        <v>46143</v>
      </c>
      <c r="B2418" t="s">
        <v>27</v>
      </c>
      <c r="C2418" t="s">
        <v>7</v>
      </c>
      <c r="D2418" t="str">
        <f>_xlfn.XLOOKUP(tblSales[[#This Row],[Store ID]],tblStores[Store ID],tblStores[Store Name])</f>
        <v>East London</v>
      </c>
      <c r="E2418" t="str">
        <f>_xlfn.XLOOKUP(tblSales[[#This Row],[Store ID]],tblStores[Store ID],tblStores[Province])</f>
        <v>Eastern Cape</v>
      </c>
      <c r="F2418" t="str">
        <f>_xlfn.XLOOKUP(tblSales[[#This Row],[Store ID]],tblStores[Store ID],tblStores[Manager])</f>
        <v>Daniel Evans</v>
      </c>
      <c r="G2418" t="str">
        <f>_xlfn.XLOOKUP(tblSales[[#This Row],[Category ID]],tblCategories[Category ID],tblCategories[Category])</f>
        <v>Menswear</v>
      </c>
      <c r="H2418">
        <v>91010</v>
      </c>
      <c r="I2418">
        <v>92122</v>
      </c>
      <c r="J2418">
        <v>190</v>
      </c>
      <c r="K2418">
        <f>tblSales[[#This Row],[Sales]]-tblSales[[#This Row],[Budget]]</f>
        <v>-1112</v>
      </c>
      <c r="L2418" s="3">
        <f>(tblSales[[#This Row],[Sales]]-tblSales[[#This Row],[Budget]])/tblSales[[#This Row],[Budget]]</f>
        <v>-1.2070949393195978E-2</v>
      </c>
      <c r="M2418" s="2">
        <f>tblSales[[#This Row],[Sales]]/tblSales[[#This Row],[Transactions]]</f>
        <v>479</v>
      </c>
    </row>
    <row r="2419" spans="1:13" x14ac:dyDescent="0.25">
      <c r="A2419" s="1">
        <v>46143</v>
      </c>
      <c r="B2419" t="s">
        <v>28</v>
      </c>
      <c r="C2419" t="s">
        <v>19</v>
      </c>
      <c r="D2419" t="str">
        <f>_xlfn.XLOOKUP(tblSales[[#This Row],[Store ID]],tblStores[Store ID],tblStores[Store Name])</f>
        <v>Bloemfontein</v>
      </c>
      <c r="E2419" t="str">
        <f>_xlfn.XLOOKUP(tblSales[[#This Row],[Store ID]],tblStores[Store ID],tblStores[Province])</f>
        <v>Free State</v>
      </c>
      <c r="F2419" t="str">
        <f>_xlfn.XLOOKUP(tblSales[[#This Row],[Store ID]],tblStores[Store ID],tblStores[Manager])</f>
        <v>Rachel Moore</v>
      </c>
      <c r="G2419" t="str">
        <f>_xlfn.XLOOKUP(tblSales[[#This Row],[Category ID]],tblCategories[Category ID],tblCategories[Category])</f>
        <v>Accessories</v>
      </c>
      <c r="H2419">
        <v>59202</v>
      </c>
      <c r="I2419">
        <v>60732</v>
      </c>
      <c r="J2419">
        <v>198</v>
      </c>
      <c r="K2419">
        <f>tblSales[[#This Row],[Sales]]-tblSales[[#This Row],[Budget]]</f>
        <v>-1530</v>
      </c>
      <c r="L2419" s="3">
        <f>(tblSales[[#This Row],[Sales]]-tblSales[[#This Row],[Budget]])/tblSales[[#This Row],[Budget]]</f>
        <v>-2.5192649673977476E-2</v>
      </c>
      <c r="M2419" s="2">
        <f>tblSales[[#This Row],[Sales]]/tblSales[[#This Row],[Transactions]]</f>
        <v>299</v>
      </c>
    </row>
    <row r="2420" spans="1:13" x14ac:dyDescent="0.25">
      <c r="A2420" s="1">
        <v>46143</v>
      </c>
      <c r="B2420" t="s">
        <v>29</v>
      </c>
      <c r="C2420" t="s">
        <v>7</v>
      </c>
      <c r="D2420" t="str">
        <f>_xlfn.XLOOKUP(tblSales[[#This Row],[Store ID]],tblStores[Store ID],tblStores[Store Name])</f>
        <v>Polokwane</v>
      </c>
      <c r="E2420" t="str">
        <f>_xlfn.XLOOKUP(tblSales[[#This Row],[Store ID]],tblStores[Store ID],tblStores[Province])</f>
        <v>Limpopo</v>
      </c>
      <c r="F2420" t="str">
        <f>_xlfn.XLOOKUP(tblSales[[#This Row],[Store ID]],tblStores[Store ID],tblStores[Manager])</f>
        <v>Kevin Harris</v>
      </c>
      <c r="G2420" t="str">
        <f>_xlfn.XLOOKUP(tblSales[[#This Row],[Category ID]],tblCategories[Category ID],tblCategories[Category])</f>
        <v>Menswear</v>
      </c>
      <c r="H2420">
        <v>17860</v>
      </c>
      <c r="I2420">
        <v>18825</v>
      </c>
      <c r="J2420">
        <v>94</v>
      </c>
      <c r="K2420">
        <f>tblSales[[#This Row],[Sales]]-tblSales[[#This Row],[Budget]]</f>
        <v>-965</v>
      </c>
      <c r="L2420" s="3">
        <f>(tblSales[[#This Row],[Sales]]-tblSales[[#This Row],[Budget]])/tblSales[[#This Row],[Budget]]</f>
        <v>-5.1261620185922972E-2</v>
      </c>
      <c r="M2420" s="2">
        <f>tblSales[[#This Row],[Sales]]/tblSales[[#This Row],[Transactions]]</f>
        <v>190</v>
      </c>
    </row>
    <row r="2421" spans="1:13" x14ac:dyDescent="0.25">
      <c r="A2421" s="1">
        <v>46143</v>
      </c>
      <c r="B2421" t="s">
        <v>30</v>
      </c>
      <c r="C2421" t="s">
        <v>7</v>
      </c>
      <c r="D2421" t="str">
        <f>_xlfn.XLOOKUP(tblSales[[#This Row],[Store ID]],tblStores[Store ID],tblStores[Store Name])</f>
        <v>Nelspruit</v>
      </c>
      <c r="E2421" t="str">
        <f>_xlfn.XLOOKUP(tblSales[[#This Row],[Store ID]],tblStores[Store ID],tblStores[Province])</f>
        <v>Mpumalanga</v>
      </c>
      <c r="F2421" t="str">
        <f>_xlfn.XLOOKUP(tblSales[[#This Row],[Store ID]],tblStores[Store ID],tblStores[Manager])</f>
        <v>Olivia Turner</v>
      </c>
      <c r="G2421" t="str">
        <f>_xlfn.XLOOKUP(tblSales[[#This Row],[Category ID]],tblCategories[Category ID],tblCategories[Category])</f>
        <v>Menswear</v>
      </c>
      <c r="H2421">
        <v>34314</v>
      </c>
      <c r="I2421">
        <v>37212</v>
      </c>
      <c r="J2421">
        <v>114</v>
      </c>
      <c r="K2421">
        <f>tblSales[[#This Row],[Sales]]-tblSales[[#This Row],[Budget]]</f>
        <v>-2898</v>
      </c>
      <c r="L2421" s="3">
        <f>(tblSales[[#This Row],[Sales]]-tblSales[[#This Row],[Budget]])/tblSales[[#This Row],[Budget]]</f>
        <v>-7.7878103837471777E-2</v>
      </c>
      <c r="M2421" s="2">
        <f>tblSales[[#This Row],[Sales]]/tblSales[[#This Row],[Transactions]]</f>
        <v>301</v>
      </c>
    </row>
    <row r="2422" spans="1:13" x14ac:dyDescent="0.25">
      <c r="A2422" s="1">
        <v>46144</v>
      </c>
      <c r="B2422" t="s">
        <v>6</v>
      </c>
      <c r="C2422" t="s">
        <v>9</v>
      </c>
      <c r="D2422" t="str">
        <f>_xlfn.XLOOKUP(tblSales[[#This Row],[Store ID]],tblStores[Store ID],tblStores[Store Name])</f>
        <v>Durban CBD</v>
      </c>
      <c r="E2422" t="str">
        <f>_xlfn.XLOOKUP(tblSales[[#This Row],[Store ID]],tblStores[Store ID],tblStores[Province])</f>
        <v>KZN</v>
      </c>
      <c r="F2422" t="str">
        <f>_xlfn.XLOOKUP(tblSales[[#This Row],[Store ID]],tblStores[Store ID],tblStores[Manager])</f>
        <v>Sarah Adams</v>
      </c>
      <c r="G2422" t="str">
        <f>_xlfn.XLOOKUP(tblSales[[#This Row],[Category ID]],tblCategories[Category ID],tblCategories[Category])</f>
        <v>Ladieswear</v>
      </c>
      <c r="H2422">
        <v>42460</v>
      </c>
      <c r="I2422">
        <v>38850</v>
      </c>
      <c r="J2422">
        <v>193</v>
      </c>
      <c r="K2422">
        <f>tblSales[[#This Row],[Sales]]-tblSales[[#This Row],[Budget]]</f>
        <v>3610</v>
      </c>
      <c r="L2422" s="3">
        <f>(tblSales[[#This Row],[Sales]]-tblSales[[#This Row],[Budget]])/tblSales[[#This Row],[Budget]]</f>
        <v>9.2921492921492918E-2</v>
      </c>
      <c r="M2422" s="2">
        <f>tblSales[[#This Row],[Sales]]/tblSales[[#This Row],[Transactions]]</f>
        <v>220</v>
      </c>
    </row>
    <row r="2423" spans="1:13" x14ac:dyDescent="0.25">
      <c r="A2423" s="1">
        <v>46144</v>
      </c>
      <c r="B2423" t="s">
        <v>8</v>
      </c>
      <c r="C2423" t="s">
        <v>22</v>
      </c>
      <c r="D2423" t="str">
        <f>_xlfn.XLOOKUP(tblSales[[#This Row],[Store ID]],tblStores[Store ID],tblStores[Store Name])</f>
        <v>Gateway</v>
      </c>
      <c r="E2423" t="str">
        <f>_xlfn.XLOOKUP(tblSales[[#This Row],[Store ID]],tblStores[Store ID],tblStores[Province])</f>
        <v>KZN</v>
      </c>
      <c r="F2423" t="str">
        <f>_xlfn.XLOOKUP(tblSales[[#This Row],[Store ID]],tblStores[Store ID],tblStores[Manager])</f>
        <v>Michael Jones</v>
      </c>
      <c r="G2423" t="str">
        <f>_xlfn.XLOOKUP(tblSales[[#This Row],[Category ID]],tblCategories[Category ID],tblCategories[Category])</f>
        <v>Kids</v>
      </c>
      <c r="H2423">
        <v>53622</v>
      </c>
      <c r="I2423">
        <v>50967</v>
      </c>
      <c r="J2423">
        <v>162</v>
      </c>
      <c r="K2423">
        <f>tblSales[[#This Row],[Sales]]-tblSales[[#This Row],[Budget]]</f>
        <v>2655</v>
      </c>
      <c r="L2423" s="3">
        <f>(tblSales[[#This Row],[Sales]]-tblSales[[#This Row],[Budget]])/tblSales[[#This Row],[Budget]]</f>
        <v>5.2092530460886459E-2</v>
      </c>
      <c r="M2423" s="2">
        <f>tblSales[[#This Row],[Sales]]/tblSales[[#This Row],[Transactions]]</f>
        <v>331</v>
      </c>
    </row>
    <row r="2424" spans="1:13" x14ac:dyDescent="0.25">
      <c r="A2424" s="1">
        <v>46144</v>
      </c>
      <c r="B2424" t="s">
        <v>10</v>
      </c>
      <c r="C2424" t="s">
        <v>11</v>
      </c>
      <c r="D2424" t="str">
        <f>_xlfn.XLOOKUP(tblSales[[#This Row],[Store ID]],tblStores[Store ID],tblStores[Store Name])</f>
        <v>Ballito</v>
      </c>
      <c r="E2424" t="str">
        <f>_xlfn.XLOOKUP(tblSales[[#This Row],[Store ID]],tblStores[Store ID],tblStores[Province])</f>
        <v>KZN</v>
      </c>
      <c r="F2424" t="str">
        <f>_xlfn.XLOOKUP(tblSales[[#This Row],[Store ID]],tblStores[Store ID],tblStores[Manager])</f>
        <v>Linda Smith</v>
      </c>
      <c r="G2424" t="str">
        <f>_xlfn.XLOOKUP(tblSales[[#This Row],[Category ID]],tblCategories[Category ID],tblCategories[Category])</f>
        <v>Footwear</v>
      </c>
      <c r="H2424">
        <v>44196</v>
      </c>
      <c r="I2424">
        <v>40195</v>
      </c>
      <c r="J2424">
        <v>87</v>
      </c>
      <c r="K2424">
        <f>tblSales[[#This Row],[Sales]]-tblSales[[#This Row],[Budget]]</f>
        <v>4001</v>
      </c>
      <c r="L2424" s="3">
        <f>(tblSales[[#This Row],[Sales]]-tblSales[[#This Row],[Budget]])/tblSales[[#This Row],[Budget]]</f>
        <v>9.9539743749222545E-2</v>
      </c>
      <c r="M2424" s="2">
        <f>tblSales[[#This Row],[Sales]]/tblSales[[#This Row],[Transactions]]</f>
        <v>508</v>
      </c>
    </row>
    <row r="2425" spans="1:13" x14ac:dyDescent="0.25">
      <c r="A2425" s="1">
        <v>46144</v>
      </c>
      <c r="B2425" t="s">
        <v>12</v>
      </c>
      <c r="C2425" t="s">
        <v>19</v>
      </c>
      <c r="D2425" t="str">
        <f>_xlfn.XLOOKUP(tblSales[[#This Row],[Store ID]],tblStores[Store ID],tblStores[Store Name])</f>
        <v>Pietermaritzburg</v>
      </c>
      <c r="E2425" t="str">
        <f>_xlfn.XLOOKUP(tblSales[[#This Row],[Store ID]],tblStores[Store ID],tblStores[Province])</f>
        <v>KZN</v>
      </c>
      <c r="F2425" t="str">
        <f>_xlfn.XLOOKUP(tblSales[[#This Row],[Store ID]],tblStores[Store ID],tblStores[Manager])</f>
        <v>Peter Brown</v>
      </c>
      <c r="G2425" t="str">
        <f>_xlfn.XLOOKUP(tblSales[[#This Row],[Category ID]],tblCategories[Category ID],tblCategories[Category])</f>
        <v>Accessories</v>
      </c>
      <c r="H2425">
        <v>51504</v>
      </c>
      <c r="I2425">
        <v>48082</v>
      </c>
      <c r="J2425">
        <v>148</v>
      </c>
      <c r="K2425">
        <f>tblSales[[#This Row],[Sales]]-tblSales[[#This Row],[Budget]]</f>
        <v>3422</v>
      </c>
      <c r="L2425" s="3">
        <f>(tblSales[[#This Row],[Sales]]-tblSales[[#This Row],[Budget]])/tblSales[[#This Row],[Budget]]</f>
        <v>7.1170084439083237E-2</v>
      </c>
      <c r="M2425" s="2">
        <f>tblSales[[#This Row],[Sales]]/tblSales[[#This Row],[Transactions]]</f>
        <v>348</v>
      </c>
    </row>
    <row r="2426" spans="1:13" x14ac:dyDescent="0.25">
      <c r="A2426" s="1">
        <v>46144</v>
      </c>
      <c r="B2426" t="s">
        <v>13</v>
      </c>
      <c r="C2426" t="s">
        <v>22</v>
      </c>
      <c r="D2426" t="str">
        <f>_xlfn.XLOOKUP(tblSales[[#This Row],[Store ID]],tblStores[Store ID],tblStores[Store Name])</f>
        <v>Richards Bay</v>
      </c>
      <c r="E2426" t="str">
        <f>_xlfn.XLOOKUP(tblSales[[#This Row],[Store ID]],tblStores[Store ID],tblStores[Province])</f>
        <v>KZN</v>
      </c>
      <c r="F2426" t="str">
        <f>_xlfn.XLOOKUP(tblSales[[#This Row],[Store ID]],tblStores[Store ID],tblStores[Manager])</f>
        <v>David Green</v>
      </c>
      <c r="G2426" t="str">
        <f>_xlfn.XLOOKUP(tblSales[[#This Row],[Category ID]],tblCategories[Category ID],tblCategories[Category])</f>
        <v>Kids</v>
      </c>
      <c r="H2426">
        <v>39800</v>
      </c>
      <c r="I2426">
        <v>41002</v>
      </c>
      <c r="J2426">
        <v>199</v>
      </c>
      <c r="K2426">
        <f>tblSales[[#This Row],[Sales]]-tblSales[[#This Row],[Budget]]</f>
        <v>-1202</v>
      </c>
      <c r="L2426" s="3">
        <f>(tblSales[[#This Row],[Sales]]-tblSales[[#This Row],[Budget]])/tblSales[[#This Row],[Budget]]</f>
        <v>-2.9315643139359054E-2</v>
      </c>
      <c r="M2426" s="2">
        <f>tblSales[[#This Row],[Sales]]/tblSales[[#This Row],[Transactions]]</f>
        <v>200</v>
      </c>
    </row>
    <row r="2427" spans="1:13" x14ac:dyDescent="0.25">
      <c r="A2427" s="1">
        <v>46144</v>
      </c>
      <c r="B2427" t="s">
        <v>14</v>
      </c>
      <c r="C2427" t="s">
        <v>11</v>
      </c>
      <c r="D2427" t="str">
        <f>_xlfn.XLOOKUP(tblSales[[#This Row],[Store ID]],tblStores[Store ID],tblStores[Store Name])</f>
        <v>Sandton</v>
      </c>
      <c r="E2427" t="str">
        <f>_xlfn.XLOOKUP(tblSales[[#This Row],[Store ID]],tblStores[Store ID],tblStores[Province])</f>
        <v>Gauteng</v>
      </c>
      <c r="F2427" t="str">
        <f>_xlfn.XLOOKUP(tblSales[[#This Row],[Store ID]],tblStores[Store ID],tblStores[Manager])</f>
        <v>Karen White</v>
      </c>
      <c r="G2427" t="str">
        <f>_xlfn.XLOOKUP(tblSales[[#This Row],[Category ID]],tblCategories[Category ID],tblCategories[Category])</f>
        <v>Footwear</v>
      </c>
      <c r="H2427">
        <v>65400</v>
      </c>
      <c r="I2427">
        <v>71131</v>
      </c>
      <c r="J2427">
        <v>200</v>
      </c>
      <c r="K2427">
        <f>tblSales[[#This Row],[Sales]]-tblSales[[#This Row],[Budget]]</f>
        <v>-5731</v>
      </c>
      <c r="L2427" s="3">
        <f>(tblSales[[#This Row],[Sales]]-tblSales[[#This Row],[Budget]])/tblSales[[#This Row],[Budget]]</f>
        <v>-8.0569653175127584E-2</v>
      </c>
      <c r="M2427" s="2">
        <f>tblSales[[#This Row],[Sales]]/tblSales[[#This Row],[Transactions]]</f>
        <v>327</v>
      </c>
    </row>
    <row r="2428" spans="1:13" x14ac:dyDescent="0.25">
      <c r="A2428" s="1">
        <v>46144</v>
      </c>
      <c r="B2428" t="s">
        <v>15</v>
      </c>
      <c r="C2428" t="s">
        <v>9</v>
      </c>
      <c r="D2428" t="str">
        <f>_xlfn.XLOOKUP(tblSales[[#This Row],[Store ID]],tblStores[Store ID],tblStores[Store Name])</f>
        <v>Rosebank</v>
      </c>
      <c r="E2428" t="str">
        <f>_xlfn.XLOOKUP(tblSales[[#This Row],[Store ID]],tblStores[Store ID],tblStores[Province])</f>
        <v>Gauteng</v>
      </c>
      <c r="F2428" t="str">
        <f>_xlfn.XLOOKUP(tblSales[[#This Row],[Store ID]],tblStores[Store ID],tblStores[Manager])</f>
        <v>James Taylor</v>
      </c>
      <c r="G2428" t="str">
        <f>_xlfn.XLOOKUP(tblSales[[#This Row],[Category ID]],tblCategories[Category ID],tblCategories[Category])</f>
        <v>Ladieswear</v>
      </c>
      <c r="H2428">
        <v>42245</v>
      </c>
      <c r="I2428">
        <v>40578</v>
      </c>
      <c r="J2428">
        <v>119</v>
      </c>
      <c r="K2428">
        <f>tblSales[[#This Row],[Sales]]-tblSales[[#This Row],[Budget]]</f>
        <v>1667</v>
      </c>
      <c r="L2428" s="3">
        <f>(tblSales[[#This Row],[Sales]]-tblSales[[#This Row],[Budget]])/tblSales[[#This Row],[Budget]]</f>
        <v>4.1081374143624623E-2</v>
      </c>
      <c r="M2428" s="2">
        <f>tblSales[[#This Row],[Sales]]/tblSales[[#This Row],[Transactions]]</f>
        <v>355</v>
      </c>
    </row>
    <row r="2429" spans="1:13" x14ac:dyDescent="0.25">
      <c r="A2429" s="1">
        <v>46144</v>
      </c>
      <c r="B2429" t="s">
        <v>16</v>
      </c>
      <c r="C2429" t="s">
        <v>19</v>
      </c>
      <c r="D2429" t="str">
        <f>_xlfn.XLOOKUP(tblSales[[#This Row],[Store ID]],tblStores[Store ID],tblStores[Store Name])</f>
        <v>Pretoria</v>
      </c>
      <c r="E2429" t="str">
        <f>_xlfn.XLOOKUP(tblSales[[#This Row],[Store ID]],tblStores[Store ID],tblStores[Province])</f>
        <v>Gauteng</v>
      </c>
      <c r="F2429" t="str">
        <f>_xlfn.XLOOKUP(tblSales[[#This Row],[Store ID]],tblStores[Store ID],tblStores[Manager])</f>
        <v>Susan Clark</v>
      </c>
      <c r="G2429" t="str">
        <f>_xlfn.XLOOKUP(tblSales[[#This Row],[Category ID]],tblCategories[Category ID],tblCategories[Category])</f>
        <v>Accessories</v>
      </c>
      <c r="H2429">
        <v>24960</v>
      </c>
      <c r="I2429">
        <v>28631</v>
      </c>
      <c r="J2429">
        <v>48</v>
      </c>
      <c r="K2429">
        <f>tblSales[[#This Row],[Sales]]-tblSales[[#This Row],[Budget]]</f>
        <v>-3671</v>
      </c>
      <c r="L2429" s="3">
        <f>(tblSales[[#This Row],[Sales]]-tblSales[[#This Row],[Budget]])/tblSales[[#This Row],[Budget]]</f>
        <v>-0.1282176661660438</v>
      </c>
      <c r="M2429" s="2">
        <f>tblSales[[#This Row],[Sales]]/tblSales[[#This Row],[Transactions]]</f>
        <v>520</v>
      </c>
    </row>
    <row r="2430" spans="1:13" x14ac:dyDescent="0.25">
      <c r="A2430" s="1">
        <v>46144</v>
      </c>
      <c r="B2430" t="s">
        <v>17</v>
      </c>
      <c r="C2430" t="s">
        <v>9</v>
      </c>
      <c r="D2430" t="str">
        <f>_xlfn.XLOOKUP(tblSales[[#This Row],[Store ID]],tblStores[Store ID],tblStores[Store Name])</f>
        <v>Centurion</v>
      </c>
      <c r="E2430" t="str">
        <f>_xlfn.XLOOKUP(tblSales[[#This Row],[Store ID]],tblStores[Store ID],tblStores[Province])</f>
        <v>Gauteng</v>
      </c>
      <c r="F2430" t="str">
        <f>_xlfn.XLOOKUP(tblSales[[#This Row],[Store ID]],tblStores[Store ID],tblStores[Manager])</f>
        <v>Mark Wilson</v>
      </c>
      <c r="G2430" t="str">
        <f>_xlfn.XLOOKUP(tblSales[[#This Row],[Category ID]],tblCategories[Category ID],tblCategories[Category])</f>
        <v>Ladieswear</v>
      </c>
      <c r="H2430">
        <v>71250</v>
      </c>
      <c r="I2430">
        <v>73413</v>
      </c>
      <c r="J2430">
        <v>190</v>
      </c>
      <c r="K2430">
        <f>tblSales[[#This Row],[Sales]]-tblSales[[#This Row],[Budget]]</f>
        <v>-2163</v>
      </c>
      <c r="L2430" s="3">
        <f>(tblSales[[#This Row],[Sales]]-tblSales[[#This Row],[Budget]])/tblSales[[#This Row],[Budget]]</f>
        <v>-2.9463446528543991E-2</v>
      </c>
      <c r="M2430" s="2">
        <f>tblSales[[#This Row],[Sales]]/tblSales[[#This Row],[Transactions]]</f>
        <v>375</v>
      </c>
    </row>
    <row r="2431" spans="1:13" x14ac:dyDescent="0.25">
      <c r="A2431" s="1">
        <v>46144</v>
      </c>
      <c r="B2431" t="s">
        <v>18</v>
      </c>
      <c r="C2431" t="s">
        <v>9</v>
      </c>
      <c r="D2431" t="str">
        <f>_xlfn.XLOOKUP(tblSales[[#This Row],[Store ID]],tblStores[Store ID],tblStores[Store Name])</f>
        <v>East Rand</v>
      </c>
      <c r="E2431" t="str">
        <f>_xlfn.XLOOKUP(tblSales[[#This Row],[Store ID]],tblStores[Store ID],tblStores[Province])</f>
        <v>Gauteng</v>
      </c>
      <c r="F2431" t="str">
        <f>_xlfn.XLOOKUP(tblSales[[#This Row],[Store ID]],tblStores[Store ID],tblStores[Manager])</f>
        <v>Lisa Young</v>
      </c>
      <c r="G2431" t="str">
        <f>_xlfn.XLOOKUP(tblSales[[#This Row],[Category ID]],tblCategories[Category ID],tblCategories[Category])</f>
        <v>Ladieswear</v>
      </c>
      <c r="H2431">
        <v>74296</v>
      </c>
      <c r="I2431">
        <v>66978</v>
      </c>
      <c r="J2431">
        <v>148</v>
      </c>
      <c r="K2431">
        <f>tblSales[[#This Row],[Sales]]-tblSales[[#This Row],[Budget]]</f>
        <v>7318</v>
      </c>
      <c r="L2431" s="3">
        <f>(tblSales[[#This Row],[Sales]]-tblSales[[#This Row],[Budget]])/tblSales[[#This Row],[Budget]]</f>
        <v>0.10925975693511303</v>
      </c>
      <c r="M2431" s="2">
        <f>tblSales[[#This Row],[Sales]]/tblSales[[#This Row],[Transactions]]</f>
        <v>502</v>
      </c>
    </row>
    <row r="2432" spans="1:13" x14ac:dyDescent="0.25">
      <c r="A2432" s="1">
        <v>46144</v>
      </c>
      <c r="B2432" t="s">
        <v>20</v>
      </c>
      <c r="C2432" t="s">
        <v>11</v>
      </c>
      <c r="D2432" t="str">
        <f>_xlfn.XLOOKUP(tblSales[[#This Row],[Store ID]],tblStores[Store ID],tblStores[Store Name])</f>
        <v>Cape Town CBD</v>
      </c>
      <c r="E2432" t="str">
        <f>_xlfn.XLOOKUP(tblSales[[#This Row],[Store ID]],tblStores[Store ID],tblStores[Province])</f>
        <v>Western Cape</v>
      </c>
      <c r="F2432" t="str">
        <f>_xlfn.XLOOKUP(tblSales[[#This Row],[Store ID]],tblStores[Store ID],tblStores[Manager])</f>
        <v>Brian Hall</v>
      </c>
      <c r="G2432" t="str">
        <f>_xlfn.XLOOKUP(tblSales[[#This Row],[Category ID]],tblCategories[Category ID],tblCategories[Category])</f>
        <v>Footwear</v>
      </c>
      <c r="H2432">
        <v>14456</v>
      </c>
      <c r="I2432">
        <v>13198</v>
      </c>
      <c r="J2432">
        <v>52</v>
      </c>
      <c r="K2432">
        <f>tblSales[[#This Row],[Sales]]-tblSales[[#This Row],[Budget]]</f>
        <v>1258</v>
      </c>
      <c r="L2432" s="3">
        <f>(tblSales[[#This Row],[Sales]]-tblSales[[#This Row],[Budget]])/tblSales[[#This Row],[Budget]]</f>
        <v>9.5317472344294593E-2</v>
      </c>
      <c r="M2432" s="2">
        <f>tblSales[[#This Row],[Sales]]/tblSales[[#This Row],[Transactions]]</f>
        <v>278</v>
      </c>
    </row>
    <row r="2433" spans="1:13" x14ac:dyDescent="0.25">
      <c r="A2433" s="1">
        <v>46144</v>
      </c>
      <c r="B2433" t="s">
        <v>21</v>
      </c>
      <c r="C2433" t="s">
        <v>9</v>
      </c>
      <c r="D2433" t="str">
        <f>_xlfn.XLOOKUP(tblSales[[#This Row],[Store ID]],tblStores[Store ID],tblStores[Store Name])</f>
        <v>Canal Walk</v>
      </c>
      <c r="E2433" t="str">
        <f>_xlfn.XLOOKUP(tblSales[[#This Row],[Store ID]],tblStores[Store ID],tblStores[Province])</f>
        <v>Western Cape</v>
      </c>
      <c r="F2433" t="str">
        <f>_xlfn.XLOOKUP(tblSales[[#This Row],[Store ID]],tblStores[Store ID],tblStores[Manager])</f>
        <v>Megan Scott</v>
      </c>
      <c r="G2433" t="str">
        <f>_xlfn.XLOOKUP(tblSales[[#This Row],[Category ID]],tblCategories[Category ID],tblCategories[Category])</f>
        <v>Ladieswear</v>
      </c>
      <c r="H2433">
        <v>21228</v>
      </c>
      <c r="I2433">
        <v>19592</v>
      </c>
      <c r="J2433">
        <v>87</v>
      </c>
      <c r="K2433">
        <f>tblSales[[#This Row],[Sales]]-tblSales[[#This Row],[Budget]]</f>
        <v>1636</v>
      </c>
      <c r="L2433" s="3">
        <f>(tblSales[[#This Row],[Sales]]-tblSales[[#This Row],[Budget]])/tblSales[[#This Row],[Budget]]</f>
        <v>8.3503470804409965E-2</v>
      </c>
      <c r="M2433" s="2">
        <f>tblSales[[#This Row],[Sales]]/tblSales[[#This Row],[Transactions]]</f>
        <v>244</v>
      </c>
    </row>
    <row r="2434" spans="1:13" x14ac:dyDescent="0.25">
      <c r="A2434" s="1">
        <v>46144</v>
      </c>
      <c r="B2434" t="s">
        <v>23</v>
      </c>
      <c r="C2434" t="s">
        <v>19</v>
      </c>
      <c r="D2434" t="str">
        <f>_xlfn.XLOOKUP(tblSales[[#This Row],[Store ID]],tblStores[Store ID],tblStores[Store Name])</f>
        <v>Stellenbosch</v>
      </c>
      <c r="E2434" t="str">
        <f>_xlfn.XLOOKUP(tblSales[[#This Row],[Store ID]],tblStores[Store ID],tblStores[Province])</f>
        <v>Western Cape</v>
      </c>
      <c r="F2434" t="str">
        <f>_xlfn.XLOOKUP(tblSales[[#This Row],[Store ID]],tblStores[Store ID],tblStores[Manager])</f>
        <v>Jason King</v>
      </c>
      <c r="G2434" t="str">
        <f>_xlfn.XLOOKUP(tblSales[[#This Row],[Category ID]],tblCategories[Category ID],tblCategories[Category])</f>
        <v>Accessories</v>
      </c>
      <c r="H2434">
        <v>49700</v>
      </c>
      <c r="I2434">
        <v>47666</v>
      </c>
      <c r="J2434">
        <v>175</v>
      </c>
      <c r="K2434">
        <f>tblSales[[#This Row],[Sales]]-tblSales[[#This Row],[Budget]]</f>
        <v>2034</v>
      </c>
      <c r="L2434" s="3">
        <f>(tblSales[[#This Row],[Sales]]-tblSales[[#This Row],[Budget]])/tblSales[[#This Row],[Budget]]</f>
        <v>4.2671925481475269E-2</v>
      </c>
      <c r="M2434" s="2">
        <f>tblSales[[#This Row],[Sales]]/tblSales[[#This Row],[Transactions]]</f>
        <v>284</v>
      </c>
    </row>
    <row r="2435" spans="1:13" x14ac:dyDescent="0.25">
      <c r="A2435" s="1">
        <v>46144</v>
      </c>
      <c r="B2435" t="s">
        <v>24</v>
      </c>
      <c r="C2435" t="s">
        <v>7</v>
      </c>
      <c r="D2435" t="str">
        <f>_xlfn.XLOOKUP(tblSales[[#This Row],[Store ID]],tblStores[Store ID],tblStores[Store Name])</f>
        <v>George</v>
      </c>
      <c r="E2435" t="str">
        <f>_xlfn.XLOOKUP(tblSales[[#This Row],[Store ID]],tblStores[Store ID],tblStores[Province])</f>
        <v>Western Cape</v>
      </c>
      <c r="F2435" t="str">
        <f>_xlfn.XLOOKUP(tblSales[[#This Row],[Store ID]],tblStores[Store ID],tblStores[Manager])</f>
        <v>Chloe Hill</v>
      </c>
      <c r="G2435" t="str">
        <f>_xlfn.XLOOKUP(tblSales[[#This Row],[Category ID]],tblCategories[Category ID],tblCategories[Category])</f>
        <v>Menswear</v>
      </c>
      <c r="H2435">
        <v>60336</v>
      </c>
      <c r="I2435">
        <v>59000</v>
      </c>
      <c r="J2435">
        <v>144</v>
      </c>
      <c r="K2435">
        <f>tblSales[[#This Row],[Sales]]-tblSales[[#This Row],[Budget]]</f>
        <v>1336</v>
      </c>
      <c r="L2435" s="3">
        <f>(tblSales[[#This Row],[Sales]]-tblSales[[#This Row],[Budget]])/tblSales[[#This Row],[Budget]]</f>
        <v>2.2644067796610171E-2</v>
      </c>
      <c r="M2435" s="2">
        <f>tblSales[[#This Row],[Sales]]/tblSales[[#This Row],[Transactions]]</f>
        <v>419</v>
      </c>
    </row>
    <row r="2436" spans="1:13" x14ac:dyDescent="0.25">
      <c r="A2436" s="1">
        <v>46144</v>
      </c>
      <c r="B2436" t="s">
        <v>25</v>
      </c>
      <c r="C2436" t="s">
        <v>9</v>
      </c>
      <c r="D2436" t="str">
        <f>_xlfn.XLOOKUP(tblSales[[#This Row],[Store ID]],tblStores[Store ID],tblStores[Store Name])</f>
        <v>Paarl</v>
      </c>
      <c r="E2436" t="str">
        <f>_xlfn.XLOOKUP(tblSales[[#This Row],[Store ID]],tblStores[Store ID],tblStores[Province])</f>
        <v>Western Cape</v>
      </c>
      <c r="F2436" t="str">
        <f>_xlfn.XLOOKUP(tblSales[[#This Row],[Store ID]],tblStores[Store ID],tblStores[Manager])</f>
        <v>Andrew Lee</v>
      </c>
      <c r="G2436" t="str">
        <f>_xlfn.XLOOKUP(tblSales[[#This Row],[Category ID]],tblCategories[Category ID],tblCategories[Category])</f>
        <v>Ladieswear</v>
      </c>
      <c r="H2436">
        <v>38509</v>
      </c>
      <c r="I2436">
        <v>36356</v>
      </c>
      <c r="J2436">
        <v>97</v>
      </c>
      <c r="K2436">
        <f>tblSales[[#This Row],[Sales]]-tblSales[[#This Row],[Budget]]</f>
        <v>2153</v>
      </c>
      <c r="L2436" s="3">
        <f>(tblSales[[#This Row],[Sales]]-tblSales[[#This Row],[Budget]])/tblSales[[#This Row],[Budget]]</f>
        <v>5.9219936186599188E-2</v>
      </c>
      <c r="M2436" s="2">
        <f>tblSales[[#This Row],[Sales]]/tblSales[[#This Row],[Transactions]]</f>
        <v>397</v>
      </c>
    </row>
    <row r="2437" spans="1:13" x14ac:dyDescent="0.25">
      <c r="A2437" s="1">
        <v>46144</v>
      </c>
      <c r="B2437" t="s">
        <v>26</v>
      </c>
      <c r="C2437" t="s">
        <v>9</v>
      </c>
      <c r="D2437" t="str">
        <f>_xlfn.XLOOKUP(tblSales[[#This Row],[Store ID]],tblStores[Store ID],tblStores[Store Name])</f>
        <v>Gqeberha</v>
      </c>
      <c r="E2437" t="str">
        <f>_xlfn.XLOOKUP(tblSales[[#This Row],[Store ID]],tblStores[Store ID],tblStores[Province])</f>
        <v>Eastern Cape</v>
      </c>
      <c r="F2437" t="str">
        <f>_xlfn.XLOOKUP(tblSales[[#This Row],[Store ID]],tblStores[Store ID],tblStores[Manager])</f>
        <v>Emma Baker</v>
      </c>
      <c r="G2437" t="str">
        <f>_xlfn.XLOOKUP(tblSales[[#This Row],[Category ID]],tblCategories[Category ID],tblCategories[Category])</f>
        <v>Ladieswear</v>
      </c>
      <c r="H2437">
        <v>36512</v>
      </c>
      <c r="I2437">
        <v>38122</v>
      </c>
      <c r="J2437">
        <v>112</v>
      </c>
      <c r="K2437">
        <f>tblSales[[#This Row],[Sales]]-tblSales[[#This Row],[Budget]]</f>
        <v>-1610</v>
      </c>
      <c r="L2437" s="3">
        <f>(tblSales[[#This Row],[Sales]]-tblSales[[#This Row],[Budget]])/tblSales[[#This Row],[Budget]]</f>
        <v>-4.2232831435916267E-2</v>
      </c>
      <c r="M2437" s="2">
        <f>tblSales[[#This Row],[Sales]]/tblSales[[#This Row],[Transactions]]</f>
        <v>326</v>
      </c>
    </row>
    <row r="2438" spans="1:13" x14ac:dyDescent="0.25">
      <c r="A2438" s="1">
        <v>46144</v>
      </c>
      <c r="B2438" t="s">
        <v>27</v>
      </c>
      <c r="C2438" t="s">
        <v>9</v>
      </c>
      <c r="D2438" t="str">
        <f>_xlfn.XLOOKUP(tblSales[[#This Row],[Store ID]],tblStores[Store ID],tblStores[Store Name])</f>
        <v>East London</v>
      </c>
      <c r="E2438" t="str">
        <f>_xlfn.XLOOKUP(tblSales[[#This Row],[Store ID]],tblStores[Store ID],tblStores[Province])</f>
        <v>Eastern Cape</v>
      </c>
      <c r="F2438" t="str">
        <f>_xlfn.XLOOKUP(tblSales[[#This Row],[Store ID]],tblStores[Store ID],tblStores[Manager])</f>
        <v>Daniel Evans</v>
      </c>
      <c r="G2438" t="str">
        <f>_xlfn.XLOOKUP(tblSales[[#This Row],[Category ID]],tblCategories[Category ID],tblCategories[Category])</f>
        <v>Ladieswear</v>
      </c>
      <c r="H2438">
        <v>44304</v>
      </c>
      <c r="I2438">
        <v>40759</v>
      </c>
      <c r="J2438">
        <v>104</v>
      </c>
      <c r="K2438">
        <f>tblSales[[#This Row],[Sales]]-tblSales[[#This Row],[Budget]]</f>
        <v>3545</v>
      </c>
      <c r="L2438" s="3">
        <f>(tblSales[[#This Row],[Sales]]-tblSales[[#This Row],[Budget]])/tblSales[[#This Row],[Budget]]</f>
        <v>8.6974655904217477E-2</v>
      </c>
      <c r="M2438" s="2">
        <f>tblSales[[#This Row],[Sales]]/tblSales[[#This Row],[Transactions]]</f>
        <v>426</v>
      </c>
    </row>
    <row r="2439" spans="1:13" x14ac:dyDescent="0.25">
      <c r="A2439" s="1">
        <v>46144</v>
      </c>
      <c r="B2439" t="s">
        <v>28</v>
      </c>
      <c r="C2439" t="s">
        <v>22</v>
      </c>
      <c r="D2439" t="str">
        <f>_xlfn.XLOOKUP(tblSales[[#This Row],[Store ID]],tblStores[Store ID],tblStores[Store Name])</f>
        <v>Bloemfontein</v>
      </c>
      <c r="E2439" t="str">
        <f>_xlfn.XLOOKUP(tblSales[[#This Row],[Store ID]],tblStores[Store ID],tblStores[Province])</f>
        <v>Free State</v>
      </c>
      <c r="F2439" t="str">
        <f>_xlfn.XLOOKUP(tblSales[[#This Row],[Store ID]],tblStores[Store ID],tblStores[Manager])</f>
        <v>Rachel Moore</v>
      </c>
      <c r="G2439" t="str">
        <f>_xlfn.XLOOKUP(tblSales[[#This Row],[Category ID]],tblCategories[Category ID],tblCategories[Category])</f>
        <v>Kids</v>
      </c>
      <c r="H2439">
        <v>50728</v>
      </c>
      <c r="I2439">
        <v>47782</v>
      </c>
      <c r="J2439">
        <v>136</v>
      </c>
      <c r="K2439">
        <f>tblSales[[#This Row],[Sales]]-tblSales[[#This Row],[Budget]]</f>
        <v>2946</v>
      </c>
      <c r="L2439" s="3">
        <f>(tblSales[[#This Row],[Sales]]-tblSales[[#This Row],[Budget]])/tblSales[[#This Row],[Budget]]</f>
        <v>6.1655016533422626E-2</v>
      </c>
      <c r="M2439" s="2">
        <f>tblSales[[#This Row],[Sales]]/tblSales[[#This Row],[Transactions]]</f>
        <v>373</v>
      </c>
    </row>
    <row r="2440" spans="1:13" x14ac:dyDescent="0.25">
      <c r="A2440" s="1">
        <v>46144</v>
      </c>
      <c r="B2440" t="s">
        <v>29</v>
      </c>
      <c r="C2440" t="s">
        <v>11</v>
      </c>
      <c r="D2440" t="str">
        <f>_xlfn.XLOOKUP(tblSales[[#This Row],[Store ID]],tblStores[Store ID],tblStores[Store Name])</f>
        <v>Polokwane</v>
      </c>
      <c r="E2440" t="str">
        <f>_xlfn.XLOOKUP(tblSales[[#This Row],[Store ID]],tblStores[Store ID],tblStores[Province])</f>
        <v>Limpopo</v>
      </c>
      <c r="F2440" t="str">
        <f>_xlfn.XLOOKUP(tblSales[[#This Row],[Store ID]],tblStores[Store ID],tblStores[Manager])</f>
        <v>Kevin Harris</v>
      </c>
      <c r="G2440" t="str">
        <f>_xlfn.XLOOKUP(tblSales[[#This Row],[Category ID]],tblCategories[Category ID],tblCategories[Category])</f>
        <v>Footwear</v>
      </c>
      <c r="H2440">
        <v>62634</v>
      </c>
      <c r="I2440">
        <v>65912</v>
      </c>
      <c r="J2440">
        <v>143</v>
      </c>
      <c r="K2440">
        <f>tblSales[[#This Row],[Sales]]-tblSales[[#This Row],[Budget]]</f>
        <v>-3278</v>
      </c>
      <c r="L2440" s="3">
        <f>(tblSales[[#This Row],[Sales]]-tblSales[[#This Row],[Budget]])/tblSales[[#This Row],[Budget]]</f>
        <v>-4.9732977303070761E-2</v>
      </c>
      <c r="M2440" s="2">
        <f>tblSales[[#This Row],[Sales]]/tblSales[[#This Row],[Transactions]]</f>
        <v>438</v>
      </c>
    </row>
    <row r="2441" spans="1:13" x14ac:dyDescent="0.25">
      <c r="A2441" s="1">
        <v>46144</v>
      </c>
      <c r="B2441" t="s">
        <v>30</v>
      </c>
      <c r="C2441" t="s">
        <v>11</v>
      </c>
      <c r="D2441" t="str">
        <f>_xlfn.XLOOKUP(tblSales[[#This Row],[Store ID]],tblStores[Store ID],tblStores[Store Name])</f>
        <v>Nelspruit</v>
      </c>
      <c r="E2441" t="str">
        <f>_xlfn.XLOOKUP(tblSales[[#This Row],[Store ID]],tblStores[Store ID],tblStores[Province])</f>
        <v>Mpumalanga</v>
      </c>
      <c r="F2441" t="str">
        <f>_xlfn.XLOOKUP(tblSales[[#This Row],[Store ID]],tblStores[Store ID],tblStores[Manager])</f>
        <v>Olivia Turner</v>
      </c>
      <c r="G2441" t="str">
        <f>_xlfn.XLOOKUP(tblSales[[#This Row],[Category ID]],tblCategories[Category ID],tblCategories[Category])</f>
        <v>Footwear</v>
      </c>
      <c r="H2441">
        <v>31524</v>
      </c>
      <c r="I2441">
        <v>28527</v>
      </c>
      <c r="J2441">
        <v>74</v>
      </c>
      <c r="K2441">
        <f>tblSales[[#This Row],[Sales]]-tblSales[[#This Row],[Budget]]</f>
        <v>2997</v>
      </c>
      <c r="L2441" s="3">
        <f>(tblSales[[#This Row],[Sales]]-tblSales[[#This Row],[Budget]])/tblSales[[#This Row],[Budget]]</f>
        <v>0.10505836575875487</v>
      </c>
      <c r="M2441" s="2">
        <f>tblSales[[#This Row],[Sales]]/tblSales[[#This Row],[Transactions]]</f>
        <v>426</v>
      </c>
    </row>
    <row r="2442" spans="1:13" x14ac:dyDescent="0.25">
      <c r="A2442" s="1">
        <v>46145</v>
      </c>
      <c r="B2442" t="s">
        <v>6</v>
      </c>
      <c r="C2442" t="s">
        <v>11</v>
      </c>
      <c r="D2442" t="str">
        <f>_xlfn.XLOOKUP(tblSales[[#This Row],[Store ID]],tblStores[Store ID],tblStores[Store Name])</f>
        <v>Durban CBD</v>
      </c>
      <c r="E2442" t="str">
        <f>_xlfn.XLOOKUP(tblSales[[#This Row],[Store ID]],tblStores[Store ID],tblStores[Province])</f>
        <v>KZN</v>
      </c>
      <c r="F2442" t="str">
        <f>_xlfn.XLOOKUP(tblSales[[#This Row],[Store ID]],tblStores[Store ID],tblStores[Manager])</f>
        <v>Sarah Adams</v>
      </c>
      <c r="G2442" t="str">
        <f>_xlfn.XLOOKUP(tblSales[[#This Row],[Category ID]],tblCategories[Category ID],tblCategories[Category])</f>
        <v>Footwear</v>
      </c>
      <c r="H2442">
        <v>31968</v>
      </c>
      <c r="I2442">
        <v>34835</v>
      </c>
      <c r="J2442">
        <v>144</v>
      </c>
      <c r="K2442">
        <f>tblSales[[#This Row],[Sales]]-tblSales[[#This Row],[Budget]]</f>
        <v>-2867</v>
      </c>
      <c r="L2442" s="3">
        <f>(tblSales[[#This Row],[Sales]]-tblSales[[#This Row],[Budget]])/tblSales[[#This Row],[Budget]]</f>
        <v>-8.2302282187455139E-2</v>
      </c>
      <c r="M2442" s="2">
        <f>tblSales[[#This Row],[Sales]]/tblSales[[#This Row],[Transactions]]</f>
        <v>222</v>
      </c>
    </row>
    <row r="2443" spans="1:13" x14ac:dyDescent="0.25">
      <c r="A2443" s="1">
        <v>46145</v>
      </c>
      <c r="B2443" t="s">
        <v>8</v>
      </c>
      <c r="C2443" t="s">
        <v>22</v>
      </c>
      <c r="D2443" t="str">
        <f>_xlfn.XLOOKUP(tblSales[[#This Row],[Store ID]],tblStores[Store ID],tblStores[Store Name])</f>
        <v>Gateway</v>
      </c>
      <c r="E2443" t="str">
        <f>_xlfn.XLOOKUP(tblSales[[#This Row],[Store ID]],tblStores[Store ID],tblStores[Province])</f>
        <v>KZN</v>
      </c>
      <c r="F2443" t="str">
        <f>_xlfn.XLOOKUP(tblSales[[#This Row],[Store ID]],tblStores[Store ID],tblStores[Manager])</f>
        <v>Michael Jones</v>
      </c>
      <c r="G2443" t="str">
        <f>_xlfn.XLOOKUP(tblSales[[#This Row],[Category ID]],tblCategories[Category ID],tblCategories[Category])</f>
        <v>Kids</v>
      </c>
      <c r="H2443">
        <v>85085</v>
      </c>
      <c r="I2443">
        <v>79826</v>
      </c>
      <c r="J2443">
        <v>187</v>
      </c>
      <c r="K2443">
        <f>tblSales[[#This Row],[Sales]]-tblSales[[#This Row],[Budget]]</f>
        <v>5259</v>
      </c>
      <c r="L2443" s="3">
        <f>(tblSales[[#This Row],[Sales]]-tblSales[[#This Row],[Budget]])/tblSales[[#This Row],[Budget]]</f>
        <v>6.5880790719815605E-2</v>
      </c>
      <c r="M2443" s="2">
        <f>tblSales[[#This Row],[Sales]]/tblSales[[#This Row],[Transactions]]</f>
        <v>455</v>
      </c>
    </row>
    <row r="2444" spans="1:13" x14ac:dyDescent="0.25">
      <c r="A2444" s="1">
        <v>46145</v>
      </c>
      <c r="B2444" t="s">
        <v>10</v>
      </c>
      <c r="C2444" t="s">
        <v>9</v>
      </c>
      <c r="D2444" t="str">
        <f>_xlfn.XLOOKUP(tblSales[[#This Row],[Store ID]],tblStores[Store ID],tblStores[Store Name])</f>
        <v>Ballito</v>
      </c>
      <c r="E2444" t="str">
        <f>_xlfn.XLOOKUP(tblSales[[#This Row],[Store ID]],tblStores[Store ID],tblStores[Province])</f>
        <v>KZN</v>
      </c>
      <c r="F2444" t="str">
        <f>_xlfn.XLOOKUP(tblSales[[#This Row],[Store ID]],tblStores[Store ID],tblStores[Manager])</f>
        <v>Linda Smith</v>
      </c>
      <c r="G2444" t="str">
        <f>_xlfn.XLOOKUP(tblSales[[#This Row],[Category ID]],tblCategories[Category ID],tblCategories[Category])</f>
        <v>Ladieswear</v>
      </c>
      <c r="H2444">
        <v>37400</v>
      </c>
      <c r="I2444">
        <v>37995</v>
      </c>
      <c r="J2444">
        <v>100</v>
      </c>
      <c r="K2444">
        <f>tblSales[[#This Row],[Sales]]-tblSales[[#This Row],[Budget]]</f>
        <v>-595</v>
      </c>
      <c r="L2444" s="3">
        <f>(tblSales[[#This Row],[Sales]]-tblSales[[#This Row],[Budget]])/tblSales[[#This Row],[Budget]]</f>
        <v>-1.5659955257270694E-2</v>
      </c>
      <c r="M2444" s="2">
        <f>tblSales[[#This Row],[Sales]]/tblSales[[#This Row],[Transactions]]</f>
        <v>374</v>
      </c>
    </row>
    <row r="2445" spans="1:13" x14ac:dyDescent="0.25">
      <c r="A2445" s="1">
        <v>46145</v>
      </c>
      <c r="B2445" t="s">
        <v>12</v>
      </c>
      <c r="C2445" t="s">
        <v>11</v>
      </c>
      <c r="D2445" t="str">
        <f>_xlfn.XLOOKUP(tblSales[[#This Row],[Store ID]],tblStores[Store ID],tblStores[Store Name])</f>
        <v>Pietermaritzburg</v>
      </c>
      <c r="E2445" t="str">
        <f>_xlfn.XLOOKUP(tblSales[[#This Row],[Store ID]],tblStores[Store ID],tblStores[Province])</f>
        <v>KZN</v>
      </c>
      <c r="F2445" t="str">
        <f>_xlfn.XLOOKUP(tblSales[[#This Row],[Store ID]],tblStores[Store ID],tblStores[Manager])</f>
        <v>Peter Brown</v>
      </c>
      <c r="G2445" t="str">
        <f>_xlfn.XLOOKUP(tblSales[[#This Row],[Category ID]],tblCategories[Category ID],tblCategories[Category])</f>
        <v>Footwear</v>
      </c>
      <c r="H2445">
        <v>39804</v>
      </c>
      <c r="I2445">
        <v>41417</v>
      </c>
      <c r="J2445">
        <v>107</v>
      </c>
      <c r="K2445">
        <f>tblSales[[#This Row],[Sales]]-tblSales[[#This Row],[Budget]]</f>
        <v>-1613</v>
      </c>
      <c r="L2445" s="3">
        <f>(tblSales[[#This Row],[Sales]]-tblSales[[#This Row],[Budget]])/tblSales[[#This Row],[Budget]]</f>
        <v>-3.8945360600719514E-2</v>
      </c>
      <c r="M2445" s="2">
        <f>tblSales[[#This Row],[Sales]]/tblSales[[#This Row],[Transactions]]</f>
        <v>372</v>
      </c>
    </row>
    <row r="2446" spans="1:13" x14ac:dyDescent="0.25">
      <c r="A2446" s="1">
        <v>46145</v>
      </c>
      <c r="B2446" t="s">
        <v>13</v>
      </c>
      <c r="C2446" t="s">
        <v>11</v>
      </c>
      <c r="D2446" t="str">
        <f>_xlfn.XLOOKUP(tblSales[[#This Row],[Store ID]],tblStores[Store ID],tblStores[Store Name])</f>
        <v>Richards Bay</v>
      </c>
      <c r="E2446" t="str">
        <f>_xlfn.XLOOKUP(tblSales[[#This Row],[Store ID]],tblStores[Store ID],tblStores[Province])</f>
        <v>KZN</v>
      </c>
      <c r="F2446" t="str">
        <f>_xlfn.XLOOKUP(tblSales[[#This Row],[Store ID]],tblStores[Store ID],tblStores[Manager])</f>
        <v>David Green</v>
      </c>
      <c r="G2446" t="str">
        <f>_xlfn.XLOOKUP(tblSales[[#This Row],[Category ID]],tblCategories[Category ID],tblCategories[Category])</f>
        <v>Footwear</v>
      </c>
      <c r="H2446">
        <v>18550</v>
      </c>
      <c r="I2446">
        <v>17328</v>
      </c>
      <c r="J2446">
        <v>53</v>
      </c>
      <c r="K2446">
        <f>tblSales[[#This Row],[Sales]]-tblSales[[#This Row],[Budget]]</f>
        <v>1222</v>
      </c>
      <c r="L2446" s="3">
        <f>(tblSales[[#This Row],[Sales]]-tblSales[[#This Row],[Budget]])/tblSales[[#This Row],[Budget]]</f>
        <v>7.0521698984302869E-2</v>
      </c>
      <c r="M2446" s="2">
        <f>tblSales[[#This Row],[Sales]]/tblSales[[#This Row],[Transactions]]</f>
        <v>350</v>
      </c>
    </row>
    <row r="2447" spans="1:13" x14ac:dyDescent="0.25">
      <c r="A2447" s="1">
        <v>46145</v>
      </c>
      <c r="B2447" t="s">
        <v>14</v>
      </c>
      <c r="C2447" t="s">
        <v>11</v>
      </c>
      <c r="D2447" t="str">
        <f>_xlfn.XLOOKUP(tblSales[[#This Row],[Store ID]],tblStores[Store ID],tblStores[Store Name])</f>
        <v>Sandton</v>
      </c>
      <c r="E2447" t="str">
        <f>_xlfn.XLOOKUP(tblSales[[#This Row],[Store ID]],tblStores[Store ID],tblStores[Province])</f>
        <v>Gauteng</v>
      </c>
      <c r="F2447" t="str">
        <f>_xlfn.XLOOKUP(tblSales[[#This Row],[Store ID]],tblStores[Store ID],tblStores[Manager])</f>
        <v>Karen White</v>
      </c>
      <c r="G2447" t="str">
        <f>_xlfn.XLOOKUP(tblSales[[#This Row],[Category ID]],tblCategories[Category ID],tblCategories[Category])</f>
        <v>Footwear</v>
      </c>
      <c r="H2447">
        <v>22015</v>
      </c>
      <c r="I2447">
        <v>24855</v>
      </c>
      <c r="J2447">
        <v>85</v>
      </c>
      <c r="K2447">
        <f>tblSales[[#This Row],[Sales]]-tblSales[[#This Row],[Budget]]</f>
        <v>-2840</v>
      </c>
      <c r="L2447" s="3">
        <f>(tblSales[[#This Row],[Sales]]-tblSales[[#This Row],[Budget]])/tblSales[[#This Row],[Budget]]</f>
        <v>-0.11426272379802857</v>
      </c>
      <c r="M2447" s="2">
        <f>tblSales[[#This Row],[Sales]]/tblSales[[#This Row],[Transactions]]</f>
        <v>259</v>
      </c>
    </row>
    <row r="2448" spans="1:13" x14ac:dyDescent="0.25">
      <c r="A2448" s="1">
        <v>46145</v>
      </c>
      <c r="B2448" t="s">
        <v>15</v>
      </c>
      <c r="C2448" t="s">
        <v>7</v>
      </c>
      <c r="D2448" t="str">
        <f>_xlfn.XLOOKUP(tblSales[[#This Row],[Store ID]],tblStores[Store ID],tblStores[Store Name])</f>
        <v>Rosebank</v>
      </c>
      <c r="E2448" t="str">
        <f>_xlfn.XLOOKUP(tblSales[[#This Row],[Store ID]],tblStores[Store ID],tblStores[Province])</f>
        <v>Gauteng</v>
      </c>
      <c r="F2448" t="str">
        <f>_xlfn.XLOOKUP(tblSales[[#This Row],[Store ID]],tblStores[Store ID],tblStores[Manager])</f>
        <v>James Taylor</v>
      </c>
      <c r="G2448" t="str">
        <f>_xlfn.XLOOKUP(tblSales[[#This Row],[Category ID]],tblCategories[Category ID],tblCategories[Category])</f>
        <v>Menswear</v>
      </c>
      <c r="H2448">
        <v>16568</v>
      </c>
      <c r="I2448">
        <v>17936</v>
      </c>
      <c r="J2448">
        <v>38</v>
      </c>
      <c r="K2448">
        <f>tblSales[[#This Row],[Sales]]-tblSales[[#This Row],[Budget]]</f>
        <v>-1368</v>
      </c>
      <c r="L2448" s="3">
        <f>(tblSales[[#This Row],[Sales]]-tblSales[[#This Row],[Budget]])/tblSales[[#This Row],[Budget]]</f>
        <v>-7.6271186440677971E-2</v>
      </c>
      <c r="M2448" s="2">
        <f>tblSales[[#This Row],[Sales]]/tblSales[[#This Row],[Transactions]]</f>
        <v>436</v>
      </c>
    </row>
    <row r="2449" spans="1:13" x14ac:dyDescent="0.25">
      <c r="A2449" s="1">
        <v>46145</v>
      </c>
      <c r="B2449" t="s">
        <v>16</v>
      </c>
      <c r="C2449" t="s">
        <v>22</v>
      </c>
      <c r="D2449" t="str">
        <f>_xlfn.XLOOKUP(tblSales[[#This Row],[Store ID]],tblStores[Store ID],tblStores[Store Name])</f>
        <v>Pretoria</v>
      </c>
      <c r="E2449" t="str">
        <f>_xlfn.XLOOKUP(tblSales[[#This Row],[Store ID]],tblStores[Store ID],tblStores[Province])</f>
        <v>Gauteng</v>
      </c>
      <c r="F2449" t="str">
        <f>_xlfn.XLOOKUP(tblSales[[#This Row],[Store ID]],tblStores[Store ID],tblStores[Manager])</f>
        <v>Susan Clark</v>
      </c>
      <c r="G2449" t="str">
        <f>_xlfn.XLOOKUP(tblSales[[#This Row],[Category ID]],tblCategories[Category ID],tblCategories[Category])</f>
        <v>Kids</v>
      </c>
      <c r="H2449">
        <v>61920</v>
      </c>
      <c r="I2449">
        <v>70057</v>
      </c>
      <c r="J2449">
        <v>160</v>
      </c>
      <c r="K2449">
        <f>tblSales[[#This Row],[Sales]]-tblSales[[#This Row],[Budget]]</f>
        <v>-8137</v>
      </c>
      <c r="L2449" s="3">
        <f>(tblSales[[#This Row],[Sales]]-tblSales[[#This Row],[Budget]])/tblSales[[#This Row],[Budget]]</f>
        <v>-0.11614827925831822</v>
      </c>
      <c r="M2449" s="2">
        <f>tblSales[[#This Row],[Sales]]/tblSales[[#This Row],[Transactions]]</f>
        <v>387</v>
      </c>
    </row>
    <row r="2450" spans="1:13" x14ac:dyDescent="0.25">
      <c r="A2450" s="1">
        <v>46145</v>
      </c>
      <c r="B2450" t="s">
        <v>17</v>
      </c>
      <c r="C2450" t="s">
        <v>11</v>
      </c>
      <c r="D2450" t="str">
        <f>_xlfn.XLOOKUP(tblSales[[#This Row],[Store ID]],tblStores[Store ID],tblStores[Store Name])</f>
        <v>Centurion</v>
      </c>
      <c r="E2450" t="str">
        <f>_xlfn.XLOOKUP(tblSales[[#This Row],[Store ID]],tblStores[Store ID],tblStores[Province])</f>
        <v>Gauteng</v>
      </c>
      <c r="F2450" t="str">
        <f>_xlfn.XLOOKUP(tblSales[[#This Row],[Store ID]],tblStores[Store ID],tblStores[Manager])</f>
        <v>Mark Wilson</v>
      </c>
      <c r="G2450" t="str">
        <f>_xlfn.XLOOKUP(tblSales[[#This Row],[Category ID]],tblCategories[Category ID],tblCategories[Category])</f>
        <v>Footwear</v>
      </c>
      <c r="H2450">
        <v>48880</v>
      </c>
      <c r="I2450">
        <v>49974</v>
      </c>
      <c r="J2450">
        <v>130</v>
      </c>
      <c r="K2450">
        <f>tblSales[[#This Row],[Sales]]-tblSales[[#This Row],[Budget]]</f>
        <v>-1094</v>
      </c>
      <c r="L2450" s="3">
        <f>(tblSales[[#This Row],[Sales]]-tblSales[[#This Row],[Budget]])/tblSales[[#This Row],[Budget]]</f>
        <v>-2.1891383519430103E-2</v>
      </c>
      <c r="M2450" s="2">
        <f>tblSales[[#This Row],[Sales]]/tblSales[[#This Row],[Transactions]]</f>
        <v>376</v>
      </c>
    </row>
    <row r="2451" spans="1:13" x14ac:dyDescent="0.25">
      <c r="A2451" s="1">
        <v>46145</v>
      </c>
      <c r="B2451" t="s">
        <v>18</v>
      </c>
      <c r="C2451" t="s">
        <v>19</v>
      </c>
      <c r="D2451" t="str">
        <f>_xlfn.XLOOKUP(tblSales[[#This Row],[Store ID]],tblStores[Store ID],tblStores[Store Name])</f>
        <v>East Rand</v>
      </c>
      <c r="E2451" t="str">
        <f>_xlfn.XLOOKUP(tblSales[[#This Row],[Store ID]],tblStores[Store ID],tblStores[Province])</f>
        <v>Gauteng</v>
      </c>
      <c r="F2451" t="str">
        <f>_xlfn.XLOOKUP(tblSales[[#This Row],[Store ID]],tblStores[Store ID],tblStores[Manager])</f>
        <v>Lisa Young</v>
      </c>
      <c r="G2451" t="str">
        <f>_xlfn.XLOOKUP(tblSales[[#This Row],[Category ID]],tblCategories[Category ID],tblCategories[Category])</f>
        <v>Accessories</v>
      </c>
      <c r="H2451">
        <v>20617</v>
      </c>
      <c r="I2451">
        <v>23116</v>
      </c>
      <c r="J2451">
        <v>53</v>
      </c>
      <c r="K2451">
        <f>tblSales[[#This Row],[Sales]]-tblSales[[#This Row],[Budget]]</f>
        <v>-2499</v>
      </c>
      <c r="L2451" s="3">
        <f>(tblSales[[#This Row],[Sales]]-tblSales[[#This Row],[Budget]])/tblSales[[#This Row],[Budget]]</f>
        <v>-0.10810693891676761</v>
      </c>
      <c r="M2451" s="2">
        <f>tblSales[[#This Row],[Sales]]/tblSales[[#This Row],[Transactions]]</f>
        <v>389</v>
      </c>
    </row>
    <row r="2452" spans="1:13" x14ac:dyDescent="0.25">
      <c r="A2452" s="1">
        <v>46145</v>
      </c>
      <c r="B2452" t="s">
        <v>20</v>
      </c>
      <c r="C2452" t="s">
        <v>7</v>
      </c>
      <c r="D2452" t="str">
        <f>_xlfn.XLOOKUP(tblSales[[#This Row],[Store ID]],tblStores[Store ID],tblStores[Store Name])</f>
        <v>Cape Town CBD</v>
      </c>
      <c r="E2452" t="str">
        <f>_xlfn.XLOOKUP(tblSales[[#This Row],[Store ID]],tblStores[Store ID],tblStores[Province])</f>
        <v>Western Cape</v>
      </c>
      <c r="F2452" t="str">
        <f>_xlfn.XLOOKUP(tblSales[[#This Row],[Store ID]],tblStores[Store ID],tblStores[Manager])</f>
        <v>Brian Hall</v>
      </c>
      <c r="G2452" t="str">
        <f>_xlfn.XLOOKUP(tblSales[[#This Row],[Category ID]],tblCategories[Category ID],tblCategories[Category])</f>
        <v>Menswear</v>
      </c>
      <c r="H2452">
        <v>62377</v>
      </c>
      <c r="I2452">
        <v>58671</v>
      </c>
      <c r="J2452">
        <v>133</v>
      </c>
      <c r="K2452">
        <f>tblSales[[#This Row],[Sales]]-tblSales[[#This Row],[Budget]]</f>
        <v>3706</v>
      </c>
      <c r="L2452" s="3">
        <f>(tblSales[[#This Row],[Sales]]-tblSales[[#This Row],[Budget]])/tblSales[[#This Row],[Budget]]</f>
        <v>6.3165788890593308E-2</v>
      </c>
      <c r="M2452" s="2">
        <f>tblSales[[#This Row],[Sales]]/tblSales[[#This Row],[Transactions]]</f>
        <v>469</v>
      </c>
    </row>
    <row r="2453" spans="1:13" x14ac:dyDescent="0.25">
      <c r="A2453" s="1">
        <v>46145</v>
      </c>
      <c r="B2453" t="s">
        <v>21</v>
      </c>
      <c r="C2453" t="s">
        <v>11</v>
      </c>
      <c r="D2453" t="str">
        <f>_xlfn.XLOOKUP(tblSales[[#This Row],[Store ID]],tblStores[Store ID],tblStores[Store Name])</f>
        <v>Canal Walk</v>
      </c>
      <c r="E2453" t="str">
        <f>_xlfn.XLOOKUP(tblSales[[#This Row],[Store ID]],tblStores[Store ID],tblStores[Province])</f>
        <v>Western Cape</v>
      </c>
      <c r="F2453" t="str">
        <f>_xlfn.XLOOKUP(tblSales[[#This Row],[Store ID]],tblStores[Store ID],tblStores[Manager])</f>
        <v>Megan Scott</v>
      </c>
      <c r="G2453" t="str">
        <f>_xlfn.XLOOKUP(tblSales[[#This Row],[Category ID]],tblCategories[Category ID],tblCategories[Category])</f>
        <v>Footwear</v>
      </c>
      <c r="H2453">
        <v>35800</v>
      </c>
      <c r="I2453">
        <v>36780</v>
      </c>
      <c r="J2453">
        <v>100</v>
      </c>
      <c r="K2453">
        <f>tblSales[[#This Row],[Sales]]-tblSales[[#This Row],[Budget]]</f>
        <v>-980</v>
      </c>
      <c r="L2453" s="3">
        <f>(tblSales[[#This Row],[Sales]]-tblSales[[#This Row],[Budget]])/tblSales[[#This Row],[Budget]]</f>
        <v>-2.6644915715062535E-2</v>
      </c>
      <c r="M2453" s="2">
        <f>tblSales[[#This Row],[Sales]]/tblSales[[#This Row],[Transactions]]</f>
        <v>358</v>
      </c>
    </row>
    <row r="2454" spans="1:13" x14ac:dyDescent="0.25">
      <c r="A2454" s="1">
        <v>46145</v>
      </c>
      <c r="B2454" t="s">
        <v>23</v>
      </c>
      <c r="C2454" t="s">
        <v>11</v>
      </c>
      <c r="D2454" t="str">
        <f>_xlfn.XLOOKUP(tblSales[[#This Row],[Store ID]],tblStores[Store ID],tblStores[Store Name])</f>
        <v>Stellenbosch</v>
      </c>
      <c r="E2454" t="str">
        <f>_xlfn.XLOOKUP(tblSales[[#This Row],[Store ID]],tblStores[Store ID],tblStores[Province])</f>
        <v>Western Cape</v>
      </c>
      <c r="F2454" t="str">
        <f>_xlfn.XLOOKUP(tblSales[[#This Row],[Store ID]],tblStores[Store ID],tblStores[Manager])</f>
        <v>Jason King</v>
      </c>
      <c r="G2454" t="str">
        <f>_xlfn.XLOOKUP(tblSales[[#This Row],[Category ID]],tblCategories[Category ID],tblCategories[Category])</f>
        <v>Footwear</v>
      </c>
      <c r="H2454">
        <v>72496</v>
      </c>
      <c r="I2454">
        <v>77868</v>
      </c>
      <c r="J2454">
        <v>197</v>
      </c>
      <c r="K2454">
        <f>tblSales[[#This Row],[Sales]]-tblSales[[#This Row],[Budget]]</f>
        <v>-5372</v>
      </c>
      <c r="L2454" s="3">
        <f>(tblSales[[#This Row],[Sales]]-tblSales[[#This Row],[Budget]])/tblSales[[#This Row],[Budget]]</f>
        <v>-6.8988544716700059E-2</v>
      </c>
      <c r="M2454" s="2">
        <f>tblSales[[#This Row],[Sales]]/tblSales[[#This Row],[Transactions]]</f>
        <v>368</v>
      </c>
    </row>
    <row r="2455" spans="1:13" x14ac:dyDescent="0.25">
      <c r="A2455" s="1">
        <v>46145</v>
      </c>
      <c r="B2455" t="s">
        <v>24</v>
      </c>
      <c r="C2455" t="s">
        <v>11</v>
      </c>
      <c r="D2455" t="str">
        <f>_xlfn.XLOOKUP(tblSales[[#This Row],[Store ID]],tblStores[Store ID],tblStores[Store Name])</f>
        <v>George</v>
      </c>
      <c r="E2455" t="str">
        <f>_xlfn.XLOOKUP(tblSales[[#This Row],[Store ID]],tblStores[Store ID],tblStores[Province])</f>
        <v>Western Cape</v>
      </c>
      <c r="F2455" t="str">
        <f>_xlfn.XLOOKUP(tblSales[[#This Row],[Store ID]],tblStores[Store ID],tblStores[Manager])</f>
        <v>Chloe Hill</v>
      </c>
      <c r="G2455" t="str">
        <f>_xlfn.XLOOKUP(tblSales[[#This Row],[Category ID]],tblCategories[Category ID],tblCategories[Category])</f>
        <v>Footwear</v>
      </c>
      <c r="H2455">
        <v>43758</v>
      </c>
      <c r="I2455">
        <v>42033</v>
      </c>
      <c r="J2455">
        <v>143</v>
      </c>
      <c r="K2455">
        <f>tblSales[[#This Row],[Sales]]-tblSales[[#This Row],[Budget]]</f>
        <v>1725</v>
      </c>
      <c r="L2455" s="3">
        <f>(tblSales[[#This Row],[Sales]]-tblSales[[#This Row],[Budget]])/tblSales[[#This Row],[Budget]]</f>
        <v>4.1039183498679611E-2</v>
      </c>
      <c r="M2455" s="2">
        <f>tblSales[[#This Row],[Sales]]/tblSales[[#This Row],[Transactions]]</f>
        <v>306</v>
      </c>
    </row>
    <row r="2456" spans="1:13" x14ac:dyDescent="0.25">
      <c r="A2456" s="1">
        <v>46145</v>
      </c>
      <c r="B2456" t="s">
        <v>25</v>
      </c>
      <c r="C2456" t="s">
        <v>7</v>
      </c>
      <c r="D2456" t="str">
        <f>_xlfn.XLOOKUP(tblSales[[#This Row],[Store ID]],tblStores[Store ID],tblStores[Store Name])</f>
        <v>Paarl</v>
      </c>
      <c r="E2456" t="str">
        <f>_xlfn.XLOOKUP(tblSales[[#This Row],[Store ID]],tblStores[Store ID],tblStores[Province])</f>
        <v>Western Cape</v>
      </c>
      <c r="F2456" t="str">
        <f>_xlfn.XLOOKUP(tblSales[[#This Row],[Store ID]],tblStores[Store ID],tblStores[Manager])</f>
        <v>Andrew Lee</v>
      </c>
      <c r="G2456" t="str">
        <f>_xlfn.XLOOKUP(tblSales[[#This Row],[Category ID]],tblCategories[Category ID],tblCategories[Category])</f>
        <v>Menswear</v>
      </c>
      <c r="H2456">
        <v>63881</v>
      </c>
      <c r="I2456">
        <v>68776</v>
      </c>
      <c r="J2456">
        <v>127</v>
      </c>
      <c r="K2456">
        <f>tblSales[[#This Row],[Sales]]-tblSales[[#This Row],[Budget]]</f>
        <v>-4895</v>
      </c>
      <c r="L2456" s="3">
        <f>(tblSales[[#This Row],[Sales]]-tblSales[[#This Row],[Budget]])/tblSales[[#This Row],[Budget]]</f>
        <v>-7.1173083633825754E-2</v>
      </c>
      <c r="M2456" s="2">
        <f>tblSales[[#This Row],[Sales]]/tblSales[[#This Row],[Transactions]]</f>
        <v>503</v>
      </c>
    </row>
    <row r="2457" spans="1:13" x14ac:dyDescent="0.25">
      <c r="A2457" s="1">
        <v>46145</v>
      </c>
      <c r="B2457" t="s">
        <v>26</v>
      </c>
      <c r="C2457" t="s">
        <v>7</v>
      </c>
      <c r="D2457" t="str">
        <f>_xlfn.XLOOKUP(tblSales[[#This Row],[Store ID]],tblStores[Store ID],tblStores[Store Name])</f>
        <v>Gqeberha</v>
      </c>
      <c r="E2457" t="str">
        <f>_xlfn.XLOOKUP(tblSales[[#This Row],[Store ID]],tblStores[Store ID],tblStores[Province])</f>
        <v>Eastern Cape</v>
      </c>
      <c r="F2457" t="str">
        <f>_xlfn.XLOOKUP(tblSales[[#This Row],[Store ID]],tblStores[Store ID],tblStores[Manager])</f>
        <v>Emma Baker</v>
      </c>
      <c r="G2457" t="str">
        <f>_xlfn.XLOOKUP(tblSales[[#This Row],[Category ID]],tblCategories[Category ID],tblCategories[Category])</f>
        <v>Menswear</v>
      </c>
      <c r="H2457">
        <v>110760</v>
      </c>
      <c r="I2457">
        <v>117553</v>
      </c>
      <c r="J2457">
        <v>213</v>
      </c>
      <c r="K2457">
        <f>tblSales[[#This Row],[Sales]]-tblSales[[#This Row],[Budget]]</f>
        <v>-6793</v>
      </c>
      <c r="L2457" s="3">
        <f>(tblSales[[#This Row],[Sales]]-tblSales[[#This Row],[Budget]])/tblSales[[#This Row],[Budget]]</f>
        <v>-5.7786700467023389E-2</v>
      </c>
      <c r="M2457" s="2">
        <f>tblSales[[#This Row],[Sales]]/tblSales[[#This Row],[Transactions]]</f>
        <v>520</v>
      </c>
    </row>
    <row r="2458" spans="1:13" x14ac:dyDescent="0.25">
      <c r="A2458" s="1">
        <v>46145</v>
      </c>
      <c r="B2458" t="s">
        <v>27</v>
      </c>
      <c r="C2458" t="s">
        <v>22</v>
      </c>
      <c r="D2458" t="str">
        <f>_xlfn.XLOOKUP(tblSales[[#This Row],[Store ID]],tblStores[Store ID],tblStores[Store Name])</f>
        <v>East London</v>
      </c>
      <c r="E2458" t="str">
        <f>_xlfn.XLOOKUP(tblSales[[#This Row],[Store ID]],tblStores[Store ID],tblStores[Province])</f>
        <v>Eastern Cape</v>
      </c>
      <c r="F2458" t="str">
        <f>_xlfn.XLOOKUP(tblSales[[#This Row],[Store ID]],tblStores[Store ID],tblStores[Manager])</f>
        <v>Daniel Evans</v>
      </c>
      <c r="G2458" t="str">
        <f>_xlfn.XLOOKUP(tblSales[[#This Row],[Category ID]],tblCategories[Category ID],tblCategories[Category])</f>
        <v>Kids</v>
      </c>
      <c r="H2458">
        <v>78057</v>
      </c>
      <c r="I2458">
        <v>88677</v>
      </c>
      <c r="J2458">
        <v>189</v>
      </c>
      <c r="K2458">
        <f>tblSales[[#This Row],[Sales]]-tblSales[[#This Row],[Budget]]</f>
        <v>-10620</v>
      </c>
      <c r="L2458" s="3">
        <f>(tblSales[[#This Row],[Sales]]-tblSales[[#This Row],[Budget]])/tblSales[[#This Row],[Budget]]</f>
        <v>-0.11976047904191617</v>
      </c>
      <c r="M2458" s="2">
        <f>tblSales[[#This Row],[Sales]]/tblSales[[#This Row],[Transactions]]</f>
        <v>413</v>
      </c>
    </row>
    <row r="2459" spans="1:13" x14ac:dyDescent="0.25">
      <c r="A2459" s="1">
        <v>46145</v>
      </c>
      <c r="B2459" t="s">
        <v>28</v>
      </c>
      <c r="C2459" t="s">
        <v>9</v>
      </c>
      <c r="D2459" t="str">
        <f>_xlfn.XLOOKUP(tblSales[[#This Row],[Store ID]],tblStores[Store ID],tblStores[Store Name])</f>
        <v>Bloemfontein</v>
      </c>
      <c r="E2459" t="str">
        <f>_xlfn.XLOOKUP(tblSales[[#This Row],[Store ID]],tblStores[Store ID],tblStores[Province])</f>
        <v>Free State</v>
      </c>
      <c r="F2459" t="str">
        <f>_xlfn.XLOOKUP(tblSales[[#This Row],[Store ID]],tblStores[Store ID],tblStores[Manager])</f>
        <v>Rachel Moore</v>
      </c>
      <c r="G2459" t="str">
        <f>_xlfn.XLOOKUP(tblSales[[#This Row],[Category ID]],tblCategories[Category ID],tblCategories[Category])</f>
        <v>Ladieswear</v>
      </c>
      <c r="H2459">
        <v>30600</v>
      </c>
      <c r="I2459">
        <v>32146</v>
      </c>
      <c r="J2459">
        <v>100</v>
      </c>
      <c r="K2459">
        <f>tblSales[[#This Row],[Sales]]-tblSales[[#This Row],[Budget]]</f>
        <v>-1546</v>
      </c>
      <c r="L2459" s="3">
        <f>(tblSales[[#This Row],[Sales]]-tblSales[[#This Row],[Budget]])/tblSales[[#This Row],[Budget]]</f>
        <v>-4.8093075343744164E-2</v>
      </c>
      <c r="M2459" s="2">
        <f>tblSales[[#This Row],[Sales]]/tblSales[[#This Row],[Transactions]]</f>
        <v>306</v>
      </c>
    </row>
    <row r="2460" spans="1:13" x14ac:dyDescent="0.25">
      <c r="A2460" s="1">
        <v>46145</v>
      </c>
      <c r="B2460" t="s">
        <v>29</v>
      </c>
      <c r="C2460" t="s">
        <v>9</v>
      </c>
      <c r="D2460" t="str">
        <f>_xlfn.XLOOKUP(tblSales[[#This Row],[Store ID]],tblStores[Store ID],tblStores[Store Name])</f>
        <v>Polokwane</v>
      </c>
      <c r="E2460" t="str">
        <f>_xlfn.XLOOKUP(tblSales[[#This Row],[Store ID]],tblStores[Store ID],tblStores[Province])</f>
        <v>Limpopo</v>
      </c>
      <c r="F2460" t="str">
        <f>_xlfn.XLOOKUP(tblSales[[#This Row],[Store ID]],tblStores[Store ID],tblStores[Manager])</f>
        <v>Kevin Harris</v>
      </c>
      <c r="G2460" t="str">
        <f>_xlfn.XLOOKUP(tblSales[[#This Row],[Category ID]],tblCategories[Category ID],tblCategories[Category])</f>
        <v>Ladieswear</v>
      </c>
      <c r="H2460">
        <v>9082</v>
      </c>
      <c r="I2460">
        <v>9924</v>
      </c>
      <c r="J2460">
        <v>38</v>
      </c>
      <c r="K2460">
        <f>tblSales[[#This Row],[Sales]]-tblSales[[#This Row],[Budget]]</f>
        <v>-842</v>
      </c>
      <c r="L2460" s="3">
        <f>(tblSales[[#This Row],[Sales]]-tblSales[[#This Row],[Budget]])/tblSales[[#This Row],[Budget]]</f>
        <v>-8.4844820636839985E-2</v>
      </c>
      <c r="M2460" s="2">
        <f>tblSales[[#This Row],[Sales]]/tblSales[[#This Row],[Transactions]]</f>
        <v>239</v>
      </c>
    </row>
    <row r="2461" spans="1:13" x14ac:dyDescent="0.25">
      <c r="A2461" s="1">
        <v>46145</v>
      </c>
      <c r="B2461" t="s">
        <v>30</v>
      </c>
      <c r="C2461" t="s">
        <v>11</v>
      </c>
      <c r="D2461" t="str">
        <f>_xlfn.XLOOKUP(tblSales[[#This Row],[Store ID]],tblStores[Store ID],tblStores[Store Name])</f>
        <v>Nelspruit</v>
      </c>
      <c r="E2461" t="str">
        <f>_xlfn.XLOOKUP(tblSales[[#This Row],[Store ID]],tblStores[Store ID],tblStores[Province])</f>
        <v>Mpumalanga</v>
      </c>
      <c r="F2461" t="str">
        <f>_xlfn.XLOOKUP(tblSales[[#This Row],[Store ID]],tblStores[Store ID],tblStores[Manager])</f>
        <v>Olivia Turner</v>
      </c>
      <c r="G2461" t="str">
        <f>_xlfn.XLOOKUP(tblSales[[#This Row],[Category ID]],tblCategories[Category ID],tblCategories[Category])</f>
        <v>Footwear</v>
      </c>
      <c r="H2461">
        <v>65280</v>
      </c>
      <c r="I2461">
        <v>74650</v>
      </c>
      <c r="J2461">
        <v>136</v>
      </c>
      <c r="K2461">
        <f>tblSales[[#This Row],[Sales]]-tblSales[[#This Row],[Budget]]</f>
        <v>-9370</v>
      </c>
      <c r="L2461" s="3">
        <f>(tblSales[[#This Row],[Sales]]-tblSales[[#This Row],[Budget]])/tblSales[[#This Row],[Budget]]</f>
        <v>-0.12551908908238446</v>
      </c>
      <c r="M2461" s="2">
        <f>tblSales[[#This Row],[Sales]]/tblSales[[#This Row],[Transactions]]</f>
        <v>480</v>
      </c>
    </row>
    <row r="2462" spans="1:13" x14ac:dyDescent="0.25">
      <c r="A2462" s="1">
        <v>46146</v>
      </c>
      <c r="B2462" t="s">
        <v>6</v>
      </c>
      <c r="C2462" t="s">
        <v>7</v>
      </c>
      <c r="D2462" t="str">
        <f>_xlfn.XLOOKUP(tblSales[[#This Row],[Store ID]],tblStores[Store ID],tblStores[Store Name])</f>
        <v>Durban CBD</v>
      </c>
      <c r="E2462" t="str">
        <f>_xlfn.XLOOKUP(tblSales[[#This Row],[Store ID]],tblStores[Store ID],tblStores[Province])</f>
        <v>KZN</v>
      </c>
      <c r="F2462" t="str">
        <f>_xlfn.XLOOKUP(tblSales[[#This Row],[Store ID]],tblStores[Store ID],tblStores[Manager])</f>
        <v>Sarah Adams</v>
      </c>
      <c r="G2462" t="str">
        <f>_xlfn.XLOOKUP(tblSales[[#This Row],[Category ID]],tblCategories[Category ID],tblCategories[Category])</f>
        <v>Menswear</v>
      </c>
      <c r="H2462">
        <v>46092</v>
      </c>
      <c r="I2462">
        <v>51577</v>
      </c>
      <c r="J2462">
        <v>167</v>
      </c>
      <c r="K2462">
        <f>tblSales[[#This Row],[Sales]]-tblSales[[#This Row],[Budget]]</f>
        <v>-5485</v>
      </c>
      <c r="L2462" s="3">
        <f>(tblSales[[#This Row],[Sales]]-tblSales[[#This Row],[Budget]])/tblSales[[#This Row],[Budget]]</f>
        <v>-0.10634585183318146</v>
      </c>
      <c r="M2462" s="2">
        <f>tblSales[[#This Row],[Sales]]/tblSales[[#This Row],[Transactions]]</f>
        <v>276</v>
      </c>
    </row>
    <row r="2463" spans="1:13" x14ac:dyDescent="0.25">
      <c r="A2463" s="1">
        <v>46146</v>
      </c>
      <c r="B2463" t="s">
        <v>8</v>
      </c>
      <c r="C2463" t="s">
        <v>9</v>
      </c>
      <c r="D2463" t="str">
        <f>_xlfn.XLOOKUP(tblSales[[#This Row],[Store ID]],tblStores[Store ID],tblStores[Store Name])</f>
        <v>Gateway</v>
      </c>
      <c r="E2463" t="str">
        <f>_xlfn.XLOOKUP(tblSales[[#This Row],[Store ID]],tblStores[Store ID],tblStores[Province])</f>
        <v>KZN</v>
      </c>
      <c r="F2463" t="str">
        <f>_xlfn.XLOOKUP(tblSales[[#This Row],[Store ID]],tblStores[Store ID],tblStores[Manager])</f>
        <v>Michael Jones</v>
      </c>
      <c r="G2463" t="str">
        <f>_xlfn.XLOOKUP(tblSales[[#This Row],[Category ID]],tblCategories[Category ID],tblCategories[Category])</f>
        <v>Ladieswear</v>
      </c>
      <c r="H2463">
        <v>44496</v>
      </c>
      <c r="I2463">
        <v>47742</v>
      </c>
      <c r="J2463">
        <v>144</v>
      </c>
      <c r="K2463">
        <f>tblSales[[#This Row],[Sales]]-tblSales[[#This Row],[Budget]]</f>
        <v>-3246</v>
      </c>
      <c r="L2463" s="3">
        <f>(tblSales[[#This Row],[Sales]]-tblSales[[#This Row],[Budget]])/tblSales[[#This Row],[Budget]]</f>
        <v>-6.7990448661555861E-2</v>
      </c>
      <c r="M2463" s="2">
        <f>tblSales[[#This Row],[Sales]]/tblSales[[#This Row],[Transactions]]</f>
        <v>309</v>
      </c>
    </row>
    <row r="2464" spans="1:13" x14ac:dyDescent="0.25">
      <c r="A2464" s="1">
        <v>46146</v>
      </c>
      <c r="B2464" t="s">
        <v>10</v>
      </c>
      <c r="C2464" t="s">
        <v>19</v>
      </c>
      <c r="D2464" t="str">
        <f>_xlfn.XLOOKUP(tblSales[[#This Row],[Store ID]],tblStores[Store ID],tblStores[Store Name])</f>
        <v>Ballito</v>
      </c>
      <c r="E2464" t="str">
        <f>_xlfn.XLOOKUP(tblSales[[#This Row],[Store ID]],tblStores[Store ID],tblStores[Province])</f>
        <v>KZN</v>
      </c>
      <c r="F2464" t="str">
        <f>_xlfn.XLOOKUP(tblSales[[#This Row],[Store ID]],tblStores[Store ID],tblStores[Manager])</f>
        <v>Linda Smith</v>
      </c>
      <c r="G2464" t="str">
        <f>_xlfn.XLOOKUP(tblSales[[#This Row],[Category ID]],tblCategories[Category ID],tblCategories[Category])</f>
        <v>Accessories</v>
      </c>
      <c r="H2464">
        <v>88407</v>
      </c>
      <c r="I2464">
        <v>99162</v>
      </c>
      <c r="J2464">
        <v>171</v>
      </c>
      <c r="K2464">
        <f>tblSales[[#This Row],[Sales]]-tblSales[[#This Row],[Budget]]</f>
        <v>-10755</v>
      </c>
      <c r="L2464" s="3">
        <f>(tblSales[[#This Row],[Sales]]-tblSales[[#This Row],[Budget]])/tblSales[[#This Row],[Budget]]</f>
        <v>-0.10845888546015611</v>
      </c>
      <c r="M2464" s="2">
        <f>tblSales[[#This Row],[Sales]]/tblSales[[#This Row],[Transactions]]</f>
        <v>517</v>
      </c>
    </row>
    <row r="2465" spans="1:13" x14ac:dyDescent="0.25">
      <c r="A2465" s="1">
        <v>46146</v>
      </c>
      <c r="B2465" t="s">
        <v>12</v>
      </c>
      <c r="C2465" t="s">
        <v>19</v>
      </c>
      <c r="D2465" t="str">
        <f>_xlfn.XLOOKUP(tblSales[[#This Row],[Store ID]],tblStores[Store ID],tblStores[Store Name])</f>
        <v>Pietermaritzburg</v>
      </c>
      <c r="E2465" t="str">
        <f>_xlfn.XLOOKUP(tblSales[[#This Row],[Store ID]],tblStores[Store ID],tblStores[Province])</f>
        <v>KZN</v>
      </c>
      <c r="F2465" t="str">
        <f>_xlfn.XLOOKUP(tblSales[[#This Row],[Store ID]],tblStores[Store ID],tblStores[Manager])</f>
        <v>Peter Brown</v>
      </c>
      <c r="G2465" t="str">
        <f>_xlfn.XLOOKUP(tblSales[[#This Row],[Category ID]],tblCategories[Category ID],tblCategories[Category])</f>
        <v>Accessories</v>
      </c>
      <c r="H2465">
        <v>44070</v>
      </c>
      <c r="I2465">
        <v>47953</v>
      </c>
      <c r="J2465">
        <v>113</v>
      </c>
      <c r="K2465">
        <f>tblSales[[#This Row],[Sales]]-tblSales[[#This Row],[Budget]]</f>
        <v>-3883</v>
      </c>
      <c r="L2465" s="3">
        <f>(tblSales[[#This Row],[Sales]]-tblSales[[#This Row],[Budget]])/tblSales[[#This Row],[Budget]]</f>
        <v>-8.0975121473109091E-2</v>
      </c>
      <c r="M2465" s="2">
        <f>tblSales[[#This Row],[Sales]]/tblSales[[#This Row],[Transactions]]</f>
        <v>390</v>
      </c>
    </row>
    <row r="2466" spans="1:13" x14ac:dyDescent="0.25">
      <c r="A2466" s="1">
        <v>46146</v>
      </c>
      <c r="B2466" t="s">
        <v>13</v>
      </c>
      <c r="C2466" t="s">
        <v>7</v>
      </c>
      <c r="D2466" t="str">
        <f>_xlfn.XLOOKUP(tblSales[[#This Row],[Store ID]],tblStores[Store ID],tblStores[Store Name])</f>
        <v>Richards Bay</v>
      </c>
      <c r="E2466" t="str">
        <f>_xlfn.XLOOKUP(tblSales[[#This Row],[Store ID]],tblStores[Store ID],tblStores[Province])</f>
        <v>KZN</v>
      </c>
      <c r="F2466" t="str">
        <f>_xlfn.XLOOKUP(tblSales[[#This Row],[Store ID]],tblStores[Store ID],tblStores[Manager])</f>
        <v>David Green</v>
      </c>
      <c r="G2466" t="str">
        <f>_xlfn.XLOOKUP(tblSales[[#This Row],[Category ID]],tblCategories[Category ID],tblCategories[Category])</f>
        <v>Menswear</v>
      </c>
      <c r="H2466">
        <v>31310</v>
      </c>
      <c r="I2466">
        <v>32661</v>
      </c>
      <c r="J2466">
        <v>62</v>
      </c>
      <c r="K2466">
        <f>tblSales[[#This Row],[Sales]]-tblSales[[#This Row],[Budget]]</f>
        <v>-1351</v>
      </c>
      <c r="L2466" s="3">
        <f>(tblSales[[#This Row],[Sales]]-tblSales[[#This Row],[Budget]])/tblSales[[#This Row],[Budget]]</f>
        <v>-4.1364318300113286E-2</v>
      </c>
      <c r="M2466" s="2">
        <f>tblSales[[#This Row],[Sales]]/tblSales[[#This Row],[Transactions]]</f>
        <v>505</v>
      </c>
    </row>
    <row r="2467" spans="1:13" x14ac:dyDescent="0.25">
      <c r="A2467" s="1">
        <v>46146</v>
      </c>
      <c r="B2467" t="s">
        <v>14</v>
      </c>
      <c r="C2467" t="s">
        <v>22</v>
      </c>
      <c r="D2467" t="str">
        <f>_xlfn.XLOOKUP(tblSales[[#This Row],[Store ID]],tblStores[Store ID],tblStores[Store Name])</f>
        <v>Sandton</v>
      </c>
      <c r="E2467" t="str">
        <f>_xlfn.XLOOKUP(tblSales[[#This Row],[Store ID]],tblStores[Store ID],tblStores[Province])</f>
        <v>Gauteng</v>
      </c>
      <c r="F2467" t="str">
        <f>_xlfn.XLOOKUP(tblSales[[#This Row],[Store ID]],tblStores[Store ID],tblStores[Manager])</f>
        <v>Karen White</v>
      </c>
      <c r="G2467" t="str">
        <f>_xlfn.XLOOKUP(tblSales[[#This Row],[Category ID]],tblCategories[Category ID],tblCategories[Category])</f>
        <v>Kids</v>
      </c>
      <c r="H2467">
        <v>22507</v>
      </c>
      <c r="I2467">
        <v>24469</v>
      </c>
      <c r="J2467">
        <v>71</v>
      </c>
      <c r="K2467">
        <f>tblSales[[#This Row],[Sales]]-tblSales[[#This Row],[Budget]]</f>
        <v>-1962</v>
      </c>
      <c r="L2467" s="3">
        <f>(tblSales[[#This Row],[Sales]]-tblSales[[#This Row],[Budget]])/tblSales[[#This Row],[Budget]]</f>
        <v>-8.018308880624464E-2</v>
      </c>
      <c r="M2467" s="2">
        <f>tblSales[[#This Row],[Sales]]/tblSales[[#This Row],[Transactions]]</f>
        <v>317</v>
      </c>
    </row>
    <row r="2468" spans="1:13" x14ac:dyDescent="0.25">
      <c r="A2468" s="1">
        <v>46146</v>
      </c>
      <c r="B2468" t="s">
        <v>15</v>
      </c>
      <c r="C2468" t="s">
        <v>11</v>
      </c>
      <c r="D2468" t="str">
        <f>_xlfn.XLOOKUP(tblSales[[#This Row],[Store ID]],tblStores[Store ID],tblStores[Store Name])</f>
        <v>Rosebank</v>
      </c>
      <c r="E2468" t="str">
        <f>_xlfn.XLOOKUP(tblSales[[#This Row],[Store ID]],tblStores[Store ID],tblStores[Province])</f>
        <v>Gauteng</v>
      </c>
      <c r="F2468" t="str">
        <f>_xlfn.XLOOKUP(tblSales[[#This Row],[Store ID]],tblStores[Store ID],tblStores[Manager])</f>
        <v>James Taylor</v>
      </c>
      <c r="G2468" t="str">
        <f>_xlfn.XLOOKUP(tblSales[[#This Row],[Category ID]],tblCategories[Category ID],tblCategories[Category])</f>
        <v>Footwear</v>
      </c>
      <c r="H2468">
        <v>71781</v>
      </c>
      <c r="I2468">
        <v>64718</v>
      </c>
      <c r="J2468">
        <v>213</v>
      </c>
      <c r="K2468">
        <f>tblSales[[#This Row],[Sales]]-tblSales[[#This Row],[Budget]]</f>
        <v>7063</v>
      </c>
      <c r="L2468" s="3">
        <f>(tblSales[[#This Row],[Sales]]-tblSales[[#This Row],[Budget]])/tblSales[[#This Row],[Budget]]</f>
        <v>0.1091350165332674</v>
      </c>
      <c r="M2468" s="2">
        <f>tblSales[[#This Row],[Sales]]/tblSales[[#This Row],[Transactions]]</f>
        <v>337</v>
      </c>
    </row>
    <row r="2469" spans="1:13" x14ac:dyDescent="0.25">
      <c r="A2469" s="1">
        <v>46146</v>
      </c>
      <c r="B2469" t="s">
        <v>16</v>
      </c>
      <c r="C2469" t="s">
        <v>9</v>
      </c>
      <c r="D2469" t="str">
        <f>_xlfn.XLOOKUP(tblSales[[#This Row],[Store ID]],tblStores[Store ID],tblStores[Store Name])</f>
        <v>Pretoria</v>
      </c>
      <c r="E2469" t="str">
        <f>_xlfn.XLOOKUP(tblSales[[#This Row],[Store ID]],tblStores[Store ID],tblStores[Province])</f>
        <v>Gauteng</v>
      </c>
      <c r="F2469" t="str">
        <f>_xlfn.XLOOKUP(tblSales[[#This Row],[Store ID]],tblStores[Store ID],tblStores[Manager])</f>
        <v>Susan Clark</v>
      </c>
      <c r="G2469" t="str">
        <f>_xlfn.XLOOKUP(tblSales[[#This Row],[Category ID]],tblCategories[Category ID],tblCategories[Category])</f>
        <v>Ladieswear</v>
      </c>
      <c r="H2469">
        <v>28800</v>
      </c>
      <c r="I2469">
        <v>26617</v>
      </c>
      <c r="J2469">
        <v>160</v>
      </c>
      <c r="K2469">
        <f>tblSales[[#This Row],[Sales]]-tblSales[[#This Row],[Budget]]</f>
        <v>2183</v>
      </c>
      <c r="L2469" s="3">
        <f>(tblSales[[#This Row],[Sales]]-tblSales[[#This Row],[Budget]])/tblSales[[#This Row],[Budget]]</f>
        <v>8.2015253409475145E-2</v>
      </c>
      <c r="M2469" s="2">
        <f>tblSales[[#This Row],[Sales]]/tblSales[[#This Row],[Transactions]]</f>
        <v>180</v>
      </c>
    </row>
    <row r="2470" spans="1:13" x14ac:dyDescent="0.25">
      <c r="A2470" s="1">
        <v>46146</v>
      </c>
      <c r="B2470" t="s">
        <v>17</v>
      </c>
      <c r="C2470" t="s">
        <v>11</v>
      </c>
      <c r="D2470" t="str">
        <f>_xlfn.XLOOKUP(tblSales[[#This Row],[Store ID]],tblStores[Store ID],tblStores[Store Name])</f>
        <v>Centurion</v>
      </c>
      <c r="E2470" t="str">
        <f>_xlfn.XLOOKUP(tblSales[[#This Row],[Store ID]],tblStores[Store ID],tblStores[Province])</f>
        <v>Gauteng</v>
      </c>
      <c r="F2470" t="str">
        <f>_xlfn.XLOOKUP(tblSales[[#This Row],[Store ID]],tblStores[Store ID],tblStores[Manager])</f>
        <v>Mark Wilson</v>
      </c>
      <c r="G2470" t="str">
        <f>_xlfn.XLOOKUP(tblSales[[#This Row],[Category ID]],tblCategories[Category ID],tblCategories[Category])</f>
        <v>Footwear</v>
      </c>
      <c r="H2470">
        <v>66417</v>
      </c>
      <c r="I2470">
        <v>70643</v>
      </c>
      <c r="J2470">
        <v>169</v>
      </c>
      <c r="K2470">
        <f>tblSales[[#This Row],[Sales]]-tblSales[[#This Row],[Budget]]</f>
        <v>-4226</v>
      </c>
      <c r="L2470" s="3">
        <f>(tblSales[[#This Row],[Sales]]-tblSales[[#This Row],[Budget]])/tblSales[[#This Row],[Budget]]</f>
        <v>-5.9821921492575342E-2</v>
      </c>
      <c r="M2470" s="2">
        <f>tblSales[[#This Row],[Sales]]/tblSales[[#This Row],[Transactions]]</f>
        <v>393</v>
      </c>
    </row>
    <row r="2471" spans="1:13" x14ac:dyDescent="0.25">
      <c r="A2471" s="1">
        <v>46146</v>
      </c>
      <c r="B2471" t="s">
        <v>18</v>
      </c>
      <c r="C2471" t="s">
        <v>11</v>
      </c>
      <c r="D2471" t="str">
        <f>_xlfn.XLOOKUP(tblSales[[#This Row],[Store ID]],tblStores[Store ID],tblStores[Store Name])</f>
        <v>East Rand</v>
      </c>
      <c r="E2471" t="str">
        <f>_xlfn.XLOOKUP(tblSales[[#This Row],[Store ID]],tblStores[Store ID],tblStores[Province])</f>
        <v>Gauteng</v>
      </c>
      <c r="F2471" t="str">
        <f>_xlfn.XLOOKUP(tblSales[[#This Row],[Store ID]],tblStores[Store ID],tblStores[Manager])</f>
        <v>Lisa Young</v>
      </c>
      <c r="G2471" t="str">
        <f>_xlfn.XLOOKUP(tblSales[[#This Row],[Category ID]],tblCategories[Category ID],tblCategories[Category])</f>
        <v>Footwear</v>
      </c>
      <c r="H2471">
        <v>21060</v>
      </c>
      <c r="I2471">
        <v>20926</v>
      </c>
      <c r="J2471">
        <v>78</v>
      </c>
      <c r="K2471">
        <f>tblSales[[#This Row],[Sales]]-tblSales[[#This Row],[Budget]]</f>
        <v>134</v>
      </c>
      <c r="L2471" s="3">
        <f>(tblSales[[#This Row],[Sales]]-tblSales[[#This Row],[Budget]])/tblSales[[#This Row],[Budget]]</f>
        <v>6.4035171556914841E-3</v>
      </c>
      <c r="M2471" s="2">
        <f>tblSales[[#This Row],[Sales]]/tblSales[[#This Row],[Transactions]]</f>
        <v>270</v>
      </c>
    </row>
    <row r="2472" spans="1:13" x14ac:dyDescent="0.25">
      <c r="A2472" s="1">
        <v>46146</v>
      </c>
      <c r="B2472" t="s">
        <v>20</v>
      </c>
      <c r="C2472" t="s">
        <v>9</v>
      </c>
      <c r="D2472" t="str">
        <f>_xlfn.XLOOKUP(tblSales[[#This Row],[Store ID]],tblStores[Store ID],tblStores[Store Name])</f>
        <v>Cape Town CBD</v>
      </c>
      <c r="E2472" t="str">
        <f>_xlfn.XLOOKUP(tblSales[[#This Row],[Store ID]],tblStores[Store ID],tblStores[Province])</f>
        <v>Western Cape</v>
      </c>
      <c r="F2472" t="str">
        <f>_xlfn.XLOOKUP(tblSales[[#This Row],[Store ID]],tblStores[Store ID],tblStores[Manager])</f>
        <v>Brian Hall</v>
      </c>
      <c r="G2472" t="str">
        <f>_xlfn.XLOOKUP(tblSales[[#This Row],[Category ID]],tblCategories[Category ID],tblCategories[Category])</f>
        <v>Ladieswear</v>
      </c>
      <c r="H2472">
        <v>36465</v>
      </c>
      <c r="I2472">
        <v>34477</v>
      </c>
      <c r="J2472">
        <v>85</v>
      </c>
      <c r="K2472">
        <f>tblSales[[#This Row],[Sales]]-tblSales[[#This Row],[Budget]]</f>
        <v>1988</v>
      </c>
      <c r="L2472" s="3">
        <f>(tblSales[[#This Row],[Sales]]-tblSales[[#This Row],[Budget]])/tblSales[[#This Row],[Budget]]</f>
        <v>5.7661629492125187E-2</v>
      </c>
      <c r="M2472" s="2">
        <f>tblSales[[#This Row],[Sales]]/tblSales[[#This Row],[Transactions]]</f>
        <v>429</v>
      </c>
    </row>
    <row r="2473" spans="1:13" x14ac:dyDescent="0.25">
      <c r="A2473" s="1">
        <v>46146</v>
      </c>
      <c r="B2473" t="s">
        <v>21</v>
      </c>
      <c r="C2473" t="s">
        <v>7</v>
      </c>
      <c r="D2473" t="str">
        <f>_xlfn.XLOOKUP(tblSales[[#This Row],[Store ID]],tblStores[Store ID],tblStores[Store Name])</f>
        <v>Canal Walk</v>
      </c>
      <c r="E2473" t="str">
        <f>_xlfn.XLOOKUP(tblSales[[#This Row],[Store ID]],tblStores[Store ID],tblStores[Province])</f>
        <v>Western Cape</v>
      </c>
      <c r="F2473" t="str">
        <f>_xlfn.XLOOKUP(tblSales[[#This Row],[Store ID]],tblStores[Store ID],tblStores[Manager])</f>
        <v>Megan Scott</v>
      </c>
      <c r="G2473" t="str">
        <f>_xlfn.XLOOKUP(tblSales[[#This Row],[Category ID]],tblCategories[Category ID],tblCategories[Category])</f>
        <v>Menswear</v>
      </c>
      <c r="H2473">
        <v>70500</v>
      </c>
      <c r="I2473">
        <v>77803</v>
      </c>
      <c r="J2473">
        <v>150</v>
      </c>
      <c r="K2473">
        <f>tblSales[[#This Row],[Sales]]-tblSales[[#This Row],[Budget]]</f>
        <v>-7303</v>
      </c>
      <c r="L2473" s="3">
        <f>(tblSales[[#This Row],[Sales]]-tblSales[[#This Row],[Budget]])/tblSales[[#This Row],[Budget]]</f>
        <v>-9.3865275117926042E-2</v>
      </c>
      <c r="M2473" s="2">
        <f>tblSales[[#This Row],[Sales]]/tblSales[[#This Row],[Transactions]]</f>
        <v>470</v>
      </c>
    </row>
    <row r="2474" spans="1:13" x14ac:dyDescent="0.25">
      <c r="A2474" s="1">
        <v>46146</v>
      </c>
      <c r="B2474" t="s">
        <v>23</v>
      </c>
      <c r="C2474" t="s">
        <v>9</v>
      </c>
      <c r="D2474" t="str">
        <f>_xlfn.XLOOKUP(tblSales[[#This Row],[Store ID]],tblStores[Store ID],tblStores[Store Name])</f>
        <v>Stellenbosch</v>
      </c>
      <c r="E2474" t="str">
        <f>_xlfn.XLOOKUP(tblSales[[#This Row],[Store ID]],tblStores[Store ID],tblStores[Province])</f>
        <v>Western Cape</v>
      </c>
      <c r="F2474" t="str">
        <f>_xlfn.XLOOKUP(tblSales[[#This Row],[Store ID]],tblStores[Store ID],tblStores[Manager])</f>
        <v>Jason King</v>
      </c>
      <c r="G2474" t="str">
        <f>_xlfn.XLOOKUP(tblSales[[#This Row],[Category ID]],tblCategories[Category ID],tblCategories[Category])</f>
        <v>Ladieswear</v>
      </c>
      <c r="H2474">
        <v>18060</v>
      </c>
      <c r="I2474">
        <v>19639</v>
      </c>
      <c r="J2474">
        <v>86</v>
      </c>
      <c r="K2474">
        <f>tblSales[[#This Row],[Sales]]-tblSales[[#This Row],[Budget]]</f>
        <v>-1579</v>
      </c>
      <c r="L2474" s="3">
        <f>(tblSales[[#This Row],[Sales]]-tblSales[[#This Row],[Budget]])/tblSales[[#This Row],[Budget]]</f>
        <v>-8.0401242425785432E-2</v>
      </c>
      <c r="M2474" s="2">
        <f>tblSales[[#This Row],[Sales]]/tblSales[[#This Row],[Transactions]]</f>
        <v>210</v>
      </c>
    </row>
    <row r="2475" spans="1:13" x14ac:dyDescent="0.25">
      <c r="A2475" s="1">
        <v>46146</v>
      </c>
      <c r="B2475" t="s">
        <v>24</v>
      </c>
      <c r="C2475" t="s">
        <v>9</v>
      </c>
      <c r="D2475" t="str">
        <f>_xlfn.XLOOKUP(tblSales[[#This Row],[Store ID]],tblStores[Store ID],tblStores[Store Name])</f>
        <v>George</v>
      </c>
      <c r="E2475" t="str">
        <f>_xlfn.XLOOKUP(tblSales[[#This Row],[Store ID]],tblStores[Store ID],tblStores[Province])</f>
        <v>Western Cape</v>
      </c>
      <c r="F2475" t="str">
        <f>_xlfn.XLOOKUP(tblSales[[#This Row],[Store ID]],tblStores[Store ID],tblStores[Manager])</f>
        <v>Chloe Hill</v>
      </c>
      <c r="G2475" t="str">
        <f>_xlfn.XLOOKUP(tblSales[[#This Row],[Category ID]],tblCategories[Category ID],tblCategories[Category])</f>
        <v>Ladieswear</v>
      </c>
      <c r="H2475">
        <v>39289</v>
      </c>
      <c r="I2475">
        <v>39689</v>
      </c>
      <c r="J2475">
        <v>101</v>
      </c>
      <c r="K2475">
        <f>tblSales[[#This Row],[Sales]]-tblSales[[#This Row],[Budget]]</f>
        <v>-400</v>
      </c>
      <c r="L2475" s="3">
        <f>(tblSales[[#This Row],[Sales]]-tblSales[[#This Row],[Budget]])/tblSales[[#This Row],[Budget]]</f>
        <v>-1.0078359243115221E-2</v>
      </c>
      <c r="M2475" s="2">
        <f>tblSales[[#This Row],[Sales]]/tblSales[[#This Row],[Transactions]]</f>
        <v>389</v>
      </c>
    </row>
    <row r="2476" spans="1:13" x14ac:dyDescent="0.25">
      <c r="A2476" s="1">
        <v>46146</v>
      </c>
      <c r="B2476" t="s">
        <v>25</v>
      </c>
      <c r="C2476" t="s">
        <v>19</v>
      </c>
      <c r="D2476" t="str">
        <f>_xlfn.XLOOKUP(tblSales[[#This Row],[Store ID]],tblStores[Store ID],tblStores[Store Name])</f>
        <v>Paarl</v>
      </c>
      <c r="E2476" t="str">
        <f>_xlfn.XLOOKUP(tblSales[[#This Row],[Store ID]],tblStores[Store ID],tblStores[Province])</f>
        <v>Western Cape</v>
      </c>
      <c r="F2476" t="str">
        <f>_xlfn.XLOOKUP(tblSales[[#This Row],[Store ID]],tblStores[Store ID],tblStores[Manager])</f>
        <v>Andrew Lee</v>
      </c>
      <c r="G2476" t="str">
        <f>_xlfn.XLOOKUP(tblSales[[#This Row],[Category ID]],tblCategories[Category ID],tblCategories[Category])</f>
        <v>Accessories</v>
      </c>
      <c r="H2476">
        <v>31310</v>
      </c>
      <c r="I2476">
        <v>29479</v>
      </c>
      <c r="J2476">
        <v>62</v>
      </c>
      <c r="K2476">
        <f>tblSales[[#This Row],[Sales]]-tblSales[[#This Row],[Budget]]</f>
        <v>1831</v>
      </c>
      <c r="L2476" s="3">
        <f>(tblSales[[#This Row],[Sales]]-tblSales[[#This Row],[Budget]])/tblSales[[#This Row],[Budget]]</f>
        <v>6.2112011940703551E-2</v>
      </c>
      <c r="M2476" s="2">
        <f>tblSales[[#This Row],[Sales]]/tblSales[[#This Row],[Transactions]]</f>
        <v>505</v>
      </c>
    </row>
    <row r="2477" spans="1:13" x14ac:dyDescent="0.25">
      <c r="A2477" s="1">
        <v>46146</v>
      </c>
      <c r="B2477" t="s">
        <v>26</v>
      </c>
      <c r="C2477" t="s">
        <v>22</v>
      </c>
      <c r="D2477" t="str">
        <f>_xlfn.XLOOKUP(tblSales[[#This Row],[Store ID]],tblStores[Store ID],tblStores[Store Name])</f>
        <v>Gqeberha</v>
      </c>
      <c r="E2477" t="str">
        <f>_xlfn.XLOOKUP(tblSales[[#This Row],[Store ID]],tblStores[Store ID],tblStores[Province])</f>
        <v>Eastern Cape</v>
      </c>
      <c r="F2477" t="str">
        <f>_xlfn.XLOOKUP(tblSales[[#This Row],[Store ID]],tblStores[Store ID],tblStores[Manager])</f>
        <v>Emma Baker</v>
      </c>
      <c r="G2477" t="str">
        <f>_xlfn.XLOOKUP(tblSales[[#This Row],[Category ID]],tblCategories[Category ID],tblCategories[Category])</f>
        <v>Kids</v>
      </c>
      <c r="H2477">
        <v>20888</v>
      </c>
      <c r="I2477">
        <v>19450</v>
      </c>
      <c r="J2477">
        <v>56</v>
      </c>
      <c r="K2477">
        <f>tblSales[[#This Row],[Sales]]-tblSales[[#This Row],[Budget]]</f>
        <v>1438</v>
      </c>
      <c r="L2477" s="3">
        <f>(tblSales[[#This Row],[Sales]]-tblSales[[#This Row],[Budget]])/tblSales[[#This Row],[Budget]]</f>
        <v>7.3933161953727511E-2</v>
      </c>
      <c r="M2477" s="2">
        <f>tblSales[[#This Row],[Sales]]/tblSales[[#This Row],[Transactions]]</f>
        <v>373</v>
      </c>
    </row>
    <row r="2478" spans="1:13" x14ac:dyDescent="0.25">
      <c r="A2478" s="1">
        <v>46146</v>
      </c>
      <c r="B2478" t="s">
        <v>27</v>
      </c>
      <c r="C2478" t="s">
        <v>7</v>
      </c>
      <c r="D2478" t="str">
        <f>_xlfn.XLOOKUP(tblSales[[#This Row],[Store ID]],tblStores[Store ID],tblStores[Store Name])</f>
        <v>East London</v>
      </c>
      <c r="E2478" t="str">
        <f>_xlfn.XLOOKUP(tblSales[[#This Row],[Store ID]],tblStores[Store ID],tblStores[Province])</f>
        <v>Eastern Cape</v>
      </c>
      <c r="F2478" t="str">
        <f>_xlfn.XLOOKUP(tblSales[[#This Row],[Store ID]],tblStores[Store ID],tblStores[Manager])</f>
        <v>Daniel Evans</v>
      </c>
      <c r="G2478" t="str">
        <f>_xlfn.XLOOKUP(tblSales[[#This Row],[Category ID]],tblCategories[Category ID],tblCategories[Category])</f>
        <v>Menswear</v>
      </c>
      <c r="H2478">
        <v>23790</v>
      </c>
      <c r="I2478">
        <v>24894</v>
      </c>
      <c r="J2478">
        <v>122</v>
      </c>
      <c r="K2478">
        <f>tblSales[[#This Row],[Sales]]-tblSales[[#This Row],[Budget]]</f>
        <v>-1104</v>
      </c>
      <c r="L2478" s="3">
        <f>(tblSales[[#This Row],[Sales]]-tblSales[[#This Row],[Budget]])/tblSales[[#This Row],[Budget]]</f>
        <v>-4.434803567124608E-2</v>
      </c>
      <c r="M2478" s="2">
        <f>tblSales[[#This Row],[Sales]]/tblSales[[#This Row],[Transactions]]</f>
        <v>195</v>
      </c>
    </row>
    <row r="2479" spans="1:13" x14ac:dyDescent="0.25">
      <c r="A2479" s="1">
        <v>46146</v>
      </c>
      <c r="B2479" t="s">
        <v>28</v>
      </c>
      <c r="C2479" t="s">
        <v>11</v>
      </c>
      <c r="D2479" t="str">
        <f>_xlfn.XLOOKUP(tblSales[[#This Row],[Store ID]],tblStores[Store ID],tblStores[Store Name])</f>
        <v>Bloemfontein</v>
      </c>
      <c r="E2479" t="str">
        <f>_xlfn.XLOOKUP(tblSales[[#This Row],[Store ID]],tblStores[Store ID],tblStores[Province])</f>
        <v>Free State</v>
      </c>
      <c r="F2479" t="str">
        <f>_xlfn.XLOOKUP(tblSales[[#This Row],[Store ID]],tblStores[Store ID],tblStores[Manager])</f>
        <v>Rachel Moore</v>
      </c>
      <c r="G2479" t="str">
        <f>_xlfn.XLOOKUP(tblSales[[#This Row],[Category ID]],tblCategories[Category ID],tblCategories[Category])</f>
        <v>Footwear</v>
      </c>
      <c r="H2479">
        <v>36729</v>
      </c>
      <c r="I2479">
        <v>33143</v>
      </c>
      <c r="J2479">
        <v>159</v>
      </c>
      <c r="K2479">
        <f>tblSales[[#This Row],[Sales]]-tblSales[[#This Row],[Budget]]</f>
        <v>3586</v>
      </c>
      <c r="L2479" s="3">
        <f>(tblSales[[#This Row],[Sales]]-tblSales[[#This Row],[Budget]])/tblSales[[#This Row],[Budget]]</f>
        <v>0.10819780949220047</v>
      </c>
      <c r="M2479" s="2">
        <f>tblSales[[#This Row],[Sales]]/tblSales[[#This Row],[Transactions]]</f>
        <v>231</v>
      </c>
    </row>
    <row r="2480" spans="1:13" x14ac:dyDescent="0.25">
      <c r="A2480" s="1">
        <v>46146</v>
      </c>
      <c r="B2480" t="s">
        <v>29</v>
      </c>
      <c r="C2480" t="s">
        <v>22</v>
      </c>
      <c r="D2480" t="str">
        <f>_xlfn.XLOOKUP(tblSales[[#This Row],[Store ID]],tblStores[Store ID],tblStores[Store Name])</f>
        <v>Polokwane</v>
      </c>
      <c r="E2480" t="str">
        <f>_xlfn.XLOOKUP(tblSales[[#This Row],[Store ID]],tblStores[Store ID],tblStores[Province])</f>
        <v>Limpopo</v>
      </c>
      <c r="F2480" t="str">
        <f>_xlfn.XLOOKUP(tblSales[[#This Row],[Store ID]],tblStores[Store ID],tblStores[Manager])</f>
        <v>Kevin Harris</v>
      </c>
      <c r="G2480" t="str">
        <f>_xlfn.XLOOKUP(tblSales[[#This Row],[Category ID]],tblCategories[Category ID],tblCategories[Category])</f>
        <v>Kids</v>
      </c>
      <c r="H2480">
        <v>18720</v>
      </c>
      <c r="I2480">
        <v>19573</v>
      </c>
      <c r="J2480">
        <v>36</v>
      </c>
      <c r="K2480">
        <f>tblSales[[#This Row],[Sales]]-tblSales[[#This Row],[Budget]]</f>
        <v>-853</v>
      </c>
      <c r="L2480" s="3">
        <f>(tblSales[[#This Row],[Sales]]-tblSales[[#This Row],[Budget]])/tblSales[[#This Row],[Budget]]</f>
        <v>-4.3580442446226948E-2</v>
      </c>
      <c r="M2480" s="2">
        <f>tblSales[[#This Row],[Sales]]/tblSales[[#This Row],[Transactions]]</f>
        <v>520</v>
      </c>
    </row>
    <row r="2481" spans="1:13" x14ac:dyDescent="0.25">
      <c r="A2481" s="1">
        <v>46146</v>
      </c>
      <c r="B2481" t="s">
        <v>30</v>
      </c>
      <c r="C2481" t="s">
        <v>7</v>
      </c>
      <c r="D2481" t="str">
        <f>_xlfn.XLOOKUP(tblSales[[#This Row],[Store ID]],tblStores[Store ID],tblStores[Store Name])</f>
        <v>Nelspruit</v>
      </c>
      <c r="E2481" t="str">
        <f>_xlfn.XLOOKUP(tblSales[[#This Row],[Store ID]],tblStores[Store ID],tblStores[Province])</f>
        <v>Mpumalanga</v>
      </c>
      <c r="F2481" t="str">
        <f>_xlfn.XLOOKUP(tblSales[[#This Row],[Store ID]],tblStores[Store ID],tblStores[Manager])</f>
        <v>Olivia Turner</v>
      </c>
      <c r="G2481" t="str">
        <f>_xlfn.XLOOKUP(tblSales[[#This Row],[Category ID]],tblCategories[Category ID],tblCategories[Category])</f>
        <v>Menswear</v>
      </c>
      <c r="H2481">
        <v>16992</v>
      </c>
      <c r="I2481">
        <v>17511</v>
      </c>
      <c r="J2481">
        <v>59</v>
      </c>
      <c r="K2481">
        <f>tblSales[[#This Row],[Sales]]-tblSales[[#This Row],[Budget]]</f>
        <v>-519</v>
      </c>
      <c r="L2481" s="3">
        <f>(tblSales[[#This Row],[Sales]]-tblSales[[#This Row],[Budget]])/tblSales[[#This Row],[Budget]]</f>
        <v>-2.9638512934726743E-2</v>
      </c>
      <c r="M2481" s="2">
        <f>tblSales[[#This Row],[Sales]]/tblSales[[#This Row],[Transactions]]</f>
        <v>288</v>
      </c>
    </row>
    <row r="2482" spans="1:13" x14ac:dyDescent="0.25">
      <c r="A2482" s="1">
        <v>46147</v>
      </c>
      <c r="B2482" t="s">
        <v>6</v>
      </c>
      <c r="C2482" t="s">
        <v>7</v>
      </c>
      <c r="D2482" t="str">
        <f>_xlfn.XLOOKUP(tblSales[[#This Row],[Store ID]],tblStores[Store ID],tblStores[Store Name])</f>
        <v>Durban CBD</v>
      </c>
      <c r="E2482" t="str">
        <f>_xlfn.XLOOKUP(tblSales[[#This Row],[Store ID]],tblStores[Store ID],tblStores[Province])</f>
        <v>KZN</v>
      </c>
      <c r="F2482" t="str">
        <f>_xlfn.XLOOKUP(tblSales[[#This Row],[Store ID]],tblStores[Store ID],tblStores[Manager])</f>
        <v>Sarah Adams</v>
      </c>
      <c r="G2482" t="str">
        <f>_xlfn.XLOOKUP(tblSales[[#This Row],[Category ID]],tblCategories[Category ID],tblCategories[Category])</f>
        <v>Menswear</v>
      </c>
      <c r="H2482">
        <v>63928</v>
      </c>
      <c r="I2482">
        <v>65847</v>
      </c>
      <c r="J2482">
        <v>131</v>
      </c>
      <c r="K2482">
        <f>tblSales[[#This Row],[Sales]]-tblSales[[#This Row],[Budget]]</f>
        <v>-1919</v>
      </c>
      <c r="L2482" s="3">
        <f>(tblSales[[#This Row],[Sales]]-tblSales[[#This Row],[Budget]])/tblSales[[#This Row],[Budget]]</f>
        <v>-2.9143317083542151E-2</v>
      </c>
      <c r="M2482" s="2">
        <f>tblSales[[#This Row],[Sales]]/tblSales[[#This Row],[Transactions]]</f>
        <v>488</v>
      </c>
    </row>
    <row r="2483" spans="1:13" x14ac:dyDescent="0.25">
      <c r="A2483" s="1">
        <v>46147</v>
      </c>
      <c r="B2483" t="s">
        <v>8</v>
      </c>
      <c r="C2483" t="s">
        <v>22</v>
      </c>
      <c r="D2483" t="str">
        <f>_xlfn.XLOOKUP(tblSales[[#This Row],[Store ID]],tblStores[Store ID],tblStores[Store Name])</f>
        <v>Gateway</v>
      </c>
      <c r="E2483" t="str">
        <f>_xlfn.XLOOKUP(tblSales[[#This Row],[Store ID]],tblStores[Store ID],tblStores[Province])</f>
        <v>KZN</v>
      </c>
      <c r="F2483" t="str">
        <f>_xlfn.XLOOKUP(tblSales[[#This Row],[Store ID]],tblStores[Store ID],tblStores[Manager])</f>
        <v>Michael Jones</v>
      </c>
      <c r="G2483" t="str">
        <f>_xlfn.XLOOKUP(tblSales[[#This Row],[Category ID]],tblCategories[Category ID],tblCategories[Category])</f>
        <v>Kids</v>
      </c>
      <c r="H2483">
        <v>67098</v>
      </c>
      <c r="I2483">
        <v>73085</v>
      </c>
      <c r="J2483">
        <v>159</v>
      </c>
      <c r="K2483">
        <f>tblSales[[#This Row],[Sales]]-tblSales[[#This Row],[Budget]]</f>
        <v>-5987</v>
      </c>
      <c r="L2483" s="3">
        <f>(tblSales[[#This Row],[Sales]]-tblSales[[#This Row],[Budget]])/tblSales[[#This Row],[Budget]]</f>
        <v>-8.1918314291578295E-2</v>
      </c>
      <c r="M2483" s="2">
        <f>tblSales[[#This Row],[Sales]]/tblSales[[#This Row],[Transactions]]</f>
        <v>422</v>
      </c>
    </row>
    <row r="2484" spans="1:13" x14ac:dyDescent="0.25">
      <c r="A2484" s="1">
        <v>46147</v>
      </c>
      <c r="B2484" t="s">
        <v>10</v>
      </c>
      <c r="C2484" t="s">
        <v>19</v>
      </c>
      <c r="D2484" t="str">
        <f>_xlfn.XLOOKUP(tblSales[[#This Row],[Store ID]],tblStores[Store ID],tblStores[Store Name])</f>
        <v>Ballito</v>
      </c>
      <c r="E2484" t="str">
        <f>_xlfn.XLOOKUP(tblSales[[#This Row],[Store ID]],tblStores[Store ID],tblStores[Province])</f>
        <v>KZN</v>
      </c>
      <c r="F2484" t="str">
        <f>_xlfn.XLOOKUP(tblSales[[#This Row],[Store ID]],tblStores[Store ID],tblStores[Manager])</f>
        <v>Linda Smith</v>
      </c>
      <c r="G2484" t="str">
        <f>_xlfn.XLOOKUP(tblSales[[#This Row],[Category ID]],tblCategories[Category ID],tblCategories[Category])</f>
        <v>Accessories</v>
      </c>
      <c r="H2484">
        <v>50688</v>
      </c>
      <c r="I2484">
        <v>50317</v>
      </c>
      <c r="J2484">
        <v>144</v>
      </c>
      <c r="K2484">
        <f>tblSales[[#This Row],[Sales]]-tblSales[[#This Row],[Budget]]</f>
        <v>371</v>
      </c>
      <c r="L2484" s="3">
        <f>(tblSales[[#This Row],[Sales]]-tblSales[[#This Row],[Budget]])/tblSales[[#This Row],[Budget]]</f>
        <v>7.3732535723512928E-3</v>
      </c>
      <c r="M2484" s="2">
        <f>tblSales[[#This Row],[Sales]]/tblSales[[#This Row],[Transactions]]</f>
        <v>352</v>
      </c>
    </row>
    <row r="2485" spans="1:13" x14ac:dyDescent="0.25">
      <c r="A2485" s="1">
        <v>46147</v>
      </c>
      <c r="B2485" t="s">
        <v>12</v>
      </c>
      <c r="C2485" t="s">
        <v>22</v>
      </c>
      <c r="D2485" t="str">
        <f>_xlfn.XLOOKUP(tblSales[[#This Row],[Store ID]],tblStores[Store ID],tblStores[Store Name])</f>
        <v>Pietermaritzburg</v>
      </c>
      <c r="E2485" t="str">
        <f>_xlfn.XLOOKUP(tblSales[[#This Row],[Store ID]],tblStores[Store ID],tblStores[Province])</f>
        <v>KZN</v>
      </c>
      <c r="F2485" t="str">
        <f>_xlfn.XLOOKUP(tblSales[[#This Row],[Store ID]],tblStores[Store ID],tblStores[Manager])</f>
        <v>Peter Brown</v>
      </c>
      <c r="G2485" t="str">
        <f>_xlfn.XLOOKUP(tblSales[[#This Row],[Category ID]],tblCategories[Category ID],tblCategories[Category])</f>
        <v>Kids</v>
      </c>
      <c r="H2485">
        <v>34730</v>
      </c>
      <c r="I2485">
        <v>39427</v>
      </c>
      <c r="J2485">
        <v>115</v>
      </c>
      <c r="K2485">
        <f>tblSales[[#This Row],[Sales]]-tblSales[[#This Row],[Budget]]</f>
        <v>-4697</v>
      </c>
      <c r="L2485" s="3">
        <f>(tblSales[[#This Row],[Sales]]-tblSales[[#This Row],[Budget]])/tblSales[[#This Row],[Budget]]</f>
        <v>-0.11913155959114312</v>
      </c>
      <c r="M2485" s="2">
        <f>tblSales[[#This Row],[Sales]]/tblSales[[#This Row],[Transactions]]</f>
        <v>302</v>
      </c>
    </row>
    <row r="2486" spans="1:13" x14ac:dyDescent="0.25">
      <c r="A2486" s="1">
        <v>46147</v>
      </c>
      <c r="B2486" t="s">
        <v>13</v>
      </c>
      <c r="C2486" t="s">
        <v>11</v>
      </c>
      <c r="D2486" t="str">
        <f>_xlfn.XLOOKUP(tblSales[[#This Row],[Store ID]],tblStores[Store ID],tblStores[Store Name])</f>
        <v>Richards Bay</v>
      </c>
      <c r="E2486" t="str">
        <f>_xlfn.XLOOKUP(tblSales[[#This Row],[Store ID]],tblStores[Store ID],tblStores[Province])</f>
        <v>KZN</v>
      </c>
      <c r="F2486" t="str">
        <f>_xlfn.XLOOKUP(tblSales[[#This Row],[Store ID]],tblStores[Store ID],tblStores[Manager])</f>
        <v>David Green</v>
      </c>
      <c r="G2486" t="str">
        <f>_xlfn.XLOOKUP(tblSales[[#This Row],[Category ID]],tblCategories[Category ID],tblCategories[Category])</f>
        <v>Footwear</v>
      </c>
      <c r="H2486">
        <v>64452</v>
      </c>
      <c r="I2486">
        <v>58929</v>
      </c>
      <c r="J2486">
        <v>131</v>
      </c>
      <c r="K2486">
        <f>tblSales[[#This Row],[Sales]]-tblSales[[#This Row],[Budget]]</f>
        <v>5523</v>
      </c>
      <c r="L2486" s="3">
        <f>(tblSales[[#This Row],[Sales]]-tblSales[[#This Row],[Budget]])/tblSales[[#This Row],[Budget]]</f>
        <v>9.3722954742147327E-2</v>
      </c>
      <c r="M2486" s="2">
        <f>tblSales[[#This Row],[Sales]]/tblSales[[#This Row],[Transactions]]</f>
        <v>492</v>
      </c>
    </row>
    <row r="2487" spans="1:13" x14ac:dyDescent="0.25">
      <c r="A2487" s="1">
        <v>46147</v>
      </c>
      <c r="B2487" t="s">
        <v>14</v>
      </c>
      <c r="C2487" t="s">
        <v>22</v>
      </c>
      <c r="D2487" t="str">
        <f>_xlfn.XLOOKUP(tblSales[[#This Row],[Store ID]],tblStores[Store ID],tblStores[Store Name])</f>
        <v>Sandton</v>
      </c>
      <c r="E2487" t="str">
        <f>_xlfn.XLOOKUP(tblSales[[#This Row],[Store ID]],tblStores[Store ID],tblStores[Province])</f>
        <v>Gauteng</v>
      </c>
      <c r="F2487" t="str">
        <f>_xlfn.XLOOKUP(tblSales[[#This Row],[Store ID]],tblStores[Store ID],tblStores[Manager])</f>
        <v>Karen White</v>
      </c>
      <c r="G2487" t="str">
        <f>_xlfn.XLOOKUP(tblSales[[#This Row],[Category ID]],tblCategories[Category ID],tblCategories[Category])</f>
        <v>Kids</v>
      </c>
      <c r="H2487">
        <v>27489</v>
      </c>
      <c r="I2487">
        <v>24761</v>
      </c>
      <c r="J2487">
        <v>119</v>
      </c>
      <c r="K2487">
        <f>tblSales[[#This Row],[Sales]]-tblSales[[#This Row],[Budget]]</f>
        <v>2728</v>
      </c>
      <c r="L2487" s="3">
        <f>(tblSales[[#This Row],[Sales]]-tblSales[[#This Row],[Budget]])/tblSales[[#This Row],[Budget]]</f>
        <v>0.11017325633051978</v>
      </c>
      <c r="M2487" s="2">
        <f>tblSales[[#This Row],[Sales]]/tblSales[[#This Row],[Transactions]]</f>
        <v>231</v>
      </c>
    </row>
    <row r="2488" spans="1:13" x14ac:dyDescent="0.25">
      <c r="A2488" s="1">
        <v>46147</v>
      </c>
      <c r="B2488" t="s">
        <v>15</v>
      </c>
      <c r="C2488" t="s">
        <v>11</v>
      </c>
      <c r="D2488" t="str">
        <f>_xlfn.XLOOKUP(tblSales[[#This Row],[Store ID]],tblStores[Store ID],tblStores[Store Name])</f>
        <v>Rosebank</v>
      </c>
      <c r="E2488" t="str">
        <f>_xlfn.XLOOKUP(tblSales[[#This Row],[Store ID]],tblStores[Store ID],tblStores[Province])</f>
        <v>Gauteng</v>
      </c>
      <c r="F2488" t="str">
        <f>_xlfn.XLOOKUP(tblSales[[#This Row],[Store ID]],tblStores[Store ID],tblStores[Manager])</f>
        <v>James Taylor</v>
      </c>
      <c r="G2488" t="str">
        <f>_xlfn.XLOOKUP(tblSales[[#This Row],[Category ID]],tblCategories[Category ID],tblCategories[Category])</f>
        <v>Footwear</v>
      </c>
      <c r="H2488">
        <v>55220</v>
      </c>
      <c r="I2488">
        <v>50052</v>
      </c>
      <c r="J2488">
        <v>220</v>
      </c>
      <c r="K2488">
        <f>tblSales[[#This Row],[Sales]]-tblSales[[#This Row],[Budget]]</f>
        <v>5168</v>
      </c>
      <c r="L2488" s="3">
        <f>(tblSales[[#This Row],[Sales]]-tblSales[[#This Row],[Budget]])/tblSales[[#This Row],[Budget]]</f>
        <v>0.10325261727803085</v>
      </c>
      <c r="M2488" s="2">
        <f>tblSales[[#This Row],[Sales]]/tblSales[[#This Row],[Transactions]]</f>
        <v>251</v>
      </c>
    </row>
    <row r="2489" spans="1:13" x14ac:dyDescent="0.25">
      <c r="A2489" s="1">
        <v>46147</v>
      </c>
      <c r="B2489" t="s">
        <v>16</v>
      </c>
      <c r="C2489" t="s">
        <v>7</v>
      </c>
      <c r="D2489" t="str">
        <f>_xlfn.XLOOKUP(tblSales[[#This Row],[Store ID]],tblStores[Store ID],tblStores[Store Name])</f>
        <v>Pretoria</v>
      </c>
      <c r="E2489" t="str">
        <f>_xlfn.XLOOKUP(tblSales[[#This Row],[Store ID]],tblStores[Store ID],tblStores[Province])</f>
        <v>Gauteng</v>
      </c>
      <c r="F2489" t="str">
        <f>_xlfn.XLOOKUP(tblSales[[#This Row],[Store ID]],tblStores[Store ID],tblStores[Manager])</f>
        <v>Susan Clark</v>
      </c>
      <c r="G2489" t="str">
        <f>_xlfn.XLOOKUP(tblSales[[#This Row],[Category ID]],tblCategories[Category ID],tblCategories[Category])</f>
        <v>Menswear</v>
      </c>
      <c r="H2489">
        <v>54910</v>
      </c>
      <c r="I2489">
        <v>62474</v>
      </c>
      <c r="J2489">
        <v>170</v>
      </c>
      <c r="K2489">
        <f>tblSales[[#This Row],[Sales]]-tblSales[[#This Row],[Budget]]</f>
        <v>-7564</v>
      </c>
      <c r="L2489" s="3">
        <f>(tblSales[[#This Row],[Sales]]-tblSales[[#This Row],[Budget]])/tblSales[[#This Row],[Budget]]</f>
        <v>-0.12107436693664564</v>
      </c>
      <c r="M2489" s="2">
        <f>tblSales[[#This Row],[Sales]]/tblSales[[#This Row],[Transactions]]</f>
        <v>323</v>
      </c>
    </row>
    <row r="2490" spans="1:13" x14ac:dyDescent="0.25">
      <c r="A2490" s="1">
        <v>46147</v>
      </c>
      <c r="B2490" t="s">
        <v>17</v>
      </c>
      <c r="C2490" t="s">
        <v>9</v>
      </c>
      <c r="D2490" t="str">
        <f>_xlfn.XLOOKUP(tblSales[[#This Row],[Store ID]],tblStores[Store ID],tblStores[Store Name])</f>
        <v>Centurion</v>
      </c>
      <c r="E2490" t="str">
        <f>_xlfn.XLOOKUP(tblSales[[#This Row],[Store ID]],tblStores[Store ID],tblStores[Province])</f>
        <v>Gauteng</v>
      </c>
      <c r="F2490" t="str">
        <f>_xlfn.XLOOKUP(tblSales[[#This Row],[Store ID]],tblStores[Store ID],tblStores[Manager])</f>
        <v>Mark Wilson</v>
      </c>
      <c r="G2490" t="str">
        <f>_xlfn.XLOOKUP(tblSales[[#This Row],[Category ID]],tblCategories[Category ID],tblCategories[Category])</f>
        <v>Ladieswear</v>
      </c>
      <c r="H2490">
        <v>53019</v>
      </c>
      <c r="I2490">
        <v>55913</v>
      </c>
      <c r="J2490">
        <v>129</v>
      </c>
      <c r="K2490">
        <f>tblSales[[#This Row],[Sales]]-tblSales[[#This Row],[Budget]]</f>
        <v>-2894</v>
      </c>
      <c r="L2490" s="3">
        <f>(tblSales[[#This Row],[Sales]]-tblSales[[#This Row],[Budget]])/tblSales[[#This Row],[Budget]]</f>
        <v>-5.1758982705274265E-2</v>
      </c>
      <c r="M2490" s="2">
        <f>tblSales[[#This Row],[Sales]]/tblSales[[#This Row],[Transactions]]</f>
        <v>411</v>
      </c>
    </row>
    <row r="2491" spans="1:13" x14ac:dyDescent="0.25">
      <c r="A2491" s="1">
        <v>46147</v>
      </c>
      <c r="B2491" t="s">
        <v>18</v>
      </c>
      <c r="C2491" t="s">
        <v>11</v>
      </c>
      <c r="D2491" t="str">
        <f>_xlfn.XLOOKUP(tblSales[[#This Row],[Store ID]],tblStores[Store ID],tblStores[Store Name])</f>
        <v>East Rand</v>
      </c>
      <c r="E2491" t="str">
        <f>_xlfn.XLOOKUP(tblSales[[#This Row],[Store ID]],tblStores[Store ID],tblStores[Province])</f>
        <v>Gauteng</v>
      </c>
      <c r="F2491" t="str">
        <f>_xlfn.XLOOKUP(tblSales[[#This Row],[Store ID]],tblStores[Store ID],tblStores[Manager])</f>
        <v>Lisa Young</v>
      </c>
      <c r="G2491" t="str">
        <f>_xlfn.XLOOKUP(tblSales[[#This Row],[Category ID]],tblCategories[Category ID],tblCategories[Category])</f>
        <v>Footwear</v>
      </c>
      <c r="H2491">
        <v>64906</v>
      </c>
      <c r="I2491">
        <v>69128</v>
      </c>
      <c r="J2491">
        <v>166</v>
      </c>
      <c r="K2491">
        <f>tblSales[[#This Row],[Sales]]-tblSales[[#This Row],[Budget]]</f>
        <v>-4222</v>
      </c>
      <c r="L2491" s="3">
        <f>(tblSales[[#This Row],[Sales]]-tblSales[[#This Row],[Budget]])/tblSales[[#This Row],[Budget]]</f>
        <v>-6.1075107047795396E-2</v>
      </c>
      <c r="M2491" s="2">
        <f>tblSales[[#This Row],[Sales]]/tblSales[[#This Row],[Transactions]]</f>
        <v>391</v>
      </c>
    </row>
    <row r="2492" spans="1:13" x14ac:dyDescent="0.25">
      <c r="A2492" s="1">
        <v>46147</v>
      </c>
      <c r="B2492" t="s">
        <v>20</v>
      </c>
      <c r="C2492" t="s">
        <v>7</v>
      </c>
      <c r="D2492" t="str">
        <f>_xlfn.XLOOKUP(tblSales[[#This Row],[Store ID]],tblStores[Store ID],tblStores[Store Name])</f>
        <v>Cape Town CBD</v>
      </c>
      <c r="E2492" t="str">
        <f>_xlfn.XLOOKUP(tblSales[[#This Row],[Store ID]],tblStores[Store ID],tblStores[Province])</f>
        <v>Western Cape</v>
      </c>
      <c r="F2492" t="str">
        <f>_xlfn.XLOOKUP(tblSales[[#This Row],[Store ID]],tblStores[Store ID],tblStores[Manager])</f>
        <v>Brian Hall</v>
      </c>
      <c r="G2492" t="str">
        <f>_xlfn.XLOOKUP(tblSales[[#This Row],[Category ID]],tblCategories[Category ID],tblCategories[Category])</f>
        <v>Menswear</v>
      </c>
      <c r="H2492">
        <v>68112</v>
      </c>
      <c r="I2492">
        <v>61583</v>
      </c>
      <c r="J2492">
        <v>198</v>
      </c>
      <c r="K2492">
        <f>tblSales[[#This Row],[Sales]]-tblSales[[#This Row],[Budget]]</f>
        <v>6529</v>
      </c>
      <c r="L2492" s="3">
        <f>(tblSales[[#This Row],[Sales]]-tblSales[[#This Row],[Budget]])/tblSales[[#This Row],[Budget]]</f>
        <v>0.10601951837357712</v>
      </c>
      <c r="M2492" s="2">
        <f>tblSales[[#This Row],[Sales]]/tblSales[[#This Row],[Transactions]]</f>
        <v>344</v>
      </c>
    </row>
    <row r="2493" spans="1:13" x14ac:dyDescent="0.25">
      <c r="A2493" s="1">
        <v>46147</v>
      </c>
      <c r="B2493" t="s">
        <v>21</v>
      </c>
      <c r="C2493" t="s">
        <v>22</v>
      </c>
      <c r="D2493" t="str">
        <f>_xlfn.XLOOKUP(tblSales[[#This Row],[Store ID]],tblStores[Store ID],tblStores[Store Name])</f>
        <v>Canal Walk</v>
      </c>
      <c r="E2493" t="str">
        <f>_xlfn.XLOOKUP(tblSales[[#This Row],[Store ID]],tblStores[Store ID],tblStores[Province])</f>
        <v>Western Cape</v>
      </c>
      <c r="F2493" t="str">
        <f>_xlfn.XLOOKUP(tblSales[[#This Row],[Store ID]],tblStores[Store ID],tblStores[Manager])</f>
        <v>Megan Scott</v>
      </c>
      <c r="G2493" t="str">
        <f>_xlfn.XLOOKUP(tblSales[[#This Row],[Category ID]],tblCategories[Category ID],tblCategories[Category])</f>
        <v>Kids</v>
      </c>
      <c r="H2493">
        <v>15916</v>
      </c>
      <c r="I2493">
        <v>17021</v>
      </c>
      <c r="J2493">
        <v>46</v>
      </c>
      <c r="K2493">
        <f>tblSales[[#This Row],[Sales]]-tblSales[[#This Row],[Budget]]</f>
        <v>-1105</v>
      </c>
      <c r="L2493" s="3">
        <f>(tblSales[[#This Row],[Sales]]-tblSales[[#This Row],[Budget]])/tblSales[[#This Row],[Budget]]</f>
        <v>-6.4919804946830389E-2</v>
      </c>
      <c r="M2493" s="2">
        <f>tblSales[[#This Row],[Sales]]/tblSales[[#This Row],[Transactions]]</f>
        <v>346</v>
      </c>
    </row>
    <row r="2494" spans="1:13" x14ac:dyDescent="0.25">
      <c r="A2494" s="1">
        <v>46147</v>
      </c>
      <c r="B2494" t="s">
        <v>23</v>
      </c>
      <c r="C2494" t="s">
        <v>9</v>
      </c>
      <c r="D2494" t="str">
        <f>_xlfn.XLOOKUP(tblSales[[#This Row],[Store ID]],tblStores[Store ID],tblStores[Store Name])</f>
        <v>Stellenbosch</v>
      </c>
      <c r="E2494" t="str">
        <f>_xlfn.XLOOKUP(tblSales[[#This Row],[Store ID]],tblStores[Store ID],tblStores[Province])</f>
        <v>Western Cape</v>
      </c>
      <c r="F2494" t="str">
        <f>_xlfn.XLOOKUP(tblSales[[#This Row],[Store ID]],tblStores[Store ID],tblStores[Manager])</f>
        <v>Jason King</v>
      </c>
      <c r="G2494" t="str">
        <f>_xlfn.XLOOKUP(tblSales[[#This Row],[Category ID]],tblCategories[Category ID],tblCategories[Category])</f>
        <v>Ladieswear</v>
      </c>
      <c r="H2494">
        <v>81320</v>
      </c>
      <c r="I2494">
        <v>81323</v>
      </c>
      <c r="J2494">
        <v>190</v>
      </c>
      <c r="K2494">
        <f>tblSales[[#This Row],[Sales]]-tblSales[[#This Row],[Budget]]</f>
        <v>-3</v>
      </c>
      <c r="L2494" s="3">
        <f>(tblSales[[#This Row],[Sales]]-tblSales[[#This Row],[Budget]])/tblSales[[#This Row],[Budget]]</f>
        <v>-3.6889932737355979E-5</v>
      </c>
      <c r="M2494" s="2">
        <f>tblSales[[#This Row],[Sales]]/tblSales[[#This Row],[Transactions]]</f>
        <v>428</v>
      </c>
    </row>
    <row r="2495" spans="1:13" x14ac:dyDescent="0.25">
      <c r="A2495" s="1">
        <v>46147</v>
      </c>
      <c r="B2495" t="s">
        <v>24</v>
      </c>
      <c r="C2495" t="s">
        <v>19</v>
      </c>
      <c r="D2495" t="str">
        <f>_xlfn.XLOOKUP(tblSales[[#This Row],[Store ID]],tblStores[Store ID],tblStores[Store Name])</f>
        <v>George</v>
      </c>
      <c r="E2495" t="str">
        <f>_xlfn.XLOOKUP(tblSales[[#This Row],[Store ID]],tblStores[Store ID],tblStores[Province])</f>
        <v>Western Cape</v>
      </c>
      <c r="F2495" t="str">
        <f>_xlfn.XLOOKUP(tblSales[[#This Row],[Store ID]],tblStores[Store ID],tblStores[Manager])</f>
        <v>Chloe Hill</v>
      </c>
      <c r="G2495" t="str">
        <f>_xlfn.XLOOKUP(tblSales[[#This Row],[Category ID]],tblCategories[Category ID],tblCategories[Category])</f>
        <v>Accessories</v>
      </c>
      <c r="H2495">
        <v>19690</v>
      </c>
      <c r="I2495">
        <v>19827</v>
      </c>
      <c r="J2495">
        <v>55</v>
      </c>
      <c r="K2495">
        <f>tblSales[[#This Row],[Sales]]-tblSales[[#This Row],[Budget]]</f>
        <v>-137</v>
      </c>
      <c r="L2495" s="3">
        <f>(tblSales[[#This Row],[Sales]]-tblSales[[#This Row],[Budget]])/tblSales[[#This Row],[Budget]]</f>
        <v>-6.9097695062288796E-3</v>
      </c>
      <c r="M2495" s="2">
        <f>tblSales[[#This Row],[Sales]]/tblSales[[#This Row],[Transactions]]</f>
        <v>358</v>
      </c>
    </row>
    <row r="2496" spans="1:13" x14ac:dyDescent="0.25">
      <c r="A2496" s="1">
        <v>46147</v>
      </c>
      <c r="B2496" t="s">
        <v>25</v>
      </c>
      <c r="C2496" t="s">
        <v>11</v>
      </c>
      <c r="D2496" t="str">
        <f>_xlfn.XLOOKUP(tblSales[[#This Row],[Store ID]],tblStores[Store ID],tblStores[Store Name])</f>
        <v>Paarl</v>
      </c>
      <c r="E2496" t="str">
        <f>_xlfn.XLOOKUP(tblSales[[#This Row],[Store ID]],tblStores[Store ID],tblStores[Province])</f>
        <v>Western Cape</v>
      </c>
      <c r="F2496" t="str">
        <f>_xlfn.XLOOKUP(tblSales[[#This Row],[Store ID]],tblStores[Store ID],tblStores[Manager])</f>
        <v>Andrew Lee</v>
      </c>
      <c r="G2496" t="str">
        <f>_xlfn.XLOOKUP(tblSales[[#This Row],[Category ID]],tblCategories[Category ID],tblCategories[Category])</f>
        <v>Footwear</v>
      </c>
      <c r="H2496">
        <v>46893</v>
      </c>
      <c r="I2496">
        <v>50811</v>
      </c>
      <c r="J2496">
        <v>203</v>
      </c>
      <c r="K2496">
        <f>tblSales[[#This Row],[Sales]]-tblSales[[#This Row],[Budget]]</f>
        <v>-3918</v>
      </c>
      <c r="L2496" s="3">
        <f>(tblSales[[#This Row],[Sales]]-tblSales[[#This Row],[Budget]])/tblSales[[#This Row],[Budget]]</f>
        <v>-7.7109287359036424E-2</v>
      </c>
      <c r="M2496" s="2">
        <f>tblSales[[#This Row],[Sales]]/tblSales[[#This Row],[Transactions]]</f>
        <v>231</v>
      </c>
    </row>
    <row r="2497" spans="1:13" x14ac:dyDescent="0.25">
      <c r="A2497" s="1">
        <v>46147</v>
      </c>
      <c r="B2497" t="s">
        <v>26</v>
      </c>
      <c r="C2497" t="s">
        <v>22</v>
      </c>
      <c r="D2497" t="str">
        <f>_xlfn.XLOOKUP(tblSales[[#This Row],[Store ID]],tblStores[Store ID],tblStores[Store Name])</f>
        <v>Gqeberha</v>
      </c>
      <c r="E2497" t="str">
        <f>_xlfn.XLOOKUP(tblSales[[#This Row],[Store ID]],tblStores[Store ID],tblStores[Province])</f>
        <v>Eastern Cape</v>
      </c>
      <c r="F2497" t="str">
        <f>_xlfn.XLOOKUP(tblSales[[#This Row],[Store ID]],tblStores[Store ID],tblStores[Manager])</f>
        <v>Emma Baker</v>
      </c>
      <c r="G2497" t="str">
        <f>_xlfn.XLOOKUP(tblSales[[#This Row],[Category ID]],tblCategories[Category ID],tblCategories[Category])</f>
        <v>Kids</v>
      </c>
      <c r="H2497">
        <v>53010</v>
      </c>
      <c r="I2497">
        <v>57144</v>
      </c>
      <c r="J2497">
        <v>190</v>
      </c>
      <c r="K2497">
        <f>tblSales[[#This Row],[Sales]]-tblSales[[#This Row],[Budget]]</f>
        <v>-4134</v>
      </c>
      <c r="L2497" s="3">
        <f>(tblSales[[#This Row],[Sales]]-tblSales[[#This Row],[Budget]])/tblSales[[#This Row],[Budget]]</f>
        <v>-7.2343553128937421E-2</v>
      </c>
      <c r="M2497" s="2">
        <f>tblSales[[#This Row],[Sales]]/tblSales[[#This Row],[Transactions]]</f>
        <v>279</v>
      </c>
    </row>
    <row r="2498" spans="1:13" x14ac:dyDescent="0.25">
      <c r="A2498" s="1">
        <v>46147</v>
      </c>
      <c r="B2498" t="s">
        <v>27</v>
      </c>
      <c r="C2498" t="s">
        <v>19</v>
      </c>
      <c r="D2498" t="str">
        <f>_xlfn.XLOOKUP(tblSales[[#This Row],[Store ID]],tblStores[Store ID],tblStores[Store Name])</f>
        <v>East London</v>
      </c>
      <c r="E2498" t="str">
        <f>_xlfn.XLOOKUP(tblSales[[#This Row],[Store ID]],tblStores[Store ID],tblStores[Province])</f>
        <v>Eastern Cape</v>
      </c>
      <c r="F2498" t="str">
        <f>_xlfn.XLOOKUP(tblSales[[#This Row],[Store ID]],tblStores[Store ID],tblStores[Manager])</f>
        <v>Daniel Evans</v>
      </c>
      <c r="G2498" t="str">
        <f>_xlfn.XLOOKUP(tblSales[[#This Row],[Category ID]],tblCategories[Category ID],tblCategories[Category])</f>
        <v>Accessories</v>
      </c>
      <c r="H2498">
        <v>79278</v>
      </c>
      <c r="I2498">
        <v>71979</v>
      </c>
      <c r="J2498">
        <v>181</v>
      </c>
      <c r="K2498">
        <f>tblSales[[#This Row],[Sales]]-tblSales[[#This Row],[Budget]]</f>
        <v>7299</v>
      </c>
      <c r="L2498" s="3">
        <f>(tblSales[[#This Row],[Sales]]-tblSales[[#This Row],[Budget]])/tblSales[[#This Row],[Budget]]</f>
        <v>0.10140457633476431</v>
      </c>
      <c r="M2498" s="2">
        <f>tblSales[[#This Row],[Sales]]/tblSales[[#This Row],[Transactions]]</f>
        <v>438</v>
      </c>
    </row>
    <row r="2499" spans="1:13" x14ac:dyDescent="0.25">
      <c r="A2499" s="1">
        <v>46147</v>
      </c>
      <c r="B2499" t="s">
        <v>28</v>
      </c>
      <c r="C2499" t="s">
        <v>11</v>
      </c>
      <c r="D2499" t="str">
        <f>_xlfn.XLOOKUP(tblSales[[#This Row],[Store ID]],tblStores[Store ID],tblStores[Store Name])</f>
        <v>Bloemfontein</v>
      </c>
      <c r="E2499" t="str">
        <f>_xlfn.XLOOKUP(tblSales[[#This Row],[Store ID]],tblStores[Store ID],tblStores[Province])</f>
        <v>Free State</v>
      </c>
      <c r="F2499" t="str">
        <f>_xlfn.XLOOKUP(tblSales[[#This Row],[Store ID]],tblStores[Store ID],tblStores[Manager])</f>
        <v>Rachel Moore</v>
      </c>
      <c r="G2499" t="str">
        <f>_xlfn.XLOOKUP(tblSales[[#This Row],[Category ID]],tblCategories[Category ID],tblCategories[Category])</f>
        <v>Footwear</v>
      </c>
      <c r="H2499">
        <v>19038</v>
      </c>
      <c r="I2499">
        <v>21095</v>
      </c>
      <c r="J2499">
        <v>57</v>
      </c>
      <c r="K2499">
        <f>tblSales[[#This Row],[Sales]]-tblSales[[#This Row],[Budget]]</f>
        <v>-2057</v>
      </c>
      <c r="L2499" s="3">
        <f>(tblSales[[#This Row],[Sales]]-tblSales[[#This Row],[Budget]])/tblSales[[#This Row],[Budget]]</f>
        <v>-9.7511258592083427E-2</v>
      </c>
      <c r="M2499" s="2">
        <f>tblSales[[#This Row],[Sales]]/tblSales[[#This Row],[Transactions]]</f>
        <v>334</v>
      </c>
    </row>
    <row r="2500" spans="1:13" x14ac:dyDescent="0.25">
      <c r="A2500" s="1">
        <v>46147</v>
      </c>
      <c r="B2500" t="s">
        <v>29</v>
      </c>
      <c r="C2500" t="s">
        <v>19</v>
      </c>
      <c r="D2500" t="str">
        <f>_xlfn.XLOOKUP(tblSales[[#This Row],[Store ID]],tblStores[Store ID],tblStores[Store Name])</f>
        <v>Polokwane</v>
      </c>
      <c r="E2500" t="str">
        <f>_xlfn.XLOOKUP(tblSales[[#This Row],[Store ID]],tblStores[Store ID],tblStores[Province])</f>
        <v>Limpopo</v>
      </c>
      <c r="F2500" t="str">
        <f>_xlfn.XLOOKUP(tblSales[[#This Row],[Store ID]],tblStores[Store ID],tblStores[Manager])</f>
        <v>Kevin Harris</v>
      </c>
      <c r="G2500" t="str">
        <f>_xlfn.XLOOKUP(tblSales[[#This Row],[Category ID]],tblCategories[Category ID],tblCategories[Category])</f>
        <v>Accessories</v>
      </c>
      <c r="H2500">
        <v>40964</v>
      </c>
      <c r="I2500">
        <v>46047</v>
      </c>
      <c r="J2500">
        <v>154</v>
      </c>
      <c r="K2500">
        <f>tblSales[[#This Row],[Sales]]-tblSales[[#This Row],[Budget]]</f>
        <v>-5083</v>
      </c>
      <c r="L2500" s="3">
        <f>(tblSales[[#This Row],[Sales]]-tblSales[[#This Row],[Budget]])/tblSales[[#This Row],[Budget]]</f>
        <v>-0.11038721306491193</v>
      </c>
      <c r="M2500" s="2">
        <f>tblSales[[#This Row],[Sales]]/tblSales[[#This Row],[Transactions]]</f>
        <v>266</v>
      </c>
    </row>
    <row r="2501" spans="1:13" x14ac:dyDescent="0.25">
      <c r="A2501" s="1">
        <v>46147</v>
      </c>
      <c r="B2501" t="s">
        <v>30</v>
      </c>
      <c r="C2501" t="s">
        <v>7</v>
      </c>
      <c r="D2501" t="str">
        <f>_xlfn.XLOOKUP(tblSales[[#This Row],[Store ID]],tblStores[Store ID],tblStores[Store Name])</f>
        <v>Nelspruit</v>
      </c>
      <c r="E2501" t="str">
        <f>_xlfn.XLOOKUP(tblSales[[#This Row],[Store ID]],tblStores[Store ID],tblStores[Province])</f>
        <v>Mpumalanga</v>
      </c>
      <c r="F2501" t="str">
        <f>_xlfn.XLOOKUP(tblSales[[#This Row],[Store ID]],tblStores[Store ID],tblStores[Manager])</f>
        <v>Olivia Turner</v>
      </c>
      <c r="G2501" t="str">
        <f>_xlfn.XLOOKUP(tblSales[[#This Row],[Category ID]],tblCategories[Category ID],tblCategories[Category])</f>
        <v>Menswear</v>
      </c>
      <c r="H2501">
        <v>82002</v>
      </c>
      <c r="I2501">
        <v>84885</v>
      </c>
      <c r="J2501">
        <v>158</v>
      </c>
      <c r="K2501">
        <f>tblSales[[#This Row],[Sales]]-tblSales[[#This Row],[Budget]]</f>
        <v>-2883</v>
      </c>
      <c r="L2501" s="3">
        <f>(tblSales[[#This Row],[Sales]]-tblSales[[#This Row],[Budget]])/tblSales[[#This Row],[Budget]]</f>
        <v>-3.3963597808800143E-2</v>
      </c>
      <c r="M2501" s="2">
        <f>tblSales[[#This Row],[Sales]]/tblSales[[#This Row],[Transactions]]</f>
        <v>519</v>
      </c>
    </row>
    <row r="2502" spans="1:13" x14ac:dyDescent="0.25">
      <c r="A2502" s="1">
        <v>46148</v>
      </c>
      <c r="B2502" t="s">
        <v>6</v>
      </c>
      <c r="C2502" t="s">
        <v>9</v>
      </c>
      <c r="D2502" t="str">
        <f>_xlfn.XLOOKUP(tblSales[[#This Row],[Store ID]],tblStores[Store ID],tblStores[Store Name])</f>
        <v>Durban CBD</v>
      </c>
      <c r="E2502" t="str">
        <f>_xlfn.XLOOKUP(tblSales[[#This Row],[Store ID]],tblStores[Store ID],tblStores[Province])</f>
        <v>KZN</v>
      </c>
      <c r="F2502" t="str">
        <f>_xlfn.XLOOKUP(tblSales[[#This Row],[Store ID]],tblStores[Store ID],tblStores[Manager])</f>
        <v>Sarah Adams</v>
      </c>
      <c r="G2502" t="str">
        <f>_xlfn.XLOOKUP(tblSales[[#This Row],[Category ID]],tblCategories[Category ID],tblCategories[Category])</f>
        <v>Ladieswear</v>
      </c>
      <c r="H2502">
        <v>23763</v>
      </c>
      <c r="I2502">
        <v>25861</v>
      </c>
      <c r="J2502">
        <v>89</v>
      </c>
      <c r="K2502">
        <f>tblSales[[#This Row],[Sales]]-tblSales[[#This Row],[Budget]]</f>
        <v>-2098</v>
      </c>
      <c r="L2502" s="3">
        <f>(tblSales[[#This Row],[Sales]]-tblSales[[#This Row],[Budget]])/tblSales[[#This Row],[Budget]]</f>
        <v>-8.1126019875488189E-2</v>
      </c>
      <c r="M2502" s="2">
        <f>tblSales[[#This Row],[Sales]]/tblSales[[#This Row],[Transactions]]</f>
        <v>267</v>
      </c>
    </row>
    <row r="2503" spans="1:13" x14ac:dyDescent="0.25">
      <c r="A2503" s="1">
        <v>46148</v>
      </c>
      <c r="B2503" t="s">
        <v>8</v>
      </c>
      <c r="C2503" t="s">
        <v>7</v>
      </c>
      <c r="D2503" t="str">
        <f>_xlfn.XLOOKUP(tblSales[[#This Row],[Store ID]],tblStores[Store ID],tblStores[Store Name])</f>
        <v>Gateway</v>
      </c>
      <c r="E2503" t="str">
        <f>_xlfn.XLOOKUP(tblSales[[#This Row],[Store ID]],tblStores[Store ID],tblStores[Province])</f>
        <v>KZN</v>
      </c>
      <c r="F2503" t="str">
        <f>_xlfn.XLOOKUP(tblSales[[#This Row],[Store ID]],tblStores[Store ID],tblStores[Manager])</f>
        <v>Michael Jones</v>
      </c>
      <c r="G2503" t="str">
        <f>_xlfn.XLOOKUP(tblSales[[#This Row],[Category ID]],tblCategories[Category ID],tblCategories[Category])</f>
        <v>Menswear</v>
      </c>
      <c r="H2503">
        <v>24924</v>
      </c>
      <c r="I2503">
        <v>28621</v>
      </c>
      <c r="J2503">
        <v>62</v>
      </c>
      <c r="K2503">
        <f>tblSales[[#This Row],[Sales]]-tblSales[[#This Row],[Budget]]</f>
        <v>-3697</v>
      </c>
      <c r="L2503" s="3">
        <f>(tblSales[[#This Row],[Sales]]-tblSales[[#This Row],[Budget]])/tblSales[[#This Row],[Budget]]</f>
        <v>-0.12917088850843786</v>
      </c>
      <c r="M2503" s="2">
        <f>tblSales[[#This Row],[Sales]]/tblSales[[#This Row],[Transactions]]</f>
        <v>402</v>
      </c>
    </row>
    <row r="2504" spans="1:13" x14ac:dyDescent="0.25">
      <c r="A2504" s="1">
        <v>46148</v>
      </c>
      <c r="B2504" t="s">
        <v>10</v>
      </c>
      <c r="C2504" t="s">
        <v>7</v>
      </c>
      <c r="D2504" t="str">
        <f>_xlfn.XLOOKUP(tblSales[[#This Row],[Store ID]],tblStores[Store ID],tblStores[Store Name])</f>
        <v>Ballito</v>
      </c>
      <c r="E2504" t="str">
        <f>_xlfn.XLOOKUP(tblSales[[#This Row],[Store ID]],tblStores[Store ID],tblStores[Province])</f>
        <v>KZN</v>
      </c>
      <c r="F2504" t="str">
        <f>_xlfn.XLOOKUP(tblSales[[#This Row],[Store ID]],tblStores[Store ID],tblStores[Manager])</f>
        <v>Linda Smith</v>
      </c>
      <c r="G2504" t="str">
        <f>_xlfn.XLOOKUP(tblSales[[#This Row],[Category ID]],tblCategories[Category ID],tblCategories[Category])</f>
        <v>Menswear</v>
      </c>
      <c r="H2504">
        <v>26372</v>
      </c>
      <c r="I2504">
        <v>29685</v>
      </c>
      <c r="J2504">
        <v>76</v>
      </c>
      <c r="K2504">
        <f>tblSales[[#This Row],[Sales]]-tblSales[[#This Row],[Budget]]</f>
        <v>-3313</v>
      </c>
      <c r="L2504" s="3">
        <f>(tblSales[[#This Row],[Sales]]-tblSales[[#This Row],[Budget]])/tblSales[[#This Row],[Budget]]</f>
        <v>-0.11160518780528887</v>
      </c>
      <c r="M2504" s="2">
        <f>tblSales[[#This Row],[Sales]]/tblSales[[#This Row],[Transactions]]</f>
        <v>347</v>
      </c>
    </row>
    <row r="2505" spans="1:13" x14ac:dyDescent="0.25">
      <c r="A2505" s="1">
        <v>46148</v>
      </c>
      <c r="B2505" t="s">
        <v>12</v>
      </c>
      <c r="C2505" t="s">
        <v>22</v>
      </c>
      <c r="D2505" t="str">
        <f>_xlfn.XLOOKUP(tblSales[[#This Row],[Store ID]],tblStores[Store ID],tblStores[Store Name])</f>
        <v>Pietermaritzburg</v>
      </c>
      <c r="E2505" t="str">
        <f>_xlfn.XLOOKUP(tblSales[[#This Row],[Store ID]],tblStores[Store ID],tblStores[Province])</f>
        <v>KZN</v>
      </c>
      <c r="F2505" t="str">
        <f>_xlfn.XLOOKUP(tblSales[[#This Row],[Store ID]],tblStores[Store ID],tblStores[Manager])</f>
        <v>Peter Brown</v>
      </c>
      <c r="G2505" t="str">
        <f>_xlfn.XLOOKUP(tblSales[[#This Row],[Category ID]],tblCategories[Category ID],tblCategories[Category])</f>
        <v>Kids</v>
      </c>
      <c r="H2505">
        <v>28301</v>
      </c>
      <c r="I2505">
        <v>30182</v>
      </c>
      <c r="J2505">
        <v>91</v>
      </c>
      <c r="K2505">
        <f>tblSales[[#This Row],[Sales]]-tblSales[[#This Row],[Budget]]</f>
        <v>-1881</v>
      </c>
      <c r="L2505" s="3">
        <f>(tblSales[[#This Row],[Sales]]-tblSales[[#This Row],[Budget]])/tblSales[[#This Row],[Budget]]</f>
        <v>-6.2321913723411303E-2</v>
      </c>
      <c r="M2505" s="2">
        <f>tblSales[[#This Row],[Sales]]/tblSales[[#This Row],[Transactions]]</f>
        <v>311</v>
      </c>
    </row>
    <row r="2506" spans="1:13" x14ac:dyDescent="0.25">
      <c r="A2506" s="1">
        <v>46148</v>
      </c>
      <c r="B2506" t="s">
        <v>13</v>
      </c>
      <c r="C2506" t="s">
        <v>7</v>
      </c>
      <c r="D2506" t="str">
        <f>_xlfn.XLOOKUP(tblSales[[#This Row],[Store ID]],tblStores[Store ID],tblStores[Store Name])</f>
        <v>Richards Bay</v>
      </c>
      <c r="E2506" t="str">
        <f>_xlfn.XLOOKUP(tblSales[[#This Row],[Store ID]],tblStores[Store ID],tblStores[Province])</f>
        <v>KZN</v>
      </c>
      <c r="F2506" t="str">
        <f>_xlfn.XLOOKUP(tblSales[[#This Row],[Store ID]],tblStores[Store ID],tblStores[Manager])</f>
        <v>David Green</v>
      </c>
      <c r="G2506" t="str">
        <f>_xlfn.XLOOKUP(tblSales[[#This Row],[Category ID]],tblCategories[Category ID],tblCategories[Category])</f>
        <v>Menswear</v>
      </c>
      <c r="H2506">
        <v>51045</v>
      </c>
      <c r="I2506">
        <v>57715</v>
      </c>
      <c r="J2506">
        <v>205</v>
      </c>
      <c r="K2506">
        <f>tblSales[[#This Row],[Sales]]-tblSales[[#This Row],[Budget]]</f>
        <v>-6670</v>
      </c>
      <c r="L2506" s="3">
        <f>(tblSales[[#This Row],[Sales]]-tblSales[[#This Row],[Budget]])/tblSales[[#This Row],[Budget]]</f>
        <v>-0.11556787663519016</v>
      </c>
      <c r="M2506" s="2">
        <f>tblSales[[#This Row],[Sales]]/tblSales[[#This Row],[Transactions]]</f>
        <v>249</v>
      </c>
    </row>
    <row r="2507" spans="1:13" x14ac:dyDescent="0.25">
      <c r="A2507" s="1">
        <v>46148</v>
      </c>
      <c r="B2507" t="s">
        <v>14</v>
      </c>
      <c r="C2507" t="s">
        <v>11</v>
      </c>
      <c r="D2507" t="str">
        <f>_xlfn.XLOOKUP(tblSales[[#This Row],[Store ID]],tblStores[Store ID],tblStores[Store Name])</f>
        <v>Sandton</v>
      </c>
      <c r="E2507" t="str">
        <f>_xlfn.XLOOKUP(tblSales[[#This Row],[Store ID]],tblStores[Store ID],tblStores[Province])</f>
        <v>Gauteng</v>
      </c>
      <c r="F2507" t="str">
        <f>_xlfn.XLOOKUP(tblSales[[#This Row],[Store ID]],tblStores[Store ID],tblStores[Manager])</f>
        <v>Karen White</v>
      </c>
      <c r="G2507" t="str">
        <f>_xlfn.XLOOKUP(tblSales[[#This Row],[Category ID]],tblCategories[Category ID],tblCategories[Category])</f>
        <v>Footwear</v>
      </c>
      <c r="H2507">
        <v>20300</v>
      </c>
      <c r="I2507">
        <v>22695</v>
      </c>
      <c r="J2507">
        <v>58</v>
      </c>
      <c r="K2507">
        <f>tblSales[[#This Row],[Sales]]-tblSales[[#This Row],[Budget]]</f>
        <v>-2395</v>
      </c>
      <c r="L2507" s="3">
        <f>(tblSales[[#This Row],[Sales]]-tblSales[[#This Row],[Budget]])/tblSales[[#This Row],[Budget]]</f>
        <v>-0.10552985239039436</v>
      </c>
      <c r="M2507" s="2">
        <f>tblSales[[#This Row],[Sales]]/tblSales[[#This Row],[Transactions]]</f>
        <v>350</v>
      </c>
    </row>
    <row r="2508" spans="1:13" x14ac:dyDescent="0.25">
      <c r="A2508" s="1">
        <v>46148</v>
      </c>
      <c r="B2508" t="s">
        <v>15</v>
      </c>
      <c r="C2508" t="s">
        <v>19</v>
      </c>
      <c r="D2508" t="str">
        <f>_xlfn.XLOOKUP(tblSales[[#This Row],[Store ID]],tblStores[Store ID],tblStores[Store Name])</f>
        <v>Rosebank</v>
      </c>
      <c r="E2508" t="str">
        <f>_xlfn.XLOOKUP(tblSales[[#This Row],[Store ID]],tblStores[Store ID],tblStores[Province])</f>
        <v>Gauteng</v>
      </c>
      <c r="F2508" t="str">
        <f>_xlfn.XLOOKUP(tblSales[[#This Row],[Store ID]],tblStores[Store ID],tblStores[Manager])</f>
        <v>James Taylor</v>
      </c>
      <c r="G2508" t="str">
        <f>_xlfn.XLOOKUP(tblSales[[#This Row],[Category ID]],tblCategories[Category ID],tblCategories[Category])</f>
        <v>Accessories</v>
      </c>
      <c r="H2508">
        <v>40044</v>
      </c>
      <c r="I2508">
        <v>42486</v>
      </c>
      <c r="J2508">
        <v>188</v>
      </c>
      <c r="K2508">
        <f>tblSales[[#This Row],[Sales]]-tblSales[[#This Row],[Budget]]</f>
        <v>-2442</v>
      </c>
      <c r="L2508" s="3">
        <f>(tblSales[[#This Row],[Sales]]-tblSales[[#This Row],[Budget]])/tblSales[[#This Row],[Budget]]</f>
        <v>-5.7477757378901283E-2</v>
      </c>
      <c r="M2508" s="2">
        <f>tblSales[[#This Row],[Sales]]/tblSales[[#This Row],[Transactions]]</f>
        <v>213</v>
      </c>
    </row>
    <row r="2509" spans="1:13" x14ac:dyDescent="0.25">
      <c r="A2509" s="1">
        <v>46148</v>
      </c>
      <c r="B2509" t="s">
        <v>16</v>
      </c>
      <c r="C2509" t="s">
        <v>11</v>
      </c>
      <c r="D2509" t="str">
        <f>_xlfn.XLOOKUP(tblSales[[#This Row],[Store ID]],tblStores[Store ID],tblStores[Store Name])</f>
        <v>Pretoria</v>
      </c>
      <c r="E2509" t="str">
        <f>_xlfn.XLOOKUP(tblSales[[#This Row],[Store ID]],tblStores[Store ID],tblStores[Province])</f>
        <v>Gauteng</v>
      </c>
      <c r="F2509" t="str">
        <f>_xlfn.XLOOKUP(tblSales[[#This Row],[Store ID]],tblStores[Store ID],tblStores[Manager])</f>
        <v>Susan Clark</v>
      </c>
      <c r="G2509" t="str">
        <f>_xlfn.XLOOKUP(tblSales[[#This Row],[Category ID]],tblCategories[Category ID],tblCategories[Category])</f>
        <v>Footwear</v>
      </c>
      <c r="H2509">
        <v>81750</v>
      </c>
      <c r="I2509">
        <v>86939</v>
      </c>
      <c r="J2509">
        <v>218</v>
      </c>
      <c r="K2509">
        <f>tblSales[[#This Row],[Sales]]-tblSales[[#This Row],[Budget]]</f>
        <v>-5189</v>
      </c>
      <c r="L2509" s="3">
        <f>(tblSales[[#This Row],[Sales]]-tblSales[[#This Row],[Budget]])/tblSales[[#This Row],[Budget]]</f>
        <v>-5.9685526633616676E-2</v>
      </c>
      <c r="M2509" s="2">
        <f>tblSales[[#This Row],[Sales]]/tblSales[[#This Row],[Transactions]]</f>
        <v>375</v>
      </c>
    </row>
    <row r="2510" spans="1:13" x14ac:dyDescent="0.25">
      <c r="A2510" s="1">
        <v>46148</v>
      </c>
      <c r="B2510" t="s">
        <v>17</v>
      </c>
      <c r="C2510" t="s">
        <v>19</v>
      </c>
      <c r="D2510" t="str">
        <f>_xlfn.XLOOKUP(tblSales[[#This Row],[Store ID]],tblStores[Store ID],tblStores[Store Name])</f>
        <v>Centurion</v>
      </c>
      <c r="E2510" t="str">
        <f>_xlfn.XLOOKUP(tblSales[[#This Row],[Store ID]],tblStores[Store ID],tblStores[Province])</f>
        <v>Gauteng</v>
      </c>
      <c r="F2510" t="str">
        <f>_xlfn.XLOOKUP(tblSales[[#This Row],[Store ID]],tblStores[Store ID],tblStores[Manager])</f>
        <v>Mark Wilson</v>
      </c>
      <c r="G2510" t="str">
        <f>_xlfn.XLOOKUP(tblSales[[#This Row],[Category ID]],tblCategories[Category ID],tblCategories[Category])</f>
        <v>Accessories</v>
      </c>
      <c r="H2510">
        <v>43654</v>
      </c>
      <c r="I2510">
        <v>41728</v>
      </c>
      <c r="J2510">
        <v>146</v>
      </c>
      <c r="K2510">
        <f>tblSales[[#This Row],[Sales]]-tblSales[[#This Row],[Budget]]</f>
        <v>1926</v>
      </c>
      <c r="L2510" s="3">
        <f>(tblSales[[#This Row],[Sales]]-tblSales[[#This Row],[Budget]])/tblSales[[#This Row],[Budget]]</f>
        <v>4.615605828220859E-2</v>
      </c>
      <c r="M2510" s="2">
        <f>tblSales[[#This Row],[Sales]]/tblSales[[#This Row],[Transactions]]</f>
        <v>299</v>
      </c>
    </row>
    <row r="2511" spans="1:13" x14ac:dyDescent="0.25">
      <c r="A2511" s="1">
        <v>46148</v>
      </c>
      <c r="B2511" t="s">
        <v>18</v>
      </c>
      <c r="C2511" t="s">
        <v>7</v>
      </c>
      <c r="D2511" t="str">
        <f>_xlfn.XLOOKUP(tblSales[[#This Row],[Store ID]],tblStores[Store ID],tblStores[Store Name])</f>
        <v>East Rand</v>
      </c>
      <c r="E2511" t="str">
        <f>_xlfn.XLOOKUP(tblSales[[#This Row],[Store ID]],tblStores[Store ID],tblStores[Province])</f>
        <v>Gauteng</v>
      </c>
      <c r="F2511" t="str">
        <f>_xlfn.XLOOKUP(tblSales[[#This Row],[Store ID]],tblStores[Store ID],tblStores[Manager])</f>
        <v>Lisa Young</v>
      </c>
      <c r="G2511" t="str">
        <f>_xlfn.XLOOKUP(tblSales[[#This Row],[Category ID]],tblCategories[Category ID],tblCategories[Category])</f>
        <v>Menswear</v>
      </c>
      <c r="H2511">
        <v>24416</v>
      </c>
      <c r="I2511">
        <v>22654</v>
      </c>
      <c r="J2511">
        <v>109</v>
      </c>
      <c r="K2511">
        <f>tblSales[[#This Row],[Sales]]-tblSales[[#This Row],[Budget]]</f>
        <v>1762</v>
      </c>
      <c r="L2511" s="3">
        <f>(tblSales[[#This Row],[Sales]]-tblSales[[#This Row],[Budget]])/tblSales[[#This Row],[Budget]]</f>
        <v>7.7778758718107174E-2</v>
      </c>
      <c r="M2511" s="2">
        <f>tblSales[[#This Row],[Sales]]/tblSales[[#This Row],[Transactions]]</f>
        <v>224</v>
      </c>
    </row>
    <row r="2512" spans="1:13" x14ac:dyDescent="0.25">
      <c r="A2512" s="1">
        <v>46148</v>
      </c>
      <c r="B2512" t="s">
        <v>20</v>
      </c>
      <c r="C2512" t="s">
        <v>22</v>
      </c>
      <c r="D2512" t="str">
        <f>_xlfn.XLOOKUP(tblSales[[#This Row],[Store ID]],tblStores[Store ID],tblStores[Store Name])</f>
        <v>Cape Town CBD</v>
      </c>
      <c r="E2512" t="str">
        <f>_xlfn.XLOOKUP(tblSales[[#This Row],[Store ID]],tblStores[Store ID],tblStores[Province])</f>
        <v>Western Cape</v>
      </c>
      <c r="F2512" t="str">
        <f>_xlfn.XLOOKUP(tblSales[[#This Row],[Store ID]],tblStores[Store ID],tblStores[Manager])</f>
        <v>Brian Hall</v>
      </c>
      <c r="G2512" t="str">
        <f>_xlfn.XLOOKUP(tblSales[[#This Row],[Category ID]],tblCategories[Category ID],tblCategories[Category])</f>
        <v>Kids</v>
      </c>
      <c r="H2512">
        <v>51336</v>
      </c>
      <c r="I2512">
        <v>55758</v>
      </c>
      <c r="J2512">
        <v>186</v>
      </c>
      <c r="K2512">
        <f>tblSales[[#This Row],[Sales]]-tblSales[[#This Row],[Budget]]</f>
        <v>-4422</v>
      </c>
      <c r="L2512" s="3">
        <f>(tblSales[[#This Row],[Sales]]-tblSales[[#This Row],[Budget]])/tblSales[[#This Row],[Budget]]</f>
        <v>-7.9307005272785974E-2</v>
      </c>
      <c r="M2512" s="2">
        <f>tblSales[[#This Row],[Sales]]/tblSales[[#This Row],[Transactions]]</f>
        <v>276</v>
      </c>
    </row>
    <row r="2513" spans="1:13" x14ac:dyDescent="0.25">
      <c r="A2513" s="1">
        <v>46148</v>
      </c>
      <c r="B2513" t="s">
        <v>21</v>
      </c>
      <c r="C2513" t="s">
        <v>7</v>
      </c>
      <c r="D2513" t="str">
        <f>_xlfn.XLOOKUP(tblSales[[#This Row],[Store ID]],tblStores[Store ID],tblStores[Store Name])</f>
        <v>Canal Walk</v>
      </c>
      <c r="E2513" t="str">
        <f>_xlfn.XLOOKUP(tblSales[[#This Row],[Store ID]],tblStores[Store ID],tblStores[Province])</f>
        <v>Western Cape</v>
      </c>
      <c r="F2513" t="str">
        <f>_xlfn.XLOOKUP(tblSales[[#This Row],[Store ID]],tblStores[Store ID],tblStores[Manager])</f>
        <v>Megan Scott</v>
      </c>
      <c r="G2513" t="str">
        <f>_xlfn.XLOOKUP(tblSales[[#This Row],[Category ID]],tblCategories[Category ID],tblCategories[Category])</f>
        <v>Menswear</v>
      </c>
      <c r="H2513">
        <v>66608</v>
      </c>
      <c r="I2513">
        <v>62068</v>
      </c>
      <c r="J2513">
        <v>181</v>
      </c>
      <c r="K2513">
        <f>tblSales[[#This Row],[Sales]]-tblSales[[#This Row],[Budget]]</f>
        <v>4540</v>
      </c>
      <c r="L2513" s="3">
        <f>(tblSales[[#This Row],[Sales]]-tblSales[[#This Row],[Budget]])/tblSales[[#This Row],[Budget]]</f>
        <v>7.3145582264612999E-2</v>
      </c>
      <c r="M2513" s="2">
        <f>tblSales[[#This Row],[Sales]]/tblSales[[#This Row],[Transactions]]</f>
        <v>368</v>
      </c>
    </row>
    <row r="2514" spans="1:13" x14ac:dyDescent="0.25">
      <c r="A2514" s="1">
        <v>46148</v>
      </c>
      <c r="B2514" t="s">
        <v>23</v>
      </c>
      <c r="C2514" t="s">
        <v>22</v>
      </c>
      <c r="D2514" t="str">
        <f>_xlfn.XLOOKUP(tblSales[[#This Row],[Store ID]],tblStores[Store ID],tblStores[Store Name])</f>
        <v>Stellenbosch</v>
      </c>
      <c r="E2514" t="str">
        <f>_xlfn.XLOOKUP(tblSales[[#This Row],[Store ID]],tblStores[Store ID],tblStores[Province])</f>
        <v>Western Cape</v>
      </c>
      <c r="F2514" t="str">
        <f>_xlfn.XLOOKUP(tblSales[[#This Row],[Store ID]],tblStores[Store ID],tblStores[Manager])</f>
        <v>Jason King</v>
      </c>
      <c r="G2514" t="str">
        <f>_xlfn.XLOOKUP(tblSales[[#This Row],[Category ID]],tblCategories[Category ID],tblCategories[Category])</f>
        <v>Kids</v>
      </c>
      <c r="H2514">
        <v>62700</v>
      </c>
      <c r="I2514">
        <v>67981</v>
      </c>
      <c r="J2514">
        <v>132</v>
      </c>
      <c r="K2514">
        <f>tblSales[[#This Row],[Sales]]-tblSales[[#This Row],[Budget]]</f>
        <v>-5281</v>
      </c>
      <c r="L2514" s="3">
        <f>(tblSales[[#This Row],[Sales]]-tblSales[[#This Row],[Budget]])/tblSales[[#This Row],[Budget]]</f>
        <v>-7.76834703814301E-2</v>
      </c>
      <c r="M2514" s="2">
        <f>tblSales[[#This Row],[Sales]]/tblSales[[#This Row],[Transactions]]</f>
        <v>475</v>
      </c>
    </row>
    <row r="2515" spans="1:13" x14ac:dyDescent="0.25">
      <c r="A2515" s="1">
        <v>46148</v>
      </c>
      <c r="B2515" t="s">
        <v>24</v>
      </c>
      <c r="C2515" t="s">
        <v>22</v>
      </c>
      <c r="D2515" t="str">
        <f>_xlfn.XLOOKUP(tblSales[[#This Row],[Store ID]],tblStores[Store ID],tblStores[Store Name])</f>
        <v>George</v>
      </c>
      <c r="E2515" t="str">
        <f>_xlfn.XLOOKUP(tblSales[[#This Row],[Store ID]],tblStores[Store ID],tblStores[Province])</f>
        <v>Western Cape</v>
      </c>
      <c r="F2515" t="str">
        <f>_xlfn.XLOOKUP(tblSales[[#This Row],[Store ID]],tblStores[Store ID],tblStores[Manager])</f>
        <v>Chloe Hill</v>
      </c>
      <c r="G2515" t="str">
        <f>_xlfn.XLOOKUP(tblSales[[#This Row],[Category ID]],tblCategories[Category ID],tblCategories[Category])</f>
        <v>Kids</v>
      </c>
      <c r="H2515">
        <v>24100</v>
      </c>
      <c r="I2515">
        <v>24917</v>
      </c>
      <c r="J2515">
        <v>50</v>
      </c>
      <c r="K2515">
        <f>tblSales[[#This Row],[Sales]]-tblSales[[#This Row],[Budget]]</f>
        <v>-817</v>
      </c>
      <c r="L2515" s="3">
        <f>(tblSales[[#This Row],[Sales]]-tblSales[[#This Row],[Budget]])/tblSales[[#This Row],[Budget]]</f>
        <v>-3.2788859011919573E-2</v>
      </c>
      <c r="M2515" s="2">
        <f>tblSales[[#This Row],[Sales]]/tblSales[[#This Row],[Transactions]]</f>
        <v>482</v>
      </c>
    </row>
    <row r="2516" spans="1:13" x14ac:dyDescent="0.25">
      <c r="A2516" s="1">
        <v>46148</v>
      </c>
      <c r="B2516" t="s">
        <v>25</v>
      </c>
      <c r="C2516" t="s">
        <v>11</v>
      </c>
      <c r="D2516" t="str">
        <f>_xlfn.XLOOKUP(tblSales[[#This Row],[Store ID]],tblStores[Store ID],tblStores[Store Name])</f>
        <v>Paarl</v>
      </c>
      <c r="E2516" t="str">
        <f>_xlfn.XLOOKUP(tblSales[[#This Row],[Store ID]],tblStores[Store ID],tblStores[Province])</f>
        <v>Western Cape</v>
      </c>
      <c r="F2516" t="str">
        <f>_xlfn.XLOOKUP(tblSales[[#This Row],[Store ID]],tblStores[Store ID],tblStores[Manager])</f>
        <v>Andrew Lee</v>
      </c>
      <c r="G2516" t="str">
        <f>_xlfn.XLOOKUP(tblSales[[#This Row],[Category ID]],tblCategories[Category ID],tblCategories[Category])</f>
        <v>Footwear</v>
      </c>
      <c r="H2516">
        <v>49049</v>
      </c>
      <c r="I2516">
        <v>53601</v>
      </c>
      <c r="J2516">
        <v>143</v>
      </c>
      <c r="K2516">
        <f>tblSales[[#This Row],[Sales]]-tblSales[[#This Row],[Budget]]</f>
        <v>-4552</v>
      </c>
      <c r="L2516" s="3">
        <f>(tblSales[[#This Row],[Sales]]-tblSales[[#This Row],[Budget]])/tblSales[[#This Row],[Budget]]</f>
        <v>-8.4923788735284791E-2</v>
      </c>
      <c r="M2516" s="2">
        <f>tblSales[[#This Row],[Sales]]/tblSales[[#This Row],[Transactions]]</f>
        <v>343</v>
      </c>
    </row>
    <row r="2517" spans="1:13" x14ac:dyDescent="0.25">
      <c r="A2517" s="1">
        <v>46148</v>
      </c>
      <c r="B2517" t="s">
        <v>26</v>
      </c>
      <c r="C2517" t="s">
        <v>9</v>
      </c>
      <c r="D2517" t="str">
        <f>_xlfn.XLOOKUP(tblSales[[#This Row],[Store ID]],tblStores[Store ID],tblStores[Store Name])</f>
        <v>Gqeberha</v>
      </c>
      <c r="E2517" t="str">
        <f>_xlfn.XLOOKUP(tblSales[[#This Row],[Store ID]],tblStores[Store ID],tblStores[Province])</f>
        <v>Eastern Cape</v>
      </c>
      <c r="F2517" t="str">
        <f>_xlfn.XLOOKUP(tblSales[[#This Row],[Store ID]],tblStores[Store ID],tblStores[Manager])</f>
        <v>Emma Baker</v>
      </c>
      <c r="G2517" t="str">
        <f>_xlfn.XLOOKUP(tblSales[[#This Row],[Category ID]],tblCategories[Category ID],tblCategories[Category])</f>
        <v>Ladieswear</v>
      </c>
      <c r="H2517">
        <v>87192</v>
      </c>
      <c r="I2517">
        <v>91586</v>
      </c>
      <c r="J2517">
        <v>168</v>
      </c>
      <c r="K2517">
        <f>tblSales[[#This Row],[Sales]]-tblSales[[#This Row],[Budget]]</f>
        <v>-4394</v>
      </c>
      <c r="L2517" s="3">
        <f>(tblSales[[#This Row],[Sales]]-tblSales[[#This Row],[Budget]])/tblSales[[#This Row],[Budget]]</f>
        <v>-4.7976765007752276E-2</v>
      </c>
      <c r="M2517" s="2">
        <f>tblSales[[#This Row],[Sales]]/tblSales[[#This Row],[Transactions]]</f>
        <v>519</v>
      </c>
    </row>
    <row r="2518" spans="1:13" x14ac:dyDescent="0.25">
      <c r="A2518" s="1">
        <v>46148</v>
      </c>
      <c r="B2518" t="s">
        <v>27</v>
      </c>
      <c r="C2518" t="s">
        <v>9</v>
      </c>
      <c r="D2518" t="str">
        <f>_xlfn.XLOOKUP(tblSales[[#This Row],[Store ID]],tblStores[Store ID],tblStores[Store Name])</f>
        <v>East London</v>
      </c>
      <c r="E2518" t="str">
        <f>_xlfn.XLOOKUP(tblSales[[#This Row],[Store ID]],tblStores[Store ID],tblStores[Province])</f>
        <v>Eastern Cape</v>
      </c>
      <c r="F2518" t="str">
        <f>_xlfn.XLOOKUP(tblSales[[#This Row],[Store ID]],tblStores[Store ID],tblStores[Manager])</f>
        <v>Daniel Evans</v>
      </c>
      <c r="G2518" t="str">
        <f>_xlfn.XLOOKUP(tblSales[[#This Row],[Category ID]],tblCategories[Category ID],tblCategories[Category])</f>
        <v>Ladieswear</v>
      </c>
      <c r="H2518">
        <v>23684</v>
      </c>
      <c r="I2518">
        <v>21370</v>
      </c>
      <c r="J2518">
        <v>62</v>
      </c>
      <c r="K2518">
        <f>tblSales[[#This Row],[Sales]]-tblSales[[#This Row],[Budget]]</f>
        <v>2314</v>
      </c>
      <c r="L2518" s="3">
        <f>(tblSales[[#This Row],[Sales]]-tblSales[[#This Row],[Budget]])/tblSales[[#This Row],[Budget]]</f>
        <v>0.10828263921385119</v>
      </c>
      <c r="M2518" s="2">
        <f>tblSales[[#This Row],[Sales]]/tblSales[[#This Row],[Transactions]]</f>
        <v>382</v>
      </c>
    </row>
    <row r="2519" spans="1:13" x14ac:dyDescent="0.25">
      <c r="A2519" s="1">
        <v>46148</v>
      </c>
      <c r="B2519" t="s">
        <v>28</v>
      </c>
      <c r="C2519" t="s">
        <v>11</v>
      </c>
      <c r="D2519" t="str">
        <f>_xlfn.XLOOKUP(tblSales[[#This Row],[Store ID]],tblStores[Store ID],tblStores[Store Name])</f>
        <v>Bloemfontein</v>
      </c>
      <c r="E2519" t="str">
        <f>_xlfn.XLOOKUP(tblSales[[#This Row],[Store ID]],tblStores[Store ID],tblStores[Province])</f>
        <v>Free State</v>
      </c>
      <c r="F2519" t="str">
        <f>_xlfn.XLOOKUP(tblSales[[#This Row],[Store ID]],tblStores[Store ID],tblStores[Manager])</f>
        <v>Rachel Moore</v>
      </c>
      <c r="G2519" t="str">
        <f>_xlfn.XLOOKUP(tblSales[[#This Row],[Category ID]],tblCategories[Category ID],tblCategories[Category])</f>
        <v>Footwear</v>
      </c>
      <c r="H2519">
        <v>29210</v>
      </c>
      <c r="I2519">
        <v>32248</v>
      </c>
      <c r="J2519">
        <v>115</v>
      </c>
      <c r="K2519">
        <f>tblSales[[#This Row],[Sales]]-tblSales[[#This Row],[Budget]]</f>
        <v>-3038</v>
      </c>
      <c r="L2519" s="3">
        <f>(tblSales[[#This Row],[Sales]]-tblSales[[#This Row],[Budget]])/tblSales[[#This Row],[Budget]]</f>
        <v>-9.4207392706524437E-2</v>
      </c>
      <c r="M2519" s="2">
        <f>tblSales[[#This Row],[Sales]]/tblSales[[#This Row],[Transactions]]</f>
        <v>254</v>
      </c>
    </row>
    <row r="2520" spans="1:13" x14ac:dyDescent="0.25">
      <c r="A2520" s="1">
        <v>46148</v>
      </c>
      <c r="B2520" t="s">
        <v>29</v>
      </c>
      <c r="C2520" t="s">
        <v>22</v>
      </c>
      <c r="D2520" t="str">
        <f>_xlfn.XLOOKUP(tblSales[[#This Row],[Store ID]],tblStores[Store ID],tblStores[Store Name])</f>
        <v>Polokwane</v>
      </c>
      <c r="E2520" t="str">
        <f>_xlfn.XLOOKUP(tblSales[[#This Row],[Store ID]],tblStores[Store ID],tblStores[Province])</f>
        <v>Limpopo</v>
      </c>
      <c r="F2520" t="str">
        <f>_xlfn.XLOOKUP(tblSales[[#This Row],[Store ID]],tblStores[Store ID],tblStores[Manager])</f>
        <v>Kevin Harris</v>
      </c>
      <c r="G2520" t="str">
        <f>_xlfn.XLOOKUP(tblSales[[#This Row],[Category ID]],tblCategories[Category ID],tblCategories[Category])</f>
        <v>Kids</v>
      </c>
      <c r="H2520">
        <v>39585</v>
      </c>
      <c r="I2520">
        <v>42355</v>
      </c>
      <c r="J2520">
        <v>91</v>
      </c>
      <c r="K2520">
        <f>tblSales[[#This Row],[Sales]]-tblSales[[#This Row],[Budget]]</f>
        <v>-2770</v>
      </c>
      <c r="L2520" s="3">
        <f>(tblSales[[#This Row],[Sales]]-tblSales[[#This Row],[Budget]])/tblSales[[#This Row],[Budget]]</f>
        <v>-6.5399598630622127E-2</v>
      </c>
      <c r="M2520" s="2">
        <f>tblSales[[#This Row],[Sales]]/tblSales[[#This Row],[Transactions]]</f>
        <v>435</v>
      </c>
    </row>
    <row r="2521" spans="1:13" x14ac:dyDescent="0.25">
      <c r="A2521" s="1">
        <v>46148</v>
      </c>
      <c r="B2521" t="s">
        <v>30</v>
      </c>
      <c r="C2521" t="s">
        <v>9</v>
      </c>
      <c r="D2521" t="str">
        <f>_xlfn.XLOOKUP(tblSales[[#This Row],[Store ID]],tblStores[Store ID],tblStores[Store Name])</f>
        <v>Nelspruit</v>
      </c>
      <c r="E2521" t="str">
        <f>_xlfn.XLOOKUP(tblSales[[#This Row],[Store ID]],tblStores[Store ID],tblStores[Province])</f>
        <v>Mpumalanga</v>
      </c>
      <c r="F2521" t="str">
        <f>_xlfn.XLOOKUP(tblSales[[#This Row],[Store ID]],tblStores[Store ID],tblStores[Manager])</f>
        <v>Olivia Turner</v>
      </c>
      <c r="G2521" t="str">
        <f>_xlfn.XLOOKUP(tblSales[[#This Row],[Category ID]],tblCategories[Category ID],tblCategories[Category])</f>
        <v>Ladieswear</v>
      </c>
      <c r="H2521">
        <v>61100</v>
      </c>
      <c r="I2521">
        <v>57218</v>
      </c>
      <c r="J2521">
        <v>188</v>
      </c>
      <c r="K2521">
        <f>tblSales[[#This Row],[Sales]]-tblSales[[#This Row],[Budget]]</f>
        <v>3882</v>
      </c>
      <c r="L2521" s="3">
        <f>(tblSales[[#This Row],[Sales]]-tblSales[[#This Row],[Budget]])/tblSales[[#This Row],[Budget]]</f>
        <v>6.7845782795623755E-2</v>
      </c>
      <c r="M2521" s="2">
        <f>tblSales[[#This Row],[Sales]]/tblSales[[#This Row],[Transactions]]</f>
        <v>325</v>
      </c>
    </row>
    <row r="2522" spans="1:13" x14ac:dyDescent="0.25">
      <c r="A2522" s="1">
        <v>46149</v>
      </c>
      <c r="B2522" t="s">
        <v>6</v>
      </c>
      <c r="C2522" t="s">
        <v>7</v>
      </c>
      <c r="D2522" t="str">
        <f>_xlfn.XLOOKUP(tblSales[[#This Row],[Store ID]],tblStores[Store ID],tblStores[Store Name])</f>
        <v>Durban CBD</v>
      </c>
      <c r="E2522" t="str">
        <f>_xlfn.XLOOKUP(tblSales[[#This Row],[Store ID]],tblStores[Store ID],tblStores[Province])</f>
        <v>KZN</v>
      </c>
      <c r="F2522" t="str">
        <f>_xlfn.XLOOKUP(tblSales[[#This Row],[Store ID]],tblStores[Store ID],tblStores[Manager])</f>
        <v>Sarah Adams</v>
      </c>
      <c r="G2522" t="str">
        <f>_xlfn.XLOOKUP(tblSales[[#This Row],[Category ID]],tblCategories[Category ID],tblCategories[Category])</f>
        <v>Menswear</v>
      </c>
      <c r="H2522">
        <v>64484</v>
      </c>
      <c r="I2522">
        <v>63015</v>
      </c>
      <c r="J2522">
        <v>188</v>
      </c>
      <c r="K2522">
        <f>tblSales[[#This Row],[Sales]]-tblSales[[#This Row],[Budget]]</f>
        <v>1469</v>
      </c>
      <c r="L2522" s="3">
        <f>(tblSales[[#This Row],[Sales]]-tblSales[[#This Row],[Budget]])/tblSales[[#This Row],[Budget]]</f>
        <v>2.3311909862731097E-2</v>
      </c>
      <c r="M2522" s="2">
        <f>tblSales[[#This Row],[Sales]]/tblSales[[#This Row],[Transactions]]</f>
        <v>343</v>
      </c>
    </row>
    <row r="2523" spans="1:13" x14ac:dyDescent="0.25">
      <c r="A2523" s="1">
        <v>46149</v>
      </c>
      <c r="B2523" t="s">
        <v>8</v>
      </c>
      <c r="C2523" t="s">
        <v>7</v>
      </c>
      <c r="D2523" t="str">
        <f>_xlfn.XLOOKUP(tblSales[[#This Row],[Store ID]],tblStores[Store ID],tblStores[Store Name])</f>
        <v>Gateway</v>
      </c>
      <c r="E2523" t="str">
        <f>_xlfn.XLOOKUP(tblSales[[#This Row],[Store ID]],tblStores[Store ID],tblStores[Province])</f>
        <v>KZN</v>
      </c>
      <c r="F2523" t="str">
        <f>_xlfn.XLOOKUP(tblSales[[#This Row],[Store ID]],tblStores[Store ID],tblStores[Manager])</f>
        <v>Michael Jones</v>
      </c>
      <c r="G2523" t="str">
        <f>_xlfn.XLOOKUP(tblSales[[#This Row],[Category ID]],tblCategories[Category ID],tblCategories[Category])</f>
        <v>Menswear</v>
      </c>
      <c r="H2523">
        <v>49665</v>
      </c>
      <c r="I2523">
        <v>50636</v>
      </c>
      <c r="J2523">
        <v>105</v>
      </c>
      <c r="K2523">
        <f>tblSales[[#This Row],[Sales]]-tblSales[[#This Row],[Budget]]</f>
        <v>-971</v>
      </c>
      <c r="L2523" s="3">
        <f>(tblSales[[#This Row],[Sales]]-tblSales[[#This Row],[Budget]])/tblSales[[#This Row],[Budget]]</f>
        <v>-1.9176080259104195E-2</v>
      </c>
      <c r="M2523" s="2">
        <f>tblSales[[#This Row],[Sales]]/tblSales[[#This Row],[Transactions]]</f>
        <v>473</v>
      </c>
    </row>
    <row r="2524" spans="1:13" x14ac:dyDescent="0.25">
      <c r="A2524" s="1">
        <v>46149</v>
      </c>
      <c r="B2524" t="s">
        <v>10</v>
      </c>
      <c r="C2524" t="s">
        <v>9</v>
      </c>
      <c r="D2524" t="str">
        <f>_xlfn.XLOOKUP(tblSales[[#This Row],[Store ID]],tblStores[Store ID],tblStores[Store Name])</f>
        <v>Ballito</v>
      </c>
      <c r="E2524" t="str">
        <f>_xlfn.XLOOKUP(tblSales[[#This Row],[Store ID]],tblStores[Store ID],tblStores[Province])</f>
        <v>KZN</v>
      </c>
      <c r="F2524" t="str">
        <f>_xlfn.XLOOKUP(tblSales[[#This Row],[Store ID]],tblStores[Store ID],tblStores[Manager])</f>
        <v>Linda Smith</v>
      </c>
      <c r="G2524" t="str">
        <f>_xlfn.XLOOKUP(tblSales[[#This Row],[Category ID]],tblCategories[Category ID],tblCategories[Category])</f>
        <v>Ladieswear</v>
      </c>
      <c r="H2524">
        <v>52969</v>
      </c>
      <c r="I2524">
        <v>56996</v>
      </c>
      <c r="J2524">
        <v>161</v>
      </c>
      <c r="K2524">
        <f>tblSales[[#This Row],[Sales]]-tblSales[[#This Row],[Budget]]</f>
        <v>-4027</v>
      </c>
      <c r="L2524" s="3">
        <f>(tblSales[[#This Row],[Sales]]-tblSales[[#This Row],[Budget]])/tblSales[[#This Row],[Budget]]</f>
        <v>-7.0654080988139523E-2</v>
      </c>
      <c r="M2524" s="2">
        <f>tblSales[[#This Row],[Sales]]/tblSales[[#This Row],[Transactions]]</f>
        <v>329</v>
      </c>
    </row>
    <row r="2525" spans="1:13" x14ac:dyDescent="0.25">
      <c r="A2525" s="1">
        <v>46149</v>
      </c>
      <c r="B2525" t="s">
        <v>12</v>
      </c>
      <c r="C2525" t="s">
        <v>11</v>
      </c>
      <c r="D2525" t="str">
        <f>_xlfn.XLOOKUP(tblSales[[#This Row],[Store ID]],tblStores[Store ID],tblStores[Store Name])</f>
        <v>Pietermaritzburg</v>
      </c>
      <c r="E2525" t="str">
        <f>_xlfn.XLOOKUP(tblSales[[#This Row],[Store ID]],tblStores[Store ID],tblStores[Province])</f>
        <v>KZN</v>
      </c>
      <c r="F2525" t="str">
        <f>_xlfn.XLOOKUP(tblSales[[#This Row],[Store ID]],tblStores[Store ID],tblStores[Manager])</f>
        <v>Peter Brown</v>
      </c>
      <c r="G2525" t="str">
        <f>_xlfn.XLOOKUP(tblSales[[#This Row],[Category ID]],tblCategories[Category ID],tblCategories[Category])</f>
        <v>Footwear</v>
      </c>
      <c r="H2525">
        <v>17500</v>
      </c>
      <c r="I2525">
        <v>16418</v>
      </c>
      <c r="J2525">
        <v>50</v>
      </c>
      <c r="K2525">
        <f>tblSales[[#This Row],[Sales]]-tblSales[[#This Row],[Budget]]</f>
        <v>1082</v>
      </c>
      <c r="L2525" s="3">
        <f>(tblSales[[#This Row],[Sales]]-tblSales[[#This Row],[Budget]])/tblSales[[#This Row],[Budget]]</f>
        <v>6.5903276891216958E-2</v>
      </c>
      <c r="M2525" s="2">
        <f>tblSales[[#This Row],[Sales]]/tblSales[[#This Row],[Transactions]]</f>
        <v>350</v>
      </c>
    </row>
    <row r="2526" spans="1:13" x14ac:dyDescent="0.25">
      <c r="A2526" s="1">
        <v>46149</v>
      </c>
      <c r="B2526" t="s">
        <v>13</v>
      </c>
      <c r="C2526" t="s">
        <v>9</v>
      </c>
      <c r="D2526" t="str">
        <f>_xlfn.XLOOKUP(tblSales[[#This Row],[Store ID]],tblStores[Store ID],tblStores[Store Name])</f>
        <v>Richards Bay</v>
      </c>
      <c r="E2526" t="str">
        <f>_xlfn.XLOOKUP(tblSales[[#This Row],[Store ID]],tblStores[Store ID],tblStores[Province])</f>
        <v>KZN</v>
      </c>
      <c r="F2526" t="str">
        <f>_xlfn.XLOOKUP(tblSales[[#This Row],[Store ID]],tblStores[Store ID],tblStores[Manager])</f>
        <v>David Green</v>
      </c>
      <c r="G2526" t="str">
        <f>_xlfn.XLOOKUP(tblSales[[#This Row],[Category ID]],tblCategories[Category ID],tblCategories[Category])</f>
        <v>Ladieswear</v>
      </c>
      <c r="H2526">
        <v>18952</v>
      </c>
      <c r="I2526">
        <v>21430</v>
      </c>
      <c r="J2526">
        <v>92</v>
      </c>
      <c r="K2526">
        <f>tblSales[[#This Row],[Sales]]-tblSales[[#This Row],[Budget]]</f>
        <v>-2478</v>
      </c>
      <c r="L2526" s="3">
        <f>(tblSales[[#This Row],[Sales]]-tblSales[[#This Row],[Budget]])/tblSales[[#This Row],[Budget]]</f>
        <v>-0.11563229118058796</v>
      </c>
      <c r="M2526" s="2">
        <f>tblSales[[#This Row],[Sales]]/tblSales[[#This Row],[Transactions]]</f>
        <v>206</v>
      </c>
    </row>
    <row r="2527" spans="1:13" x14ac:dyDescent="0.25">
      <c r="A2527" s="1">
        <v>46149</v>
      </c>
      <c r="B2527" t="s">
        <v>14</v>
      </c>
      <c r="C2527" t="s">
        <v>9</v>
      </c>
      <c r="D2527" t="str">
        <f>_xlfn.XLOOKUP(tblSales[[#This Row],[Store ID]],tblStores[Store ID],tblStores[Store Name])</f>
        <v>Sandton</v>
      </c>
      <c r="E2527" t="str">
        <f>_xlfn.XLOOKUP(tblSales[[#This Row],[Store ID]],tblStores[Store ID],tblStores[Province])</f>
        <v>Gauteng</v>
      </c>
      <c r="F2527" t="str">
        <f>_xlfn.XLOOKUP(tblSales[[#This Row],[Store ID]],tblStores[Store ID],tblStores[Manager])</f>
        <v>Karen White</v>
      </c>
      <c r="G2527" t="str">
        <f>_xlfn.XLOOKUP(tblSales[[#This Row],[Category ID]],tblCategories[Category ID],tblCategories[Category])</f>
        <v>Ladieswear</v>
      </c>
      <c r="H2527">
        <v>60420</v>
      </c>
      <c r="I2527">
        <v>58895</v>
      </c>
      <c r="J2527">
        <v>159</v>
      </c>
      <c r="K2527">
        <f>tblSales[[#This Row],[Sales]]-tblSales[[#This Row],[Budget]]</f>
        <v>1525</v>
      </c>
      <c r="L2527" s="3">
        <f>(tblSales[[#This Row],[Sales]]-tblSales[[#This Row],[Budget]])/tblSales[[#This Row],[Budget]]</f>
        <v>2.5893539349690128E-2</v>
      </c>
      <c r="M2527" s="2">
        <f>tblSales[[#This Row],[Sales]]/tblSales[[#This Row],[Transactions]]</f>
        <v>380</v>
      </c>
    </row>
    <row r="2528" spans="1:13" x14ac:dyDescent="0.25">
      <c r="A2528" s="1">
        <v>46149</v>
      </c>
      <c r="B2528" t="s">
        <v>15</v>
      </c>
      <c r="C2528" t="s">
        <v>9</v>
      </c>
      <c r="D2528" t="str">
        <f>_xlfn.XLOOKUP(tblSales[[#This Row],[Store ID]],tblStores[Store ID],tblStores[Store Name])</f>
        <v>Rosebank</v>
      </c>
      <c r="E2528" t="str">
        <f>_xlfn.XLOOKUP(tblSales[[#This Row],[Store ID]],tblStores[Store ID],tblStores[Province])</f>
        <v>Gauteng</v>
      </c>
      <c r="F2528" t="str">
        <f>_xlfn.XLOOKUP(tblSales[[#This Row],[Store ID]],tblStores[Store ID],tblStores[Manager])</f>
        <v>James Taylor</v>
      </c>
      <c r="G2528" t="str">
        <f>_xlfn.XLOOKUP(tblSales[[#This Row],[Category ID]],tblCategories[Category ID],tblCategories[Category])</f>
        <v>Ladieswear</v>
      </c>
      <c r="H2528">
        <v>18400</v>
      </c>
      <c r="I2528">
        <v>18364</v>
      </c>
      <c r="J2528">
        <v>40</v>
      </c>
      <c r="K2528">
        <f>tblSales[[#This Row],[Sales]]-tblSales[[#This Row],[Budget]]</f>
        <v>36</v>
      </c>
      <c r="L2528" s="3">
        <f>(tblSales[[#This Row],[Sales]]-tblSales[[#This Row],[Budget]])/tblSales[[#This Row],[Budget]]</f>
        <v>1.960357220649096E-3</v>
      </c>
      <c r="M2528" s="2">
        <f>tblSales[[#This Row],[Sales]]/tblSales[[#This Row],[Transactions]]</f>
        <v>460</v>
      </c>
    </row>
    <row r="2529" spans="1:13" x14ac:dyDescent="0.25">
      <c r="A2529" s="1">
        <v>46149</v>
      </c>
      <c r="B2529" t="s">
        <v>16</v>
      </c>
      <c r="C2529" t="s">
        <v>11</v>
      </c>
      <c r="D2529" t="str">
        <f>_xlfn.XLOOKUP(tblSales[[#This Row],[Store ID]],tblStores[Store ID],tblStores[Store Name])</f>
        <v>Pretoria</v>
      </c>
      <c r="E2529" t="str">
        <f>_xlfn.XLOOKUP(tblSales[[#This Row],[Store ID]],tblStores[Store ID],tblStores[Province])</f>
        <v>Gauteng</v>
      </c>
      <c r="F2529" t="str">
        <f>_xlfn.XLOOKUP(tblSales[[#This Row],[Store ID]],tblStores[Store ID],tblStores[Manager])</f>
        <v>Susan Clark</v>
      </c>
      <c r="G2529" t="str">
        <f>_xlfn.XLOOKUP(tblSales[[#This Row],[Category ID]],tblCategories[Category ID],tblCategories[Category])</f>
        <v>Footwear</v>
      </c>
      <c r="H2529">
        <v>87776</v>
      </c>
      <c r="I2529">
        <v>100729</v>
      </c>
      <c r="J2529">
        <v>208</v>
      </c>
      <c r="K2529">
        <f>tblSales[[#This Row],[Sales]]-tblSales[[#This Row],[Budget]]</f>
        <v>-12953</v>
      </c>
      <c r="L2529" s="3">
        <f>(tblSales[[#This Row],[Sales]]-tblSales[[#This Row],[Budget]])/tblSales[[#This Row],[Budget]]</f>
        <v>-0.12859256023588042</v>
      </c>
      <c r="M2529" s="2">
        <f>tblSales[[#This Row],[Sales]]/tblSales[[#This Row],[Transactions]]</f>
        <v>422</v>
      </c>
    </row>
    <row r="2530" spans="1:13" x14ac:dyDescent="0.25">
      <c r="A2530" s="1">
        <v>46149</v>
      </c>
      <c r="B2530" t="s">
        <v>17</v>
      </c>
      <c r="C2530" t="s">
        <v>11</v>
      </c>
      <c r="D2530" t="str">
        <f>_xlfn.XLOOKUP(tblSales[[#This Row],[Store ID]],tblStores[Store ID],tblStores[Store Name])</f>
        <v>Centurion</v>
      </c>
      <c r="E2530" t="str">
        <f>_xlfn.XLOOKUP(tblSales[[#This Row],[Store ID]],tblStores[Store ID],tblStores[Province])</f>
        <v>Gauteng</v>
      </c>
      <c r="F2530" t="str">
        <f>_xlfn.XLOOKUP(tblSales[[#This Row],[Store ID]],tblStores[Store ID],tblStores[Manager])</f>
        <v>Mark Wilson</v>
      </c>
      <c r="G2530" t="str">
        <f>_xlfn.XLOOKUP(tblSales[[#This Row],[Category ID]],tblCategories[Category ID],tblCategories[Category])</f>
        <v>Footwear</v>
      </c>
      <c r="H2530">
        <v>29160</v>
      </c>
      <c r="I2530">
        <v>30091</v>
      </c>
      <c r="J2530">
        <v>135</v>
      </c>
      <c r="K2530">
        <f>tblSales[[#This Row],[Sales]]-tblSales[[#This Row],[Budget]]</f>
        <v>-931</v>
      </c>
      <c r="L2530" s="3">
        <f>(tblSales[[#This Row],[Sales]]-tblSales[[#This Row],[Budget]])/tblSales[[#This Row],[Budget]]</f>
        <v>-3.0939483566514905E-2</v>
      </c>
      <c r="M2530" s="2">
        <f>tblSales[[#This Row],[Sales]]/tblSales[[#This Row],[Transactions]]</f>
        <v>216</v>
      </c>
    </row>
    <row r="2531" spans="1:13" x14ac:dyDescent="0.25">
      <c r="A2531" s="1">
        <v>46149</v>
      </c>
      <c r="B2531" t="s">
        <v>18</v>
      </c>
      <c r="C2531" t="s">
        <v>22</v>
      </c>
      <c r="D2531" t="str">
        <f>_xlfn.XLOOKUP(tblSales[[#This Row],[Store ID]],tblStores[Store ID],tblStores[Store Name])</f>
        <v>East Rand</v>
      </c>
      <c r="E2531" t="str">
        <f>_xlfn.XLOOKUP(tblSales[[#This Row],[Store ID]],tblStores[Store ID],tblStores[Province])</f>
        <v>Gauteng</v>
      </c>
      <c r="F2531" t="str">
        <f>_xlfn.XLOOKUP(tblSales[[#This Row],[Store ID]],tblStores[Store ID],tblStores[Manager])</f>
        <v>Lisa Young</v>
      </c>
      <c r="G2531" t="str">
        <f>_xlfn.XLOOKUP(tblSales[[#This Row],[Category ID]],tblCategories[Category ID],tblCategories[Category])</f>
        <v>Kids</v>
      </c>
      <c r="H2531">
        <v>29853</v>
      </c>
      <c r="I2531">
        <v>32100</v>
      </c>
      <c r="J2531">
        <v>107</v>
      </c>
      <c r="K2531">
        <f>tblSales[[#This Row],[Sales]]-tblSales[[#This Row],[Budget]]</f>
        <v>-2247</v>
      </c>
      <c r="L2531" s="3">
        <f>(tblSales[[#This Row],[Sales]]-tblSales[[#This Row],[Budget]])/tblSales[[#This Row],[Budget]]</f>
        <v>-7.0000000000000007E-2</v>
      </c>
      <c r="M2531" s="2">
        <f>tblSales[[#This Row],[Sales]]/tblSales[[#This Row],[Transactions]]</f>
        <v>279</v>
      </c>
    </row>
    <row r="2532" spans="1:13" x14ac:dyDescent="0.25">
      <c r="A2532" s="1">
        <v>46149</v>
      </c>
      <c r="B2532" t="s">
        <v>20</v>
      </c>
      <c r="C2532" t="s">
        <v>19</v>
      </c>
      <c r="D2532" t="str">
        <f>_xlfn.XLOOKUP(tblSales[[#This Row],[Store ID]],tblStores[Store ID],tblStores[Store Name])</f>
        <v>Cape Town CBD</v>
      </c>
      <c r="E2532" t="str">
        <f>_xlfn.XLOOKUP(tblSales[[#This Row],[Store ID]],tblStores[Store ID],tblStores[Province])</f>
        <v>Western Cape</v>
      </c>
      <c r="F2532" t="str">
        <f>_xlfn.XLOOKUP(tblSales[[#This Row],[Store ID]],tblStores[Store ID],tblStores[Manager])</f>
        <v>Brian Hall</v>
      </c>
      <c r="G2532" t="str">
        <f>_xlfn.XLOOKUP(tblSales[[#This Row],[Category ID]],tblCategories[Category ID],tblCategories[Category])</f>
        <v>Accessories</v>
      </c>
      <c r="H2532">
        <v>30915</v>
      </c>
      <c r="I2532">
        <v>28835</v>
      </c>
      <c r="J2532">
        <v>135</v>
      </c>
      <c r="K2532">
        <f>tblSales[[#This Row],[Sales]]-tblSales[[#This Row],[Budget]]</f>
        <v>2080</v>
      </c>
      <c r="L2532" s="3">
        <f>(tblSales[[#This Row],[Sales]]-tblSales[[#This Row],[Budget]])/tblSales[[#This Row],[Budget]]</f>
        <v>7.2134558696029125E-2</v>
      </c>
      <c r="M2532" s="2">
        <f>tblSales[[#This Row],[Sales]]/tblSales[[#This Row],[Transactions]]</f>
        <v>229</v>
      </c>
    </row>
    <row r="2533" spans="1:13" x14ac:dyDescent="0.25">
      <c r="A2533" s="1">
        <v>46149</v>
      </c>
      <c r="B2533" t="s">
        <v>21</v>
      </c>
      <c r="C2533" t="s">
        <v>19</v>
      </c>
      <c r="D2533" t="str">
        <f>_xlfn.XLOOKUP(tblSales[[#This Row],[Store ID]],tblStores[Store ID],tblStores[Store Name])</f>
        <v>Canal Walk</v>
      </c>
      <c r="E2533" t="str">
        <f>_xlfn.XLOOKUP(tblSales[[#This Row],[Store ID]],tblStores[Store ID],tblStores[Province])</f>
        <v>Western Cape</v>
      </c>
      <c r="F2533" t="str">
        <f>_xlfn.XLOOKUP(tblSales[[#This Row],[Store ID]],tblStores[Store ID],tblStores[Manager])</f>
        <v>Megan Scott</v>
      </c>
      <c r="G2533" t="str">
        <f>_xlfn.XLOOKUP(tblSales[[#This Row],[Category ID]],tblCategories[Category ID],tblCategories[Category])</f>
        <v>Accessories</v>
      </c>
      <c r="H2533">
        <v>16080</v>
      </c>
      <c r="I2533">
        <v>16311</v>
      </c>
      <c r="J2533">
        <v>48</v>
      </c>
      <c r="K2533">
        <f>tblSales[[#This Row],[Sales]]-tblSales[[#This Row],[Budget]]</f>
        <v>-231</v>
      </c>
      <c r="L2533" s="3">
        <f>(tblSales[[#This Row],[Sales]]-tblSales[[#This Row],[Budget]])/tblSales[[#This Row],[Budget]]</f>
        <v>-1.4162221813500093E-2</v>
      </c>
      <c r="M2533" s="2">
        <f>tblSales[[#This Row],[Sales]]/tblSales[[#This Row],[Transactions]]</f>
        <v>335</v>
      </c>
    </row>
    <row r="2534" spans="1:13" x14ac:dyDescent="0.25">
      <c r="A2534" s="1">
        <v>46149</v>
      </c>
      <c r="B2534" t="s">
        <v>23</v>
      </c>
      <c r="C2534" t="s">
        <v>9</v>
      </c>
      <c r="D2534" t="str">
        <f>_xlfn.XLOOKUP(tblSales[[#This Row],[Store ID]],tblStores[Store ID],tblStores[Store Name])</f>
        <v>Stellenbosch</v>
      </c>
      <c r="E2534" t="str">
        <f>_xlfn.XLOOKUP(tblSales[[#This Row],[Store ID]],tblStores[Store ID],tblStores[Province])</f>
        <v>Western Cape</v>
      </c>
      <c r="F2534" t="str">
        <f>_xlfn.XLOOKUP(tblSales[[#This Row],[Store ID]],tblStores[Store ID],tblStores[Manager])</f>
        <v>Jason King</v>
      </c>
      <c r="G2534" t="str">
        <f>_xlfn.XLOOKUP(tblSales[[#This Row],[Category ID]],tblCategories[Category ID],tblCategories[Category])</f>
        <v>Ladieswear</v>
      </c>
      <c r="H2534">
        <v>45500</v>
      </c>
      <c r="I2534">
        <v>45976</v>
      </c>
      <c r="J2534">
        <v>182</v>
      </c>
      <c r="K2534">
        <f>tblSales[[#This Row],[Sales]]-tblSales[[#This Row],[Budget]]</f>
        <v>-476</v>
      </c>
      <c r="L2534" s="3">
        <f>(tblSales[[#This Row],[Sales]]-tblSales[[#This Row],[Budget]])/tblSales[[#This Row],[Budget]]</f>
        <v>-1.0353227771010963E-2</v>
      </c>
      <c r="M2534" s="2">
        <f>tblSales[[#This Row],[Sales]]/tblSales[[#This Row],[Transactions]]</f>
        <v>250</v>
      </c>
    </row>
    <row r="2535" spans="1:13" x14ac:dyDescent="0.25">
      <c r="A2535" s="1">
        <v>46149</v>
      </c>
      <c r="B2535" t="s">
        <v>24</v>
      </c>
      <c r="C2535" t="s">
        <v>11</v>
      </c>
      <c r="D2535" t="str">
        <f>_xlfn.XLOOKUP(tblSales[[#This Row],[Store ID]],tblStores[Store ID],tblStores[Store Name])</f>
        <v>George</v>
      </c>
      <c r="E2535" t="str">
        <f>_xlfn.XLOOKUP(tblSales[[#This Row],[Store ID]],tblStores[Store ID],tblStores[Province])</f>
        <v>Western Cape</v>
      </c>
      <c r="F2535" t="str">
        <f>_xlfn.XLOOKUP(tblSales[[#This Row],[Store ID]],tblStores[Store ID],tblStores[Manager])</f>
        <v>Chloe Hill</v>
      </c>
      <c r="G2535" t="str">
        <f>_xlfn.XLOOKUP(tblSales[[#This Row],[Category ID]],tblCategories[Category ID],tblCategories[Category])</f>
        <v>Footwear</v>
      </c>
      <c r="H2535">
        <v>27686</v>
      </c>
      <c r="I2535">
        <v>26369</v>
      </c>
      <c r="J2535">
        <v>109</v>
      </c>
      <c r="K2535">
        <f>tblSales[[#This Row],[Sales]]-tblSales[[#This Row],[Budget]]</f>
        <v>1317</v>
      </c>
      <c r="L2535" s="3">
        <f>(tblSales[[#This Row],[Sales]]-tblSales[[#This Row],[Budget]])/tblSales[[#This Row],[Budget]]</f>
        <v>4.9945011187379117E-2</v>
      </c>
      <c r="M2535" s="2">
        <f>tblSales[[#This Row],[Sales]]/tblSales[[#This Row],[Transactions]]</f>
        <v>254</v>
      </c>
    </row>
    <row r="2536" spans="1:13" x14ac:dyDescent="0.25">
      <c r="A2536" s="1">
        <v>46149</v>
      </c>
      <c r="B2536" t="s">
        <v>25</v>
      </c>
      <c r="C2536" t="s">
        <v>9</v>
      </c>
      <c r="D2536" t="str">
        <f>_xlfn.XLOOKUP(tblSales[[#This Row],[Store ID]],tblStores[Store ID],tblStores[Store Name])</f>
        <v>Paarl</v>
      </c>
      <c r="E2536" t="str">
        <f>_xlfn.XLOOKUP(tblSales[[#This Row],[Store ID]],tblStores[Store ID],tblStores[Province])</f>
        <v>Western Cape</v>
      </c>
      <c r="F2536" t="str">
        <f>_xlfn.XLOOKUP(tblSales[[#This Row],[Store ID]],tblStores[Store ID],tblStores[Manager])</f>
        <v>Andrew Lee</v>
      </c>
      <c r="G2536" t="str">
        <f>_xlfn.XLOOKUP(tblSales[[#This Row],[Category ID]],tblCategories[Category ID],tblCategories[Category])</f>
        <v>Ladieswear</v>
      </c>
      <c r="H2536">
        <v>36984</v>
      </c>
      <c r="I2536">
        <v>36634</v>
      </c>
      <c r="J2536">
        <v>201</v>
      </c>
      <c r="K2536">
        <f>tblSales[[#This Row],[Sales]]-tblSales[[#This Row],[Budget]]</f>
        <v>350</v>
      </c>
      <c r="L2536" s="3">
        <f>(tblSales[[#This Row],[Sales]]-tblSales[[#This Row],[Budget]])/tblSales[[#This Row],[Budget]]</f>
        <v>9.5539662608505761E-3</v>
      </c>
      <c r="M2536" s="2">
        <f>tblSales[[#This Row],[Sales]]/tblSales[[#This Row],[Transactions]]</f>
        <v>184</v>
      </c>
    </row>
    <row r="2537" spans="1:13" x14ac:dyDescent="0.25">
      <c r="A2537" s="1">
        <v>46149</v>
      </c>
      <c r="B2537" t="s">
        <v>26</v>
      </c>
      <c r="C2537" t="s">
        <v>19</v>
      </c>
      <c r="D2537" t="str">
        <f>_xlfn.XLOOKUP(tblSales[[#This Row],[Store ID]],tblStores[Store ID],tblStores[Store Name])</f>
        <v>Gqeberha</v>
      </c>
      <c r="E2537" t="str">
        <f>_xlfn.XLOOKUP(tblSales[[#This Row],[Store ID]],tblStores[Store ID],tblStores[Province])</f>
        <v>Eastern Cape</v>
      </c>
      <c r="F2537" t="str">
        <f>_xlfn.XLOOKUP(tblSales[[#This Row],[Store ID]],tblStores[Store ID],tblStores[Manager])</f>
        <v>Emma Baker</v>
      </c>
      <c r="G2537" t="str">
        <f>_xlfn.XLOOKUP(tblSales[[#This Row],[Category ID]],tblCategories[Category ID],tblCategories[Category])</f>
        <v>Accessories</v>
      </c>
      <c r="H2537">
        <v>15555</v>
      </c>
      <c r="I2537">
        <v>15463</v>
      </c>
      <c r="J2537">
        <v>61</v>
      </c>
      <c r="K2537">
        <f>tblSales[[#This Row],[Sales]]-tblSales[[#This Row],[Budget]]</f>
        <v>92</v>
      </c>
      <c r="L2537" s="3">
        <f>(tblSales[[#This Row],[Sales]]-tblSales[[#This Row],[Budget]])/tblSales[[#This Row],[Budget]]</f>
        <v>5.9496863480566512E-3</v>
      </c>
      <c r="M2537" s="2">
        <f>tblSales[[#This Row],[Sales]]/tblSales[[#This Row],[Transactions]]</f>
        <v>255</v>
      </c>
    </row>
    <row r="2538" spans="1:13" x14ac:dyDescent="0.25">
      <c r="A2538" s="1">
        <v>46149</v>
      </c>
      <c r="B2538" t="s">
        <v>27</v>
      </c>
      <c r="C2538" t="s">
        <v>11</v>
      </c>
      <c r="D2538" t="str">
        <f>_xlfn.XLOOKUP(tblSales[[#This Row],[Store ID]],tblStores[Store ID],tblStores[Store Name])</f>
        <v>East London</v>
      </c>
      <c r="E2538" t="str">
        <f>_xlfn.XLOOKUP(tblSales[[#This Row],[Store ID]],tblStores[Store ID],tblStores[Province])</f>
        <v>Eastern Cape</v>
      </c>
      <c r="F2538" t="str">
        <f>_xlfn.XLOOKUP(tblSales[[#This Row],[Store ID]],tblStores[Store ID],tblStores[Manager])</f>
        <v>Daniel Evans</v>
      </c>
      <c r="G2538" t="str">
        <f>_xlfn.XLOOKUP(tblSales[[#This Row],[Category ID]],tblCategories[Category ID],tblCategories[Category])</f>
        <v>Footwear</v>
      </c>
      <c r="H2538">
        <v>55328</v>
      </c>
      <c r="I2538">
        <v>62603</v>
      </c>
      <c r="J2538">
        <v>208</v>
      </c>
      <c r="K2538">
        <f>tblSales[[#This Row],[Sales]]-tblSales[[#This Row],[Budget]]</f>
        <v>-7275</v>
      </c>
      <c r="L2538" s="3">
        <f>(tblSales[[#This Row],[Sales]]-tblSales[[#This Row],[Budget]])/tblSales[[#This Row],[Budget]]</f>
        <v>-0.11620848841109852</v>
      </c>
      <c r="M2538" s="2">
        <f>tblSales[[#This Row],[Sales]]/tblSales[[#This Row],[Transactions]]</f>
        <v>266</v>
      </c>
    </row>
    <row r="2539" spans="1:13" x14ac:dyDescent="0.25">
      <c r="A2539" s="1">
        <v>46149</v>
      </c>
      <c r="B2539" t="s">
        <v>28</v>
      </c>
      <c r="C2539" t="s">
        <v>7</v>
      </c>
      <c r="D2539" t="str">
        <f>_xlfn.XLOOKUP(tblSales[[#This Row],[Store ID]],tblStores[Store ID],tblStores[Store Name])</f>
        <v>Bloemfontein</v>
      </c>
      <c r="E2539" t="str">
        <f>_xlfn.XLOOKUP(tblSales[[#This Row],[Store ID]],tblStores[Store ID],tblStores[Province])</f>
        <v>Free State</v>
      </c>
      <c r="F2539" t="str">
        <f>_xlfn.XLOOKUP(tblSales[[#This Row],[Store ID]],tblStores[Store ID],tblStores[Manager])</f>
        <v>Rachel Moore</v>
      </c>
      <c r="G2539" t="str">
        <f>_xlfn.XLOOKUP(tblSales[[#This Row],[Category ID]],tblCategories[Category ID],tblCategories[Category])</f>
        <v>Menswear</v>
      </c>
      <c r="H2539">
        <v>53172</v>
      </c>
      <c r="I2539">
        <v>50242</v>
      </c>
      <c r="J2539">
        <v>126</v>
      </c>
      <c r="K2539">
        <f>tblSales[[#This Row],[Sales]]-tblSales[[#This Row],[Budget]]</f>
        <v>2930</v>
      </c>
      <c r="L2539" s="3">
        <f>(tblSales[[#This Row],[Sales]]-tblSales[[#This Row],[Budget]])/tblSales[[#This Row],[Budget]]</f>
        <v>5.8317742128099995E-2</v>
      </c>
      <c r="M2539" s="2">
        <f>tblSales[[#This Row],[Sales]]/tblSales[[#This Row],[Transactions]]</f>
        <v>422</v>
      </c>
    </row>
    <row r="2540" spans="1:13" x14ac:dyDescent="0.25">
      <c r="A2540" s="1">
        <v>46149</v>
      </c>
      <c r="B2540" t="s">
        <v>29</v>
      </c>
      <c r="C2540" t="s">
        <v>7</v>
      </c>
      <c r="D2540" t="str">
        <f>_xlfn.XLOOKUP(tblSales[[#This Row],[Store ID]],tblStores[Store ID],tblStores[Store Name])</f>
        <v>Polokwane</v>
      </c>
      <c r="E2540" t="str">
        <f>_xlfn.XLOOKUP(tblSales[[#This Row],[Store ID]],tblStores[Store ID],tblStores[Province])</f>
        <v>Limpopo</v>
      </c>
      <c r="F2540" t="str">
        <f>_xlfn.XLOOKUP(tblSales[[#This Row],[Store ID]],tblStores[Store ID],tblStores[Manager])</f>
        <v>Kevin Harris</v>
      </c>
      <c r="G2540" t="str">
        <f>_xlfn.XLOOKUP(tblSales[[#This Row],[Category ID]],tblCategories[Category ID],tblCategories[Category])</f>
        <v>Menswear</v>
      </c>
      <c r="H2540">
        <v>28795</v>
      </c>
      <c r="I2540">
        <v>30595</v>
      </c>
      <c r="J2540">
        <v>65</v>
      </c>
      <c r="K2540">
        <f>tblSales[[#This Row],[Sales]]-tblSales[[#This Row],[Budget]]</f>
        <v>-1800</v>
      </c>
      <c r="L2540" s="3">
        <f>(tblSales[[#This Row],[Sales]]-tblSales[[#This Row],[Budget]])/tblSales[[#This Row],[Budget]]</f>
        <v>-5.8833142670370979E-2</v>
      </c>
      <c r="M2540" s="2">
        <f>tblSales[[#This Row],[Sales]]/tblSales[[#This Row],[Transactions]]</f>
        <v>443</v>
      </c>
    </row>
    <row r="2541" spans="1:13" x14ac:dyDescent="0.25">
      <c r="A2541" s="1">
        <v>46149</v>
      </c>
      <c r="B2541" t="s">
        <v>30</v>
      </c>
      <c r="C2541" t="s">
        <v>19</v>
      </c>
      <c r="D2541" t="str">
        <f>_xlfn.XLOOKUP(tblSales[[#This Row],[Store ID]],tblStores[Store ID],tblStores[Store Name])</f>
        <v>Nelspruit</v>
      </c>
      <c r="E2541" t="str">
        <f>_xlfn.XLOOKUP(tblSales[[#This Row],[Store ID]],tblStores[Store ID],tblStores[Province])</f>
        <v>Mpumalanga</v>
      </c>
      <c r="F2541" t="str">
        <f>_xlfn.XLOOKUP(tblSales[[#This Row],[Store ID]],tblStores[Store ID],tblStores[Manager])</f>
        <v>Olivia Turner</v>
      </c>
      <c r="G2541" t="str">
        <f>_xlfn.XLOOKUP(tblSales[[#This Row],[Category ID]],tblCategories[Category ID],tblCategories[Category])</f>
        <v>Accessories</v>
      </c>
      <c r="H2541">
        <v>37376</v>
      </c>
      <c r="I2541">
        <v>39496</v>
      </c>
      <c r="J2541">
        <v>146</v>
      </c>
      <c r="K2541">
        <f>tblSales[[#This Row],[Sales]]-tblSales[[#This Row],[Budget]]</f>
        <v>-2120</v>
      </c>
      <c r="L2541" s="3">
        <f>(tblSales[[#This Row],[Sales]]-tblSales[[#This Row],[Budget]])/tblSales[[#This Row],[Budget]]</f>
        <v>-5.3676321652825605E-2</v>
      </c>
      <c r="M2541" s="2">
        <f>tblSales[[#This Row],[Sales]]/tblSales[[#This Row],[Transactions]]</f>
        <v>256</v>
      </c>
    </row>
    <row r="2542" spans="1:13" x14ac:dyDescent="0.25">
      <c r="A2542" s="1">
        <v>46150</v>
      </c>
      <c r="B2542" t="s">
        <v>6</v>
      </c>
      <c r="C2542" t="s">
        <v>11</v>
      </c>
      <c r="D2542" t="str">
        <f>_xlfn.XLOOKUP(tblSales[[#This Row],[Store ID]],tblStores[Store ID],tblStores[Store Name])</f>
        <v>Durban CBD</v>
      </c>
      <c r="E2542" t="str">
        <f>_xlfn.XLOOKUP(tblSales[[#This Row],[Store ID]],tblStores[Store ID],tblStores[Province])</f>
        <v>KZN</v>
      </c>
      <c r="F2542" t="str">
        <f>_xlfn.XLOOKUP(tblSales[[#This Row],[Store ID]],tblStores[Store ID],tblStores[Manager])</f>
        <v>Sarah Adams</v>
      </c>
      <c r="G2542" t="str">
        <f>_xlfn.XLOOKUP(tblSales[[#This Row],[Category ID]],tblCategories[Category ID],tblCategories[Category])</f>
        <v>Footwear</v>
      </c>
      <c r="H2542">
        <v>19109</v>
      </c>
      <c r="I2542">
        <v>17765</v>
      </c>
      <c r="J2542">
        <v>97</v>
      </c>
      <c r="K2542">
        <f>tblSales[[#This Row],[Sales]]-tblSales[[#This Row],[Budget]]</f>
        <v>1344</v>
      </c>
      <c r="L2542" s="3">
        <f>(tblSales[[#This Row],[Sales]]-tblSales[[#This Row],[Budget]])/tblSales[[#This Row],[Budget]]</f>
        <v>7.5654376583169147E-2</v>
      </c>
      <c r="M2542" s="2">
        <f>tblSales[[#This Row],[Sales]]/tblSales[[#This Row],[Transactions]]</f>
        <v>197</v>
      </c>
    </row>
    <row r="2543" spans="1:13" x14ac:dyDescent="0.25">
      <c r="A2543" s="1">
        <v>46150</v>
      </c>
      <c r="B2543" t="s">
        <v>8</v>
      </c>
      <c r="C2543" t="s">
        <v>11</v>
      </c>
      <c r="D2543" t="str">
        <f>_xlfn.XLOOKUP(tblSales[[#This Row],[Store ID]],tblStores[Store ID],tblStores[Store Name])</f>
        <v>Gateway</v>
      </c>
      <c r="E2543" t="str">
        <f>_xlfn.XLOOKUP(tblSales[[#This Row],[Store ID]],tblStores[Store ID],tblStores[Province])</f>
        <v>KZN</v>
      </c>
      <c r="F2543" t="str">
        <f>_xlfn.XLOOKUP(tblSales[[#This Row],[Store ID]],tblStores[Store ID],tblStores[Manager])</f>
        <v>Michael Jones</v>
      </c>
      <c r="G2543" t="str">
        <f>_xlfn.XLOOKUP(tblSales[[#This Row],[Category ID]],tblCategories[Category ID],tblCategories[Category])</f>
        <v>Footwear</v>
      </c>
      <c r="H2543">
        <v>53440</v>
      </c>
      <c r="I2543">
        <v>57287</v>
      </c>
      <c r="J2543">
        <v>160</v>
      </c>
      <c r="K2543">
        <f>tblSales[[#This Row],[Sales]]-tblSales[[#This Row],[Budget]]</f>
        <v>-3847</v>
      </c>
      <c r="L2543" s="3">
        <f>(tblSales[[#This Row],[Sales]]-tblSales[[#This Row],[Budget]])/tblSales[[#This Row],[Budget]]</f>
        <v>-6.715310628938502E-2</v>
      </c>
      <c r="M2543" s="2">
        <f>tblSales[[#This Row],[Sales]]/tblSales[[#This Row],[Transactions]]</f>
        <v>334</v>
      </c>
    </row>
    <row r="2544" spans="1:13" x14ac:dyDescent="0.25">
      <c r="A2544" s="1">
        <v>46150</v>
      </c>
      <c r="B2544" t="s">
        <v>10</v>
      </c>
      <c r="C2544" t="s">
        <v>9</v>
      </c>
      <c r="D2544" t="str">
        <f>_xlfn.XLOOKUP(tblSales[[#This Row],[Store ID]],tblStores[Store ID],tblStores[Store Name])</f>
        <v>Ballito</v>
      </c>
      <c r="E2544" t="str">
        <f>_xlfn.XLOOKUP(tblSales[[#This Row],[Store ID]],tblStores[Store ID],tblStores[Province])</f>
        <v>KZN</v>
      </c>
      <c r="F2544" t="str">
        <f>_xlfn.XLOOKUP(tblSales[[#This Row],[Store ID]],tblStores[Store ID],tblStores[Manager])</f>
        <v>Linda Smith</v>
      </c>
      <c r="G2544" t="str">
        <f>_xlfn.XLOOKUP(tblSales[[#This Row],[Category ID]],tblCategories[Category ID],tblCategories[Category])</f>
        <v>Ladieswear</v>
      </c>
      <c r="H2544">
        <v>75144</v>
      </c>
      <c r="I2544">
        <v>82204</v>
      </c>
      <c r="J2544">
        <v>202</v>
      </c>
      <c r="K2544">
        <f>tblSales[[#This Row],[Sales]]-tblSales[[#This Row],[Budget]]</f>
        <v>-7060</v>
      </c>
      <c r="L2544" s="3">
        <f>(tblSales[[#This Row],[Sales]]-tblSales[[#This Row],[Budget]])/tblSales[[#This Row],[Budget]]</f>
        <v>-8.5883898593742403E-2</v>
      </c>
      <c r="M2544" s="2">
        <f>tblSales[[#This Row],[Sales]]/tblSales[[#This Row],[Transactions]]</f>
        <v>372</v>
      </c>
    </row>
    <row r="2545" spans="1:13" x14ac:dyDescent="0.25">
      <c r="A2545" s="1">
        <v>46150</v>
      </c>
      <c r="B2545" t="s">
        <v>12</v>
      </c>
      <c r="C2545" t="s">
        <v>7</v>
      </c>
      <c r="D2545" t="str">
        <f>_xlfn.XLOOKUP(tblSales[[#This Row],[Store ID]],tblStores[Store ID],tblStores[Store Name])</f>
        <v>Pietermaritzburg</v>
      </c>
      <c r="E2545" t="str">
        <f>_xlfn.XLOOKUP(tblSales[[#This Row],[Store ID]],tblStores[Store ID],tblStores[Province])</f>
        <v>KZN</v>
      </c>
      <c r="F2545" t="str">
        <f>_xlfn.XLOOKUP(tblSales[[#This Row],[Store ID]],tblStores[Store ID],tblStores[Manager])</f>
        <v>Peter Brown</v>
      </c>
      <c r="G2545" t="str">
        <f>_xlfn.XLOOKUP(tblSales[[#This Row],[Category ID]],tblCategories[Category ID],tblCategories[Category])</f>
        <v>Menswear</v>
      </c>
      <c r="H2545">
        <v>78336</v>
      </c>
      <c r="I2545">
        <v>77985</v>
      </c>
      <c r="J2545">
        <v>153</v>
      </c>
      <c r="K2545">
        <f>tblSales[[#This Row],[Sales]]-tblSales[[#This Row],[Budget]]</f>
        <v>351</v>
      </c>
      <c r="L2545" s="3">
        <f>(tblSales[[#This Row],[Sales]]-tblSales[[#This Row],[Budget]])/tblSales[[#This Row],[Budget]]</f>
        <v>4.5008655510675134E-3</v>
      </c>
      <c r="M2545" s="2">
        <f>tblSales[[#This Row],[Sales]]/tblSales[[#This Row],[Transactions]]</f>
        <v>512</v>
      </c>
    </row>
    <row r="2546" spans="1:13" x14ac:dyDescent="0.25">
      <c r="A2546" s="1">
        <v>46150</v>
      </c>
      <c r="B2546" t="s">
        <v>13</v>
      </c>
      <c r="C2546" t="s">
        <v>11</v>
      </c>
      <c r="D2546" t="str">
        <f>_xlfn.XLOOKUP(tblSales[[#This Row],[Store ID]],tblStores[Store ID],tblStores[Store Name])</f>
        <v>Richards Bay</v>
      </c>
      <c r="E2546" t="str">
        <f>_xlfn.XLOOKUP(tblSales[[#This Row],[Store ID]],tblStores[Store ID],tblStores[Province])</f>
        <v>KZN</v>
      </c>
      <c r="F2546" t="str">
        <f>_xlfn.XLOOKUP(tblSales[[#This Row],[Store ID]],tblStores[Store ID],tblStores[Manager])</f>
        <v>David Green</v>
      </c>
      <c r="G2546" t="str">
        <f>_xlfn.XLOOKUP(tblSales[[#This Row],[Category ID]],tblCategories[Category ID],tblCategories[Category])</f>
        <v>Footwear</v>
      </c>
      <c r="H2546">
        <v>23865</v>
      </c>
      <c r="I2546">
        <v>22194</v>
      </c>
      <c r="J2546">
        <v>129</v>
      </c>
      <c r="K2546">
        <f>tblSales[[#This Row],[Sales]]-tblSales[[#This Row],[Budget]]</f>
        <v>1671</v>
      </c>
      <c r="L2546" s="3">
        <f>(tblSales[[#This Row],[Sales]]-tblSales[[#This Row],[Budget]])/tblSales[[#This Row],[Budget]]</f>
        <v>7.5290619086239519E-2</v>
      </c>
      <c r="M2546" s="2">
        <f>tblSales[[#This Row],[Sales]]/tblSales[[#This Row],[Transactions]]</f>
        <v>185</v>
      </c>
    </row>
    <row r="2547" spans="1:13" x14ac:dyDescent="0.25">
      <c r="A2547" s="1">
        <v>46150</v>
      </c>
      <c r="B2547" t="s">
        <v>14</v>
      </c>
      <c r="C2547" t="s">
        <v>7</v>
      </c>
      <c r="D2547" t="str">
        <f>_xlfn.XLOOKUP(tblSales[[#This Row],[Store ID]],tblStores[Store ID],tblStores[Store Name])</f>
        <v>Sandton</v>
      </c>
      <c r="E2547" t="str">
        <f>_xlfn.XLOOKUP(tblSales[[#This Row],[Store ID]],tblStores[Store ID],tblStores[Province])</f>
        <v>Gauteng</v>
      </c>
      <c r="F2547" t="str">
        <f>_xlfn.XLOOKUP(tblSales[[#This Row],[Store ID]],tblStores[Store ID],tblStores[Manager])</f>
        <v>Karen White</v>
      </c>
      <c r="G2547" t="str">
        <f>_xlfn.XLOOKUP(tblSales[[#This Row],[Category ID]],tblCategories[Category ID],tblCategories[Category])</f>
        <v>Menswear</v>
      </c>
      <c r="H2547">
        <v>28380</v>
      </c>
      <c r="I2547">
        <v>30092</v>
      </c>
      <c r="J2547">
        <v>66</v>
      </c>
      <c r="K2547">
        <f>tblSales[[#This Row],[Sales]]-tblSales[[#This Row],[Budget]]</f>
        <v>-1712</v>
      </c>
      <c r="L2547" s="3">
        <f>(tblSales[[#This Row],[Sales]]-tblSales[[#This Row],[Budget]])/tblSales[[#This Row],[Budget]]</f>
        <v>-5.6892197261730691E-2</v>
      </c>
      <c r="M2547" s="2">
        <f>tblSales[[#This Row],[Sales]]/tblSales[[#This Row],[Transactions]]</f>
        <v>430</v>
      </c>
    </row>
    <row r="2548" spans="1:13" x14ac:dyDescent="0.25">
      <c r="A2548" s="1">
        <v>46150</v>
      </c>
      <c r="B2548" t="s">
        <v>15</v>
      </c>
      <c r="C2548" t="s">
        <v>19</v>
      </c>
      <c r="D2548" t="str">
        <f>_xlfn.XLOOKUP(tblSales[[#This Row],[Store ID]],tblStores[Store ID],tblStores[Store Name])</f>
        <v>Rosebank</v>
      </c>
      <c r="E2548" t="str">
        <f>_xlfn.XLOOKUP(tblSales[[#This Row],[Store ID]],tblStores[Store ID],tblStores[Province])</f>
        <v>Gauteng</v>
      </c>
      <c r="F2548" t="str">
        <f>_xlfn.XLOOKUP(tblSales[[#This Row],[Store ID]],tblStores[Store ID],tblStores[Manager])</f>
        <v>James Taylor</v>
      </c>
      <c r="G2548" t="str">
        <f>_xlfn.XLOOKUP(tblSales[[#This Row],[Category ID]],tblCategories[Category ID],tblCategories[Category])</f>
        <v>Accessories</v>
      </c>
      <c r="H2548">
        <v>17572</v>
      </c>
      <c r="I2548">
        <v>18392</v>
      </c>
      <c r="J2548">
        <v>92</v>
      </c>
      <c r="K2548">
        <f>tblSales[[#This Row],[Sales]]-tblSales[[#This Row],[Budget]]</f>
        <v>-820</v>
      </c>
      <c r="L2548" s="3">
        <f>(tblSales[[#This Row],[Sales]]-tblSales[[#This Row],[Budget]])/tblSales[[#This Row],[Budget]]</f>
        <v>-4.4584602000869944E-2</v>
      </c>
      <c r="M2548" s="2">
        <f>tblSales[[#This Row],[Sales]]/tblSales[[#This Row],[Transactions]]</f>
        <v>191</v>
      </c>
    </row>
    <row r="2549" spans="1:13" x14ac:dyDescent="0.25">
      <c r="A2549" s="1">
        <v>46150</v>
      </c>
      <c r="B2549" t="s">
        <v>16</v>
      </c>
      <c r="C2549" t="s">
        <v>19</v>
      </c>
      <c r="D2549" t="str">
        <f>_xlfn.XLOOKUP(tblSales[[#This Row],[Store ID]],tblStores[Store ID],tblStores[Store Name])</f>
        <v>Pretoria</v>
      </c>
      <c r="E2549" t="str">
        <f>_xlfn.XLOOKUP(tblSales[[#This Row],[Store ID]],tblStores[Store ID],tblStores[Province])</f>
        <v>Gauteng</v>
      </c>
      <c r="F2549" t="str">
        <f>_xlfn.XLOOKUP(tblSales[[#This Row],[Store ID]],tblStores[Store ID],tblStores[Manager])</f>
        <v>Susan Clark</v>
      </c>
      <c r="G2549" t="str">
        <f>_xlfn.XLOOKUP(tblSales[[#This Row],[Category ID]],tblCategories[Category ID],tblCategories[Category])</f>
        <v>Accessories</v>
      </c>
      <c r="H2549">
        <v>50240</v>
      </c>
      <c r="I2549">
        <v>53929</v>
      </c>
      <c r="J2549">
        <v>157</v>
      </c>
      <c r="K2549">
        <f>tblSales[[#This Row],[Sales]]-tblSales[[#This Row],[Budget]]</f>
        <v>-3689</v>
      </c>
      <c r="L2549" s="3">
        <f>(tblSales[[#This Row],[Sales]]-tblSales[[#This Row],[Budget]])/tblSales[[#This Row],[Budget]]</f>
        <v>-6.8404754399302783E-2</v>
      </c>
      <c r="M2549" s="2">
        <f>tblSales[[#This Row],[Sales]]/tblSales[[#This Row],[Transactions]]</f>
        <v>320</v>
      </c>
    </row>
    <row r="2550" spans="1:13" x14ac:dyDescent="0.25">
      <c r="A2550" s="1">
        <v>46150</v>
      </c>
      <c r="B2550" t="s">
        <v>17</v>
      </c>
      <c r="C2550" t="s">
        <v>7</v>
      </c>
      <c r="D2550" t="str">
        <f>_xlfn.XLOOKUP(tblSales[[#This Row],[Store ID]],tblStores[Store ID],tblStores[Store Name])</f>
        <v>Centurion</v>
      </c>
      <c r="E2550" t="str">
        <f>_xlfn.XLOOKUP(tblSales[[#This Row],[Store ID]],tblStores[Store ID],tblStores[Province])</f>
        <v>Gauteng</v>
      </c>
      <c r="F2550" t="str">
        <f>_xlfn.XLOOKUP(tblSales[[#This Row],[Store ID]],tblStores[Store ID],tblStores[Manager])</f>
        <v>Mark Wilson</v>
      </c>
      <c r="G2550" t="str">
        <f>_xlfn.XLOOKUP(tblSales[[#This Row],[Category ID]],tblCategories[Category ID],tblCategories[Category])</f>
        <v>Menswear</v>
      </c>
      <c r="H2550">
        <v>50592</v>
      </c>
      <c r="I2550">
        <v>50389</v>
      </c>
      <c r="J2550">
        <v>186</v>
      </c>
      <c r="K2550">
        <f>tblSales[[#This Row],[Sales]]-tblSales[[#This Row],[Budget]]</f>
        <v>203</v>
      </c>
      <c r="L2550" s="3">
        <f>(tblSales[[#This Row],[Sales]]-tblSales[[#This Row],[Budget]])/tblSales[[#This Row],[Budget]]</f>
        <v>4.0286570481652744E-3</v>
      </c>
      <c r="M2550" s="2">
        <f>tblSales[[#This Row],[Sales]]/tblSales[[#This Row],[Transactions]]</f>
        <v>272</v>
      </c>
    </row>
    <row r="2551" spans="1:13" x14ac:dyDescent="0.25">
      <c r="A2551" s="1">
        <v>46150</v>
      </c>
      <c r="B2551" t="s">
        <v>18</v>
      </c>
      <c r="C2551" t="s">
        <v>11</v>
      </c>
      <c r="D2551" t="str">
        <f>_xlfn.XLOOKUP(tblSales[[#This Row],[Store ID]],tblStores[Store ID],tblStores[Store Name])</f>
        <v>East Rand</v>
      </c>
      <c r="E2551" t="str">
        <f>_xlfn.XLOOKUP(tblSales[[#This Row],[Store ID]],tblStores[Store ID],tblStores[Province])</f>
        <v>Gauteng</v>
      </c>
      <c r="F2551" t="str">
        <f>_xlfn.XLOOKUP(tblSales[[#This Row],[Store ID]],tblStores[Store ID],tblStores[Manager])</f>
        <v>Lisa Young</v>
      </c>
      <c r="G2551" t="str">
        <f>_xlfn.XLOOKUP(tblSales[[#This Row],[Category ID]],tblCategories[Category ID],tblCategories[Category])</f>
        <v>Footwear</v>
      </c>
      <c r="H2551">
        <v>52392</v>
      </c>
      <c r="I2551">
        <v>48793</v>
      </c>
      <c r="J2551">
        <v>111</v>
      </c>
      <c r="K2551">
        <f>tblSales[[#This Row],[Sales]]-tblSales[[#This Row],[Budget]]</f>
        <v>3599</v>
      </c>
      <c r="L2551" s="3">
        <f>(tblSales[[#This Row],[Sales]]-tblSales[[#This Row],[Budget]])/tblSales[[#This Row],[Budget]]</f>
        <v>7.3760580411124543E-2</v>
      </c>
      <c r="M2551" s="2">
        <f>tblSales[[#This Row],[Sales]]/tblSales[[#This Row],[Transactions]]</f>
        <v>472</v>
      </c>
    </row>
    <row r="2552" spans="1:13" x14ac:dyDescent="0.25">
      <c r="A2552" s="1">
        <v>46150</v>
      </c>
      <c r="B2552" t="s">
        <v>20</v>
      </c>
      <c r="C2552" t="s">
        <v>22</v>
      </c>
      <c r="D2552" t="str">
        <f>_xlfn.XLOOKUP(tblSales[[#This Row],[Store ID]],tblStores[Store ID],tblStores[Store Name])</f>
        <v>Cape Town CBD</v>
      </c>
      <c r="E2552" t="str">
        <f>_xlfn.XLOOKUP(tblSales[[#This Row],[Store ID]],tblStores[Store ID],tblStores[Province])</f>
        <v>Western Cape</v>
      </c>
      <c r="F2552" t="str">
        <f>_xlfn.XLOOKUP(tblSales[[#This Row],[Store ID]],tblStores[Store ID],tblStores[Manager])</f>
        <v>Brian Hall</v>
      </c>
      <c r="G2552" t="str">
        <f>_xlfn.XLOOKUP(tblSales[[#This Row],[Category ID]],tblCategories[Category ID],tblCategories[Category])</f>
        <v>Kids</v>
      </c>
      <c r="H2552">
        <v>23205</v>
      </c>
      <c r="I2552">
        <v>21957</v>
      </c>
      <c r="J2552">
        <v>51</v>
      </c>
      <c r="K2552">
        <f>tblSales[[#This Row],[Sales]]-tblSales[[#This Row],[Budget]]</f>
        <v>1248</v>
      </c>
      <c r="L2552" s="3">
        <f>(tblSales[[#This Row],[Sales]]-tblSales[[#This Row],[Budget]])/tblSales[[#This Row],[Budget]]</f>
        <v>5.6838365896980464E-2</v>
      </c>
      <c r="M2552" s="2">
        <f>tblSales[[#This Row],[Sales]]/tblSales[[#This Row],[Transactions]]</f>
        <v>455</v>
      </c>
    </row>
    <row r="2553" spans="1:13" x14ac:dyDescent="0.25">
      <c r="A2553" s="1">
        <v>46150</v>
      </c>
      <c r="B2553" t="s">
        <v>21</v>
      </c>
      <c r="C2553" t="s">
        <v>7</v>
      </c>
      <c r="D2553" t="str">
        <f>_xlfn.XLOOKUP(tblSales[[#This Row],[Store ID]],tblStores[Store ID],tblStores[Store Name])</f>
        <v>Canal Walk</v>
      </c>
      <c r="E2553" t="str">
        <f>_xlfn.XLOOKUP(tblSales[[#This Row],[Store ID]],tblStores[Store ID],tblStores[Province])</f>
        <v>Western Cape</v>
      </c>
      <c r="F2553" t="str">
        <f>_xlfn.XLOOKUP(tblSales[[#This Row],[Store ID]],tblStores[Store ID],tblStores[Manager])</f>
        <v>Megan Scott</v>
      </c>
      <c r="G2553" t="str">
        <f>_xlfn.XLOOKUP(tblSales[[#This Row],[Category ID]],tblCategories[Category ID],tblCategories[Category])</f>
        <v>Menswear</v>
      </c>
      <c r="H2553">
        <v>62640</v>
      </c>
      <c r="I2553">
        <v>69177</v>
      </c>
      <c r="J2553">
        <v>135</v>
      </c>
      <c r="K2553">
        <f>tblSales[[#This Row],[Sales]]-tblSales[[#This Row],[Budget]]</f>
        <v>-6537</v>
      </c>
      <c r="L2553" s="3">
        <f>(tblSales[[#This Row],[Sales]]-tblSales[[#This Row],[Budget]])/tblSales[[#This Row],[Budget]]</f>
        <v>-9.4496725790363847E-2</v>
      </c>
      <c r="M2553" s="2">
        <f>tblSales[[#This Row],[Sales]]/tblSales[[#This Row],[Transactions]]</f>
        <v>464</v>
      </c>
    </row>
    <row r="2554" spans="1:13" x14ac:dyDescent="0.25">
      <c r="A2554" s="1">
        <v>46150</v>
      </c>
      <c r="B2554" t="s">
        <v>23</v>
      </c>
      <c r="C2554" t="s">
        <v>19</v>
      </c>
      <c r="D2554" t="str">
        <f>_xlfn.XLOOKUP(tblSales[[#This Row],[Store ID]],tblStores[Store ID],tblStores[Store Name])</f>
        <v>Stellenbosch</v>
      </c>
      <c r="E2554" t="str">
        <f>_xlfn.XLOOKUP(tblSales[[#This Row],[Store ID]],tblStores[Store ID],tblStores[Province])</f>
        <v>Western Cape</v>
      </c>
      <c r="F2554" t="str">
        <f>_xlfn.XLOOKUP(tblSales[[#This Row],[Store ID]],tblStores[Store ID],tblStores[Manager])</f>
        <v>Jason King</v>
      </c>
      <c r="G2554" t="str">
        <f>_xlfn.XLOOKUP(tblSales[[#This Row],[Category ID]],tblCategories[Category ID],tblCategories[Category])</f>
        <v>Accessories</v>
      </c>
      <c r="H2554">
        <v>33920</v>
      </c>
      <c r="I2554">
        <v>34928</v>
      </c>
      <c r="J2554">
        <v>160</v>
      </c>
      <c r="K2554">
        <f>tblSales[[#This Row],[Sales]]-tblSales[[#This Row],[Budget]]</f>
        <v>-1008</v>
      </c>
      <c r="L2554" s="3">
        <f>(tblSales[[#This Row],[Sales]]-tblSales[[#This Row],[Budget]])/tblSales[[#This Row],[Budget]]</f>
        <v>-2.8859367842418691E-2</v>
      </c>
      <c r="M2554" s="2">
        <f>tblSales[[#This Row],[Sales]]/tblSales[[#This Row],[Transactions]]</f>
        <v>212</v>
      </c>
    </row>
    <row r="2555" spans="1:13" x14ac:dyDescent="0.25">
      <c r="A2555" s="1">
        <v>46150</v>
      </c>
      <c r="B2555" t="s">
        <v>24</v>
      </c>
      <c r="C2555" t="s">
        <v>19</v>
      </c>
      <c r="D2555" t="str">
        <f>_xlfn.XLOOKUP(tblSales[[#This Row],[Store ID]],tblStores[Store ID],tblStores[Store Name])</f>
        <v>George</v>
      </c>
      <c r="E2555" t="str">
        <f>_xlfn.XLOOKUP(tblSales[[#This Row],[Store ID]],tblStores[Store ID],tblStores[Province])</f>
        <v>Western Cape</v>
      </c>
      <c r="F2555" t="str">
        <f>_xlfn.XLOOKUP(tblSales[[#This Row],[Store ID]],tblStores[Store ID],tblStores[Manager])</f>
        <v>Chloe Hill</v>
      </c>
      <c r="G2555" t="str">
        <f>_xlfn.XLOOKUP(tblSales[[#This Row],[Category ID]],tblCategories[Category ID],tblCategories[Category])</f>
        <v>Accessories</v>
      </c>
      <c r="H2555">
        <v>88236</v>
      </c>
      <c r="I2555">
        <v>82149</v>
      </c>
      <c r="J2555">
        <v>172</v>
      </c>
      <c r="K2555">
        <f>tblSales[[#This Row],[Sales]]-tblSales[[#This Row],[Budget]]</f>
        <v>6087</v>
      </c>
      <c r="L2555" s="3">
        <f>(tblSales[[#This Row],[Sales]]-tblSales[[#This Row],[Budget]])/tblSales[[#This Row],[Budget]]</f>
        <v>7.409706752364606E-2</v>
      </c>
      <c r="M2555" s="2">
        <f>tblSales[[#This Row],[Sales]]/tblSales[[#This Row],[Transactions]]</f>
        <v>513</v>
      </c>
    </row>
    <row r="2556" spans="1:13" x14ac:dyDescent="0.25">
      <c r="A2556" s="1">
        <v>46150</v>
      </c>
      <c r="B2556" t="s">
        <v>25</v>
      </c>
      <c r="C2556" t="s">
        <v>9</v>
      </c>
      <c r="D2556" t="str">
        <f>_xlfn.XLOOKUP(tblSales[[#This Row],[Store ID]],tblStores[Store ID],tblStores[Store Name])</f>
        <v>Paarl</v>
      </c>
      <c r="E2556" t="str">
        <f>_xlfn.XLOOKUP(tblSales[[#This Row],[Store ID]],tblStores[Store ID],tblStores[Province])</f>
        <v>Western Cape</v>
      </c>
      <c r="F2556" t="str">
        <f>_xlfn.XLOOKUP(tblSales[[#This Row],[Store ID]],tblStores[Store ID],tblStores[Manager])</f>
        <v>Andrew Lee</v>
      </c>
      <c r="G2556" t="str">
        <f>_xlfn.XLOOKUP(tblSales[[#This Row],[Category ID]],tblCategories[Category ID],tblCategories[Category])</f>
        <v>Ladieswear</v>
      </c>
      <c r="H2556">
        <v>48720</v>
      </c>
      <c r="I2556">
        <v>46048</v>
      </c>
      <c r="J2556">
        <v>203</v>
      </c>
      <c r="K2556">
        <f>tblSales[[#This Row],[Sales]]-tblSales[[#This Row],[Budget]]</f>
        <v>2672</v>
      </c>
      <c r="L2556" s="3">
        <f>(tblSales[[#This Row],[Sales]]-tblSales[[#This Row],[Budget]])/tblSales[[#This Row],[Budget]]</f>
        <v>5.8026407227241138E-2</v>
      </c>
      <c r="M2556" s="2">
        <f>tblSales[[#This Row],[Sales]]/tblSales[[#This Row],[Transactions]]</f>
        <v>240</v>
      </c>
    </row>
    <row r="2557" spans="1:13" x14ac:dyDescent="0.25">
      <c r="A2557" s="1">
        <v>46150</v>
      </c>
      <c r="B2557" t="s">
        <v>26</v>
      </c>
      <c r="C2557" t="s">
        <v>19</v>
      </c>
      <c r="D2557" t="str">
        <f>_xlfn.XLOOKUP(tblSales[[#This Row],[Store ID]],tblStores[Store ID],tblStores[Store Name])</f>
        <v>Gqeberha</v>
      </c>
      <c r="E2557" t="str">
        <f>_xlfn.XLOOKUP(tblSales[[#This Row],[Store ID]],tblStores[Store ID],tblStores[Province])</f>
        <v>Eastern Cape</v>
      </c>
      <c r="F2557" t="str">
        <f>_xlfn.XLOOKUP(tblSales[[#This Row],[Store ID]],tblStores[Store ID],tblStores[Manager])</f>
        <v>Emma Baker</v>
      </c>
      <c r="G2557" t="str">
        <f>_xlfn.XLOOKUP(tblSales[[#This Row],[Category ID]],tblCategories[Category ID],tblCategories[Category])</f>
        <v>Accessories</v>
      </c>
      <c r="H2557">
        <v>57664</v>
      </c>
      <c r="I2557">
        <v>51974</v>
      </c>
      <c r="J2557">
        <v>212</v>
      </c>
      <c r="K2557">
        <f>tblSales[[#This Row],[Sales]]-tblSales[[#This Row],[Budget]]</f>
        <v>5690</v>
      </c>
      <c r="L2557" s="3">
        <f>(tblSales[[#This Row],[Sales]]-tblSales[[#This Row],[Budget]])/tblSales[[#This Row],[Budget]]</f>
        <v>0.10947781583099242</v>
      </c>
      <c r="M2557" s="2">
        <f>tblSales[[#This Row],[Sales]]/tblSales[[#This Row],[Transactions]]</f>
        <v>272</v>
      </c>
    </row>
    <row r="2558" spans="1:13" x14ac:dyDescent="0.25">
      <c r="A2558" s="1">
        <v>46150</v>
      </c>
      <c r="B2558" t="s">
        <v>27</v>
      </c>
      <c r="C2558" t="s">
        <v>11</v>
      </c>
      <c r="D2558" t="str">
        <f>_xlfn.XLOOKUP(tblSales[[#This Row],[Store ID]],tblStores[Store ID],tblStores[Store Name])</f>
        <v>East London</v>
      </c>
      <c r="E2558" t="str">
        <f>_xlfn.XLOOKUP(tblSales[[#This Row],[Store ID]],tblStores[Store ID],tblStores[Province])</f>
        <v>Eastern Cape</v>
      </c>
      <c r="F2558" t="str">
        <f>_xlfn.XLOOKUP(tblSales[[#This Row],[Store ID]],tblStores[Store ID],tblStores[Manager])</f>
        <v>Daniel Evans</v>
      </c>
      <c r="G2558" t="str">
        <f>_xlfn.XLOOKUP(tblSales[[#This Row],[Category ID]],tblCategories[Category ID],tblCategories[Category])</f>
        <v>Footwear</v>
      </c>
      <c r="H2558">
        <v>27830</v>
      </c>
      <c r="I2558">
        <v>25319</v>
      </c>
      <c r="J2558">
        <v>115</v>
      </c>
      <c r="K2558">
        <f>tblSales[[#This Row],[Sales]]-tblSales[[#This Row],[Budget]]</f>
        <v>2511</v>
      </c>
      <c r="L2558" s="3">
        <f>(tblSales[[#This Row],[Sales]]-tblSales[[#This Row],[Budget]])/tblSales[[#This Row],[Budget]]</f>
        <v>9.9174532959437581E-2</v>
      </c>
      <c r="M2558" s="2">
        <f>tblSales[[#This Row],[Sales]]/tblSales[[#This Row],[Transactions]]</f>
        <v>242</v>
      </c>
    </row>
    <row r="2559" spans="1:13" x14ac:dyDescent="0.25">
      <c r="A2559" s="1">
        <v>46150</v>
      </c>
      <c r="B2559" t="s">
        <v>28</v>
      </c>
      <c r="C2559" t="s">
        <v>19</v>
      </c>
      <c r="D2559" t="str">
        <f>_xlfn.XLOOKUP(tblSales[[#This Row],[Store ID]],tblStores[Store ID],tblStores[Store Name])</f>
        <v>Bloemfontein</v>
      </c>
      <c r="E2559" t="str">
        <f>_xlfn.XLOOKUP(tblSales[[#This Row],[Store ID]],tblStores[Store ID],tblStores[Province])</f>
        <v>Free State</v>
      </c>
      <c r="F2559" t="str">
        <f>_xlfn.XLOOKUP(tblSales[[#This Row],[Store ID]],tblStores[Store ID],tblStores[Manager])</f>
        <v>Rachel Moore</v>
      </c>
      <c r="G2559" t="str">
        <f>_xlfn.XLOOKUP(tblSales[[#This Row],[Category ID]],tblCategories[Category ID],tblCategories[Category])</f>
        <v>Accessories</v>
      </c>
      <c r="H2559">
        <v>44718</v>
      </c>
      <c r="I2559">
        <v>42048</v>
      </c>
      <c r="J2559">
        <v>87</v>
      </c>
      <c r="K2559">
        <f>tblSales[[#This Row],[Sales]]-tblSales[[#This Row],[Budget]]</f>
        <v>2670</v>
      </c>
      <c r="L2559" s="3">
        <f>(tblSales[[#This Row],[Sales]]-tblSales[[#This Row],[Budget]])/tblSales[[#This Row],[Budget]]</f>
        <v>6.3498858447488579E-2</v>
      </c>
      <c r="M2559" s="2">
        <f>tblSales[[#This Row],[Sales]]/tblSales[[#This Row],[Transactions]]</f>
        <v>514</v>
      </c>
    </row>
    <row r="2560" spans="1:13" x14ac:dyDescent="0.25">
      <c r="A2560" s="1">
        <v>46150</v>
      </c>
      <c r="B2560" t="s">
        <v>29</v>
      </c>
      <c r="C2560" t="s">
        <v>19</v>
      </c>
      <c r="D2560" t="str">
        <f>_xlfn.XLOOKUP(tblSales[[#This Row],[Store ID]],tblStores[Store ID],tblStores[Store Name])</f>
        <v>Polokwane</v>
      </c>
      <c r="E2560" t="str">
        <f>_xlfn.XLOOKUP(tblSales[[#This Row],[Store ID]],tblStores[Store ID],tblStores[Province])</f>
        <v>Limpopo</v>
      </c>
      <c r="F2560" t="str">
        <f>_xlfn.XLOOKUP(tblSales[[#This Row],[Store ID]],tblStores[Store ID],tblStores[Manager])</f>
        <v>Kevin Harris</v>
      </c>
      <c r="G2560" t="str">
        <f>_xlfn.XLOOKUP(tblSales[[#This Row],[Category ID]],tblCategories[Category ID],tblCategories[Category])</f>
        <v>Accessories</v>
      </c>
      <c r="H2560">
        <v>19700</v>
      </c>
      <c r="I2560">
        <v>18146</v>
      </c>
      <c r="J2560">
        <v>100</v>
      </c>
      <c r="K2560">
        <f>tblSales[[#This Row],[Sales]]-tblSales[[#This Row],[Budget]]</f>
        <v>1554</v>
      </c>
      <c r="L2560" s="3">
        <f>(tblSales[[#This Row],[Sales]]-tblSales[[#This Row],[Budget]])/tblSales[[#This Row],[Budget]]</f>
        <v>8.5638708255262874E-2</v>
      </c>
      <c r="M2560" s="2">
        <f>tblSales[[#This Row],[Sales]]/tblSales[[#This Row],[Transactions]]</f>
        <v>197</v>
      </c>
    </row>
    <row r="2561" spans="1:13" x14ac:dyDescent="0.25">
      <c r="A2561" s="1">
        <v>46150</v>
      </c>
      <c r="B2561" t="s">
        <v>30</v>
      </c>
      <c r="C2561" t="s">
        <v>7</v>
      </c>
      <c r="D2561" t="str">
        <f>_xlfn.XLOOKUP(tblSales[[#This Row],[Store ID]],tblStores[Store ID],tblStores[Store Name])</f>
        <v>Nelspruit</v>
      </c>
      <c r="E2561" t="str">
        <f>_xlfn.XLOOKUP(tblSales[[#This Row],[Store ID]],tblStores[Store ID],tblStores[Province])</f>
        <v>Mpumalanga</v>
      </c>
      <c r="F2561" t="str">
        <f>_xlfn.XLOOKUP(tblSales[[#This Row],[Store ID]],tblStores[Store ID],tblStores[Manager])</f>
        <v>Olivia Turner</v>
      </c>
      <c r="G2561" t="str">
        <f>_xlfn.XLOOKUP(tblSales[[#This Row],[Category ID]],tblCategories[Category ID],tblCategories[Category])</f>
        <v>Menswear</v>
      </c>
      <c r="H2561">
        <v>54448</v>
      </c>
      <c r="I2561">
        <v>53951</v>
      </c>
      <c r="J2561">
        <v>164</v>
      </c>
      <c r="K2561">
        <f>tblSales[[#This Row],[Sales]]-tblSales[[#This Row],[Budget]]</f>
        <v>497</v>
      </c>
      <c r="L2561" s="3">
        <f>(tblSales[[#This Row],[Sales]]-tblSales[[#This Row],[Budget]])/tblSales[[#This Row],[Budget]]</f>
        <v>9.212062797723861E-3</v>
      </c>
      <c r="M2561" s="2">
        <f>tblSales[[#This Row],[Sales]]/tblSales[[#This Row],[Transactions]]</f>
        <v>332</v>
      </c>
    </row>
    <row r="2562" spans="1:13" x14ac:dyDescent="0.25">
      <c r="A2562" s="1">
        <v>46151</v>
      </c>
      <c r="B2562" t="s">
        <v>6</v>
      </c>
      <c r="C2562" t="s">
        <v>19</v>
      </c>
      <c r="D2562" t="str">
        <f>_xlfn.XLOOKUP(tblSales[[#This Row],[Store ID]],tblStores[Store ID],tblStores[Store Name])</f>
        <v>Durban CBD</v>
      </c>
      <c r="E2562" t="str">
        <f>_xlfn.XLOOKUP(tblSales[[#This Row],[Store ID]],tblStores[Store ID],tblStores[Province])</f>
        <v>KZN</v>
      </c>
      <c r="F2562" t="str">
        <f>_xlfn.XLOOKUP(tblSales[[#This Row],[Store ID]],tblStores[Store ID],tblStores[Manager])</f>
        <v>Sarah Adams</v>
      </c>
      <c r="G2562" t="str">
        <f>_xlfn.XLOOKUP(tblSales[[#This Row],[Category ID]],tblCategories[Category ID],tblCategories[Category])</f>
        <v>Accessories</v>
      </c>
      <c r="H2562">
        <v>30888</v>
      </c>
      <c r="I2562">
        <v>35344</v>
      </c>
      <c r="J2562">
        <v>78</v>
      </c>
      <c r="K2562">
        <f>tblSales[[#This Row],[Sales]]-tblSales[[#This Row],[Budget]]</f>
        <v>-4456</v>
      </c>
      <c r="L2562" s="3">
        <f>(tblSales[[#This Row],[Sales]]-tblSales[[#This Row],[Budget]])/tblSales[[#This Row],[Budget]]</f>
        <v>-0.12607514712539611</v>
      </c>
      <c r="M2562" s="2">
        <f>tblSales[[#This Row],[Sales]]/tblSales[[#This Row],[Transactions]]</f>
        <v>396</v>
      </c>
    </row>
    <row r="2563" spans="1:13" x14ac:dyDescent="0.25">
      <c r="A2563" s="1">
        <v>46151</v>
      </c>
      <c r="B2563" t="s">
        <v>8</v>
      </c>
      <c r="C2563" t="s">
        <v>7</v>
      </c>
      <c r="D2563" t="str">
        <f>_xlfn.XLOOKUP(tblSales[[#This Row],[Store ID]],tblStores[Store ID],tblStores[Store Name])</f>
        <v>Gateway</v>
      </c>
      <c r="E2563" t="str">
        <f>_xlfn.XLOOKUP(tblSales[[#This Row],[Store ID]],tblStores[Store ID],tblStores[Province])</f>
        <v>KZN</v>
      </c>
      <c r="F2563" t="str">
        <f>_xlfn.XLOOKUP(tblSales[[#This Row],[Store ID]],tblStores[Store ID],tblStores[Manager])</f>
        <v>Michael Jones</v>
      </c>
      <c r="G2563" t="str">
        <f>_xlfn.XLOOKUP(tblSales[[#This Row],[Category ID]],tblCategories[Category ID],tblCategories[Category])</f>
        <v>Menswear</v>
      </c>
      <c r="H2563">
        <v>32634</v>
      </c>
      <c r="I2563">
        <v>29747</v>
      </c>
      <c r="J2563">
        <v>98</v>
      </c>
      <c r="K2563">
        <f>tblSales[[#This Row],[Sales]]-tblSales[[#This Row],[Budget]]</f>
        <v>2887</v>
      </c>
      <c r="L2563" s="3">
        <f>(tblSales[[#This Row],[Sales]]-tblSales[[#This Row],[Budget]])/tblSales[[#This Row],[Budget]]</f>
        <v>9.7051803543214438E-2</v>
      </c>
      <c r="M2563" s="2">
        <f>tblSales[[#This Row],[Sales]]/tblSales[[#This Row],[Transactions]]</f>
        <v>333</v>
      </c>
    </row>
    <row r="2564" spans="1:13" x14ac:dyDescent="0.25">
      <c r="A2564" s="1">
        <v>46151</v>
      </c>
      <c r="B2564" t="s">
        <v>10</v>
      </c>
      <c r="C2564" t="s">
        <v>19</v>
      </c>
      <c r="D2564" t="str">
        <f>_xlfn.XLOOKUP(tblSales[[#This Row],[Store ID]],tblStores[Store ID],tblStores[Store Name])</f>
        <v>Ballito</v>
      </c>
      <c r="E2564" t="str">
        <f>_xlfn.XLOOKUP(tblSales[[#This Row],[Store ID]],tblStores[Store ID],tblStores[Province])</f>
        <v>KZN</v>
      </c>
      <c r="F2564" t="str">
        <f>_xlfn.XLOOKUP(tblSales[[#This Row],[Store ID]],tblStores[Store ID],tblStores[Manager])</f>
        <v>Linda Smith</v>
      </c>
      <c r="G2564" t="str">
        <f>_xlfn.XLOOKUP(tblSales[[#This Row],[Category ID]],tblCategories[Category ID],tblCategories[Category])</f>
        <v>Accessories</v>
      </c>
      <c r="H2564">
        <v>56870</v>
      </c>
      <c r="I2564">
        <v>58776</v>
      </c>
      <c r="J2564">
        <v>110</v>
      </c>
      <c r="K2564">
        <f>tblSales[[#This Row],[Sales]]-tblSales[[#This Row],[Budget]]</f>
        <v>-1906</v>
      </c>
      <c r="L2564" s="3">
        <f>(tblSales[[#This Row],[Sales]]-tblSales[[#This Row],[Budget]])/tblSales[[#This Row],[Budget]]</f>
        <v>-3.2428201987205661E-2</v>
      </c>
      <c r="M2564" s="2">
        <f>tblSales[[#This Row],[Sales]]/tblSales[[#This Row],[Transactions]]</f>
        <v>517</v>
      </c>
    </row>
    <row r="2565" spans="1:13" x14ac:dyDescent="0.25">
      <c r="A2565" s="1">
        <v>46151</v>
      </c>
      <c r="B2565" t="s">
        <v>12</v>
      </c>
      <c r="C2565" t="s">
        <v>9</v>
      </c>
      <c r="D2565" t="str">
        <f>_xlfn.XLOOKUP(tblSales[[#This Row],[Store ID]],tblStores[Store ID],tblStores[Store Name])</f>
        <v>Pietermaritzburg</v>
      </c>
      <c r="E2565" t="str">
        <f>_xlfn.XLOOKUP(tblSales[[#This Row],[Store ID]],tblStores[Store ID],tblStores[Province])</f>
        <v>KZN</v>
      </c>
      <c r="F2565" t="str">
        <f>_xlfn.XLOOKUP(tblSales[[#This Row],[Store ID]],tblStores[Store ID],tblStores[Manager])</f>
        <v>Peter Brown</v>
      </c>
      <c r="G2565" t="str">
        <f>_xlfn.XLOOKUP(tblSales[[#This Row],[Category ID]],tblCategories[Category ID],tblCategories[Category])</f>
        <v>Ladieswear</v>
      </c>
      <c r="H2565">
        <v>78442</v>
      </c>
      <c r="I2565">
        <v>84229</v>
      </c>
      <c r="J2565">
        <v>182</v>
      </c>
      <c r="K2565">
        <f>tblSales[[#This Row],[Sales]]-tblSales[[#This Row],[Budget]]</f>
        <v>-5787</v>
      </c>
      <c r="L2565" s="3">
        <f>(tblSales[[#This Row],[Sales]]-tblSales[[#This Row],[Budget]])/tblSales[[#This Row],[Budget]]</f>
        <v>-6.870555271937219E-2</v>
      </c>
      <c r="M2565" s="2">
        <f>tblSales[[#This Row],[Sales]]/tblSales[[#This Row],[Transactions]]</f>
        <v>431</v>
      </c>
    </row>
    <row r="2566" spans="1:13" x14ac:dyDescent="0.25">
      <c r="A2566" s="1">
        <v>46151</v>
      </c>
      <c r="B2566" t="s">
        <v>13</v>
      </c>
      <c r="C2566" t="s">
        <v>19</v>
      </c>
      <c r="D2566" t="str">
        <f>_xlfn.XLOOKUP(tblSales[[#This Row],[Store ID]],tblStores[Store ID],tblStores[Store Name])</f>
        <v>Richards Bay</v>
      </c>
      <c r="E2566" t="str">
        <f>_xlfn.XLOOKUP(tblSales[[#This Row],[Store ID]],tblStores[Store ID],tblStores[Province])</f>
        <v>KZN</v>
      </c>
      <c r="F2566" t="str">
        <f>_xlfn.XLOOKUP(tblSales[[#This Row],[Store ID]],tblStores[Store ID],tblStores[Manager])</f>
        <v>David Green</v>
      </c>
      <c r="G2566" t="str">
        <f>_xlfn.XLOOKUP(tblSales[[#This Row],[Category ID]],tblCategories[Category ID],tblCategories[Category])</f>
        <v>Accessories</v>
      </c>
      <c r="H2566">
        <v>61250</v>
      </c>
      <c r="I2566">
        <v>63366</v>
      </c>
      <c r="J2566">
        <v>125</v>
      </c>
      <c r="K2566">
        <f>tblSales[[#This Row],[Sales]]-tblSales[[#This Row],[Budget]]</f>
        <v>-2116</v>
      </c>
      <c r="L2566" s="3">
        <f>(tblSales[[#This Row],[Sales]]-tblSales[[#This Row],[Budget]])/tblSales[[#This Row],[Budget]]</f>
        <v>-3.3393302401919012E-2</v>
      </c>
      <c r="M2566" s="2">
        <f>tblSales[[#This Row],[Sales]]/tblSales[[#This Row],[Transactions]]</f>
        <v>490</v>
      </c>
    </row>
    <row r="2567" spans="1:13" x14ac:dyDescent="0.25">
      <c r="A2567" s="1">
        <v>46151</v>
      </c>
      <c r="B2567" t="s">
        <v>14</v>
      </c>
      <c r="C2567" t="s">
        <v>9</v>
      </c>
      <c r="D2567" t="str">
        <f>_xlfn.XLOOKUP(tblSales[[#This Row],[Store ID]],tblStores[Store ID],tblStores[Store Name])</f>
        <v>Sandton</v>
      </c>
      <c r="E2567" t="str">
        <f>_xlfn.XLOOKUP(tblSales[[#This Row],[Store ID]],tblStores[Store ID],tblStores[Province])</f>
        <v>Gauteng</v>
      </c>
      <c r="F2567" t="str">
        <f>_xlfn.XLOOKUP(tblSales[[#This Row],[Store ID]],tblStores[Store ID],tblStores[Manager])</f>
        <v>Karen White</v>
      </c>
      <c r="G2567" t="str">
        <f>_xlfn.XLOOKUP(tblSales[[#This Row],[Category ID]],tblCategories[Category ID],tblCategories[Category])</f>
        <v>Ladieswear</v>
      </c>
      <c r="H2567">
        <v>48530</v>
      </c>
      <c r="I2567">
        <v>51716</v>
      </c>
      <c r="J2567">
        <v>211</v>
      </c>
      <c r="K2567">
        <f>tblSales[[#This Row],[Sales]]-tblSales[[#This Row],[Budget]]</f>
        <v>-3186</v>
      </c>
      <c r="L2567" s="3">
        <f>(tblSales[[#This Row],[Sales]]-tblSales[[#This Row],[Budget]])/tblSales[[#This Row],[Budget]]</f>
        <v>-6.1605692628973627E-2</v>
      </c>
      <c r="M2567" s="2">
        <f>tblSales[[#This Row],[Sales]]/tblSales[[#This Row],[Transactions]]</f>
        <v>230</v>
      </c>
    </row>
    <row r="2568" spans="1:13" x14ac:dyDescent="0.25">
      <c r="A2568" s="1">
        <v>46151</v>
      </c>
      <c r="B2568" t="s">
        <v>15</v>
      </c>
      <c r="C2568" t="s">
        <v>7</v>
      </c>
      <c r="D2568" t="str">
        <f>_xlfn.XLOOKUP(tblSales[[#This Row],[Store ID]],tblStores[Store ID],tblStores[Store Name])</f>
        <v>Rosebank</v>
      </c>
      <c r="E2568" t="str">
        <f>_xlfn.XLOOKUP(tblSales[[#This Row],[Store ID]],tblStores[Store ID],tblStores[Province])</f>
        <v>Gauteng</v>
      </c>
      <c r="F2568" t="str">
        <f>_xlfn.XLOOKUP(tblSales[[#This Row],[Store ID]],tblStores[Store ID],tblStores[Manager])</f>
        <v>James Taylor</v>
      </c>
      <c r="G2568" t="str">
        <f>_xlfn.XLOOKUP(tblSales[[#This Row],[Category ID]],tblCategories[Category ID],tblCategories[Category])</f>
        <v>Menswear</v>
      </c>
      <c r="H2568">
        <v>18810</v>
      </c>
      <c r="I2568">
        <v>17813</v>
      </c>
      <c r="J2568">
        <v>95</v>
      </c>
      <c r="K2568">
        <f>tblSales[[#This Row],[Sales]]-tblSales[[#This Row],[Budget]]</f>
        <v>997</v>
      </c>
      <c r="L2568" s="3">
        <f>(tblSales[[#This Row],[Sales]]-tblSales[[#This Row],[Budget]])/tblSales[[#This Row],[Budget]]</f>
        <v>5.5970358726772584E-2</v>
      </c>
      <c r="M2568" s="2">
        <f>tblSales[[#This Row],[Sales]]/tblSales[[#This Row],[Transactions]]</f>
        <v>198</v>
      </c>
    </row>
    <row r="2569" spans="1:13" x14ac:dyDescent="0.25">
      <c r="A2569" s="1">
        <v>46151</v>
      </c>
      <c r="B2569" t="s">
        <v>16</v>
      </c>
      <c r="C2569" t="s">
        <v>22</v>
      </c>
      <c r="D2569" t="str">
        <f>_xlfn.XLOOKUP(tblSales[[#This Row],[Store ID]],tblStores[Store ID],tblStores[Store Name])</f>
        <v>Pretoria</v>
      </c>
      <c r="E2569" t="str">
        <f>_xlfn.XLOOKUP(tblSales[[#This Row],[Store ID]],tblStores[Store ID],tblStores[Province])</f>
        <v>Gauteng</v>
      </c>
      <c r="F2569" t="str">
        <f>_xlfn.XLOOKUP(tblSales[[#This Row],[Store ID]],tblStores[Store ID],tblStores[Manager])</f>
        <v>Susan Clark</v>
      </c>
      <c r="G2569" t="str">
        <f>_xlfn.XLOOKUP(tblSales[[#This Row],[Category ID]],tblCategories[Category ID],tblCategories[Category])</f>
        <v>Kids</v>
      </c>
      <c r="H2569">
        <v>22320</v>
      </c>
      <c r="I2569">
        <v>23447</v>
      </c>
      <c r="J2569">
        <v>90</v>
      </c>
      <c r="K2569">
        <f>tblSales[[#This Row],[Sales]]-tblSales[[#This Row],[Budget]]</f>
        <v>-1127</v>
      </c>
      <c r="L2569" s="3">
        <f>(tblSales[[#This Row],[Sales]]-tblSales[[#This Row],[Budget]])/tblSales[[#This Row],[Budget]]</f>
        <v>-4.8065850641873159E-2</v>
      </c>
      <c r="M2569" s="2">
        <f>tblSales[[#This Row],[Sales]]/tblSales[[#This Row],[Transactions]]</f>
        <v>248</v>
      </c>
    </row>
    <row r="2570" spans="1:13" x14ac:dyDescent="0.25">
      <c r="A2570" s="1">
        <v>46151</v>
      </c>
      <c r="B2570" t="s">
        <v>17</v>
      </c>
      <c r="C2570" t="s">
        <v>9</v>
      </c>
      <c r="D2570" t="str">
        <f>_xlfn.XLOOKUP(tblSales[[#This Row],[Store ID]],tblStores[Store ID],tblStores[Store Name])</f>
        <v>Centurion</v>
      </c>
      <c r="E2570" t="str">
        <f>_xlfn.XLOOKUP(tblSales[[#This Row],[Store ID]],tblStores[Store ID],tblStores[Province])</f>
        <v>Gauteng</v>
      </c>
      <c r="F2570" t="str">
        <f>_xlfn.XLOOKUP(tblSales[[#This Row],[Store ID]],tblStores[Store ID],tblStores[Manager])</f>
        <v>Mark Wilson</v>
      </c>
      <c r="G2570" t="str">
        <f>_xlfn.XLOOKUP(tblSales[[#This Row],[Category ID]],tblCategories[Category ID],tblCategories[Category])</f>
        <v>Ladieswear</v>
      </c>
      <c r="H2570">
        <v>67518</v>
      </c>
      <c r="I2570">
        <v>65448</v>
      </c>
      <c r="J2570">
        <v>186</v>
      </c>
      <c r="K2570">
        <f>tblSales[[#This Row],[Sales]]-tblSales[[#This Row],[Budget]]</f>
        <v>2070</v>
      </c>
      <c r="L2570" s="3">
        <f>(tblSales[[#This Row],[Sales]]-tblSales[[#This Row],[Budget]])/tblSales[[#This Row],[Budget]]</f>
        <v>3.1628162816281627E-2</v>
      </c>
      <c r="M2570" s="2">
        <f>tblSales[[#This Row],[Sales]]/tblSales[[#This Row],[Transactions]]</f>
        <v>363</v>
      </c>
    </row>
    <row r="2571" spans="1:13" x14ac:dyDescent="0.25">
      <c r="A2571" s="1">
        <v>46151</v>
      </c>
      <c r="B2571" t="s">
        <v>18</v>
      </c>
      <c r="C2571" t="s">
        <v>19</v>
      </c>
      <c r="D2571" t="str">
        <f>_xlfn.XLOOKUP(tblSales[[#This Row],[Store ID]],tblStores[Store ID],tblStores[Store Name])</f>
        <v>East Rand</v>
      </c>
      <c r="E2571" t="str">
        <f>_xlfn.XLOOKUP(tblSales[[#This Row],[Store ID]],tblStores[Store ID],tblStores[Province])</f>
        <v>Gauteng</v>
      </c>
      <c r="F2571" t="str">
        <f>_xlfn.XLOOKUP(tblSales[[#This Row],[Store ID]],tblStores[Store ID],tblStores[Manager])</f>
        <v>Lisa Young</v>
      </c>
      <c r="G2571" t="str">
        <f>_xlfn.XLOOKUP(tblSales[[#This Row],[Category ID]],tblCategories[Category ID],tblCategories[Category])</f>
        <v>Accessories</v>
      </c>
      <c r="H2571">
        <v>31174</v>
      </c>
      <c r="I2571">
        <v>32341</v>
      </c>
      <c r="J2571">
        <v>143</v>
      </c>
      <c r="K2571">
        <f>tblSales[[#This Row],[Sales]]-tblSales[[#This Row],[Budget]]</f>
        <v>-1167</v>
      </c>
      <c r="L2571" s="3">
        <f>(tblSales[[#This Row],[Sales]]-tblSales[[#This Row],[Budget]])/tblSales[[#This Row],[Budget]]</f>
        <v>-3.6084227451222903E-2</v>
      </c>
      <c r="M2571" s="2">
        <f>tblSales[[#This Row],[Sales]]/tblSales[[#This Row],[Transactions]]</f>
        <v>218</v>
      </c>
    </row>
    <row r="2572" spans="1:13" x14ac:dyDescent="0.25">
      <c r="A2572" s="1">
        <v>46151</v>
      </c>
      <c r="B2572" t="s">
        <v>20</v>
      </c>
      <c r="C2572" t="s">
        <v>22</v>
      </c>
      <c r="D2572" t="str">
        <f>_xlfn.XLOOKUP(tblSales[[#This Row],[Store ID]],tblStores[Store ID],tblStores[Store Name])</f>
        <v>Cape Town CBD</v>
      </c>
      <c r="E2572" t="str">
        <f>_xlfn.XLOOKUP(tblSales[[#This Row],[Store ID]],tblStores[Store ID],tblStores[Province])</f>
        <v>Western Cape</v>
      </c>
      <c r="F2572" t="str">
        <f>_xlfn.XLOOKUP(tblSales[[#This Row],[Store ID]],tblStores[Store ID],tblStores[Manager])</f>
        <v>Brian Hall</v>
      </c>
      <c r="G2572" t="str">
        <f>_xlfn.XLOOKUP(tblSales[[#This Row],[Category ID]],tblCategories[Category ID],tblCategories[Category])</f>
        <v>Kids</v>
      </c>
      <c r="H2572">
        <v>67584</v>
      </c>
      <c r="I2572">
        <v>76093</v>
      </c>
      <c r="J2572">
        <v>132</v>
      </c>
      <c r="K2572">
        <f>tblSales[[#This Row],[Sales]]-tblSales[[#This Row],[Budget]]</f>
        <v>-8509</v>
      </c>
      <c r="L2572" s="3">
        <f>(tblSales[[#This Row],[Sales]]-tblSales[[#This Row],[Budget]])/tblSales[[#This Row],[Budget]]</f>
        <v>-0.11182368943266792</v>
      </c>
      <c r="M2572" s="2">
        <f>tblSales[[#This Row],[Sales]]/tblSales[[#This Row],[Transactions]]</f>
        <v>512</v>
      </c>
    </row>
    <row r="2573" spans="1:13" x14ac:dyDescent="0.25">
      <c r="A2573" s="1">
        <v>46151</v>
      </c>
      <c r="B2573" t="s">
        <v>21</v>
      </c>
      <c r="C2573" t="s">
        <v>11</v>
      </c>
      <c r="D2573" t="str">
        <f>_xlfn.XLOOKUP(tblSales[[#This Row],[Store ID]],tblStores[Store ID],tblStores[Store Name])</f>
        <v>Canal Walk</v>
      </c>
      <c r="E2573" t="str">
        <f>_xlfn.XLOOKUP(tblSales[[#This Row],[Store ID]],tblStores[Store ID],tblStores[Province])</f>
        <v>Western Cape</v>
      </c>
      <c r="F2573" t="str">
        <f>_xlfn.XLOOKUP(tblSales[[#This Row],[Store ID]],tblStores[Store ID],tblStores[Manager])</f>
        <v>Megan Scott</v>
      </c>
      <c r="G2573" t="str">
        <f>_xlfn.XLOOKUP(tblSales[[#This Row],[Category ID]],tblCategories[Category ID],tblCategories[Category])</f>
        <v>Footwear</v>
      </c>
      <c r="H2573">
        <v>33522</v>
      </c>
      <c r="I2573">
        <v>38087</v>
      </c>
      <c r="J2573">
        <v>151</v>
      </c>
      <c r="K2573">
        <f>tblSales[[#This Row],[Sales]]-tblSales[[#This Row],[Budget]]</f>
        <v>-4565</v>
      </c>
      <c r="L2573" s="3">
        <f>(tblSales[[#This Row],[Sales]]-tblSales[[#This Row],[Budget]])/tblSales[[#This Row],[Budget]]</f>
        <v>-0.11985716911282064</v>
      </c>
      <c r="M2573" s="2">
        <f>tblSales[[#This Row],[Sales]]/tblSales[[#This Row],[Transactions]]</f>
        <v>222</v>
      </c>
    </row>
    <row r="2574" spans="1:13" x14ac:dyDescent="0.25">
      <c r="A2574" s="1">
        <v>46151</v>
      </c>
      <c r="B2574" t="s">
        <v>23</v>
      </c>
      <c r="C2574" t="s">
        <v>11</v>
      </c>
      <c r="D2574" t="str">
        <f>_xlfn.XLOOKUP(tblSales[[#This Row],[Store ID]],tblStores[Store ID],tblStores[Store Name])</f>
        <v>Stellenbosch</v>
      </c>
      <c r="E2574" t="str">
        <f>_xlfn.XLOOKUP(tblSales[[#This Row],[Store ID]],tblStores[Store ID],tblStores[Province])</f>
        <v>Western Cape</v>
      </c>
      <c r="F2574" t="str">
        <f>_xlfn.XLOOKUP(tblSales[[#This Row],[Store ID]],tblStores[Store ID],tblStores[Manager])</f>
        <v>Jason King</v>
      </c>
      <c r="G2574" t="str">
        <f>_xlfn.XLOOKUP(tblSales[[#This Row],[Category ID]],tblCategories[Category ID],tblCategories[Category])</f>
        <v>Footwear</v>
      </c>
      <c r="H2574">
        <v>53636</v>
      </c>
      <c r="I2574">
        <v>55458</v>
      </c>
      <c r="J2574">
        <v>212</v>
      </c>
      <c r="K2574">
        <f>tblSales[[#This Row],[Sales]]-tblSales[[#This Row],[Budget]]</f>
        <v>-1822</v>
      </c>
      <c r="L2574" s="3">
        <f>(tblSales[[#This Row],[Sales]]-tblSales[[#This Row],[Budget]])/tblSales[[#This Row],[Budget]]</f>
        <v>-3.2853691081539182E-2</v>
      </c>
      <c r="M2574" s="2">
        <f>tblSales[[#This Row],[Sales]]/tblSales[[#This Row],[Transactions]]</f>
        <v>253</v>
      </c>
    </row>
    <row r="2575" spans="1:13" x14ac:dyDescent="0.25">
      <c r="A2575" s="1">
        <v>46151</v>
      </c>
      <c r="B2575" t="s">
        <v>24</v>
      </c>
      <c r="C2575" t="s">
        <v>7</v>
      </c>
      <c r="D2575" t="str">
        <f>_xlfn.XLOOKUP(tblSales[[#This Row],[Store ID]],tblStores[Store ID],tblStores[Store Name])</f>
        <v>George</v>
      </c>
      <c r="E2575" t="str">
        <f>_xlfn.XLOOKUP(tblSales[[#This Row],[Store ID]],tblStores[Store ID],tblStores[Province])</f>
        <v>Western Cape</v>
      </c>
      <c r="F2575" t="str">
        <f>_xlfn.XLOOKUP(tblSales[[#This Row],[Store ID]],tblStores[Store ID],tblStores[Manager])</f>
        <v>Chloe Hill</v>
      </c>
      <c r="G2575" t="str">
        <f>_xlfn.XLOOKUP(tblSales[[#This Row],[Category ID]],tblCategories[Category ID],tblCategories[Category])</f>
        <v>Menswear</v>
      </c>
      <c r="H2575">
        <v>62132</v>
      </c>
      <c r="I2575">
        <v>71379</v>
      </c>
      <c r="J2575">
        <v>196</v>
      </c>
      <c r="K2575">
        <f>tblSales[[#This Row],[Sales]]-tblSales[[#This Row],[Budget]]</f>
        <v>-9247</v>
      </c>
      <c r="L2575" s="3">
        <f>(tblSales[[#This Row],[Sales]]-tblSales[[#This Row],[Budget]])/tblSales[[#This Row],[Budget]]</f>
        <v>-0.12954790624693538</v>
      </c>
      <c r="M2575" s="2">
        <f>tblSales[[#This Row],[Sales]]/tblSales[[#This Row],[Transactions]]</f>
        <v>317</v>
      </c>
    </row>
    <row r="2576" spans="1:13" x14ac:dyDescent="0.25">
      <c r="A2576" s="1">
        <v>46151</v>
      </c>
      <c r="B2576" t="s">
        <v>25</v>
      </c>
      <c r="C2576" t="s">
        <v>9</v>
      </c>
      <c r="D2576" t="str">
        <f>_xlfn.XLOOKUP(tblSales[[#This Row],[Store ID]],tblStores[Store ID],tblStores[Store Name])</f>
        <v>Paarl</v>
      </c>
      <c r="E2576" t="str">
        <f>_xlfn.XLOOKUP(tblSales[[#This Row],[Store ID]],tblStores[Store ID],tblStores[Province])</f>
        <v>Western Cape</v>
      </c>
      <c r="F2576" t="str">
        <f>_xlfn.XLOOKUP(tblSales[[#This Row],[Store ID]],tblStores[Store ID],tblStores[Manager])</f>
        <v>Andrew Lee</v>
      </c>
      <c r="G2576" t="str">
        <f>_xlfn.XLOOKUP(tblSales[[#This Row],[Category ID]],tblCategories[Category ID],tblCategories[Category])</f>
        <v>Ladieswear</v>
      </c>
      <c r="H2576">
        <v>80290</v>
      </c>
      <c r="I2576">
        <v>83574</v>
      </c>
      <c r="J2576">
        <v>217</v>
      </c>
      <c r="K2576">
        <f>tblSales[[#This Row],[Sales]]-tblSales[[#This Row],[Budget]]</f>
        <v>-3284</v>
      </c>
      <c r="L2576" s="3">
        <f>(tblSales[[#This Row],[Sales]]-tblSales[[#This Row],[Budget]])/tblSales[[#This Row],[Budget]]</f>
        <v>-3.9294517433651616E-2</v>
      </c>
      <c r="M2576" s="2">
        <f>tblSales[[#This Row],[Sales]]/tblSales[[#This Row],[Transactions]]</f>
        <v>370</v>
      </c>
    </row>
    <row r="2577" spans="1:13" x14ac:dyDescent="0.25">
      <c r="A2577" s="1">
        <v>46151</v>
      </c>
      <c r="B2577" t="s">
        <v>26</v>
      </c>
      <c r="C2577" t="s">
        <v>19</v>
      </c>
      <c r="D2577" t="str">
        <f>_xlfn.XLOOKUP(tblSales[[#This Row],[Store ID]],tblStores[Store ID],tblStores[Store Name])</f>
        <v>Gqeberha</v>
      </c>
      <c r="E2577" t="str">
        <f>_xlfn.XLOOKUP(tblSales[[#This Row],[Store ID]],tblStores[Store ID],tblStores[Province])</f>
        <v>Eastern Cape</v>
      </c>
      <c r="F2577" t="str">
        <f>_xlfn.XLOOKUP(tblSales[[#This Row],[Store ID]],tblStores[Store ID],tblStores[Manager])</f>
        <v>Emma Baker</v>
      </c>
      <c r="G2577" t="str">
        <f>_xlfn.XLOOKUP(tblSales[[#This Row],[Category ID]],tblCategories[Category ID],tblCategories[Category])</f>
        <v>Accessories</v>
      </c>
      <c r="H2577">
        <v>49707</v>
      </c>
      <c r="I2577">
        <v>49951</v>
      </c>
      <c r="J2577">
        <v>189</v>
      </c>
      <c r="K2577">
        <f>tblSales[[#This Row],[Sales]]-tblSales[[#This Row],[Budget]]</f>
        <v>-244</v>
      </c>
      <c r="L2577" s="3">
        <f>(tblSales[[#This Row],[Sales]]-tblSales[[#This Row],[Budget]])/tblSales[[#This Row],[Budget]]</f>
        <v>-4.8847870913495224E-3</v>
      </c>
      <c r="M2577" s="2">
        <f>tblSales[[#This Row],[Sales]]/tblSales[[#This Row],[Transactions]]</f>
        <v>263</v>
      </c>
    </row>
    <row r="2578" spans="1:13" x14ac:dyDescent="0.25">
      <c r="A2578" s="1">
        <v>46151</v>
      </c>
      <c r="B2578" t="s">
        <v>27</v>
      </c>
      <c r="C2578" t="s">
        <v>9</v>
      </c>
      <c r="D2578" t="str">
        <f>_xlfn.XLOOKUP(tblSales[[#This Row],[Store ID]],tblStores[Store ID],tblStores[Store Name])</f>
        <v>East London</v>
      </c>
      <c r="E2578" t="str">
        <f>_xlfn.XLOOKUP(tblSales[[#This Row],[Store ID]],tblStores[Store ID],tblStores[Province])</f>
        <v>Eastern Cape</v>
      </c>
      <c r="F2578" t="str">
        <f>_xlfn.XLOOKUP(tblSales[[#This Row],[Store ID]],tblStores[Store ID],tblStores[Manager])</f>
        <v>Daniel Evans</v>
      </c>
      <c r="G2578" t="str">
        <f>_xlfn.XLOOKUP(tblSales[[#This Row],[Category ID]],tblCategories[Category ID],tblCategories[Category])</f>
        <v>Ladieswear</v>
      </c>
      <c r="H2578">
        <v>46230</v>
      </c>
      <c r="I2578">
        <v>45986</v>
      </c>
      <c r="J2578">
        <v>115</v>
      </c>
      <c r="K2578">
        <f>tblSales[[#This Row],[Sales]]-tblSales[[#This Row],[Budget]]</f>
        <v>244</v>
      </c>
      <c r="L2578" s="3">
        <f>(tblSales[[#This Row],[Sales]]-tblSales[[#This Row],[Budget]])/tblSales[[#This Row],[Budget]]</f>
        <v>5.3059626842952203E-3</v>
      </c>
      <c r="M2578" s="2">
        <f>tblSales[[#This Row],[Sales]]/tblSales[[#This Row],[Transactions]]</f>
        <v>402</v>
      </c>
    </row>
    <row r="2579" spans="1:13" x14ac:dyDescent="0.25">
      <c r="A2579" s="1">
        <v>46151</v>
      </c>
      <c r="B2579" t="s">
        <v>28</v>
      </c>
      <c r="C2579" t="s">
        <v>19</v>
      </c>
      <c r="D2579" t="str">
        <f>_xlfn.XLOOKUP(tblSales[[#This Row],[Store ID]],tblStores[Store ID],tblStores[Store Name])</f>
        <v>Bloemfontein</v>
      </c>
      <c r="E2579" t="str">
        <f>_xlfn.XLOOKUP(tblSales[[#This Row],[Store ID]],tblStores[Store ID],tblStores[Province])</f>
        <v>Free State</v>
      </c>
      <c r="F2579" t="str">
        <f>_xlfn.XLOOKUP(tblSales[[#This Row],[Store ID]],tblStores[Store ID],tblStores[Manager])</f>
        <v>Rachel Moore</v>
      </c>
      <c r="G2579" t="str">
        <f>_xlfn.XLOOKUP(tblSales[[#This Row],[Category ID]],tblCategories[Category ID],tblCategories[Category])</f>
        <v>Accessories</v>
      </c>
      <c r="H2579">
        <v>21462</v>
      </c>
      <c r="I2579">
        <v>20765</v>
      </c>
      <c r="J2579">
        <v>98</v>
      </c>
      <c r="K2579">
        <f>tblSales[[#This Row],[Sales]]-tblSales[[#This Row],[Budget]]</f>
        <v>697</v>
      </c>
      <c r="L2579" s="3">
        <f>(tblSales[[#This Row],[Sales]]-tblSales[[#This Row],[Budget]])/tblSales[[#This Row],[Budget]]</f>
        <v>3.3566096797495788E-2</v>
      </c>
      <c r="M2579" s="2">
        <f>tblSales[[#This Row],[Sales]]/tblSales[[#This Row],[Transactions]]</f>
        <v>219</v>
      </c>
    </row>
    <row r="2580" spans="1:13" x14ac:dyDescent="0.25">
      <c r="A2580" s="1">
        <v>46151</v>
      </c>
      <c r="B2580" t="s">
        <v>29</v>
      </c>
      <c r="C2580" t="s">
        <v>19</v>
      </c>
      <c r="D2580" t="str">
        <f>_xlfn.XLOOKUP(tblSales[[#This Row],[Store ID]],tblStores[Store ID],tblStores[Store Name])</f>
        <v>Polokwane</v>
      </c>
      <c r="E2580" t="str">
        <f>_xlfn.XLOOKUP(tblSales[[#This Row],[Store ID]],tblStores[Store ID],tblStores[Province])</f>
        <v>Limpopo</v>
      </c>
      <c r="F2580" t="str">
        <f>_xlfn.XLOOKUP(tblSales[[#This Row],[Store ID]],tblStores[Store ID],tblStores[Manager])</f>
        <v>Kevin Harris</v>
      </c>
      <c r="G2580" t="str">
        <f>_xlfn.XLOOKUP(tblSales[[#This Row],[Category ID]],tblCategories[Category ID],tblCategories[Category])</f>
        <v>Accessories</v>
      </c>
      <c r="H2580">
        <v>28980</v>
      </c>
      <c r="I2580">
        <v>29029</v>
      </c>
      <c r="J2580">
        <v>63</v>
      </c>
      <c r="K2580">
        <f>tblSales[[#This Row],[Sales]]-tblSales[[#This Row],[Budget]]</f>
        <v>-49</v>
      </c>
      <c r="L2580" s="3">
        <f>(tblSales[[#This Row],[Sales]]-tblSales[[#This Row],[Budget]])/tblSales[[#This Row],[Budget]]</f>
        <v>-1.6879672052085846E-3</v>
      </c>
      <c r="M2580" s="2">
        <f>tblSales[[#This Row],[Sales]]/tblSales[[#This Row],[Transactions]]</f>
        <v>460</v>
      </c>
    </row>
    <row r="2581" spans="1:13" x14ac:dyDescent="0.25">
      <c r="A2581" s="1">
        <v>46151</v>
      </c>
      <c r="B2581" t="s">
        <v>30</v>
      </c>
      <c r="C2581" t="s">
        <v>22</v>
      </c>
      <c r="D2581" t="str">
        <f>_xlfn.XLOOKUP(tblSales[[#This Row],[Store ID]],tblStores[Store ID],tblStores[Store Name])</f>
        <v>Nelspruit</v>
      </c>
      <c r="E2581" t="str">
        <f>_xlfn.XLOOKUP(tblSales[[#This Row],[Store ID]],tblStores[Store ID],tblStores[Province])</f>
        <v>Mpumalanga</v>
      </c>
      <c r="F2581" t="str">
        <f>_xlfn.XLOOKUP(tblSales[[#This Row],[Store ID]],tblStores[Store ID],tblStores[Manager])</f>
        <v>Olivia Turner</v>
      </c>
      <c r="G2581" t="str">
        <f>_xlfn.XLOOKUP(tblSales[[#This Row],[Category ID]],tblCategories[Category ID],tblCategories[Category])</f>
        <v>Kids</v>
      </c>
      <c r="H2581">
        <v>44550</v>
      </c>
      <c r="I2581">
        <v>44135</v>
      </c>
      <c r="J2581">
        <v>198</v>
      </c>
      <c r="K2581">
        <f>tblSales[[#This Row],[Sales]]-tblSales[[#This Row],[Budget]]</f>
        <v>415</v>
      </c>
      <c r="L2581" s="3">
        <f>(tblSales[[#This Row],[Sales]]-tblSales[[#This Row],[Budget]])/tblSales[[#This Row],[Budget]]</f>
        <v>9.4029681658547633E-3</v>
      </c>
      <c r="M2581" s="2">
        <f>tblSales[[#This Row],[Sales]]/tblSales[[#This Row],[Transactions]]</f>
        <v>225</v>
      </c>
    </row>
    <row r="2582" spans="1:13" x14ac:dyDescent="0.25">
      <c r="A2582" s="1">
        <v>46152</v>
      </c>
      <c r="B2582" t="s">
        <v>6</v>
      </c>
      <c r="C2582" t="s">
        <v>22</v>
      </c>
      <c r="D2582" t="str">
        <f>_xlfn.XLOOKUP(tblSales[[#This Row],[Store ID]],tblStores[Store ID],tblStores[Store Name])</f>
        <v>Durban CBD</v>
      </c>
      <c r="E2582" t="str">
        <f>_xlfn.XLOOKUP(tblSales[[#This Row],[Store ID]],tblStores[Store ID],tblStores[Province])</f>
        <v>KZN</v>
      </c>
      <c r="F2582" t="str">
        <f>_xlfn.XLOOKUP(tblSales[[#This Row],[Store ID]],tblStores[Store ID],tblStores[Manager])</f>
        <v>Sarah Adams</v>
      </c>
      <c r="G2582" t="str">
        <f>_xlfn.XLOOKUP(tblSales[[#This Row],[Category ID]],tblCategories[Category ID],tblCategories[Category])</f>
        <v>Kids</v>
      </c>
      <c r="H2582">
        <v>26416</v>
      </c>
      <c r="I2582">
        <v>29512</v>
      </c>
      <c r="J2582">
        <v>104</v>
      </c>
      <c r="K2582">
        <f>tblSales[[#This Row],[Sales]]-tblSales[[#This Row],[Budget]]</f>
        <v>-3096</v>
      </c>
      <c r="L2582" s="3">
        <f>(tblSales[[#This Row],[Sales]]-tblSales[[#This Row],[Budget]])/tblSales[[#This Row],[Budget]]</f>
        <v>-0.10490647872052046</v>
      </c>
      <c r="M2582" s="2">
        <f>tblSales[[#This Row],[Sales]]/tblSales[[#This Row],[Transactions]]</f>
        <v>254</v>
      </c>
    </row>
    <row r="2583" spans="1:13" x14ac:dyDescent="0.25">
      <c r="A2583" s="1">
        <v>46152</v>
      </c>
      <c r="B2583" t="s">
        <v>8</v>
      </c>
      <c r="C2583" t="s">
        <v>9</v>
      </c>
      <c r="D2583" t="str">
        <f>_xlfn.XLOOKUP(tblSales[[#This Row],[Store ID]],tblStores[Store ID],tblStores[Store Name])</f>
        <v>Gateway</v>
      </c>
      <c r="E2583" t="str">
        <f>_xlfn.XLOOKUP(tblSales[[#This Row],[Store ID]],tblStores[Store ID],tblStores[Province])</f>
        <v>KZN</v>
      </c>
      <c r="F2583" t="str">
        <f>_xlfn.XLOOKUP(tblSales[[#This Row],[Store ID]],tblStores[Store ID],tblStores[Manager])</f>
        <v>Michael Jones</v>
      </c>
      <c r="G2583" t="str">
        <f>_xlfn.XLOOKUP(tblSales[[#This Row],[Category ID]],tblCategories[Category ID],tblCategories[Category])</f>
        <v>Ladieswear</v>
      </c>
      <c r="H2583">
        <v>19425</v>
      </c>
      <c r="I2583">
        <v>17958</v>
      </c>
      <c r="J2583">
        <v>105</v>
      </c>
      <c r="K2583">
        <f>tblSales[[#This Row],[Sales]]-tblSales[[#This Row],[Budget]]</f>
        <v>1467</v>
      </c>
      <c r="L2583" s="3">
        <f>(tblSales[[#This Row],[Sales]]-tblSales[[#This Row],[Budget]])/tblSales[[#This Row],[Budget]]</f>
        <v>8.1690611426662216E-2</v>
      </c>
      <c r="M2583" s="2">
        <f>tblSales[[#This Row],[Sales]]/tblSales[[#This Row],[Transactions]]</f>
        <v>185</v>
      </c>
    </row>
    <row r="2584" spans="1:13" x14ac:dyDescent="0.25">
      <c r="A2584" s="1">
        <v>46152</v>
      </c>
      <c r="B2584" t="s">
        <v>10</v>
      </c>
      <c r="C2584" t="s">
        <v>9</v>
      </c>
      <c r="D2584" t="str">
        <f>_xlfn.XLOOKUP(tblSales[[#This Row],[Store ID]],tblStores[Store ID],tblStores[Store Name])</f>
        <v>Ballito</v>
      </c>
      <c r="E2584" t="str">
        <f>_xlfn.XLOOKUP(tblSales[[#This Row],[Store ID]],tblStores[Store ID],tblStores[Province])</f>
        <v>KZN</v>
      </c>
      <c r="F2584" t="str">
        <f>_xlfn.XLOOKUP(tblSales[[#This Row],[Store ID]],tblStores[Store ID],tblStores[Manager])</f>
        <v>Linda Smith</v>
      </c>
      <c r="G2584" t="str">
        <f>_xlfn.XLOOKUP(tblSales[[#This Row],[Category ID]],tblCategories[Category ID],tblCategories[Category])</f>
        <v>Ladieswear</v>
      </c>
      <c r="H2584">
        <v>30523</v>
      </c>
      <c r="I2584">
        <v>33443</v>
      </c>
      <c r="J2584">
        <v>131</v>
      </c>
      <c r="K2584">
        <f>tblSales[[#This Row],[Sales]]-tblSales[[#This Row],[Budget]]</f>
        <v>-2920</v>
      </c>
      <c r="L2584" s="3">
        <f>(tblSales[[#This Row],[Sales]]-tblSales[[#This Row],[Budget]])/tblSales[[#This Row],[Budget]]</f>
        <v>-8.7312741081840742E-2</v>
      </c>
      <c r="M2584" s="2">
        <f>tblSales[[#This Row],[Sales]]/tblSales[[#This Row],[Transactions]]</f>
        <v>233</v>
      </c>
    </row>
    <row r="2585" spans="1:13" x14ac:dyDescent="0.25">
      <c r="A2585" s="1">
        <v>46152</v>
      </c>
      <c r="B2585" t="s">
        <v>12</v>
      </c>
      <c r="C2585" t="s">
        <v>7</v>
      </c>
      <c r="D2585" t="str">
        <f>_xlfn.XLOOKUP(tblSales[[#This Row],[Store ID]],tblStores[Store ID],tblStores[Store Name])</f>
        <v>Pietermaritzburg</v>
      </c>
      <c r="E2585" t="str">
        <f>_xlfn.XLOOKUP(tblSales[[#This Row],[Store ID]],tblStores[Store ID],tblStores[Province])</f>
        <v>KZN</v>
      </c>
      <c r="F2585" t="str">
        <f>_xlfn.XLOOKUP(tblSales[[#This Row],[Store ID]],tblStores[Store ID],tblStores[Manager])</f>
        <v>Peter Brown</v>
      </c>
      <c r="G2585" t="str">
        <f>_xlfn.XLOOKUP(tblSales[[#This Row],[Category ID]],tblCategories[Category ID],tblCategories[Category])</f>
        <v>Menswear</v>
      </c>
      <c r="H2585">
        <v>35471</v>
      </c>
      <c r="I2585">
        <v>38382</v>
      </c>
      <c r="J2585">
        <v>79</v>
      </c>
      <c r="K2585">
        <f>tblSales[[#This Row],[Sales]]-tblSales[[#This Row],[Budget]]</f>
        <v>-2911</v>
      </c>
      <c r="L2585" s="3">
        <f>(tblSales[[#This Row],[Sales]]-tblSales[[#This Row],[Budget]])/tblSales[[#This Row],[Budget]]</f>
        <v>-7.5842842999322604E-2</v>
      </c>
      <c r="M2585" s="2">
        <f>tblSales[[#This Row],[Sales]]/tblSales[[#This Row],[Transactions]]</f>
        <v>449</v>
      </c>
    </row>
    <row r="2586" spans="1:13" x14ac:dyDescent="0.25">
      <c r="A2586" s="1">
        <v>46152</v>
      </c>
      <c r="B2586" t="s">
        <v>13</v>
      </c>
      <c r="C2586" t="s">
        <v>22</v>
      </c>
      <c r="D2586" t="str">
        <f>_xlfn.XLOOKUP(tblSales[[#This Row],[Store ID]],tblStores[Store ID],tblStores[Store Name])</f>
        <v>Richards Bay</v>
      </c>
      <c r="E2586" t="str">
        <f>_xlfn.XLOOKUP(tblSales[[#This Row],[Store ID]],tblStores[Store ID],tblStores[Province])</f>
        <v>KZN</v>
      </c>
      <c r="F2586" t="str">
        <f>_xlfn.XLOOKUP(tblSales[[#This Row],[Store ID]],tblStores[Store ID],tblStores[Manager])</f>
        <v>David Green</v>
      </c>
      <c r="G2586" t="str">
        <f>_xlfn.XLOOKUP(tblSales[[#This Row],[Category ID]],tblCategories[Category ID],tblCategories[Category])</f>
        <v>Kids</v>
      </c>
      <c r="H2586">
        <v>79550</v>
      </c>
      <c r="I2586">
        <v>73495</v>
      </c>
      <c r="J2586">
        <v>185</v>
      </c>
      <c r="K2586">
        <f>tblSales[[#This Row],[Sales]]-tblSales[[#This Row],[Budget]]</f>
        <v>6055</v>
      </c>
      <c r="L2586" s="3">
        <f>(tblSales[[#This Row],[Sales]]-tblSales[[#This Row],[Budget]])/tblSales[[#This Row],[Budget]]</f>
        <v>8.2386556908633238E-2</v>
      </c>
      <c r="M2586" s="2">
        <f>tblSales[[#This Row],[Sales]]/tblSales[[#This Row],[Transactions]]</f>
        <v>430</v>
      </c>
    </row>
    <row r="2587" spans="1:13" x14ac:dyDescent="0.25">
      <c r="A2587" s="1">
        <v>46152</v>
      </c>
      <c r="B2587" t="s">
        <v>14</v>
      </c>
      <c r="C2587" t="s">
        <v>22</v>
      </c>
      <c r="D2587" t="str">
        <f>_xlfn.XLOOKUP(tblSales[[#This Row],[Store ID]],tblStores[Store ID],tblStores[Store Name])</f>
        <v>Sandton</v>
      </c>
      <c r="E2587" t="str">
        <f>_xlfn.XLOOKUP(tblSales[[#This Row],[Store ID]],tblStores[Store ID],tblStores[Province])</f>
        <v>Gauteng</v>
      </c>
      <c r="F2587" t="str">
        <f>_xlfn.XLOOKUP(tblSales[[#This Row],[Store ID]],tblStores[Store ID],tblStores[Manager])</f>
        <v>Karen White</v>
      </c>
      <c r="G2587" t="str">
        <f>_xlfn.XLOOKUP(tblSales[[#This Row],[Category ID]],tblCategories[Category ID],tblCategories[Category])</f>
        <v>Kids</v>
      </c>
      <c r="H2587">
        <v>101008</v>
      </c>
      <c r="I2587">
        <v>112760</v>
      </c>
      <c r="J2587">
        <v>214</v>
      </c>
      <c r="K2587">
        <f>tblSales[[#This Row],[Sales]]-tblSales[[#This Row],[Budget]]</f>
        <v>-11752</v>
      </c>
      <c r="L2587" s="3">
        <f>(tblSales[[#This Row],[Sales]]-tblSales[[#This Row],[Budget]])/tblSales[[#This Row],[Budget]]</f>
        <v>-0.10422135509045762</v>
      </c>
      <c r="M2587" s="2">
        <f>tblSales[[#This Row],[Sales]]/tblSales[[#This Row],[Transactions]]</f>
        <v>472</v>
      </c>
    </row>
    <row r="2588" spans="1:13" x14ac:dyDescent="0.25">
      <c r="A2588" s="1">
        <v>46152</v>
      </c>
      <c r="B2588" t="s">
        <v>15</v>
      </c>
      <c r="C2588" t="s">
        <v>19</v>
      </c>
      <c r="D2588" t="str">
        <f>_xlfn.XLOOKUP(tblSales[[#This Row],[Store ID]],tblStores[Store ID],tblStores[Store Name])</f>
        <v>Rosebank</v>
      </c>
      <c r="E2588" t="str">
        <f>_xlfn.XLOOKUP(tblSales[[#This Row],[Store ID]],tblStores[Store ID],tblStores[Province])</f>
        <v>Gauteng</v>
      </c>
      <c r="F2588" t="str">
        <f>_xlfn.XLOOKUP(tblSales[[#This Row],[Store ID]],tblStores[Store ID],tblStores[Manager])</f>
        <v>James Taylor</v>
      </c>
      <c r="G2588" t="str">
        <f>_xlfn.XLOOKUP(tblSales[[#This Row],[Category ID]],tblCategories[Category ID],tblCategories[Category])</f>
        <v>Accessories</v>
      </c>
      <c r="H2588">
        <v>51064</v>
      </c>
      <c r="I2588">
        <v>47222</v>
      </c>
      <c r="J2588">
        <v>104</v>
      </c>
      <c r="K2588">
        <f>tblSales[[#This Row],[Sales]]-tblSales[[#This Row],[Budget]]</f>
        <v>3842</v>
      </c>
      <c r="L2588" s="3">
        <f>(tblSales[[#This Row],[Sales]]-tblSales[[#This Row],[Budget]])/tblSales[[#This Row],[Budget]]</f>
        <v>8.1360382872389989E-2</v>
      </c>
      <c r="M2588" s="2">
        <f>tblSales[[#This Row],[Sales]]/tblSales[[#This Row],[Transactions]]</f>
        <v>491</v>
      </c>
    </row>
    <row r="2589" spans="1:13" x14ac:dyDescent="0.25">
      <c r="A2589" s="1">
        <v>46152</v>
      </c>
      <c r="B2589" t="s">
        <v>16</v>
      </c>
      <c r="C2589" t="s">
        <v>7</v>
      </c>
      <c r="D2589" t="str">
        <f>_xlfn.XLOOKUP(tblSales[[#This Row],[Store ID]],tblStores[Store ID],tblStores[Store Name])</f>
        <v>Pretoria</v>
      </c>
      <c r="E2589" t="str">
        <f>_xlfn.XLOOKUP(tblSales[[#This Row],[Store ID]],tblStores[Store ID],tblStores[Province])</f>
        <v>Gauteng</v>
      </c>
      <c r="F2589" t="str">
        <f>_xlfn.XLOOKUP(tblSales[[#This Row],[Store ID]],tblStores[Store ID],tblStores[Manager])</f>
        <v>Susan Clark</v>
      </c>
      <c r="G2589" t="str">
        <f>_xlfn.XLOOKUP(tblSales[[#This Row],[Category ID]],tblCategories[Category ID],tblCategories[Category])</f>
        <v>Menswear</v>
      </c>
      <c r="H2589">
        <v>26676</v>
      </c>
      <c r="I2589">
        <v>30320</v>
      </c>
      <c r="J2589">
        <v>78</v>
      </c>
      <c r="K2589">
        <f>tblSales[[#This Row],[Sales]]-tblSales[[#This Row],[Budget]]</f>
        <v>-3644</v>
      </c>
      <c r="L2589" s="3">
        <f>(tblSales[[#This Row],[Sales]]-tblSales[[#This Row],[Budget]])/tblSales[[#This Row],[Budget]]</f>
        <v>-0.12018469656992084</v>
      </c>
      <c r="M2589" s="2">
        <f>tblSales[[#This Row],[Sales]]/tblSales[[#This Row],[Transactions]]</f>
        <v>342</v>
      </c>
    </row>
    <row r="2590" spans="1:13" x14ac:dyDescent="0.25">
      <c r="A2590" s="1">
        <v>46152</v>
      </c>
      <c r="B2590" t="s">
        <v>17</v>
      </c>
      <c r="C2590" t="s">
        <v>11</v>
      </c>
      <c r="D2590" t="str">
        <f>_xlfn.XLOOKUP(tblSales[[#This Row],[Store ID]],tblStores[Store ID],tblStores[Store Name])</f>
        <v>Centurion</v>
      </c>
      <c r="E2590" t="str">
        <f>_xlfn.XLOOKUP(tblSales[[#This Row],[Store ID]],tblStores[Store ID],tblStores[Province])</f>
        <v>Gauteng</v>
      </c>
      <c r="F2590" t="str">
        <f>_xlfn.XLOOKUP(tblSales[[#This Row],[Store ID]],tblStores[Store ID],tblStores[Manager])</f>
        <v>Mark Wilson</v>
      </c>
      <c r="G2590" t="str">
        <f>_xlfn.XLOOKUP(tblSales[[#This Row],[Category ID]],tblCategories[Category ID],tblCategories[Category])</f>
        <v>Footwear</v>
      </c>
      <c r="H2590">
        <v>28836</v>
      </c>
      <c r="I2590">
        <v>31763</v>
      </c>
      <c r="J2590">
        <v>81</v>
      </c>
      <c r="K2590">
        <f>tblSales[[#This Row],[Sales]]-tblSales[[#This Row],[Budget]]</f>
        <v>-2927</v>
      </c>
      <c r="L2590" s="3">
        <f>(tblSales[[#This Row],[Sales]]-tblSales[[#This Row],[Budget]])/tblSales[[#This Row],[Budget]]</f>
        <v>-9.2151245159462269E-2</v>
      </c>
      <c r="M2590" s="2">
        <f>tblSales[[#This Row],[Sales]]/tblSales[[#This Row],[Transactions]]</f>
        <v>356</v>
      </c>
    </row>
    <row r="2591" spans="1:13" x14ac:dyDescent="0.25">
      <c r="A2591" s="1">
        <v>46152</v>
      </c>
      <c r="B2591" t="s">
        <v>18</v>
      </c>
      <c r="C2591" t="s">
        <v>19</v>
      </c>
      <c r="D2591" t="str">
        <f>_xlfn.XLOOKUP(tblSales[[#This Row],[Store ID]],tblStores[Store ID],tblStores[Store Name])</f>
        <v>East Rand</v>
      </c>
      <c r="E2591" t="str">
        <f>_xlfn.XLOOKUP(tblSales[[#This Row],[Store ID]],tblStores[Store ID],tblStores[Province])</f>
        <v>Gauteng</v>
      </c>
      <c r="F2591" t="str">
        <f>_xlfn.XLOOKUP(tblSales[[#This Row],[Store ID]],tblStores[Store ID],tblStores[Manager])</f>
        <v>Lisa Young</v>
      </c>
      <c r="G2591" t="str">
        <f>_xlfn.XLOOKUP(tblSales[[#This Row],[Category ID]],tblCategories[Category ID],tblCategories[Category])</f>
        <v>Accessories</v>
      </c>
      <c r="H2591">
        <v>85184</v>
      </c>
      <c r="I2591">
        <v>95449</v>
      </c>
      <c r="J2591">
        <v>176</v>
      </c>
      <c r="K2591">
        <f>tblSales[[#This Row],[Sales]]-tblSales[[#This Row],[Budget]]</f>
        <v>-10265</v>
      </c>
      <c r="L2591" s="3">
        <f>(tblSales[[#This Row],[Sales]]-tblSales[[#This Row],[Budget]])/tblSales[[#This Row],[Budget]]</f>
        <v>-0.10754434305231066</v>
      </c>
      <c r="M2591" s="2">
        <f>tblSales[[#This Row],[Sales]]/tblSales[[#This Row],[Transactions]]</f>
        <v>484</v>
      </c>
    </row>
    <row r="2592" spans="1:13" x14ac:dyDescent="0.25">
      <c r="A2592" s="1">
        <v>46152</v>
      </c>
      <c r="B2592" t="s">
        <v>20</v>
      </c>
      <c r="C2592" t="s">
        <v>11</v>
      </c>
      <c r="D2592" t="str">
        <f>_xlfn.XLOOKUP(tblSales[[#This Row],[Store ID]],tblStores[Store ID],tblStores[Store Name])</f>
        <v>Cape Town CBD</v>
      </c>
      <c r="E2592" t="str">
        <f>_xlfn.XLOOKUP(tblSales[[#This Row],[Store ID]],tblStores[Store ID],tblStores[Province])</f>
        <v>Western Cape</v>
      </c>
      <c r="F2592" t="str">
        <f>_xlfn.XLOOKUP(tblSales[[#This Row],[Store ID]],tblStores[Store ID],tblStores[Manager])</f>
        <v>Brian Hall</v>
      </c>
      <c r="G2592" t="str">
        <f>_xlfn.XLOOKUP(tblSales[[#This Row],[Category ID]],tblCategories[Category ID],tblCategories[Category])</f>
        <v>Footwear</v>
      </c>
      <c r="H2592">
        <v>75831</v>
      </c>
      <c r="I2592">
        <v>70666</v>
      </c>
      <c r="J2592">
        <v>157</v>
      </c>
      <c r="K2592">
        <f>tblSales[[#This Row],[Sales]]-tblSales[[#This Row],[Budget]]</f>
        <v>5165</v>
      </c>
      <c r="L2592" s="3">
        <f>(tblSales[[#This Row],[Sales]]-tblSales[[#This Row],[Budget]])/tblSales[[#This Row],[Budget]]</f>
        <v>7.3090312172756342E-2</v>
      </c>
      <c r="M2592" s="2">
        <f>tblSales[[#This Row],[Sales]]/tblSales[[#This Row],[Transactions]]</f>
        <v>483</v>
      </c>
    </row>
    <row r="2593" spans="1:13" x14ac:dyDescent="0.25">
      <c r="A2593" s="1">
        <v>46152</v>
      </c>
      <c r="B2593" t="s">
        <v>21</v>
      </c>
      <c r="C2593" t="s">
        <v>7</v>
      </c>
      <c r="D2593" t="str">
        <f>_xlfn.XLOOKUP(tblSales[[#This Row],[Store ID]],tblStores[Store ID],tblStores[Store Name])</f>
        <v>Canal Walk</v>
      </c>
      <c r="E2593" t="str">
        <f>_xlfn.XLOOKUP(tblSales[[#This Row],[Store ID]],tblStores[Store ID],tblStores[Province])</f>
        <v>Western Cape</v>
      </c>
      <c r="F2593" t="str">
        <f>_xlfn.XLOOKUP(tblSales[[#This Row],[Store ID]],tblStores[Store ID],tblStores[Manager])</f>
        <v>Megan Scott</v>
      </c>
      <c r="G2593" t="str">
        <f>_xlfn.XLOOKUP(tblSales[[#This Row],[Category ID]],tblCategories[Category ID],tblCategories[Category])</f>
        <v>Menswear</v>
      </c>
      <c r="H2593">
        <v>92820</v>
      </c>
      <c r="I2593">
        <v>100088</v>
      </c>
      <c r="J2593">
        <v>210</v>
      </c>
      <c r="K2593">
        <f>tblSales[[#This Row],[Sales]]-tblSales[[#This Row],[Budget]]</f>
        <v>-7268</v>
      </c>
      <c r="L2593" s="3">
        <f>(tblSales[[#This Row],[Sales]]-tblSales[[#This Row],[Budget]])/tblSales[[#This Row],[Budget]]</f>
        <v>-7.2616097833906157E-2</v>
      </c>
      <c r="M2593" s="2">
        <f>tblSales[[#This Row],[Sales]]/tblSales[[#This Row],[Transactions]]</f>
        <v>442</v>
      </c>
    </row>
    <row r="2594" spans="1:13" x14ac:dyDescent="0.25">
      <c r="A2594" s="1">
        <v>46152</v>
      </c>
      <c r="B2594" t="s">
        <v>23</v>
      </c>
      <c r="C2594" t="s">
        <v>9</v>
      </c>
      <c r="D2594" t="str">
        <f>_xlfn.XLOOKUP(tblSales[[#This Row],[Store ID]],tblStores[Store ID],tblStores[Store Name])</f>
        <v>Stellenbosch</v>
      </c>
      <c r="E2594" t="str">
        <f>_xlfn.XLOOKUP(tblSales[[#This Row],[Store ID]],tblStores[Store ID],tblStores[Province])</f>
        <v>Western Cape</v>
      </c>
      <c r="F2594" t="str">
        <f>_xlfn.XLOOKUP(tblSales[[#This Row],[Store ID]],tblStores[Store ID],tblStores[Manager])</f>
        <v>Jason King</v>
      </c>
      <c r="G2594" t="str">
        <f>_xlfn.XLOOKUP(tblSales[[#This Row],[Category ID]],tblCategories[Category ID],tblCategories[Category])</f>
        <v>Ladieswear</v>
      </c>
      <c r="H2594">
        <v>26483</v>
      </c>
      <c r="I2594">
        <v>27592</v>
      </c>
      <c r="J2594">
        <v>71</v>
      </c>
      <c r="K2594">
        <f>tblSales[[#This Row],[Sales]]-tblSales[[#This Row],[Budget]]</f>
        <v>-1109</v>
      </c>
      <c r="L2594" s="3">
        <f>(tblSales[[#This Row],[Sales]]-tblSales[[#This Row],[Budget]])/tblSales[[#This Row],[Budget]]</f>
        <v>-4.0192809510002897E-2</v>
      </c>
      <c r="M2594" s="2">
        <f>tblSales[[#This Row],[Sales]]/tblSales[[#This Row],[Transactions]]</f>
        <v>373</v>
      </c>
    </row>
    <row r="2595" spans="1:13" x14ac:dyDescent="0.25">
      <c r="A2595" s="1">
        <v>46152</v>
      </c>
      <c r="B2595" t="s">
        <v>24</v>
      </c>
      <c r="C2595" t="s">
        <v>22</v>
      </c>
      <c r="D2595" t="str">
        <f>_xlfn.XLOOKUP(tblSales[[#This Row],[Store ID]],tblStores[Store ID],tblStores[Store Name])</f>
        <v>George</v>
      </c>
      <c r="E2595" t="str">
        <f>_xlfn.XLOOKUP(tblSales[[#This Row],[Store ID]],tblStores[Store ID],tblStores[Province])</f>
        <v>Western Cape</v>
      </c>
      <c r="F2595" t="str">
        <f>_xlfn.XLOOKUP(tblSales[[#This Row],[Store ID]],tblStores[Store ID],tblStores[Manager])</f>
        <v>Chloe Hill</v>
      </c>
      <c r="G2595" t="str">
        <f>_xlfn.XLOOKUP(tblSales[[#This Row],[Category ID]],tblCategories[Category ID],tblCategories[Category])</f>
        <v>Kids</v>
      </c>
      <c r="H2595">
        <v>24336</v>
      </c>
      <c r="I2595">
        <v>27831</v>
      </c>
      <c r="J2595">
        <v>48</v>
      </c>
      <c r="K2595">
        <f>tblSales[[#This Row],[Sales]]-tblSales[[#This Row],[Budget]]</f>
        <v>-3495</v>
      </c>
      <c r="L2595" s="3">
        <f>(tblSales[[#This Row],[Sales]]-tblSales[[#This Row],[Budget]])/tblSales[[#This Row],[Budget]]</f>
        <v>-0.12557938988897271</v>
      </c>
      <c r="M2595" s="2">
        <f>tblSales[[#This Row],[Sales]]/tblSales[[#This Row],[Transactions]]</f>
        <v>507</v>
      </c>
    </row>
    <row r="2596" spans="1:13" x14ac:dyDescent="0.25">
      <c r="A2596" s="1">
        <v>46152</v>
      </c>
      <c r="B2596" t="s">
        <v>25</v>
      </c>
      <c r="C2596" t="s">
        <v>9</v>
      </c>
      <c r="D2596" t="str">
        <f>_xlfn.XLOOKUP(tblSales[[#This Row],[Store ID]],tblStores[Store ID],tblStores[Store Name])</f>
        <v>Paarl</v>
      </c>
      <c r="E2596" t="str">
        <f>_xlfn.XLOOKUP(tblSales[[#This Row],[Store ID]],tblStores[Store ID],tblStores[Province])</f>
        <v>Western Cape</v>
      </c>
      <c r="F2596" t="str">
        <f>_xlfn.XLOOKUP(tblSales[[#This Row],[Store ID]],tblStores[Store ID],tblStores[Manager])</f>
        <v>Andrew Lee</v>
      </c>
      <c r="G2596" t="str">
        <f>_xlfn.XLOOKUP(tblSales[[#This Row],[Category ID]],tblCategories[Category ID],tblCategories[Category])</f>
        <v>Ladieswear</v>
      </c>
      <c r="H2596">
        <v>102128</v>
      </c>
      <c r="I2596">
        <v>102593</v>
      </c>
      <c r="J2596">
        <v>208</v>
      </c>
      <c r="K2596">
        <f>tblSales[[#This Row],[Sales]]-tblSales[[#This Row],[Budget]]</f>
        <v>-465</v>
      </c>
      <c r="L2596" s="3">
        <f>(tblSales[[#This Row],[Sales]]-tblSales[[#This Row],[Budget]])/tblSales[[#This Row],[Budget]]</f>
        <v>-4.5324729757390859E-3</v>
      </c>
      <c r="M2596" s="2">
        <f>tblSales[[#This Row],[Sales]]/tblSales[[#This Row],[Transactions]]</f>
        <v>491</v>
      </c>
    </row>
    <row r="2597" spans="1:13" x14ac:dyDescent="0.25">
      <c r="A2597" s="1">
        <v>46152</v>
      </c>
      <c r="B2597" t="s">
        <v>26</v>
      </c>
      <c r="C2597" t="s">
        <v>11</v>
      </c>
      <c r="D2597" t="str">
        <f>_xlfn.XLOOKUP(tblSales[[#This Row],[Store ID]],tblStores[Store ID],tblStores[Store Name])</f>
        <v>Gqeberha</v>
      </c>
      <c r="E2597" t="str">
        <f>_xlfn.XLOOKUP(tblSales[[#This Row],[Store ID]],tblStores[Store ID],tblStores[Province])</f>
        <v>Eastern Cape</v>
      </c>
      <c r="F2597" t="str">
        <f>_xlfn.XLOOKUP(tblSales[[#This Row],[Store ID]],tblStores[Store ID],tblStores[Manager])</f>
        <v>Emma Baker</v>
      </c>
      <c r="G2597" t="str">
        <f>_xlfn.XLOOKUP(tblSales[[#This Row],[Category ID]],tblCategories[Category ID],tblCategories[Category])</f>
        <v>Footwear</v>
      </c>
      <c r="H2597">
        <v>32724</v>
      </c>
      <c r="I2597">
        <v>37520</v>
      </c>
      <c r="J2597">
        <v>81</v>
      </c>
      <c r="K2597">
        <f>tblSales[[#This Row],[Sales]]-tblSales[[#This Row],[Budget]]</f>
        <v>-4796</v>
      </c>
      <c r="L2597" s="3">
        <f>(tblSales[[#This Row],[Sales]]-tblSales[[#This Row],[Budget]])/tblSales[[#This Row],[Budget]]</f>
        <v>-0.12782515991471216</v>
      </c>
      <c r="M2597" s="2">
        <f>tblSales[[#This Row],[Sales]]/tblSales[[#This Row],[Transactions]]</f>
        <v>404</v>
      </c>
    </row>
    <row r="2598" spans="1:13" x14ac:dyDescent="0.25">
      <c r="A2598" s="1">
        <v>46152</v>
      </c>
      <c r="B2598" t="s">
        <v>27</v>
      </c>
      <c r="C2598" t="s">
        <v>11</v>
      </c>
      <c r="D2598" t="str">
        <f>_xlfn.XLOOKUP(tblSales[[#This Row],[Store ID]],tblStores[Store ID],tblStores[Store Name])</f>
        <v>East London</v>
      </c>
      <c r="E2598" t="str">
        <f>_xlfn.XLOOKUP(tblSales[[#This Row],[Store ID]],tblStores[Store ID],tblStores[Province])</f>
        <v>Eastern Cape</v>
      </c>
      <c r="F2598" t="str">
        <f>_xlfn.XLOOKUP(tblSales[[#This Row],[Store ID]],tblStores[Store ID],tblStores[Manager])</f>
        <v>Daniel Evans</v>
      </c>
      <c r="G2598" t="str">
        <f>_xlfn.XLOOKUP(tblSales[[#This Row],[Category ID]],tblCategories[Category ID],tblCategories[Category])</f>
        <v>Footwear</v>
      </c>
      <c r="H2598">
        <v>53138</v>
      </c>
      <c r="I2598">
        <v>51488</v>
      </c>
      <c r="J2598">
        <v>163</v>
      </c>
      <c r="K2598">
        <f>tblSales[[#This Row],[Sales]]-tblSales[[#This Row],[Budget]]</f>
        <v>1650</v>
      </c>
      <c r="L2598" s="3">
        <f>(tblSales[[#This Row],[Sales]]-tblSales[[#This Row],[Budget]])/tblSales[[#This Row],[Budget]]</f>
        <v>3.204630205096333E-2</v>
      </c>
      <c r="M2598" s="2">
        <f>tblSales[[#This Row],[Sales]]/tblSales[[#This Row],[Transactions]]</f>
        <v>326</v>
      </c>
    </row>
    <row r="2599" spans="1:13" x14ac:dyDescent="0.25">
      <c r="A2599" s="1">
        <v>46152</v>
      </c>
      <c r="B2599" t="s">
        <v>28</v>
      </c>
      <c r="C2599" t="s">
        <v>11</v>
      </c>
      <c r="D2599" t="str">
        <f>_xlfn.XLOOKUP(tblSales[[#This Row],[Store ID]],tblStores[Store ID],tblStores[Store Name])</f>
        <v>Bloemfontein</v>
      </c>
      <c r="E2599" t="str">
        <f>_xlfn.XLOOKUP(tblSales[[#This Row],[Store ID]],tblStores[Store ID],tblStores[Province])</f>
        <v>Free State</v>
      </c>
      <c r="F2599" t="str">
        <f>_xlfn.XLOOKUP(tblSales[[#This Row],[Store ID]],tblStores[Store ID],tblStores[Manager])</f>
        <v>Rachel Moore</v>
      </c>
      <c r="G2599" t="str">
        <f>_xlfn.XLOOKUP(tblSales[[#This Row],[Category ID]],tblCategories[Category ID],tblCategories[Category])</f>
        <v>Footwear</v>
      </c>
      <c r="H2599">
        <v>49896</v>
      </c>
      <c r="I2599">
        <v>48713</v>
      </c>
      <c r="J2599">
        <v>168</v>
      </c>
      <c r="K2599">
        <f>tblSales[[#This Row],[Sales]]-tblSales[[#This Row],[Budget]]</f>
        <v>1183</v>
      </c>
      <c r="L2599" s="3">
        <f>(tblSales[[#This Row],[Sales]]-tblSales[[#This Row],[Budget]])/tblSales[[#This Row],[Budget]]</f>
        <v>2.4285098433683001E-2</v>
      </c>
      <c r="M2599" s="2">
        <f>tblSales[[#This Row],[Sales]]/tblSales[[#This Row],[Transactions]]</f>
        <v>297</v>
      </c>
    </row>
    <row r="2600" spans="1:13" x14ac:dyDescent="0.25">
      <c r="A2600" s="1">
        <v>46152</v>
      </c>
      <c r="B2600" t="s">
        <v>29</v>
      </c>
      <c r="C2600" t="s">
        <v>7</v>
      </c>
      <c r="D2600" t="str">
        <f>_xlfn.XLOOKUP(tblSales[[#This Row],[Store ID]],tblStores[Store ID],tblStores[Store Name])</f>
        <v>Polokwane</v>
      </c>
      <c r="E2600" t="str">
        <f>_xlfn.XLOOKUP(tblSales[[#This Row],[Store ID]],tblStores[Store ID],tblStores[Province])</f>
        <v>Limpopo</v>
      </c>
      <c r="F2600" t="str">
        <f>_xlfn.XLOOKUP(tblSales[[#This Row],[Store ID]],tblStores[Store ID],tblStores[Manager])</f>
        <v>Kevin Harris</v>
      </c>
      <c r="G2600" t="str">
        <f>_xlfn.XLOOKUP(tblSales[[#This Row],[Category ID]],tblCategories[Category ID],tblCategories[Category])</f>
        <v>Menswear</v>
      </c>
      <c r="H2600">
        <v>43844</v>
      </c>
      <c r="I2600">
        <v>47905</v>
      </c>
      <c r="J2600">
        <v>113</v>
      </c>
      <c r="K2600">
        <f>tblSales[[#This Row],[Sales]]-tblSales[[#This Row],[Budget]]</f>
        <v>-4061</v>
      </c>
      <c r="L2600" s="3">
        <f>(tblSales[[#This Row],[Sales]]-tblSales[[#This Row],[Budget]])/tblSales[[#This Row],[Budget]]</f>
        <v>-8.4771944473437014E-2</v>
      </c>
      <c r="M2600" s="2">
        <f>tblSales[[#This Row],[Sales]]/tblSales[[#This Row],[Transactions]]</f>
        <v>388</v>
      </c>
    </row>
    <row r="2601" spans="1:13" x14ac:dyDescent="0.25">
      <c r="A2601" s="1">
        <v>46152</v>
      </c>
      <c r="B2601" t="s">
        <v>30</v>
      </c>
      <c r="C2601" t="s">
        <v>7</v>
      </c>
      <c r="D2601" t="str">
        <f>_xlfn.XLOOKUP(tblSales[[#This Row],[Store ID]],tblStores[Store ID],tblStores[Store Name])</f>
        <v>Nelspruit</v>
      </c>
      <c r="E2601" t="str">
        <f>_xlfn.XLOOKUP(tblSales[[#This Row],[Store ID]],tblStores[Store ID],tblStores[Province])</f>
        <v>Mpumalanga</v>
      </c>
      <c r="F2601" t="str">
        <f>_xlfn.XLOOKUP(tblSales[[#This Row],[Store ID]],tblStores[Store ID],tblStores[Manager])</f>
        <v>Olivia Turner</v>
      </c>
      <c r="G2601" t="str">
        <f>_xlfn.XLOOKUP(tblSales[[#This Row],[Category ID]],tblCategories[Category ID],tblCategories[Category])</f>
        <v>Menswear</v>
      </c>
      <c r="H2601">
        <v>43340</v>
      </c>
      <c r="I2601">
        <v>39836</v>
      </c>
      <c r="J2601">
        <v>197</v>
      </c>
      <c r="K2601">
        <f>tblSales[[#This Row],[Sales]]-tblSales[[#This Row],[Budget]]</f>
        <v>3504</v>
      </c>
      <c r="L2601" s="3">
        <f>(tblSales[[#This Row],[Sales]]-tblSales[[#This Row],[Budget]])/tblSales[[#This Row],[Budget]]</f>
        <v>8.7960638618335169E-2</v>
      </c>
      <c r="M2601" s="2">
        <f>tblSales[[#This Row],[Sales]]/tblSales[[#This Row],[Transactions]]</f>
        <v>220</v>
      </c>
    </row>
    <row r="2602" spans="1:13" x14ac:dyDescent="0.25">
      <c r="A2602" s="1">
        <v>46153</v>
      </c>
      <c r="B2602" t="s">
        <v>6</v>
      </c>
      <c r="C2602" t="s">
        <v>9</v>
      </c>
      <c r="D2602" t="str">
        <f>_xlfn.XLOOKUP(tblSales[[#This Row],[Store ID]],tblStores[Store ID],tblStores[Store Name])</f>
        <v>Durban CBD</v>
      </c>
      <c r="E2602" t="str">
        <f>_xlfn.XLOOKUP(tblSales[[#This Row],[Store ID]],tblStores[Store ID],tblStores[Province])</f>
        <v>KZN</v>
      </c>
      <c r="F2602" t="str">
        <f>_xlfn.XLOOKUP(tblSales[[#This Row],[Store ID]],tblStores[Store ID],tblStores[Manager])</f>
        <v>Sarah Adams</v>
      </c>
      <c r="G2602" t="str">
        <f>_xlfn.XLOOKUP(tblSales[[#This Row],[Category ID]],tblCategories[Category ID],tblCategories[Category])</f>
        <v>Ladieswear</v>
      </c>
      <c r="H2602">
        <v>15312</v>
      </c>
      <c r="I2602">
        <v>15983</v>
      </c>
      <c r="J2602">
        <v>58</v>
      </c>
      <c r="K2602">
        <f>tblSales[[#This Row],[Sales]]-tblSales[[#This Row],[Budget]]</f>
        <v>-671</v>
      </c>
      <c r="L2602" s="3">
        <f>(tblSales[[#This Row],[Sales]]-tblSales[[#This Row],[Budget]])/tblSales[[#This Row],[Budget]]</f>
        <v>-4.1982105987611838E-2</v>
      </c>
      <c r="M2602" s="2">
        <f>tblSales[[#This Row],[Sales]]/tblSales[[#This Row],[Transactions]]</f>
        <v>264</v>
      </c>
    </row>
    <row r="2603" spans="1:13" x14ac:dyDescent="0.25">
      <c r="A2603" s="1">
        <v>46153</v>
      </c>
      <c r="B2603" t="s">
        <v>8</v>
      </c>
      <c r="C2603" t="s">
        <v>7</v>
      </c>
      <c r="D2603" t="str">
        <f>_xlfn.XLOOKUP(tblSales[[#This Row],[Store ID]],tblStores[Store ID],tblStores[Store Name])</f>
        <v>Gateway</v>
      </c>
      <c r="E2603" t="str">
        <f>_xlfn.XLOOKUP(tblSales[[#This Row],[Store ID]],tblStores[Store ID],tblStores[Province])</f>
        <v>KZN</v>
      </c>
      <c r="F2603" t="str">
        <f>_xlfn.XLOOKUP(tblSales[[#This Row],[Store ID]],tblStores[Store ID],tblStores[Manager])</f>
        <v>Michael Jones</v>
      </c>
      <c r="G2603" t="str">
        <f>_xlfn.XLOOKUP(tblSales[[#This Row],[Category ID]],tblCategories[Category ID],tblCategories[Category])</f>
        <v>Menswear</v>
      </c>
      <c r="H2603">
        <v>50004</v>
      </c>
      <c r="I2603">
        <v>56624</v>
      </c>
      <c r="J2603">
        <v>108</v>
      </c>
      <c r="K2603">
        <f>tblSales[[#This Row],[Sales]]-tblSales[[#This Row],[Budget]]</f>
        <v>-6620</v>
      </c>
      <c r="L2603" s="3">
        <f>(tblSales[[#This Row],[Sales]]-tblSales[[#This Row],[Budget]])/tblSales[[#This Row],[Budget]]</f>
        <v>-0.11691155693698785</v>
      </c>
      <c r="M2603" s="2">
        <f>tblSales[[#This Row],[Sales]]/tblSales[[#This Row],[Transactions]]</f>
        <v>463</v>
      </c>
    </row>
    <row r="2604" spans="1:13" x14ac:dyDescent="0.25">
      <c r="A2604" s="1">
        <v>46153</v>
      </c>
      <c r="B2604" t="s">
        <v>10</v>
      </c>
      <c r="C2604" t="s">
        <v>7</v>
      </c>
      <c r="D2604" t="str">
        <f>_xlfn.XLOOKUP(tblSales[[#This Row],[Store ID]],tblStores[Store ID],tblStores[Store Name])</f>
        <v>Ballito</v>
      </c>
      <c r="E2604" t="str">
        <f>_xlfn.XLOOKUP(tblSales[[#This Row],[Store ID]],tblStores[Store ID],tblStores[Province])</f>
        <v>KZN</v>
      </c>
      <c r="F2604" t="str">
        <f>_xlfn.XLOOKUP(tblSales[[#This Row],[Store ID]],tblStores[Store ID],tblStores[Manager])</f>
        <v>Linda Smith</v>
      </c>
      <c r="G2604" t="str">
        <f>_xlfn.XLOOKUP(tblSales[[#This Row],[Category ID]],tblCategories[Category ID],tblCategories[Category])</f>
        <v>Menswear</v>
      </c>
      <c r="H2604">
        <v>62920</v>
      </c>
      <c r="I2604">
        <v>71295</v>
      </c>
      <c r="J2604">
        <v>143</v>
      </c>
      <c r="K2604">
        <f>tblSales[[#This Row],[Sales]]-tblSales[[#This Row],[Budget]]</f>
        <v>-8375</v>
      </c>
      <c r="L2604" s="3">
        <f>(tblSales[[#This Row],[Sales]]-tblSales[[#This Row],[Budget]])/tblSales[[#This Row],[Budget]]</f>
        <v>-0.11746966827968301</v>
      </c>
      <c r="M2604" s="2">
        <f>tblSales[[#This Row],[Sales]]/tblSales[[#This Row],[Transactions]]</f>
        <v>440</v>
      </c>
    </row>
    <row r="2605" spans="1:13" x14ac:dyDescent="0.25">
      <c r="A2605" s="1">
        <v>46153</v>
      </c>
      <c r="B2605" t="s">
        <v>12</v>
      </c>
      <c r="C2605" t="s">
        <v>9</v>
      </c>
      <c r="D2605" t="str">
        <f>_xlfn.XLOOKUP(tblSales[[#This Row],[Store ID]],tblStores[Store ID],tblStores[Store Name])</f>
        <v>Pietermaritzburg</v>
      </c>
      <c r="E2605" t="str">
        <f>_xlfn.XLOOKUP(tblSales[[#This Row],[Store ID]],tblStores[Store ID],tblStores[Province])</f>
        <v>KZN</v>
      </c>
      <c r="F2605" t="str">
        <f>_xlfn.XLOOKUP(tblSales[[#This Row],[Store ID]],tblStores[Store ID],tblStores[Manager])</f>
        <v>Peter Brown</v>
      </c>
      <c r="G2605" t="str">
        <f>_xlfn.XLOOKUP(tblSales[[#This Row],[Category ID]],tblCategories[Category ID],tblCategories[Category])</f>
        <v>Ladieswear</v>
      </c>
      <c r="H2605">
        <v>68138</v>
      </c>
      <c r="I2605">
        <v>70097</v>
      </c>
      <c r="J2605">
        <v>157</v>
      </c>
      <c r="K2605">
        <f>tblSales[[#This Row],[Sales]]-tblSales[[#This Row],[Budget]]</f>
        <v>-1959</v>
      </c>
      <c r="L2605" s="3">
        <f>(tblSales[[#This Row],[Sales]]-tblSales[[#This Row],[Budget]])/tblSales[[#This Row],[Budget]]</f>
        <v>-2.7946987745552591E-2</v>
      </c>
      <c r="M2605" s="2">
        <f>tblSales[[#This Row],[Sales]]/tblSales[[#This Row],[Transactions]]</f>
        <v>434</v>
      </c>
    </row>
    <row r="2606" spans="1:13" x14ac:dyDescent="0.25">
      <c r="A2606" s="1">
        <v>46153</v>
      </c>
      <c r="B2606" t="s">
        <v>13</v>
      </c>
      <c r="C2606" t="s">
        <v>19</v>
      </c>
      <c r="D2606" t="str">
        <f>_xlfn.XLOOKUP(tblSales[[#This Row],[Store ID]],tblStores[Store ID],tblStores[Store Name])</f>
        <v>Richards Bay</v>
      </c>
      <c r="E2606" t="str">
        <f>_xlfn.XLOOKUP(tblSales[[#This Row],[Store ID]],tblStores[Store ID],tblStores[Province])</f>
        <v>KZN</v>
      </c>
      <c r="F2606" t="str">
        <f>_xlfn.XLOOKUP(tblSales[[#This Row],[Store ID]],tblStores[Store ID],tblStores[Manager])</f>
        <v>David Green</v>
      </c>
      <c r="G2606" t="str">
        <f>_xlfn.XLOOKUP(tblSales[[#This Row],[Category ID]],tblCategories[Category ID],tblCategories[Category])</f>
        <v>Accessories</v>
      </c>
      <c r="H2606">
        <v>51759</v>
      </c>
      <c r="I2606">
        <v>51829</v>
      </c>
      <c r="J2606">
        <v>213</v>
      </c>
      <c r="K2606">
        <f>tblSales[[#This Row],[Sales]]-tblSales[[#This Row],[Budget]]</f>
        <v>-70</v>
      </c>
      <c r="L2606" s="3">
        <f>(tblSales[[#This Row],[Sales]]-tblSales[[#This Row],[Budget]])/tblSales[[#This Row],[Budget]]</f>
        <v>-1.3505952266105849E-3</v>
      </c>
      <c r="M2606" s="2">
        <f>tblSales[[#This Row],[Sales]]/tblSales[[#This Row],[Transactions]]</f>
        <v>243</v>
      </c>
    </row>
    <row r="2607" spans="1:13" x14ac:dyDescent="0.25">
      <c r="A2607" s="1">
        <v>46153</v>
      </c>
      <c r="B2607" t="s">
        <v>14</v>
      </c>
      <c r="C2607" t="s">
        <v>19</v>
      </c>
      <c r="D2607" t="str">
        <f>_xlfn.XLOOKUP(tblSales[[#This Row],[Store ID]],tblStores[Store ID],tblStores[Store Name])</f>
        <v>Sandton</v>
      </c>
      <c r="E2607" t="str">
        <f>_xlfn.XLOOKUP(tblSales[[#This Row],[Store ID]],tblStores[Store ID],tblStores[Province])</f>
        <v>Gauteng</v>
      </c>
      <c r="F2607" t="str">
        <f>_xlfn.XLOOKUP(tblSales[[#This Row],[Store ID]],tblStores[Store ID],tblStores[Manager])</f>
        <v>Karen White</v>
      </c>
      <c r="G2607" t="str">
        <f>_xlfn.XLOOKUP(tblSales[[#This Row],[Category ID]],tblCategories[Category ID],tblCategories[Category])</f>
        <v>Accessories</v>
      </c>
      <c r="H2607">
        <v>15189</v>
      </c>
      <c r="I2607">
        <v>16381</v>
      </c>
      <c r="J2607">
        <v>83</v>
      </c>
      <c r="K2607">
        <f>tblSales[[#This Row],[Sales]]-tblSales[[#This Row],[Budget]]</f>
        <v>-1192</v>
      </c>
      <c r="L2607" s="3">
        <f>(tblSales[[#This Row],[Sales]]-tblSales[[#This Row],[Budget]])/tblSales[[#This Row],[Budget]]</f>
        <v>-7.2767230327818816E-2</v>
      </c>
      <c r="M2607" s="2">
        <f>tblSales[[#This Row],[Sales]]/tblSales[[#This Row],[Transactions]]</f>
        <v>183</v>
      </c>
    </row>
    <row r="2608" spans="1:13" x14ac:dyDescent="0.25">
      <c r="A2608" s="1">
        <v>46153</v>
      </c>
      <c r="B2608" t="s">
        <v>15</v>
      </c>
      <c r="C2608" t="s">
        <v>19</v>
      </c>
      <c r="D2608" t="str">
        <f>_xlfn.XLOOKUP(tblSales[[#This Row],[Store ID]],tblStores[Store ID],tblStores[Store Name])</f>
        <v>Rosebank</v>
      </c>
      <c r="E2608" t="str">
        <f>_xlfn.XLOOKUP(tblSales[[#This Row],[Store ID]],tblStores[Store ID],tblStores[Province])</f>
        <v>Gauteng</v>
      </c>
      <c r="F2608" t="str">
        <f>_xlfn.XLOOKUP(tblSales[[#This Row],[Store ID]],tblStores[Store ID],tblStores[Manager])</f>
        <v>James Taylor</v>
      </c>
      <c r="G2608" t="str">
        <f>_xlfn.XLOOKUP(tblSales[[#This Row],[Category ID]],tblCategories[Category ID],tblCategories[Category])</f>
        <v>Accessories</v>
      </c>
      <c r="H2608">
        <v>37515</v>
      </c>
      <c r="I2608">
        <v>43088</v>
      </c>
      <c r="J2608">
        <v>123</v>
      </c>
      <c r="K2608">
        <f>tblSales[[#This Row],[Sales]]-tblSales[[#This Row],[Budget]]</f>
        <v>-5573</v>
      </c>
      <c r="L2608" s="3">
        <f>(tblSales[[#This Row],[Sales]]-tblSales[[#This Row],[Budget]])/tblSales[[#This Row],[Budget]]</f>
        <v>-0.12933995544002971</v>
      </c>
      <c r="M2608" s="2">
        <f>tblSales[[#This Row],[Sales]]/tblSales[[#This Row],[Transactions]]</f>
        <v>305</v>
      </c>
    </row>
    <row r="2609" spans="1:13" x14ac:dyDescent="0.25">
      <c r="A2609" s="1">
        <v>46153</v>
      </c>
      <c r="B2609" t="s">
        <v>16</v>
      </c>
      <c r="C2609" t="s">
        <v>19</v>
      </c>
      <c r="D2609" t="str">
        <f>_xlfn.XLOOKUP(tblSales[[#This Row],[Store ID]],tblStores[Store ID],tblStores[Store Name])</f>
        <v>Pretoria</v>
      </c>
      <c r="E2609" t="str">
        <f>_xlfn.XLOOKUP(tblSales[[#This Row],[Store ID]],tblStores[Store ID],tblStores[Province])</f>
        <v>Gauteng</v>
      </c>
      <c r="F2609" t="str">
        <f>_xlfn.XLOOKUP(tblSales[[#This Row],[Store ID]],tblStores[Store ID],tblStores[Manager])</f>
        <v>Susan Clark</v>
      </c>
      <c r="G2609" t="str">
        <f>_xlfn.XLOOKUP(tblSales[[#This Row],[Category ID]],tblCategories[Category ID],tblCategories[Category])</f>
        <v>Accessories</v>
      </c>
      <c r="H2609">
        <v>103110</v>
      </c>
      <c r="I2609">
        <v>93890</v>
      </c>
      <c r="J2609">
        <v>210</v>
      </c>
      <c r="K2609">
        <f>tblSales[[#This Row],[Sales]]-tblSales[[#This Row],[Budget]]</f>
        <v>9220</v>
      </c>
      <c r="L2609" s="3">
        <f>(tblSales[[#This Row],[Sales]]-tblSales[[#This Row],[Budget]])/tblSales[[#This Row],[Budget]]</f>
        <v>9.8200021301523055E-2</v>
      </c>
      <c r="M2609" s="2">
        <f>tblSales[[#This Row],[Sales]]/tblSales[[#This Row],[Transactions]]</f>
        <v>491</v>
      </c>
    </row>
    <row r="2610" spans="1:13" x14ac:dyDescent="0.25">
      <c r="A2610" s="1">
        <v>46153</v>
      </c>
      <c r="B2610" t="s">
        <v>17</v>
      </c>
      <c r="C2610" t="s">
        <v>11</v>
      </c>
      <c r="D2610" t="str">
        <f>_xlfn.XLOOKUP(tblSales[[#This Row],[Store ID]],tblStores[Store ID],tblStores[Store Name])</f>
        <v>Centurion</v>
      </c>
      <c r="E2610" t="str">
        <f>_xlfn.XLOOKUP(tblSales[[#This Row],[Store ID]],tblStores[Store ID],tblStores[Province])</f>
        <v>Gauteng</v>
      </c>
      <c r="F2610" t="str">
        <f>_xlfn.XLOOKUP(tblSales[[#This Row],[Store ID]],tblStores[Store ID],tblStores[Manager])</f>
        <v>Mark Wilson</v>
      </c>
      <c r="G2610" t="str">
        <f>_xlfn.XLOOKUP(tblSales[[#This Row],[Category ID]],tblCategories[Category ID],tblCategories[Category])</f>
        <v>Footwear</v>
      </c>
      <c r="H2610">
        <v>34944</v>
      </c>
      <c r="I2610">
        <v>39345</v>
      </c>
      <c r="J2610">
        <v>78</v>
      </c>
      <c r="K2610">
        <f>tblSales[[#This Row],[Sales]]-tblSales[[#This Row],[Budget]]</f>
        <v>-4401</v>
      </c>
      <c r="L2610" s="3">
        <f>(tblSales[[#This Row],[Sales]]-tblSales[[#This Row],[Budget]])/tblSales[[#This Row],[Budget]]</f>
        <v>-0.1118566526877621</v>
      </c>
      <c r="M2610" s="2">
        <f>tblSales[[#This Row],[Sales]]/tblSales[[#This Row],[Transactions]]</f>
        <v>448</v>
      </c>
    </row>
    <row r="2611" spans="1:13" x14ac:dyDescent="0.25">
      <c r="A2611" s="1">
        <v>46153</v>
      </c>
      <c r="B2611" t="s">
        <v>18</v>
      </c>
      <c r="C2611" t="s">
        <v>9</v>
      </c>
      <c r="D2611" t="str">
        <f>_xlfn.XLOOKUP(tblSales[[#This Row],[Store ID]],tblStores[Store ID],tblStores[Store Name])</f>
        <v>East Rand</v>
      </c>
      <c r="E2611" t="str">
        <f>_xlfn.XLOOKUP(tblSales[[#This Row],[Store ID]],tblStores[Store ID],tblStores[Province])</f>
        <v>Gauteng</v>
      </c>
      <c r="F2611" t="str">
        <f>_xlfn.XLOOKUP(tblSales[[#This Row],[Store ID]],tblStores[Store ID],tblStores[Manager])</f>
        <v>Lisa Young</v>
      </c>
      <c r="G2611" t="str">
        <f>_xlfn.XLOOKUP(tblSales[[#This Row],[Category ID]],tblCategories[Category ID],tblCategories[Category])</f>
        <v>Ladieswear</v>
      </c>
      <c r="H2611">
        <v>19818</v>
      </c>
      <c r="I2611">
        <v>21995</v>
      </c>
      <c r="J2611">
        <v>54</v>
      </c>
      <c r="K2611">
        <f>tblSales[[#This Row],[Sales]]-tblSales[[#This Row],[Budget]]</f>
        <v>-2177</v>
      </c>
      <c r="L2611" s="3">
        <f>(tblSales[[#This Row],[Sales]]-tblSales[[#This Row],[Budget]])/tblSales[[#This Row],[Budget]]</f>
        <v>-9.8977040236417374E-2</v>
      </c>
      <c r="M2611" s="2">
        <f>tblSales[[#This Row],[Sales]]/tblSales[[#This Row],[Transactions]]</f>
        <v>367</v>
      </c>
    </row>
    <row r="2612" spans="1:13" x14ac:dyDescent="0.25">
      <c r="A2612" s="1">
        <v>46153</v>
      </c>
      <c r="B2612" t="s">
        <v>20</v>
      </c>
      <c r="C2612" t="s">
        <v>19</v>
      </c>
      <c r="D2612" t="str">
        <f>_xlfn.XLOOKUP(tblSales[[#This Row],[Store ID]],tblStores[Store ID],tblStores[Store Name])</f>
        <v>Cape Town CBD</v>
      </c>
      <c r="E2612" t="str">
        <f>_xlfn.XLOOKUP(tblSales[[#This Row],[Store ID]],tblStores[Store ID],tblStores[Province])</f>
        <v>Western Cape</v>
      </c>
      <c r="F2612" t="str">
        <f>_xlfn.XLOOKUP(tblSales[[#This Row],[Store ID]],tblStores[Store ID],tblStores[Manager])</f>
        <v>Brian Hall</v>
      </c>
      <c r="G2612" t="str">
        <f>_xlfn.XLOOKUP(tblSales[[#This Row],[Category ID]],tblCategories[Category ID],tblCategories[Category])</f>
        <v>Accessories</v>
      </c>
      <c r="H2612">
        <v>25750</v>
      </c>
      <c r="I2612">
        <v>25896</v>
      </c>
      <c r="J2612">
        <v>125</v>
      </c>
      <c r="K2612">
        <f>tblSales[[#This Row],[Sales]]-tblSales[[#This Row],[Budget]]</f>
        <v>-146</v>
      </c>
      <c r="L2612" s="3">
        <f>(tblSales[[#This Row],[Sales]]-tblSales[[#This Row],[Budget]])/tblSales[[#This Row],[Budget]]</f>
        <v>-5.6379363608279271E-3</v>
      </c>
      <c r="M2612" s="2">
        <f>tblSales[[#This Row],[Sales]]/tblSales[[#This Row],[Transactions]]</f>
        <v>206</v>
      </c>
    </row>
    <row r="2613" spans="1:13" x14ac:dyDescent="0.25">
      <c r="A2613" s="1">
        <v>46153</v>
      </c>
      <c r="B2613" t="s">
        <v>21</v>
      </c>
      <c r="C2613" t="s">
        <v>11</v>
      </c>
      <c r="D2613" t="str">
        <f>_xlfn.XLOOKUP(tblSales[[#This Row],[Store ID]],tblStores[Store ID],tblStores[Store Name])</f>
        <v>Canal Walk</v>
      </c>
      <c r="E2613" t="str">
        <f>_xlfn.XLOOKUP(tblSales[[#This Row],[Store ID]],tblStores[Store ID],tblStores[Province])</f>
        <v>Western Cape</v>
      </c>
      <c r="F2613" t="str">
        <f>_xlfn.XLOOKUP(tblSales[[#This Row],[Store ID]],tblStores[Store ID],tblStores[Manager])</f>
        <v>Megan Scott</v>
      </c>
      <c r="G2613" t="str">
        <f>_xlfn.XLOOKUP(tblSales[[#This Row],[Category ID]],tblCategories[Category ID],tblCategories[Category])</f>
        <v>Footwear</v>
      </c>
      <c r="H2613">
        <v>28938</v>
      </c>
      <c r="I2613">
        <v>33059</v>
      </c>
      <c r="J2613">
        <v>78</v>
      </c>
      <c r="K2613">
        <f>tblSales[[#This Row],[Sales]]-tblSales[[#This Row],[Budget]]</f>
        <v>-4121</v>
      </c>
      <c r="L2613" s="3">
        <f>(tblSales[[#This Row],[Sales]]-tblSales[[#This Row],[Budget]])/tblSales[[#This Row],[Budget]]</f>
        <v>-0.12465591820684231</v>
      </c>
      <c r="M2613" s="2">
        <f>tblSales[[#This Row],[Sales]]/tblSales[[#This Row],[Transactions]]</f>
        <v>371</v>
      </c>
    </row>
    <row r="2614" spans="1:13" x14ac:dyDescent="0.25">
      <c r="A2614" s="1">
        <v>46153</v>
      </c>
      <c r="B2614" t="s">
        <v>23</v>
      </c>
      <c r="C2614" t="s">
        <v>22</v>
      </c>
      <c r="D2614" t="str">
        <f>_xlfn.XLOOKUP(tblSales[[#This Row],[Store ID]],tblStores[Store ID],tblStores[Store Name])</f>
        <v>Stellenbosch</v>
      </c>
      <c r="E2614" t="str">
        <f>_xlfn.XLOOKUP(tblSales[[#This Row],[Store ID]],tblStores[Store ID],tblStores[Province])</f>
        <v>Western Cape</v>
      </c>
      <c r="F2614" t="str">
        <f>_xlfn.XLOOKUP(tblSales[[#This Row],[Store ID]],tblStores[Store ID],tblStores[Manager])</f>
        <v>Jason King</v>
      </c>
      <c r="G2614" t="str">
        <f>_xlfn.XLOOKUP(tblSales[[#This Row],[Category ID]],tblCategories[Category ID],tblCategories[Category])</f>
        <v>Kids</v>
      </c>
      <c r="H2614">
        <v>63856</v>
      </c>
      <c r="I2614">
        <v>70748</v>
      </c>
      <c r="J2614">
        <v>208</v>
      </c>
      <c r="K2614">
        <f>tblSales[[#This Row],[Sales]]-tblSales[[#This Row],[Budget]]</f>
        <v>-6892</v>
      </c>
      <c r="L2614" s="3">
        <f>(tblSales[[#This Row],[Sales]]-tblSales[[#This Row],[Budget]])/tblSales[[#This Row],[Budget]]</f>
        <v>-9.7416181376151975E-2</v>
      </c>
      <c r="M2614" s="2">
        <f>tblSales[[#This Row],[Sales]]/tblSales[[#This Row],[Transactions]]</f>
        <v>307</v>
      </c>
    </row>
    <row r="2615" spans="1:13" x14ac:dyDescent="0.25">
      <c r="A2615" s="1">
        <v>46153</v>
      </c>
      <c r="B2615" t="s">
        <v>24</v>
      </c>
      <c r="C2615" t="s">
        <v>7</v>
      </c>
      <c r="D2615" t="str">
        <f>_xlfn.XLOOKUP(tblSales[[#This Row],[Store ID]],tblStores[Store ID],tblStores[Store Name])</f>
        <v>George</v>
      </c>
      <c r="E2615" t="str">
        <f>_xlfn.XLOOKUP(tblSales[[#This Row],[Store ID]],tblStores[Store ID],tblStores[Province])</f>
        <v>Western Cape</v>
      </c>
      <c r="F2615" t="str">
        <f>_xlfn.XLOOKUP(tblSales[[#This Row],[Store ID]],tblStores[Store ID],tblStores[Manager])</f>
        <v>Chloe Hill</v>
      </c>
      <c r="G2615" t="str">
        <f>_xlfn.XLOOKUP(tblSales[[#This Row],[Category ID]],tblCategories[Category ID],tblCategories[Category])</f>
        <v>Menswear</v>
      </c>
      <c r="H2615">
        <v>36297</v>
      </c>
      <c r="I2615">
        <v>37051</v>
      </c>
      <c r="J2615">
        <v>109</v>
      </c>
      <c r="K2615">
        <f>tblSales[[#This Row],[Sales]]-tblSales[[#This Row],[Budget]]</f>
        <v>-754</v>
      </c>
      <c r="L2615" s="3">
        <f>(tblSales[[#This Row],[Sales]]-tblSales[[#This Row],[Budget]])/tblSales[[#This Row],[Budget]]</f>
        <v>-2.0350327926371758E-2</v>
      </c>
      <c r="M2615" s="2">
        <f>tblSales[[#This Row],[Sales]]/tblSales[[#This Row],[Transactions]]</f>
        <v>333</v>
      </c>
    </row>
    <row r="2616" spans="1:13" x14ac:dyDescent="0.25">
      <c r="A2616" s="1">
        <v>46153</v>
      </c>
      <c r="B2616" t="s">
        <v>25</v>
      </c>
      <c r="C2616" t="s">
        <v>22</v>
      </c>
      <c r="D2616" t="str">
        <f>_xlfn.XLOOKUP(tblSales[[#This Row],[Store ID]],tblStores[Store ID],tblStores[Store Name])</f>
        <v>Paarl</v>
      </c>
      <c r="E2616" t="str">
        <f>_xlfn.XLOOKUP(tblSales[[#This Row],[Store ID]],tblStores[Store ID],tblStores[Province])</f>
        <v>Western Cape</v>
      </c>
      <c r="F2616" t="str">
        <f>_xlfn.XLOOKUP(tblSales[[#This Row],[Store ID]],tblStores[Store ID],tblStores[Manager])</f>
        <v>Andrew Lee</v>
      </c>
      <c r="G2616" t="str">
        <f>_xlfn.XLOOKUP(tblSales[[#This Row],[Category ID]],tblCategories[Category ID],tblCategories[Category])</f>
        <v>Kids</v>
      </c>
      <c r="H2616">
        <v>16109</v>
      </c>
      <c r="I2616">
        <v>17470</v>
      </c>
      <c r="J2616">
        <v>89</v>
      </c>
      <c r="K2616">
        <f>tblSales[[#This Row],[Sales]]-tblSales[[#This Row],[Budget]]</f>
        <v>-1361</v>
      </c>
      <c r="L2616" s="3">
        <f>(tblSales[[#This Row],[Sales]]-tblSales[[#This Row],[Budget]])/tblSales[[#This Row],[Budget]]</f>
        <v>-7.7904979965655416E-2</v>
      </c>
      <c r="M2616" s="2">
        <f>tblSales[[#This Row],[Sales]]/tblSales[[#This Row],[Transactions]]</f>
        <v>181</v>
      </c>
    </row>
    <row r="2617" spans="1:13" x14ac:dyDescent="0.25">
      <c r="A2617" s="1">
        <v>46153</v>
      </c>
      <c r="B2617" t="s">
        <v>26</v>
      </c>
      <c r="C2617" t="s">
        <v>19</v>
      </c>
      <c r="D2617" t="str">
        <f>_xlfn.XLOOKUP(tblSales[[#This Row],[Store ID]],tblStores[Store ID],tblStores[Store Name])</f>
        <v>Gqeberha</v>
      </c>
      <c r="E2617" t="str">
        <f>_xlfn.XLOOKUP(tblSales[[#This Row],[Store ID]],tblStores[Store ID],tblStores[Province])</f>
        <v>Eastern Cape</v>
      </c>
      <c r="F2617" t="str">
        <f>_xlfn.XLOOKUP(tblSales[[#This Row],[Store ID]],tblStores[Store ID],tblStores[Manager])</f>
        <v>Emma Baker</v>
      </c>
      <c r="G2617" t="str">
        <f>_xlfn.XLOOKUP(tblSales[[#This Row],[Category ID]],tblCategories[Category ID],tblCategories[Category])</f>
        <v>Accessories</v>
      </c>
      <c r="H2617">
        <v>39285</v>
      </c>
      <c r="I2617">
        <v>44422</v>
      </c>
      <c r="J2617">
        <v>135</v>
      </c>
      <c r="K2617">
        <f>tblSales[[#This Row],[Sales]]-tblSales[[#This Row],[Budget]]</f>
        <v>-5137</v>
      </c>
      <c r="L2617" s="3">
        <f>(tblSales[[#This Row],[Sales]]-tblSales[[#This Row],[Budget]])/tblSales[[#This Row],[Budget]]</f>
        <v>-0.11564089865382018</v>
      </c>
      <c r="M2617" s="2">
        <f>tblSales[[#This Row],[Sales]]/tblSales[[#This Row],[Transactions]]</f>
        <v>291</v>
      </c>
    </row>
    <row r="2618" spans="1:13" x14ac:dyDescent="0.25">
      <c r="A2618" s="1">
        <v>46153</v>
      </c>
      <c r="B2618" t="s">
        <v>27</v>
      </c>
      <c r="C2618" t="s">
        <v>19</v>
      </c>
      <c r="D2618" t="str">
        <f>_xlfn.XLOOKUP(tblSales[[#This Row],[Store ID]],tblStores[Store ID],tblStores[Store Name])</f>
        <v>East London</v>
      </c>
      <c r="E2618" t="str">
        <f>_xlfn.XLOOKUP(tblSales[[#This Row],[Store ID]],tblStores[Store ID],tblStores[Province])</f>
        <v>Eastern Cape</v>
      </c>
      <c r="F2618" t="str">
        <f>_xlfn.XLOOKUP(tblSales[[#This Row],[Store ID]],tblStores[Store ID],tblStores[Manager])</f>
        <v>Daniel Evans</v>
      </c>
      <c r="G2618" t="str">
        <f>_xlfn.XLOOKUP(tblSales[[#This Row],[Category ID]],tblCategories[Category ID],tblCategories[Category])</f>
        <v>Accessories</v>
      </c>
      <c r="H2618">
        <v>18348</v>
      </c>
      <c r="I2618">
        <v>20607</v>
      </c>
      <c r="J2618">
        <v>44</v>
      </c>
      <c r="K2618">
        <f>tblSales[[#This Row],[Sales]]-tblSales[[#This Row],[Budget]]</f>
        <v>-2259</v>
      </c>
      <c r="L2618" s="3">
        <f>(tblSales[[#This Row],[Sales]]-tblSales[[#This Row],[Budget]])/tblSales[[#This Row],[Budget]]</f>
        <v>-0.10962294365992138</v>
      </c>
      <c r="M2618" s="2">
        <f>tblSales[[#This Row],[Sales]]/tblSales[[#This Row],[Transactions]]</f>
        <v>417</v>
      </c>
    </row>
    <row r="2619" spans="1:13" x14ac:dyDescent="0.25">
      <c r="A2619" s="1">
        <v>46153</v>
      </c>
      <c r="B2619" t="s">
        <v>28</v>
      </c>
      <c r="C2619" t="s">
        <v>11</v>
      </c>
      <c r="D2619" t="str">
        <f>_xlfn.XLOOKUP(tblSales[[#This Row],[Store ID]],tblStores[Store ID],tblStores[Store Name])</f>
        <v>Bloemfontein</v>
      </c>
      <c r="E2619" t="str">
        <f>_xlfn.XLOOKUP(tblSales[[#This Row],[Store ID]],tblStores[Store ID],tblStores[Province])</f>
        <v>Free State</v>
      </c>
      <c r="F2619" t="str">
        <f>_xlfn.XLOOKUP(tblSales[[#This Row],[Store ID]],tblStores[Store ID],tblStores[Manager])</f>
        <v>Rachel Moore</v>
      </c>
      <c r="G2619" t="str">
        <f>_xlfn.XLOOKUP(tblSales[[#This Row],[Category ID]],tblCategories[Category ID],tblCategories[Category])</f>
        <v>Footwear</v>
      </c>
      <c r="H2619">
        <v>17738</v>
      </c>
      <c r="I2619">
        <v>15990</v>
      </c>
      <c r="J2619">
        <v>49</v>
      </c>
      <c r="K2619">
        <f>tblSales[[#This Row],[Sales]]-tblSales[[#This Row],[Budget]]</f>
        <v>1748</v>
      </c>
      <c r="L2619" s="3">
        <f>(tblSales[[#This Row],[Sales]]-tblSales[[#This Row],[Budget]])/tblSales[[#This Row],[Budget]]</f>
        <v>0.10931832395247029</v>
      </c>
      <c r="M2619" s="2">
        <f>tblSales[[#This Row],[Sales]]/tblSales[[#This Row],[Transactions]]</f>
        <v>362</v>
      </c>
    </row>
    <row r="2620" spans="1:13" x14ac:dyDescent="0.25">
      <c r="A2620" s="1">
        <v>46153</v>
      </c>
      <c r="B2620" t="s">
        <v>29</v>
      </c>
      <c r="C2620" t="s">
        <v>11</v>
      </c>
      <c r="D2620" t="str">
        <f>_xlfn.XLOOKUP(tblSales[[#This Row],[Store ID]],tblStores[Store ID],tblStores[Store Name])</f>
        <v>Polokwane</v>
      </c>
      <c r="E2620" t="str">
        <f>_xlfn.XLOOKUP(tblSales[[#This Row],[Store ID]],tblStores[Store ID],tblStores[Province])</f>
        <v>Limpopo</v>
      </c>
      <c r="F2620" t="str">
        <f>_xlfn.XLOOKUP(tblSales[[#This Row],[Store ID]],tblStores[Store ID],tblStores[Manager])</f>
        <v>Kevin Harris</v>
      </c>
      <c r="G2620" t="str">
        <f>_xlfn.XLOOKUP(tblSales[[#This Row],[Category ID]],tblCategories[Category ID],tblCategories[Category])</f>
        <v>Footwear</v>
      </c>
      <c r="H2620">
        <v>39508</v>
      </c>
      <c r="I2620">
        <v>39052</v>
      </c>
      <c r="J2620">
        <v>119</v>
      </c>
      <c r="K2620">
        <f>tblSales[[#This Row],[Sales]]-tblSales[[#This Row],[Budget]]</f>
        <v>456</v>
      </c>
      <c r="L2620" s="3">
        <f>(tblSales[[#This Row],[Sales]]-tblSales[[#This Row],[Budget]])/tblSales[[#This Row],[Budget]]</f>
        <v>1.1676738707364539E-2</v>
      </c>
      <c r="M2620" s="2">
        <f>tblSales[[#This Row],[Sales]]/tblSales[[#This Row],[Transactions]]</f>
        <v>332</v>
      </c>
    </row>
    <row r="2621" spans="1:13" x14ac:dyDescent="0.25">
      <c r="A2621" s="1">
        <v>46153</v>
      </c>
      <c r="B2621" t="s">
        <v>30</v>
      </c>
      <c r="C2621" t="s">
        <v>7</v>
      </c>
      <c r="D2621" t="str">
        <f>_xlfn.XLOOKUP(tblSales[[#This Row],[Store ID]],tblStores[Store ID],tblStores[Store Name])</f>
        <v>Nelspruit</v>
      </c>
      <c r="E2621" t="str">
        <f>_xlfn.XLOOKUP(tblSales[[#This Row],[Store ID]],tblStores[Store ID],tblStores[Province])</f>
        <v>Mpumalanga</v>
      </c>
      <c r="F2621" t="str">
        <f>_xlfn.XLOOKUP(tblSales[[#This Row],[Store ID]],tblStores[Store ID],tblStores[Manager])</f>
        <v>Olivia Turner</v>
      </c>
      <c r="G2621" t="str">
        <f>_xlfn.XLOOKUP(tblSales[[#This Row],[Category ID]],tblCategories[Category ID],tblCategories[Category])</f>
        <v>Menswear</v>
      </c>
      <c r="H2621">
        <v>34100</v>
      </c>
      <c r="I2621">
        <v>34117</v>
      </c>
      <c r="J2621">
        <v>124</v>
      </c>
      <c r="K2621">
        <f>tblSales[[#This Row],[Sales]]-tblSales[[#This Row],[Budget]]</f>
        <v>-17</v>
      </c>
      <c r="L2621" s="3">
        <f>(tblSales[[#This Row],[Sales]]-tblSales[[#This Row],[Budget]])/tblSales[[#This Row],[Budget]]</f>
        <v>-4.982853123076472E-4</v>
      </c>
      <c r="M2621" s="2">
        <f>tblSales[[#This Row],[Sales]]/tblSales[[#This Row],[Transactions]]</f>
        <v>275</v>
      </c>
    </row>
    <row r="2622" spans="1:13" x14ac:dyDescent="0.25">
      <c r="A2622" s="1">
        <v>46154</v>
      </c>
      <c r="B2622" t="s">
        <v>6</v>
      </c>
      <c r="C2622" t="s">
        <v>7</v>
      </c>
      <c r="D2622" t="str">
        <f>_xlfn.XLOOKUP(tblSales[[#This Row],[Store ID]],tblStores[Store ID],tblStores[Store Name])</f>
        <v>Durban CBD</v>
      </c>
      <c r="E2622" t="str">
        <f>_xlfn.XLOOKUP(tblSales[[#This Row],[Store ID]],tblStores[Store ID],tblStores[Province])</f>
        <v>KZN</v>
      </c>
      <c r="F2622" t="str">
        <f>_xlfn.XLOOKUP(tblSales[[#This Row],[Store ID]],tblStores[Store ID],tblStores[Manager])</f>
        <v>Sarah Adams</v>
      </c>
      <c r="G2622" t="str">
        <f>_xlfn.XLOOKUP(tblSales[[#This Row],[Category ID]],tblCategories[Category ID],tblCategories[Category])</f>
        <v>Menswear</v>
      </c>
      <c r="H2622">
        <v>24000</v>
      </c>
      <c r="I2622">
        <v>24552</v>
      </c>
      <c r="J2622">
        <v>60</v>
      </c>
      <c r="K2622">
        <f>tblSales[[#This Row],[Sales]]-tblSales[[#This Row],[Budget]]</f>
        <v>-552</v>
      </c>
      <c r="L2622" s="3">
        <f>(tblSales[[#This Row],[Sales]]-tblSales[[#This Row],[Budget]])/tblSales[[#This Row],[Budget]]</f>
        <v>-2.2482893450635387E-2</v>
      </c>
      <c r="M2622" s="2">
        <f>tblSales[[#This Row],[Sales]]/tblSales[[#This Row],[Transactions]]</f>
        <v>400</v>
      </c>
    </row>
    <row r="2623" spans="1:13" x14ac:dyDescent="0.25">
      <c r="A2623" s="1">
        <v>46154</v>
      </c>
      <c r="B2623" t="s">
        <v>8</v>
      </c>
      <c r="C2623" t="s">
        <v>7</v>
      </c>
      <c r="D2623" t="str">
        <f>_xlfn.XLOOKUP(tblSales[[#This Row],[Store ID]],tblStores[Store ID],tblStores[Store Name])</f>
        <v>Gateway</v>
      </c>
      <c r="E2623" t="str">
        <f>_xlfn.XLOOKUP(tblSales[[#This Row],[Store ID]],tblStores[Store ID],tblStores[Province])</f>
        <v>KZN</v>
      </c>
      <c r="F2623" t="str">
        <f>_xlfn.XLOOKUP(tblSales[[#This Row],[Store ID]],tblStores[Store ID],tblStores[Manager])</f>
        <v>Michael Jones</v>
      </c>
      <c r="G2623" t="str">
        <f>_xlfn.XLOOKUP(tblSales[[#This Row],[Category ID]],tblCategories[Category ID],tblCategories[Category])</f>
        <v>Menswear</v>
      </c>
      <c r="H2623">
        <v>75310</v>
      </c>
      <c r="I2623">
        <v>84695</v>
      </c>
      <c r="J2623">
        <v>170</v>
      </c>
      <c r="K2623">
        <f>tblSales[[#This Row],[Sales]]-tblSales[[#This Row],[Budget]]</f>
        <v>-9385</v>
      </c>
      <c r="L2623" s="3">
        <f>(tblSales[[#This Row],[Sales]]-tblSales[[#This Row],[Budget]])/tblSales[[#This Row],[Budget]]</f>
        <v>-0.11080937481551449</v>
      </c>
      <c r="M2623" s="2">
        <f>tblSales[[#This Row],[Sales]]/tblSales[[#This Row],[Transactions]]</f>
        <v>443</v>
      </c>
    </row>
    <row r="2624" spans="1:13" x14ac:dyDescent="0.25">
      <c r="A2624" s="1">
        <v>46154</v>
      </c>
      <c r="B2624" t="s">
        <v>10</v>
      </c>
      <c r="C2624" t="s">
        <v>11</v>
      </c>
      <c r="D2624" t="str">
        <f>_xlfn.XLOOKUP(tblSales[[#This Row],[Store ID]],tblStores[Store ID],tblStores[Store Name])</f>
        <v>Ballito</v>
      </c>
      <c r="E2624" t="str">
        <f>_xlfn.XLOOKUP(tblSales[[#This Row],[Store ID]],tblStores[Store ID],tblStores[Province])</f>
        <v>KZN</v>
      </c>
      <c r="F2624" t="str">
        <f>_xlfn.XLOOKUP(tblSales[[#This Row],[Store ID]],tblStores[Store ID],tblStores[Manager])</f>
        <v>Linda Smith</v>
      </c>
      <c r="G2624" t="str">
        <f>_xlfn.XLOOKUP(tblSales[[#This Row],[Category ID]],tblCategories[Category ID],tblCategories[Category])</f>
        <v>Footwear</v>
      </c>
      <c r="H2624">
        <v>28314</v>
      </c>
      <c r="I2624">
        <v>25531</v>
      </c>
      <c r="J2624">
        <v>66</v>
      </c>
      <c r="K2624">
        <f>tblSales[[#This Row],[Sales]]-tblSales[[#This Row],[Budget]]</f>
        <v>2783</v>
      </c>
      <c r="L2624" s="3">
        <f>(tblSales[[#This Row],[Sales]]-tblSales[[#This Row],[Budget]])/tblSales[[#This Row],[Budget]]</f>
        <v>0.10900473933649289</v>
      </c>
      <c r="M2624" s="2">
        <f>tblSales[[#This Row],[Sales]]/tblSales[[#This Row],[Transactions]]</f>
        <v>429</v>
      </c>
    </row>
    <row r="2625" spans="1:13" x14ac:dyDescent="0.25">
      <c r="A2625" s="1">
        <v>46154</v>
      </c>
      <c r="B2625" t="s">
        <v>12</v>
      </c>
      <c r="C2625" t="s">
        <v>22</v>
      </c>
      <c r="D2625" t="str">
        <f>_xlfn.XLOOKUP(tblSales[[#This Row],[Store ID]],tblStores[Store ID],tblStores[Store Name])</f>
        <v>Pietermaritzburg</v>
      </c>
      <c r="E2625" t="str">
        <f>_xlfn.XLOOKUP(tblSales[[#This Row],[Store ID]],tblStores[Store ID],tblStores[Province])</f>
        <v>KZN</v>
      </c>
      <c r="F2625" t="str">
        <f>_xlfn.XLOOKUP(tblSales[[#This Row],[Store ID]],tblStores[Store ID],tblStores[Manager])</f>
        <v>Peter Brown</v>
      </c>
      <c r="G2625" t="str">
        <f>_xlfn.XLOOKUP(tblSales[[#This Row],[Category ID]],tblCategories[Category ID],tblCategories[Category])</f>
        <v>Kids</v>
      </c>
      <c r="H2625">
        <v>38640</v>
      </c>
      <c r="I2625">
        <v>38595</v>
      </c>
      <c r="J2625">
        <v>92</v>
      </c>
      <c r="K2625">
        <f>tblSales[[#This Row],[Sales]]-tblSales[[#This Row],[Budget]]</f>
        <v>45</v>
      </c>
      <c r="L2625" s="3">
        <f>(tblSales[[#This Row],[Sales]]-tblSales[[#This Row],[Budget]])/tblSales[[#This Row],[Budget]]</f>
        <v>1.165954139137194E-3</v>
      </c>
      <c r="M2625" s="2">
        <f>tblSales[[#This Row],[Sales]]/tblSales[[#This Row],[Transactions]]</f>
        <v>420</v>
      </c>
    </row>
    <row r="2626" spans="1:13" x14ac:dyDescent="0.25">
      <c r="A2626" s="1">
        <v>46154</v>
      </c>
      <c r="B2626" t="s">
        <v>13</v>
      </c>
      <c r="C2626" t="s">
        <v>22</v>
      </c>
      <c r="D2626" t="str">
        <f>_xlfn.XLOOKUP(tblSales[[#This Row],[Store ID]],tblStores[Store ID],tblStores[Store Name])</f>
        <v>Richards Bay</v>
      </c>
      <c r="E2626" t="str">
        <f>_xlfn.XLOOKUP(tblSales[[#This Row],[Store ID]],tblStores[Store ID],tblStores[Province])</f>
        <v>KZN</v>
      </c>
      <c r="F2626" t="str">
        <f>_xlfn.XLOOKUP(tblSales[[#This Row],[Store ID]],tblStores[Store ID],tblStores[Manager])</f>
        <v>David Green</v>
      </c>
      <c r="G2626" t="str">
        <f>_xlfn.XLOOKUP(tblSales[[#This Row],[Category ID]],tblCategories[Category ID],tblCategories[Category])</f>
        <v>Kids</v>
      </c>
      <c r="H2626">
        <v>51072</v>
      </c>
      <c r="I2626">
        <v>57356</v>
      </c>
      <c r="J2626">
        <v>128</v>
      </c>
      <c r="K2626">
        <f>tblSales[[#This Row],[Sales]]-tblSales[[#This Row],[Budget]]</f>
        <v>-6284</v>
      </c>
      <c r="L2626" s="3">
        <f>(tblSales[[#This Row],[Sales]]-tblSales[[#This Row],[Budget]])/tblSales[[#This Row],[Budget]]</f>
        <v>-0.10956133621591464</v>
      </c>
      <c r="M2626" s="2">
        <f>tblSales[[#This Row],[Sales]]/tblSales[[#This Row],[Transactions]]</f>
        <v>399</v>
      </c>
    </row>
    <row r="2627" spans="1:13" x14ac:dyDescent="0.25">
      <c r="A2627" s="1">
        <v>46154</v>
      </c>
      <c r="B2627" t="s">
        <v>14</v>
      </c>
      <c r="C2627" t="s">
        <v>19</v>
      </c>
      <c r="D2627" t="str">
        <f>_xlfn.XLOOKUP(tblSales[[#This Row],[Store ID]],tblStores[Store ID],tblStores[Store Name])</f>
        <v>Sandton</v>
      </c>
      <c r="E2627" t="str">
        <f>_xlfn.XLOOKUP(tblSales[[#This Row],[Store ID]],tblStores[Store ID],tblStores[Province])</f>
        <v>Gauteng</v>
      </c>
      <c r="F2627" t="str">
        <f>_xlfn.XLOOKUP(tblSales[[#This Row],[Store ID]],tblStores[Store ID],tblStores[Manager])</f>
        <v>Karen White</v>
      </c>
      <c r="G2627" t="str">
        <f>_xlfn.XLOOKUP(tblSales[[#This Row],[Category ID]],tblCategories[Category ID],tblCategories[Category])</f>
        <v>Accessories</v>
      </c>
      <c r="H2627">
        <v>24205</v>
      </c>
      <c r="I2627">
        <v>27771</v>
      </c>
      <c r="J2627">
        <v>103</v>
      </c>
      <c r="K2627">
        <f>tblSales[[#This Row],[Sales]]-tblSales[[#This Row],[Budget]]</f>
        <v>-3566</v>
      </c>
      <c r="L2627" s="3">
        <f>(tblSales[[#This Row],[Sales]]-tblSales[[#This Row],[Budget]])/tblSales[[#This Row],[Budget]]</f>
        <v>-0.12840733138885888</v>
      </c>
      <c r="M2627" s="2">
        <f>tblSales[[#This Row],[Sales]]/tblSales[[#This Row],[Transactions]]</f>
        <v>235</v>
      </c>
    </row>
    <row r="2628" spans="1:13" x14ac:dyDescent="0.25">
      <c r="A2628" s="1">
        <v>46154</v>
      </c>
      <c r="B2628" t="s">
        <v>15</v>
      </c>
      <c r="C2628" t="s">
        <v>11</v>
      </c>
      <c r="D2628" t="str">
        <f>_xlfn.XLOOKUP(tblSales[[#This Row],[Store ID]],tblStores[Store ID],tblStores[Store Name])</f>
        <v>Rosebank</v>
      </c>
      <c r="E2628" t="str">
        <f>_xlfn.XLOOKUP(tblSales[[#This Row],[Store ID]],tblStores[Store ID],tblStores[Province])</f>
        <v>Gauteng</v>
      </c>
      <c r="F2628" t="str">
        <f>_xlfn.XLOOKUP(tblSales[[#This Row],[Store ID]],tblStores[Store ID],tblStores[Manager])</f>
        <v>James Taylor</v>
      </c>
      <c r="G2628" t="str">
        <f>_xlfn.XLOOKUP(tblSales[[#This Row],[Category ID]],tblCategories[Category ID],tblCategories[Category])</f>
        <v>Footwear</v>
      </c>
      <c r="H2628">
        <v>19076</v>
      </c>
      <c r="I2628">
        <v>18855</v>
      </c>
      <c r="J2628">
        <v>76</v>
      </c>
      <c r="K2628">
        <f>tblSales[[#This Row],[Sales]]-tblSales[[#This Row],[Budget]]</f>
        <v>221</v>
      </c>
      <c r="L2628" s="3">
        <f>(tblSales[[#This Row],[Sales]]-tblSales[[#This Row],[Budget]])/tblSales[[#This Row],[Budget]]</f>
        <v>1.1721028904799789E-2</v>
      </c>
      <c r="M2628" s="2">
        <f>tblSales[[#This Row],[Sales]]/tblSales[[#This Row],[Transactions]]</f>
        <v>251</v>
      </c>
    </row>
    <row r="2629" spans="1:13" x14ac:dyDescent="0.25">
      <c r="A2629" s="1">
        <v>46154</v>
      </c>
      <c r="B2629" t="s">
        <v>16</v>
      </c>
      <c r="C2629" t="s">
        <v>11</v>
      </c>
      <c r="D2629" t="str">
        <f>_xlfn.XLOOKUP(tblSales[[#This Row],[Store ID]],tblStores[Store ID],tblStores[Store Name])</f>
        <v>Pretoria</v>
      </c>
      <c r="E2629" t="str">
        <f>_xlfn.XLOOKUP(tblSales[[#This Row],[Store ID]],tblStores[Store ID],tblStores[Province])</f>
        <v>Gauteng</v>
      </c>
      <c r="F2629" t="str">
        <f>_xlfn.XLOOKUP(tblSales[[#This Row],[Store ID]],tblStores[Store ID],tblStores[Manager])</f>
        <v>Susan Clark</v>
      </c>
      <c r="G2629" t="str">
        <f>_xlfn.XLOOKUP(tblSales[[#This Row],[Category ID]],tblCategories[Category ID],tblCategories[Category])</f>
        <v>Footwear</v>
      </c>
      <c r="H2629">
        <v>13068</v>
      </c>
      <c r="I2629">
        <v>14647</v>
      </c>
      <c r="J2629">
        <v>36</v>
      </c>
      <c r="K2629">
        <f>tblSales[[#This Row],[Sales]]-tblSales[[#This Row],[Budget]]</f>
        <v>-1579</v>
      </c>
      <c r="L2629" s="3">
        <f>(tblSales[[#This Row],[Sales]]-tblSales[[#This Row],[Budget]])/tblSales[[#This Row],[Budget]]</f>
        <v>-0.10780364579777429</v>
      </c>
      <c r="M2629" s="2">
        <f>tblSales[[#This Row],[Sales]]/tblSales[[#This Row],[Transactions]]</f>
        <v>363</v>
      </c>
    </row>
    <row r="2630" spans="1:13" x14ac:dyDescent="0.25">
      <c r="A2630" s="1">
        <v>46154</v>
      </c>
      <c r="B2630" t="s">
        <v>17</v>
      </c>
      <c r="C2630" t="s">
        <v>9</v>
      </c>
      <c r="D2630" t="str">
        <f>_xlfn.XLOOKUP(tblSales[[#This Row],[Store ID]],tblStores[Store ID],tblStores[Store Name])</f>
        <v>Centurion</v>
      </c>
      <c r="E2630" t="str">
        <f>_xlfn.XLOOKUP(tblSales[[#This Row],[Store ID]],tblStores[Store ID],tblStores[Province])</f>
        <v>Gauteng</v>
      </c>
      <c r="F2630" t="str">
        <f>_xlfn.XLOOKUP(tblSales[[#This Row],[Store ID]],tblStores[Store ID],tblStores[Manager])</f>
        <v>Mark Wilson</v>
      </c>
      <c r="G2630" t="str">
        <f>_xlfn.XLOOKUP(tblSales[[#This Row],[Category ID]],tblCategories[Category ID],tblCategories[Category])</f>
        <v>Ladieswear</v>
      </c>
      <c r="H2630">
        <v>17451</v>
      </c>
      <c r="I2630">
        <v>16948</v>
      </c>
      <c r="J2630">
        <v>63</v>
      </c>
      <c r="K2630">
        <f>tblSales[[#This Row],[Sales]]-tblSales[[#This Row],[Budget]]</f>
        <v>503</v>
      </c>
      <c r="L2630" s="3">
        <f>(tblSales[[#This Row],[Sales]]-tblSales[[#This Row],[Budget]])/tblSales[[#This Row],[Budget]]</f>
        <v>2.9679018173235781E-2</v>
      </c>
      <c r="M2630" s="2">
        <f>tblSales[[#This Row],[Sales]]/tblSales[[#This Row],[Transactions]]</f>
        <v>277</v>
      </c>
    </row>
    <row r="2631" spans="1:13" x14ac:dyDescent="0.25">
      <c r="A2631" s="1">
        <v>46154</v>
      </c>
      <c r="B2631" t="s">
        <v>18</v>
      </c>
      <c r="C2631" t="s">
        <v>9</v>
      </c>
      <c r="D2631" t="str">
        <f>_xlfn.XLOOKUP(tblSales[[#This Row],[Store ID]],tblStores[Store ID],tblStores[Store Name])</f>
        <v>East Rand</v>
      </c>
      <c r="E2631" t="str">
        <f>_xlfn.XLOOKUP(tblSales[[#This Row],[Store ID]],tblStores[Store ID],tblStores[Province])</f>
        <v>Gauteng</v>
      </c>
      <c r="F2631" t="str">
        <f>_xlfn.XLOOKUP(tblSales[[#This Row],[Store ID]],tblStores[Store ID],tblStores[Manager])</f>
        <v>Lisa Young</v>
      </c>
      <c r="G2631" t="str">
        <f>_xlfn.XLOOKUP(tblSales[[#This Row],[Category ID]],tblCategories[Category ID],tblCategories[Category])</f>
        <v>Ladieswear</v>
      </c>
      <c r="H2631">
        <v>53720</v>
      </c>
      <c r="I2631">
        <v>58338</v>
      </c>
      <c r="J2631">
        <v>136</v>
      </c>
      <c r="K2631">
        <f>tblSales[[#This Row],[Sales]]-tblSales[[#This Row],[Budget]]</f>
        <v>-4618</v>
      </c>
      <c r="L2631" s="3">
        <f>(tblSales[[#This Row],[Sales]]-tblSales[[#This Row],[Budget]])/tblSales[[#This Row],[Budget]]</f>
        <v>-7.9159381535191475E-2</v>
      </c>
      <c r="M2631" s="2">
        <f>tblSales[[#This Row],[Sales]]/tblSales[[#This Row],[Transactions]]</f>
        <v>395</v>
      </c>
    </row>
    <row r="2632" spans="1:13" x14ac:dyDescent="0.25">
      <c r="A2632" s="1">
        <v>46154</v>
      </c>
      <c r="B2632" t="s">
        <v>20</v>
      </c>
      <c r="C2632" t="s">
        <v>7</v>
      </c>
      <c r="D2632" t="str">
        <f>_xlfn.XLOOKUP(tblSales[[#This Row],[Store ID]],tblStores[Store ID],tblStores[Store Name])</f>
        <v>Cape Town CBD</v>
      </c>
      <c r="E2632" t="str">
        <f>_xlfn.XLOOKUP(tblSales[[#This Row],[Store ID]],tblStores[Store ID],tblStores[Province])</f>
        <v>Western Cape</v>
      </c>
      <c r="F2632" t="str">
        <f>_xlfn.XLOOKUP(tblSales[[#This Row],[Store ID]],tblStores[Store ID],tblStores[Manager])</f>
        <v>Brian Hall</v>
      </c>
      <c r="G2632" t="str">
        <f>_xlfn.XLOOKUP(tblSales[[#This Row],[Category ID]],tblCategories[Category ID],tblCategories[Category])</f>
        <v>Menswear</v>
      </c>
      <c r="H2632">
        <v>21356</v>
      </c>
      <c r="I2632">
        <v>24283</v>
      </c>
      <c r="J2632">
        <v>76</v>
      </c>
      <c r="K2632">
        <f>tblSales[[#This Row],[Sales]]-tblSales[[#This Row],[Budget]]</f>
        <v>-2927</v>
      </c>
      <c r="L2632" s="3">
        <f>(tblSales[[#This Row],[Sales]]-tblSales[[#This Row],[Budget]])/tblSales[[#This Row],[Budget]]</f>
        <v>-0.12053700119425112</v>
      </c>
      <c r="M2632" s="2">
        <f>tblSales[[#This Row],[Sales]]/tblSales[[#This Row],[Transactions]]</f>
        <v>281</v>
      </c>
    </row>
    <row r="2633" spans="1:13" x14ac:dyDescent="0.25">
      <c r="A2633" s="1">
        <v>46154</v>
      </c>
      <c r="B2633" t="s">
        <v>21</v>
      </c>
      <c r="C2633" t="s">
        <v>22</v>
      </c>
      <c r="D2633" t="str">
        <f>_xlfn.XLOOKUP(tblSales[[#This Row],[Store ID]],tblStores[Store ID],tblStores[Store Name])</f>
        <v>Canal Walk</v>
      </c>
      <c r="E2633" t="str">
        <f>_xlfn.XLOOKUP(tblSales[[#This Row],[Store ID]],tblStores[Store ID],tblStores[Province])</f>
        <v>Western Cape</v>
      </c>
      <c r="F2633" t="str">
        <f>_xlfn.XLOOKUP(tblSales[[#This Row],[Store ID]],tblStores[Store ID],tblStores[Manager])</f>
        <v>Megan Scott</v>
      </c>
      <c r="G2633" t="str">
        <f>_xlfn.XLOOKUP(tblSales[[#This Row],[Category ID]],tblCategories[Category ID],tblCategories[Category])</f>
        <v>Kids</v>
      </c>
      <c r="H2633">
        <v>25675</v>
      </c>
      <c r="I2633">
        <v>26246</v>
      </c>
      <c r="J2633">
        <v>65</v>
      </c>
      <c r="K2633">
        <f>tblSales[[#This Row],[Sales]]-tblSales[[#This Row],[Budget]]</f>
        <v>-571</v>
      </c>
      <c r="L2633" s="3">
        <f>(tblSales[[#This Row],[Sales]]-tblSales[[#This Row],[Budget]])/tblSales[[#This Row],[Budget]]</f>
        <v>-2.1755696106073308E-2</v>
      </c>
      <c r="M2633" s="2">
        <f>tblSales[[#This Row],[Sales]]/tblSales[[#This Row],[Transactions]]</f>
        <v>395</v>
      </c>
    </row>
    <row r="2634" spans="1:13" x14ac:dyDescent="0.25">
      <c r="A2634" s="1">
        <v>46154</v>
      </c>
      <c r="B2634" t="s">
        <v>23</v>
      </c>
      <c r="C2634" t="s">
        <v>11</v>
      </c>
      <c r="D2634" t="str">
        <f>_xlfn.XLOOKUP(tblSales[[#This Row],[Store ID]],tblStores[Store ID],tblStores[Store Name])</f>
        <v>Stellenbosch</v>
      </c>
      <c r="E2634" t="str">
        <f>_xlfn.XLOOKUP(tblSales[[#This Row],[Store ID]],tblStores[Store ID],tblStores[Province])</f>
        <v>Western Cape</v>
      </c>
      <c r="F2634" t="str">
        <f>_xlfn.XLOOKUP(tblSales[[#This Row],[Store ID]],tblStores[Store ID],tblStores[Manager])</f>
        <v>Jason King</v>
      </c>
      <c r="G2634" t="str">
        <f>_xlfn.XLOOKUP(tblSales[[#This Row],[Category ID]],tblCategories[Category ID],tblCategories[Category])</f>
        <v>Footwear</v>
      </c>
      <c r="H2634">
        <v>51205</v>
      </c>
      <c r="I2634">
        <v>50243</v>
      </c>
      <c r="J2634">
        <v>209</v>
      </c>
      <c r="K2634">
        <f>tblSales[[#This Row],[Sales]]-tblSales[[#This Row],[Budget]]</f>
        <v>962</v>
      </c>
      <c r="L2634" s="3">
        <f>(tblSales[[#This Row],[Sales]]-tblSales[[#This Row],[Budget]])/tblSales[[#This Row],[Budget]]</f>
        <v>1.9146945843202038E-2</v>
      </c>
      <c r="M2634" s="2">
        <f>tblSales[[#This Row],[Sales]]/tblSales[[#This Row],[Transactions]]</f>
        <v>245</v>
      </c>
    </row>
    <row r="2635" spans="1:13" x14ac:dyDescent="0.25">
      <c r="A2635" s="1">
        <v>46154</v>
      </c>
      <c r="B2635" t="s">
        <v>24</v>
      </c>
      <c r="C2635" t="s">
        <v>11</v>
      </c>
      <c r="D2635" t="str">
        <f>_xlfn.XLOOKUP(tblSales[[#This Row],[Store ID]],tblStores[Store ID],tblStores[Store Name])</f>
        <v>George</v>
      </c>
      <c r="E2635" t="str">
        <f>_xlfn.XLOOKUP(tblSales[[#This Row],[Store ID]],tblStores[Store ID],tblStores[Province])</f>
        <v>Western Cape</v>
      </c>
      <c r="F2635" t="str">
        <f>_xlfn.XLOOKUP(tblSales[[#This Row],[Store ID]],tblStores[Store ID],tblStores[Manager])</f>
        <v>Chloe Hill</v>
      </c>
      <c r="G2635" t="str">
        <f>_xlfn.XLOOKUP(tblSales[[#This Row],[Category ID]],tblCategories[Category ID],tblCategories[Category])</f>
        <v>Footwear</v>
      </c>
      <c r="H2635">
        <v>61777</v>
      </c>
      <c r="I2635">
        <v>57628</v>
      </c>
      <c r="J2635">
        <v>163</v>
      </c>
      <c r="K2635">
        <f>tblSales[[#This Row],[Sales]]-tblSales[[#This Row],[Budget]]</f>
        <v>4149</v>
      </c>
      <c r="L2635" s="3">
        <f>(tblSales[[#This Row],[Sales]]-tblSales[[#This Row],[Budget]])/tblSales[[#This Row],[Budget]]</f>
        <v>7.1996251822030954E-2</v>
      </c>
      <c r="M2635" s="2">
        <f>tblSales[[#This Row],[Sales]]/tblSales[[#This Row],[Transactions]]</f>
        <v>379</v>
      </c>
    </row>
    <row r="2636" spans="1:13" x14ac:dyDescent="0.25">
      <c r="A2636" s="1">
        <v>46154</v>
      </c>
      <c r="B2636" t="s">
        <v>25</v>
      </c>
      <c r="C2636" t="s">
        <v>7</v>
      </c>
      <c r="D2636" t="str">
        <f>_xlfn.XLOOKUP(tblSales[[#This Row],[Store ID]],tblStores[Store ID],tblStores[Store Name])</f>
        <v>Paarl</v>
      </c>
      <c r="E2636" t="str">
        <f>_xlfn.XLOOKUP(tblSales[[#This Row],[Store ID]],tblStores[Store ID],tblStores[Province])</f>
        <v>Western Cape</v>
      </c>
      <c r="F2636" t="str">
        <f>_xlfn.XLOOKUP(tblSales[[#This Row],[Store ID]],tblStores[Store ID],tblStores[Manager])</f>
        <v>Andrew Lee</v>
      </c>
      <c r="G2636" t="str">
        <f>_xlfn.XLOOKUP(tblSales[[#This Row],[Category ID]],tblCategories[Category ID],tblCategories[Category])</f>
        <v>Menswear</v>
      </c>
      <c r="H2636">
        <v>9760</v>
      </c>
      <c r="I2636">
        <v>9163</v>
      </c>
      <c r="J2636">
        <v>40</v>
      </c>
      <c r="K2636">
        <f>tblSales[[#This Row],[Sales]]-tblSales[[#This Row],[Budget]]</f>
        <v>597</v>
      </c>
      <c r="L2636" s="3">
        <f>(tblSales[[#This Row],[Sales]]-tblSales[[#This Row],[Budget]])/tblSales[[#This Row],[Budget]]</f>
        <v>6.5153334060897086E-2</v>
      </c>
      <c r="M2636" s="2">
        <f>tblSales[[#This Row],[Sales]]/tblSales[[#This Row],[Transactions]]</f>
        <v>244</v>
      </c>
    </row>
    <row r="2637" spans="1:13" x14ac:dyDescent="0.25">
      <c r="A2637" s="1">
        <v>46154</v>
      </c>
      <c r="B2637" t="s">
        <v>26</v>
      </c>
      <c r="C2637" t="s">
        <v>19</v>
      </c>
      <c r="D2637" t="str">
        <f>_xlfn.XLOOKUP(tblSales[[#This Row],[Store ID]],tblStores[Store ID],tblStores[Store Name])</f>
        <v>Gqeberha</v>
      </c>
      <c r="E2637" t="str">
        <f>_xlfn.XLOOKUP(tblSales[[#This Row],[Store ID]],tblStores[Store ID],tblStores[Province])</f>
        <v>Eastern Cape</v>
      </c>
      <c r="F2637" t="str">
        <f>_xlfn.XLOOKUP(tblSales[[#This Row],[Store ID]],tblStores[Store ID],tblStores[Manager])</f>
        <v>Emma Baker</v>
      </c>
      <c r="G2637" t="str">
        <f>_xlfn.XLOOKUP(tblSales[[#This Row],[Category ID]],tblCategories[Category ID],tblCategories[Category])</f>
        <v>Accessories</v>
      </c>
      <c r="H2637">
        <v>11438</v>
      </c>
      <c r="I2637">
        <v>10443</v>
      </c>
      <c r="J2637">
        <v>38</v>
      </c>
      <c r="K2637">
        <f>tblSales[[#This Row],[Sales]]-tblSales[[#This Row],[Budget]]</f>
        <v>995</v>
      </c>
      <c r="L2637" s="3">
        <f>(tblSales[[#This Row],[Sales]]-tblSales[[#This Row],[Budget]])/tblSales[[#This Row],[Budget]]</f>
        <v>9.5279134348367323E-2</v>
      </c>
      <c r="M2637" s="2">
        <f>tblSales[[#This Row],[Sales]]/tblSales[[#This Row],[Transactions]]</f>
        <v>301</v>
      </c>
    </row>
    <row r="2638" spans="1:13" x14ac:dyDescent="0.25">
      <c r="A2638" s="1">
        <v>46154</v>
      </c>
      <c r="B2638" t="s">
        <v>27</v>
      </c>
      <c r="C2638" t="s">
        <v>22</v>
      </c>
      <c r="D2638" t="str">
        <f>_xlfn.XLOOKUP(tblSales[[#This Row],[Store ID]],tblStores[Store ID],tblStores[Store Name])</f>
        <v>East London</v>
      </c>
      <c r="E2638" t="str">
        <f>_xlfn.XLOOKUP(tblSales[[#This Row],[Store ID]],tblStores[Store ID],tblStores[Province])</f>
        <v>Eastern Cape</v>
      </c>
      <c r="F2638" t="str">
        <f>_xlfn.XLOOKUP(tblSales[[#This Row],[Store ID]],tblStores[Store ID],tblStores[Manager])</f>
        <v>Daniel Evans</v>
      </c>
      <c r="G2638" t="str">
        <f>_xlfn.XLOOKUP(tblSales[[#This Row],[Category ID]],tblCategories[Category ID],tblCategories[Category])</f>
        <v>Kids</v>
      </c>
      <c r="H2638">
        <v>69840</v>
      </c>
      <c r="I2638">
        <v>75731</v>
      </c>
      <c r="J2638">
        <v>144</v>
      </c>
      <c r="K2638">
        <f>tblSales[[#This Row],[Sales]]-tblSales[[#This Row],[Budget]]</f>
        <v>-5891</v>
      </c>
      <c r="L2638" s="3">
        <f>(tblSales[[#This Row],[Sales]]-tblSales[[#This Row],[Budget]])/tblSales[[#This Row],[Budget]]</f>
        <v>-7.7788488201661149E-2</v>
      </c>
      <c r="M2638" s="2">
        <f>tblSales[[#This Row],[Sales]]/tblSales[[#This Row],[Transactions]]</f>
        <v>485</v>
      </c>
    </row>
    <row r="2639" spans="1:13" x14ac:dyDescent="0.25">
      <c r="A2639" s="1">
        <v>46154</v>
      </c>
      <c r="B2639" t="s">
        <v>28</v>
      </c>
      <c r="C2639" t="s">
        <v>11</v>
      </c>
      <c r="D2639" t="str">
        <f>_xlfn.XLOOKUP(tblSales[[#This Row],[Store ID]],tblStores[Store ID],tblStores[Store Name])</f>
        <v>Bloemfontein</v>
      </c>
      <c r="E2639" t="str">
        <f>_xlfn.XLOOKUP(tblSales[[#This Row],[Store ID]],tblStores[Store ID],tblStores[Province])</f>
        <v>Free State</v>
      </c>
      <c r="F2639" t="str">
        <f>_xlfn.XLOOKUP(tblSales[[#This Row],[Store ID]],tblStores[Store ID],tblStores[Manager])</f>
        <v>Rachel Moore</v>
      </c>
      <c r="G2639" t="str">
        <f>_xlfn.XLOOKUP(tblSales[[#This Row],[Category ID]],tblCategories[Category ID],tblCategories[Category])</f>
        <v>Footwear</v>
      </c>
      <c r="H2639">
        <v>51496</v>
      </c>
      <c r="I2639">
        <v>49979</v>
      </c>
      <c r="J2639">
        <v>157</v>
      </c>
      <c r="K2639">
        <f>tblSales[[#This Row],[Sales]]-tblSales[[#This Row],[Budget]]</f>
        <v>1517</v>
      </c>
      <c r="L2639" s="3">
        <f>(tblSales[[#This Row],[Sales]]-tblSales[[#This Row],[Budget]])/tblSales[[#This Row],[Budget]]</f>
        <v>3.0352748154224774E-2</v>
      </c>
      <c r="M2639" s="2">
        <f>tblSales[[#This Row],[Sales]]/tblSales[[#This Row],[Transactions]]</f>
        <v>328</v>
      </c>
    </row>
    <row r="2640" spans="1:13" x14ac:dyDescent="0.25">
      <c r="A2640" s="1">
        <v>46154</v>
      </c>
      <c r="B2640" t="s">
        <v>29</v>
      </c>
      <c r="C2640" t="s">
        <v>7</v>
      </c>
      <c r="D2640" t="str">
        <f>_xlfn.XLOOKUP(tblSales[[#This Row],[Store ID]],tblStores[Store ID],tblStores[Store Name])</f>
        <v>Polokwane</v>
      </c>
      <c r="E2640" t="str">
        <f>_xlfn.XLOOKUP(tblSales[[#This Row],[Store ID]],tblStores[Store ID],tblStores[Province])</f>
        <v>Limpopo</v>
      </c>
      <c r="F2640" t="str">
        <f>_xlfn.XLOOKUP(tblSales[[#This Row],[Store ID]],tblStores[Store ID],tblStores[Manager])</f>
        <v>Kevin Harris</v>
      </c>
      <c r="G2640" t="str">
        <f>_xlfn.XLOOKUP(tblSales[[#This Row],[Category ID]],tblCategories[Category ID],tblCategories[Category])</f>
        <v>Menswear</v>
      </c>
      <c r="H2640">
        <v>44064</v>
      </c>
      <c r="I2640">
        <v>46461</v>
      </c>
      <c r="J2640">
        <v>144</v>
      </c>
      <c r="K2640">
        <f>tblSales[[#This Row],[Sales]]-tblSales[[#This Row],[Budget]]</f>
        <v>-2397</v>
      </c>
      <c r="L2640" s="3">
        <f>(tblSales[[#This Row],[Sales]]-tblSales[[#This Row],[Budget]])/tblSales[[#This Row],[Budget]]</f>
        <v>-5.159165751920966E-2</v>
      </c>
      <c r="M2640" s="2">
        <f>tblSales[[#This Row],[Sales]]/tblSales[[#This Row],[Transactions]]</f>
        <v>306</v>
      </c>
    </row>
    <row r="2641" spans="1:13" x14ac:dyDescent="0.25">
      <c r="A2641" s="1">
        <v>46154</v>
      </c>
      <c r="B2641" t="s">
        <v>30</v>
      </c>
      <c r="C2641" t="s">
        <v>19</v>
      </c>
      <c r="D2641" t="str">
        <f>_xlfn.XLOOKUP(tblSales[[#This Row],[Store ID]],tblStores[Store ID],tblStores[Store Name])</f>
        <v>Nelspruit</v>
      </c>
      <c r="E2641" t="str">
        <f>_xlfn.XLOOKUP(tblSales[[#This Row],[Store ID]],tblStores[Store ID],tblStores[Province])</f>
        <v>Mpumalanga</v>
      </c>
      <c r="F2641" t="str">
        <f>_xlfn.XLOOKUP(tblSales[[#This Row],[Store ID]],tblStores[Store ID],tblStores[Manager])</f>
        <v>Olivia Turner</v>
      </c>
      <c r="G2641" t="str">
        <f>_xlfn.XLOOKUP(tblSales[[#This Row],[Category ID]],tblCategories[Category ID],tblCategories[Category])</f>
        <v>Accessories</v>
      </c>
      <c r="H2641">
        <v>25174</v>
      </c>
      <c r="I2641">
        <v>24425</v>
      </c>
      <c r="J2641">
        <v>82</v>
      </c>
      <c r="K2641">
        <f>tblSales[[#This Row],[Sales]]-tblSales[[#This Row],[Budget]]</f>
        <v>749</v>
      </c>
      <c r="L2641" s="3">
        <f>(tblSales[[#This Row],[Sales]]-tblSales[[#This Row],[Budget]])/tblSales[[#This Row],[Budget]]</f>
        <v>3.0665301944728763E-2</v>
      </c>
      <c r="M2641" s="2">
        <f>tblSales[[#This Row],[Sales]]/tblSales[[#This Row],[Transactions]]</f>
        <v>307</v>
      </c>
    </row>
    <row r="2642" spans="1:13" x14ac:dyDescent="0.25">
      <c r="A2642" s="1">
        <v>46155</v>
      </c>
      <c r="B2642" t="s">
        <v>6</v>
      </c>
      <c r="C2642" t="s">
        <v>7</v>
      </c>
      <c r="D2642" t="str">
        <f>_xlfn.XLOOKUP(tblSales[[#This Row],[Store ID]],tblStores[Store ID],tblStores[Store Name])</f>
        <v>Durban CBD</v>
      </c>
      <c r="E2642" t="str">
        <f>_xlfn.XLOOKUP(tblSales[[#This Row],[Store ID]],tblStores[Store ID],tblStores[Province])</f>
        <v>KZN</v>
      </c>
      <c r="F2642" t="str">
        <f>_xlfn.XLOOKUP(tblSales[[#This Row],[Store ID]],tblStores[Store ID],tblStores[Manager])</f>
        <v>Sarah Adams</v>
      </c>
      <c r="G2642" t="str">
        <f>_xlfn.XLOOKUP(tblSales[[#This Row],[Category ID]],tblCategories[Category ID],tblCategories[Category])</f>
        <v>Menswear</v>
      </c>
      <c r="H2642">
        <v>31212</v>
      </c>
      <c r="I2642">
        <v>33290</v>
      </c>
      <c r="J2642">
        <v>102</v>
      </c>
      <c r="K2642">
        <f>tblSales[[#This Row],[Sales]]-tblSales[[#This Row],[Budget]]</f>
        <v>-2078</v>
      </c>
      <c r="L2642" s="3">
        <f>(tblSales[[#This Row],[Sales]]-tblSales[[#This Row],[Budget]])/tblSales[[#This Row],[Budget]]</f>
        <v>-6.2421147491739264E-2</v>
      </c>
      <c r="M2642" s="2">
        <f>tblSales[[#This Row],[Sales]]/tblSales[[#This Row],[Transactions]]</f>
        <v>306</v>
      </c>
    </row>
    <row r="2643" spans="1:13" x14ac:dyDescent="0.25">
      <c r="A2643" s="1">
        <v>46155</v>
      </c>
      <c r="B2643" t="s">
        <v>8</v>
      </c>
      <c r="C2643" t="s">
        <v>11</v>
      </c>
      <c r="D2643" t="str">
        <f>_xlfn.XLOOKUP(tblSales[[#This Row],[Store ID]],tblStores[Store ID],tblStores[Store Name])</f>
        <v>Gateway</v>
      </c>
      <c r="E2643" t="str">
        <f>_xlfn.XLOOKUP(tblSales[[#This Row],[Store ID]],tblStores[Store ID],tblStores[Province])</f>
        <v>KZN</v>
      </c>
      <c r="F2643" t="str">
        <f>_xlfn.XLOOKUP(tblSales[[#This Row],[Store ID]],tblStores[Store ID],tblStores[Manager])</f>
        <v>Michael Jones</v>
      </c>
      <c r="G2643" t="str">
        <f>_xlfn.XLOOKUP(tblSales[[#This Row],[Category ID]],tblCategories[Category ID],tblCategories[Category])</f>
        <v>Footwear</v>
      </c>
      <c r="H2643">
        <v>35870</v>
      </c>
      <c r="I2643">
        <v>38618</v>
      </c>
      <c r="J2643">
        <v>85</v>
      </c>
      <c r="K2643">
        <f>tblSales[[#This Row],[Sales]]-tblSales[[#This Row],[Budget]]</f>
        <v>-2748</v>
      </c>
      <c r="L2643" s="3">
        <f>(tblSales[[#This Row],[Sales]]-tblSales[[#This Row],[Budget]])/tblSales[[#This Row],[Budget]]</f>
        <v>-7.1158527111709571E-2</v>
      </c>
      <c r="M2643" s="2">
        <f>tblSales[[#This Row],[Sales]]/tblSales[[#This Row],[Transactions]]</f>
        <v>422</v>
      </c>
    </row>
    <row r="2644" spans="1:13" x14ac:dyDescent="0.25">
      <c r="A2644" s="1">
        <v>46155</v>
      </c>
      <c r="B2644" t="s">
        <v>10</v>
      </c>
      <c r="C2644" t="s">
        <v>7</v>
      </c>
      <c r="D2644" t="str">
        <f>_xlfn.XLOOKUP(tblSales[[#This Row],[Store ID]],tblStores[Store ID],tblStores[Store Name])</f>
        <v>Ballito</v>
      </c>
      <c r="E2644" t="str">
        <f>_xlfn.XLOOKUP(tblSales[[#This Row],[Store ID]],tblStores[Store ID],tblStores[Province])</f>
        <v>KZN</v>
      </c>
      <c r="F2644" t="str">
        <f>_xlfn.XLOOKUP(tblSales[[#This Row],[Store ID]],tblStores[Store ID],tblStores[Manager])</f>
        <v>Linda Smith</v>
      </c>
      <c r="G2644" t="str">
        <f>_xlfn.XLOOKUP(tblSales[[#This Row],[Category ID]],tblCategories[Category ID],tblCategories[Category])</f>
        <v>Menswear</v>
      </c>
      <c r="H2644">
        <v>93518</v>
      </c>
      <c r="I2644">
        <v>98453</v>
      </c>
      <c r="J2644">
        <v>214</v>
      </c>
      <c r="K2644">
        <f>tblSales[[#This Row],[Sales]]-tblSales[[#This Row],[Budget]]</f>
        <v>-4935</v>
      </c>
      <c r="L2644" s="3">
        <f>(tblSales[[#This Row],[Sales]]-tblSales[[#This Row],[Budget]])/tblSales[[#This Row],[Budget]]</f>
        <v>-5.0125440565549045E-2</v>
      </c>
      <c r="M2644" s="2">
        <f>tblSales[[#This Row],[Sales]]/tblSales[[#This Row],[Transactions]]</f>
        <v>437</v>
      </c>
    </row>
    <row r="2645" spans="1:13" x14ac:dyDescent="0.25">
      <c r="A2645" s="1">
        <v>46155</v>
      </c>
      <c r="B2645" t="s">
        <v>12</v>
      </c>
      <c r="C2645" t="s">
        <v>9</v>
      </c>
      <c r="D2645" t="str">
        <f>_xlfn.XLOOKUP(tblSales[[#This Row],[Store ID]],tblStores[Store ID],tblStores[Store Name])</f>
        <v>Pietermaritzburg</v>
      </c>
      <c r="E2645" t="str">
        <f>_xlfn.XLOOKUP(tblSales[[#This Row],[Store ID]],tblStores[Store ID],tblStores[Province])</f>
        <v>KZN</v>
      </c>
      <c r="F2645" t="str">
        <f>_xlfn.XLOOKUP(tblSales[[#This Row],[Store ID]],tblStores[Store ID],tblStores[Manager])</f>
        <v>Peter Brown</v>
      </c>
      <c r="G2645" t="str">
        <f>_xlfn.XLOOKUP(tblSales[[#This Row],[Category ID]],tblCategories[Category ID],tblCategories[Category])</f>
        <v>Ladieswear</v>
      </c>
      <c r="H2645">
        <v>93372</v>
      </c>
      <c r="I2645">
        <v>98845</v>
      </c>
      <c r="J2645">
        <v>186</v>
      </c>
      <c r="K2645">
        <f>tblSales[[#This Row],[Sales]]-tblSales[[#This Row],[Budget]]</f>
        <v>-5473</v>
      </c>
      <c r="L2645" s="3">
        <f>(tblSales[[#This Row],[Sales]]-tblSales[[#This Row],[Budget]])/tblSales[[#This Row],[Budget]]</f>
        <v>-5.536951793211594E-2</v>
      </c>
      <c r="M2645" s="2">
        <f>tblSales[[#This Row],[Sales]]/tblSales[[#This Row],[Transactions]]</f>
        <v>502</v>
      </c>
    </row>
    <row r="2646" spans="1:13" x14ac:dyDescent="0.25">
      <c r="A2646" s="1">
        <v>46155</v>
      </c>
      <c r="B2646" t="s">
        <v>13</v>
      </c>
      <c r="C2646" t="s">
        <v>9</v>
      </c>
      <c r="D2646" t="str">
        <f>_xlfn.XLOOKUP(tblSales[[#This Row],[Store ID]],tblStores[Store ID],tblStores[Store Name])</f>
        <v>Richards Bay</v>
      </c>
      <c r="E2646" t="str">
        <f>_xlfn.XLOOKUP(tblSales[[#This Row],[Store ID]],tblStores[Store ID],tblStores[Province])</f>
        <v>KZN</v>
      </c>
      <c r="F2646" t="str">
        <f>_xlfn.XLOOKUP(tblSales[[#This Row],[Store ID]],tblStores[Store ID],tblStores[Manager])</f>
        <v>David Green</v>
      </c>
      <c r="G2646" t="str">
        <f>_xlfn.XLOOKUP(tblSales[[#This Row],[Category ID]],tblCategories[Category ID],tblCategories[Category])</f>
        <v>Ladieswear</v>
      </c>
      <c r="H2646">
        <v>16055</v>
      </c>
      <c r="I2646">
        <v>16060</v>
      </c>
      <c r="J2646">
        <v>65</v>
      </c>
      <c r="K2646">
        <f>tblSales[[#This Row],[Sales]]-tblSales[[#This Row],[Budget]]</f>
        <v>-5</v>
      </c>
      <c r="L2646" s="3">
        <f>(tblSales[[#This Row],[Sales]]-tblSales[[#This Row],[Budget]])/tblSales[[#This Row],[Budget]]</f>
        <v>-3.1133250311332503E-4</v>
      </c>
      <c r="M2646" s="2">
        <f>tblSales[[#This Row],[Sales]]/tblSales[[#This Row],[Transactions]]</f>
        <v>247</v>
      </c>
    </row>
    <row r="2647" spans="1:13" x14ac:dyDescent="0.25">
      <c r="A2647" s="1">
        <v>46155</v>
      </c>
      <c r="B2647" t="s">
        <v>14</v>
      </c>
      <c r="C2647" t="s">
        <v>22</v>
      </c>
      <c r="D2647" t="str">
        <f>_xlfn.XLOOKUP(tblSales[[#This Row],[Store ID]],tblStores[Store ID],tblStores[Store Name])</f>
        <v>Sandton</v>
      </c>
      <c r="E2647" t="str">
        <f>_xlfn.XLOOKUP(tblSales[[#This Row],[Store ID]],tblStores[Store ID],tblStores[Province])</f>
        <v>Gauteng</v>
      </c>
      <c r="F2647" t="str">
        <f>_xlfn.XLOOKUP(tblSales[[#This Row],[Store ID]],tblStores[Store ID],tblStores[Manager])</f>
        <v>Karen White</v>
      </c>
      <c r="G2647" t="str">
        <f>_xlfn.XLOOKUP(tblSales[[#This Row],[Category ID]],tblCategories[Category ID],tblCategories[Category])</f>
        <v>Kids</v>
      </c>
      <c r="H2647">
        <v>21336</v>
      </c>
      <c r="I2647">
        <v>21476</v>
      </c>
      <c r="J2647">
        <v>84</v>
      </c>
      <c r="K2647">
        <f>tblSales[[#This Row],[Sales]]-tblSales[[#This Row],[Budget]]</f>
        <v>-140</v>
      </c>
      <c r="L2647" s="3">
        <f>(tblSales[[#This Row],[Sales]]-tblSales[[#This Row],[Budget]])/tblSales[[#This Row],[Budget]]</f>
        <v>-6.51890482398957E-3</v>
      </c>
      <c r="M2647" s="2">
        <f>tblSales[[#This Row],[Sales]]/tblSales[[#This Row],[Transactions]]</f>
        <v>254</v>
      </c>
    </row>
    <row r="2648" spans="1:13" x14ac:dyDescent="0.25">
      <c r="A2648" s="1">
        <v>46155</v>
      </c>
      <c r="B2648" t="s">
        <v>15</v>
      </c>
      <c r="C2648" t="s">
        <v>19</v>
      </c>
      <c r="D2648" t="str">
        <f>_xlfn.XLOOKUP(tblSales[[#This Row],[Store ID]],tblStores[Store ID],tblStores[Store Name])</f>
        <v>Rosebank</v>
      </c>
      <c r="E2648" t="str">
        <f>_xlfn.XLOOKUP(tblSales[[#This Row],[Store ID]],tblStores[Store ID],tblStores[Province])</f>
        <v>Gauteng</v>
      </c>
      <c r="F2648" t="str">
        <f>_xlfn.XLOOKUP(tblSales[[#This Row],[Store ID]],tblStores[Store ID],tblStores[Manager])</f>
        <v>James Taylor</v>
      </c>
      <c r="G2648" t="str">
        <f>_xlfn.XLOOKUP(tblSales[[#This Row],[Category ID]],tblCategories[Category ID],tblCategories[Category])</f>
        <v>Accessories</v>
      </c>
      <c r="H2648">
        <v>19436</v>
      </c>
      <c r="I2648">
        <v>21692</v>
      </c>
      <c r="J2648">
        <v>86</v>
      </c>
      <c r="K2648">
        <f>tblSales[[#This Row],[Sales]]-tblSales[[#This Row],[Budget]]</f>
        <v>-2256</v>
      </c>
      <c r="L2648" s="3">
        <f>(tblSales[[#This Row],[Sales]]-tblSales[[#This Row],[Budget]])/tblSales[[#This Row],[Budget]]</f>
        <v>-0.10400147519822976</v>
      </c>
      <c r="M2648" s="2">
        <f>tblSales[[#This Row],[Sales]]/tblSales[[#This Row],[Transactions]]</f>
        <v>226</v>
      </c>
    </row>
    <row r="2649" spans="1:13" x14ac:dyDescent="0.25">
      <c r="A2649" s="1">
        <v>46155</v>
      </c>
      <c r="B2649" t="s">
        <v>16</v>
      </c>
      <c r="C2649" t="s">
        <v>11</v>
      </c>
      <c r="D2649" t="str">
        <f>_xlfn.XLOOKUP(tblSales[[#This Row],[Store ID]],tblStores[Store ID],tblStores[Store Name])</f>
        <v>Pretoria</v>
      </c>
      <c r="E2649" t="str">
        <f>_xlfn.XLOOKUP(tblSales[[#This Row],[Store ID]],tblStores[Store ID],tblStores[Province])</f>
        <v>Gauteng</v>
      </c>
      <c r="F2649" t="str">
        <f>_xlfn.XLOOKUP(tblSales[[#This Row],[Store ID]],tblStores[Store ID],tblStores[Manager])</f>
        <v>Susan Clark</v>
      </c>
      <c r="G2649" t="str">
        <f>_xlfn.XLOOKUP(tblSales[[#This Row],[Category ID]],tblCategories[Category ID],tblCategories[Category])</f>
        <v>Footwear</v>
      </c>
      <c r="H2649">
        <v>62272</v>
      </c>
      <c r="I2649">
        <v>60815</v>
      </c>
      <c r="J2649">
        <v>139</v>
      </c>
      <c r="K2649">
        <f>tblSales[[#This Row],[Sales]]-tblSales[[#This Row],[Budget]]</f>
        <v>1457</v>
      </c>
      <c r="L2649" s="3">
        <f>(tblSales[[#This Row],[Sales]]-tblSales[[#This Row],[Budget]])/tblSales[[#This Row],[Budget]]</f>
        <v>2.3957905122091588E-2</v>
      </c>
      <c r="M2649" s="2">
        <f>tblSales[[#This Row],[Sales]]/tblSales[[#This Row],[Transactions]]</f>
        <v>448</v>
      </c>
    </row>
    <row r="2650" spans="1:13" x14ac:dyDescent="0.25">
      <c r="A2650" s="1">
        <v>46155</v>
      </c>
      <c r="B2650" t="s">
        <v>17</v>
      </c>
      <c r="C2650" t="s">
        <v>9</v>
      </c>
      <c r="D2650" t="str">
        <f>_xlfn.XLOOKUP(tblSales[[#This Row],[Store ID]],tblStores[Store ID],tblStores[Store Name])</f>
        <v>Centurion</v>
      </c>
      <c r="E2650" t="str">
        <f>_xlfn.XLOOKUP(tblSales[[#This Row],[Store ID]],tblStores[Store ID],tblStores[Province])</f>
        <v>Gauteng</v>
      </c>
      <c r="F2650" t="str">
        <f>_xlfn.XLOOKUP(tblSales[[#This Row],[Store ID]],tblStores[Store ID],tblStores[Manager])</f>
        <v>Mark Wilson</v>
      </c>
      <c r="G2650" t="str">
        <f>_xlfn.XLOOKUP(tblSales[[#This Row],[Category ID]],tblCategories[Category ID],tblCategories[Category])</f>
        <v>Ladieswear</v>
      </c>
      <c r="H2650">
        <v>32032</v>
      </c>
      <c r="I2650">
        <v>32240</v>
      </c>
      <c r="J2650">
        <v>91</v>
      </c>
      <c r="K2650">
        <f>tblSales[[#This Row],[Sales]]-tblSales[[#This Row],[Budget]]</f>
        <v>-208</v>
      </c>
      <c r="L2650" s="3">
        <f>(tblSales[[#This Row],[Sales]]-tblSales[[#This Row],[Budget]])/tblSales[[#This Row],[Budget]]</f>
        <v>-6.4516129032258064E-3</v>
      </c>
      <c r="M2650" s="2">
        <f>tblSales[[#This Row],[Sales]]/tblSales[[#This Row],[Transactions]]</f>
        <v>352</v>
      </c>
    </row>
    <row r="2651" spans="1:13" x14ac:dyDescent="0.25">
      <c r="A2651" s="1">
        <v>46155</v>
      </c>
      <c r="B2651" t="s">
        <v>18</v>
      </c>
      <c r="C2651" t="s">
        <v>7</v>
      </c>
      <c r="D2651" t="str">
        <f>_xlfn.XLOOKUP(tblSales[[#This Row],[Store ID]],tblStores[Store ID],tblStores[Store Name])</f>
        <v>East Rand</v>
      </c>
      <c r="E2651" t="str">
        <f>_xlfn.XLOOKUP(tblSales[[#This Row],[Store ID]],tblStores[Store ID],tblStores[Province])</f>
        <v>Gauteng</v>
      </c>
      <c r="F2651" t="str">
        <f>_xlfn.XLOOKUP(tblSales[[#This Row],[Store ID]],tblStores[Store ID],tblStores[Manager])</f>
        <v>Lisa Young</v>
      </c>
      <c r="G2651" t="str">
        <f>_xlfn.XLOOKUP(tblSales[[#This Row],[Category ID]],tblCategories[Category ID],tblCategories[Category])</f>
        <v>Menswear</v>
      </c>
      <c r="H2651">
        <v>65670</v>
      </c>
      <c r="I2651">
        <v>69673</v>
      </c>
      <c r="J2651">
        <v>165</v>
      </c>
      <c r="K2651">
        <f>tblSales[[#This Row],[Sales]]-tblSales[[#This Row],[Budget]]</f>
        <v>-4003</v>
      </c>
      <c r="L2651" s="3">
        <f>(tblSales[[#This Row],[Sales]]-tblSales[[#This Row],[Budget]])/tblSales[[#This Row],[Budget]]</f>
        <v>-5.7454107042900403E-2</v>
      </c>
      <c r="M2651" s="2">
        <f>tblSales[[#This Row],[Sales]]/tblSales[[#This Row],[Transactions]]</f>
        <v>398</v>
      </c>
    </row>
    <row r="2652" spans="1:13" x14ac:dyDescent="0.25">
      <c r="A2652" s="1">
        <v>46155</v>
      </c>
      <c r="B2652" t="s">
        <v>20</v>
      </c>
      <c r="C2652" t="s">
        <v>22</v>
      </c>
      <c r="D2652" t="str">
        <f>_xlfn.XLOOKUP(tblSales[[#This Row],[Store ID]],tblStores[Store ID],tblStores[Store Name])</f>
        <v>Cape Town CBD</v>
      </c>
      <c r="E2652" t="str">
        <f>_xlfn.XLOOKUP(tblSales[[#This Row],[Store ID]],tblStores[Store ID],tblStores[Province])</f>
        <v>Western Cape</v>
      </c>
      <c r="F2652" t="str">
        <f>_xlfn.XLOOKUP(tblSales[[#This Row],[Store ID]],tblStores[Store ID],tblStores[Manager])</f>
        <v>Brian Hall</v>
      </c>
      <c r="G2652" t="str">
        <f>_xlfn.XLOOKUP(tblSales[[#This Row],[Category ID]],tblCategories[Category ID],tblCategories[Category])</f>
        <v>Kids</v>
      </c>
      <c r="H2652">
        <v>19971</v>
      </c>
      <c r="I2652">
        <v>19789</v>
      </c>
      <c r="J2652">
        <v>63</v>
      </c>
      <c r="K2652">
        <f>tblSales[[#This Row],[Sales]]-tblSales[[#This Row],[Budget]]</f>
        <v>182</v>
      </c>
      <c r="L2652" s="3">
        <f>(tblSales[[#This Row],[Sales]]-tblSales[[#This Row],[Budget]])/tblSales[[#This Row],[Budget]]</f>
        <v>9.1970286522815702E-3</v>
      </c>
      <c r="M2652" s="2">
        <f>tblSales[[#This Row],[Sales]]/tblSales[[#This Row],[Transactions]]</f>
        <v>317</v>
      </c>
    </row>
    <row r="2653" spans="1:13" x14ac:dyDescent="0.25">
      <c r="A2653" s="1">
        <v>46155</v>
      </c>
      <c r="B2653" t="s">
        <v>21</v>
      </c>
      <c r="C2653" t="s">
        <v>22</v>
      </c>
      <c r="D2653" t="str">
        <f>_xlfn.XLOOKUP(tblSales[[#This Row],[Store ID]],tblStores[Store ID],tblStores[Store Name])</f>
        <v>Canal Walk</v>
      </c>
      <c r="E2653" t="str">
        <f>_xlfn.XLOOKUP(tblSales[[#This Row],[Store ID]],tblStores[Store ID],tblStores[Province])</f>
        <v>Western Cape</v>
      </c>
      <c r="F2653" t="str">
        <f>_xlfn.XLOOKUP(tblSales[[#This Row],[Store ID]],tblStores[Store ID],tblStores[Manager])</f>
        <v>Megan Scott</v>
      </c>
      <c r="G2653" t="str">
        <f>_xlfn.XLOOKUP(tblSales[[#This Row],[Category ID]],tblCategories[Category ID],tblCategories[Category])</f>
        <v>Kids</v>
      </c>
      <c r="H2653">
        <v>85498</v>
      </c>
      <c r="I2653">
        <v>82227</v>
      </c>
      <c r="J2653">
        <v>217</v>
      </c>
      <c r="K2653">
        <f>tblSales[[#This Row],[Sales]]-tblSales[[#This Row],[Budget]]</f>
        <v>3271</v>
      </c>
      <c r="L2653" s="3">
        <f>(tblSales[[#This Row],[Sales]]-tblSales[[#This Row],[Budget]])/tblSales[[#This Row],[Budget]]</f>
        <v>3.9780120884867501E-2</v>
      </c>
      <c r="M2653" s="2">
        <f>tblSales[[#This Row],[Sales]]/tblSales[[#This Row],[Transactions]]</f>
        <v>394</v>
      </c>
    </row>
    <row r="2654" spans="1:13" x14ac:dyDescent="0.25">
      <c r="A2654" s="1">
        <v>46155</v>
      </c>
      <c r="B2654" t="s">
        <v>23</v>
      </c>
      <c r="C2654" t="s">
        <v>7</v>
      </c>
      <c r="D2654" t="str">
        <f>_xlfn.XLOOKUP(tblSales[[#This Row],[Store ID]],tblStores[Store ID],tblStores[Store Name])</f>
        <v>Stellenbosch</v>
      </c>
      <c r="E2654" t="str">
        <f>_xlfn.XLOOKUP(tblSales[[#This Row],[Store ID]],tblStores[Store ID],tblStores[Province])</f>
        <v>Western Cape</v>
      </c>
      <c r="F2654" t="str">
        <f>_xlfn.XLOOKUP(tblSales[[#This Row],[Store ID]],tblStores[Store ID],tblStores[Manager])</f>
        <v>Jason King</v>
      </c>
      <c r="G2654" t="str">
        <f>_xlfn.XLOOKUP(tblSales[[#This Row],[Category ID]],tblCategories[Category ID],tblCategories[Category])</f>
        <v>Menswear</v>
      </c>
      <c r="H2654">
        <v>16200</v>
      </c>
      <c r="I2654">
        <v>14582</v>
      </c>
      <c r="J2654">
        <v>81</v>
      </c>
      <c r="K2654">
        <f>tblSales[[#This Row],[Sales]]-tblSales[[#This Row],[Budget]]</f>
        <v>1618</v>
      </c>
      <c r="L2654" s="3">
        <f>(tblSales[[#This Row],[Sales]]-tblSales[[#This Row],[Budget]])/tblSales[[#This Row],[Budget]]</f>
        <v>0.11095871622548348</v>
      </c>
      <c r="M2654" s="2">
        <f>tblSales[[#This Row],[Sales]]/tblSales[[#This Row],[Transactions]]</f>
        <v>200</v>
      </c>
    </row>
    <row r="2655" spans="1:13" x14ac:dyDescent="0.25">
      <c r="A2655" s="1">
        <v>46155</v>
      </c>
      <c r="B2655" t="s">
        <v>24</v>
      </c>
      <c r="C2655" t="s">
        <v>22</v>
      </c>
      <c r="D2655" t="str">
        <f>_xlfn.XLOOKUP(tblSales[[#This Row],[Store ID]],tblStores[Store ID],tblStores[Store Name])</f>
        <v>George</v>
      </c>
      <c r="E2655" t="str">
        <f>_xlfn.XLOOKUP(tblSales[[#This Row],[Store ID]],tblStores[Store ID],tblStores[Province])</f>
        <v>Western Cape</v>
      </c>
      <c r="F2655" t="str">
        <f>_xlfn.XLOOKUP(tblSales[[#This Row],[Store ID]],tblStores[Store ID],tblStores[Manager])</f>
        <v>Chloe Hill</v>
      </c>
      <c r="G2655" t="str">
        <f>_xlfn.XLOOKUP(tblSales[[#This Row],[Category ID]],tblCategories[Category ID],tblCategories[Category])</f>
        <v>Kids</v>
      </c>
      <c r="H2655">
        <v>29014</v>
      </c>
      <c r="I2655">
        <v>29536</v>
      </c>
      <c r="J2655">
        <v>89</v>
      </c>
      <c r="K2655">
        <f>tblSales[[#This Row],[Sales]]-tblSales[[#This Row],[Budget]]</f>
        <v>-522</v>
      </c>
      <c r="L2655" s="3">
        <f>(tblSales[[#This Row],[Sales]]-tblSales[[#This Row],[Budget]])/tblSales[[#This Row],[Budget]]</f>
        <v>-1.7673347778981583E-2</v>
      </c>
      <c r="M2655" s="2">
        <f>tblSales[[#This Row],[Sales]]/tblSales[[#This Row],[Transactions]]</f>
        <v>326</v>
      </c>
    </row>
    <row r="2656" spans="1:13" x14ac:dyDescent="0.25">
      <c r="A2656" s="1">
        <v>46155</v>
      </c>
      <c r="B2656" t="s">
        <v>25</v>
      </c>
      <c r="C2656" t="s">
        <v>19</v>
      </c>
      <c r="D2656" t="str">
        <f>_xlfn.XLOOKUP(tblSales[[#This Row],[Store ID]],tblStores[Store ID],tblStores[Store Name])</f>
        <v>Paarl</v>
      </c>
      <c r="E2656" t="str">
        <f>_xlfn.XLOOKUP(tblSales[[#This Row],[Store ID]],tblStores[Store ID],tblStores[Province])</f>
        <v>Western Cape</v>
      </c>
      <c r="F2656" t="str">
        <f>_xlfn.XLOOKUP(tblSales[[#This Row],[Store ID]],tblStores[Store ID],tblStores[Manager])</f>
        <v>Andrew Lee</v>
      </c>
      <c r="G2656" t="str">
        <f>_xlfn.XLOOKUP(tblSales[[#This Row],[Category ID]],tblCategories[Category ID],tblCategories[Category])</f>
        <v>Accessories</v>
      </c>
      <c r="H2656">
        <v>24000</v>
      </c>
      <c r="I2656">
        <v>22709</v>
      </c>
      <c r="J2656">
        <v>60</v>
      </c>
      <c r="K2656">
        <f>tblSales[[#This Row],[Sales]]-tblSales[[#This Row],[Budget]]</f>
        <v>1291</v>
      </c>
      <c r="L2656" s="3">
        <f>(tblSales[[#This Row],[Sales]]-tblSales[[#This Row],[Budget]])/tblSales[[#This Row],[Budget]]</f>
        <v>5.6849707164560309E-2</v>
      </c>
      <c r="M2656" s="2">
        <f>tblSales[[#This Row],[Sales]]/tblSales[[#This Row],[Transactions]]</f>
        <v>400</v>
      </c>
    </row>
    <row r="2657" spans="1:13" x14ac:dyDescent="0.25">
      <c r="A2657" s="1">
        <v>46155</v>
      </c>
      <c r="B2657" t="s">
        <v>26</v>
      </c>
      <c r="C2657" t="s">
        <v>11</v>
      </c>
      <c r="D2657" t="str">
        <f>_xlfn.XLOOKUP(tblSales[[#This Row],[Store ID]],tblStores[Store ID],tblStores[Store Name])</f>
        <v>Gqeberha</v>
      </c>
      <c r="E2657" t="str">
        <f>_xlfn.XLOOKUP(tblSales[[#This Row],[Store ID]],tblStores[Store ID],tblStores[Province])</f>
        <v>Eastern Cape</v>
      </c>
      <c r="F2657" t="str">
        <f>_xlfn.XLOOKUP(tblSales[[#This Row],[Store ID]],tblStores[Store ID],tblStores[Manager])</f>
        <v>Emma Baker</v>
      </c>
      <c r="G2657" t="str">
        <f>_xlfn.XLOOKUP(tblSales[[#This Row],[Category ID]],tblCategories[Category ID],tblCategories[Category])</f>
        <v>Footwear</v>
      </c>
      <c r="H2657">
        <v>44928</v>
      </c>
      <c r="I2657">
        <v>43853</v>
      </c>
      <c r="J2657">
        <v>128</v>
      </c>
      <c r="K2657">
        <f>tblSales[[#This Row],[Sales]]-tblSales[[#This Row],[Budget]]</f>
        <v>1075</v>
      </c>
      <c r="L2657" s="3">
        <f>(tblSales[[#This Row],[Sales]]-tblSales[[#This Row],[Budget]])/tblSales[[#This Row],[Budget]]</f>
        <v>2.4513716279387955E-2</v>
      </c>
      <c r="M2657" s="2">
        <f>tblSales[[#This Row],[Sales]]/tblSales[[#This Row],[Transactions]]</f>
        <v>351</v>
      </c>
    </row>
    <row r="2658" spans="1:13" x14ac:dyDescent="0.25">
      <c r="A2658" s="1">
        <v>46155</v>
      </c>
      <c r="B2658" t="s">
        <v>27</v>
      </c>
      <c r="C2658" t="s">
        <v>7</v>
      </c>
      <c r="D2658" t="str">
        <f>_xlfn.XLOOKUP(tblSales[[#This Row],[Store ID]],tblStores[Store ID],tblStores[Store Name])</f>
        <v>East London</v>
      </c>
      <c r="E2658" t="str">
        <f>_xlfn.XLOOKUP(tblSales[[#This Row],[Store ID]],tblStores[Store ID],tblStores[Province])</f>
        <v>Eastern Cape</v>
      </c>
      <c r="F2658" t="str">
        <f>_xlfn.XLOOKUP(tblSales[[#This Row],[Store ID]],tblStores[Store ID],tblStores[Manager])</f>
        <v>Daniel Evans</v>
      </c>
      <c r="G2658" t="str">
        <f>_xlfn.XLOOKUP(tblSales[[#This Row],[Category ID]],tblCategories[Category ID],tblCategories[Category])</f>
        <v>Menswear</v>
      </c>
      <c r="H2658">
        <v>38316</v>
      </c>
      <c r="I2658">
        <v>41026</v>
      </c>
      <c r="J2658">
        <v>206</v>
      </c>
      <c r="K2658">
        <f>tblSales[[#This Row],[Sales]]-tblSales[[#This Row],[Budget]]</f>
        <v>-2710</v>
      </c>
      <c r="L2658" s="3">
        <f>(tblSales[[#This Row],[Sales]]-tblSales[[#This Row],[Budget]])/tblSales[[#This Row],[Budget]]</f>
        <v>-6.6055672012869882E-2</v>
      </c>
      <c r="M2658" s="2">
        <f>tblSales[[#This Row],[Sales]]/tblSales[[#This Row],[Transactions]]</f>
        <v>186</v>
      </c>
    </row>
    <row r="2659" spans="1:13" x14ac:dyDescent="0.25">
      <c r="A2659" s="1">
        <v>46155</v>
      </c>
      <c r="B2659" t="s">
        <v>28</v>
      </c>
      <c r="C2659" t="s">
        <v>9</v>
      </c>
      <c r="D2659" t="str">
        <f>_xlfn.XLOOKUP(tblSales[[#This Row],[Store ID]],tblStores[Store ID],tblStores[Store Name])</f>
        <v>Bloemfontein</v>
      </c>
      <c r="E2659" t="str">
        <f>_xlfn.XLOOKUP(tblSales[[#This Row],[Store ID]],tblStores[Store ID],tblStores[Province])</f>
        <v>Free State</v>
      </c>
      <c r="F2659" t="str">
        <f>_xlfn.XLOOKUP(tblSales[[#This Row],[Store ID]],tblStores[Store ID],tblStores[Manager])</f>
        <v>Rachel Moore</v>
      </c>
      <c r="G2659" t="str">
        <f>_xlfn.XLOOKUP(tblSales[[#This Row],[Category ID]],tblCategories[Category ID],tblCategories[Category])</f>
        <v>Ladieswear</v>
      </c>
      <c r="H2659">
        <v>43316</v>
      </c>
      <c r="I2659">
        <v>47011</v>
      </c>
      <c r="J2659">
        <v>119</v>
      </c>
      <c r="K2659">
        <f>tblSales[[#This Row],[Sales]]-tblSales[[#This Row],[Budget]]</f>
        <v>-3695</v>
      </c>
      <c r="L2659" s="3">
        <f>(tblSales[[#This Row],[Sales]]-tblSales[[#This Row],[Budget]])/tblSales[[#This Row],[Budget]]</f>
        <v>-7.8598625853523646E-2</v>
      </c>
      <c r="M2659" s="2">
        <f>tblSales[[#This Row],[Sales]]/tblSales[[#This Row],[Transactions]]</f>
        <v>364</v>
      </c>
    </row>
    <row r="2660" spans="1:13" x14ac:dyDescent="0.25">
      <c r="A2660" s="1">
        <v>46155</v>
      </c>
      <c r="B2660" t="s">
        <v>29</v>
      </c>
      <c r="C2660" t="s">
        <v>22</v>
      </c>
      <c r="D2660" t="str">
        <f>_xlfn.XLOOKUP(tblSales[[#This Row],[Store ID]],tblStores[Store ID],tblStores[Store Name])</f>
        <v>Polokwane</v>
      </c>
      <c r="E2660" t="str">
        <f>_xlfn.XLOOKUP(tblSales[[#This Row],[Store ID]],tblStores[Store ID],tblStores[Province])</f>
        <v>Limpopo</v>
      </c>
      <c r="F2660" t="str">
        <f>_xlfn.XLOOKUP(tblSales[[#This Row],[Store ID]],tblStores[Store ID],tblStores[Manager])</f>
        <v>Kevin Harris</v>
      </c>
      <c r="G2660" t="str">
        <f>_xlfn.XLOOKUP(tblSales[[#This Row],[Category ID]],tblCategories[Category ID],tblCategories[Category])</f>
        <v>Kids</v>
      </c>
      <c r="H2660">
        <v>83250</v>
      </c>
      <c r="I2660">
        <v>87510</v>
      </c>
      <c r="J2660">
        <v>185</v>
      </c>
      <c r="K2660">
        <f>tblSales[[#This Row],[Sales]]-tblSales[[#This Row],[Budget]]</f>
        <v>-4260</v>
      </c>
      <c r="L2660" s="3">
        <f>(tblSales[[#This Row],[Sales]]-tblSales[[#This Row],[Budget]])/tblSales[[#This Row],[Budget]]</f>
        <v>-4.8680150839904013E-2</v>
      </c>
      <c r="M2660" s="2">
        <f>tblSales[[#This Row],[Sales]]/tblSales[[#This Row],[Transactions]]</f>
        <v>450</v>
      </c>
    </row>
    <row r="2661" spans="1:13" x14ac:dyDescent="0.25">
      <c r="A2661" s="1">
        <v>46155</v>
      </c>
      <c r="B2661" t="s">
        <v>30</v>
      </c>
      <c r="C2661" t="s">
        <v>9</v>
      </c>
      <c r="D2661" t="str">
        <f>_xlfn.XLOOKUP(tblSales[[#This Row],[Store ID]],tblStores[Store ID],tblStores[Store Name])</f>
        <v>Nelspruit</v>
      </c>
      <c r="E2661" t="str">
        <f>_xlfn.XLOOKUP(tblSales[[#This Row],[Store ID]],tblStores[Store ID],tblStores[Province])</f>
        <v>Mpumalanga</v>
      </c>
      <c r="F2661" t="str">
        <f>_xlfn.XLOOKUP(tblSales[[#This Row],[Store ID]],tblStores[Store ID],tblStores[Manager])</f>
        <v>Olivia Turner</v>
      </c>
      <c r="G2661" t="str">
        <f>_xlfn.XLOOKUP(tblSales[[#This Row],[Category ID]],tblCategories[Category ID],tblCategories[Category])</f>
        <v>Ladieswear</v>
      </c>
      <c r="H2661">
        <v>64521</v>
      </c>
      <c r="I2661">
        <v>61456</v>
      </c>
      <c r="J2661">
        <v>201</v>
      </c>
      <c r="K2661">
        <f>tblSales[[#This Row],[Sales]]-tblSales[[#This Row],[Budget]]</f>
        <v>3065</v>
      </c>
      <c r="L2661" s="3">
        <f>(tblSales[[#This Row],[Sales]]-tblSales[[#This Row],[Budget]])/tblSales[[#This Row],[Budget]]</f>
        <v>4.9873079927102319E-2</v>
      </c>
      <c r="M2661" s="2">
        <f>tblSales[[#This Row],[Sales]]/tblSales[[#This Row],[Transactions]]</f>
        <v>321</v>
      </c>
    </row>
    <row r="2662" spans="1:13" x14ac:dyDescent="0.25">
      <c r="A2662" s="1">
        <v>46156</v>
      </c>
      <c r="B2662" t="s">
        <v>6</v>
      </c>
      <c r="C2662" t="s">
        <v>11</v>
      </c>
      <c r="D2662" t="str">
        <f>_xlfn.XLOOKUP(tblSales[[#This Row],[Store ID]],tblStores[Store ID],tblStores[Store Name])</f>
        <v>Durban CBD</v>
      </c>
      <c r="E2662" t="str">
        <f>_xlfn.XLOOKUP(tblSales[[#This Row],[Store ID]],tblStores[Store ID],tblStores[Province])</f>
        <v>KZN</v>
      </c>
      <c r="F2662" t="str">
        <f>_xlfn.XLOOKUP(tblSales[[#This Row],[Store ID]],tblStores[Store ID],tblStores[Manager])</f>
        <v>Sarah Adams</v>
      </c>
      <c r="G2662" t="str">
        <f>_xlfn.XLOOKUP(tblSales[[#This Row],[Category ID]],tblCategories[Category ID],tblCategories[Category])</f>
        <v>Footwear</v>
      </c>
      <c r="H2662">
        <v>13338</v>
      </c>
      <c r="I2662">
        <v>12439</v>
      </c>
      <c r="J2662">
        <v>57</v>
      </c>
      <c r="K2662">
        <f>tblSales[[#This Row],[Sales]]-tblSales[[#This Row],[Budget]]</f>
        <v>899</v>
      </c>
      <c r="L2662" s="3">
        <f>(tblSales[[#This Row],[Sales]]-tblSales[[#This Row],[Budget]])/tblSales[[#This Row],[Budget]]</f>
        <v>7.2272690730766143E-2</v>
      </c>
      <c r="M2662" s="2">
        <f>tblSales[[#This Row],[Sales]]/tblSales[[#This Row],[Transactions]]</f>
        <v>234</v>
      </c>
    </row>
    <row r="2663" spans="1:13" x14ac:dyDescent="0.25">
      <c r="A2663" s="1">
        <v>46156</v>
      </c>
      <c r="B2663" t="s">
        <v>8</v>
      </c>
      <c r="C2663" t="s">
        <v>19</v>
      </c>
      <c r="D2663" t="str">
        <f>_xlfn.XLOOKUP(tblSales[[#This Row],[Store ID]],tblStores[Store ID],tblStores[Store Name])</f>
        <v>Gateway</v>
      </c>
      <c r="E2663" t="str">
        <f>_xlfn.XLOOKUP(tblSales[[#This Row],[Store ID]],tblStores[Store ID],tblStores[Province])</f>
        <v>KZN</v>
      </c>
      <c r="F2663" t="str">
        <f>_xlfn.XLOOKUP(tblSales[[#This Row],[Store ID]],tblStores[Store ID],tblStores[Manager])</f>
        <v>Michael Jones</v>
      </c>
      <c r="G2663" t="str">
        <f>_xlfn.XLOOKUP(tblSales[[#This Row],[Category ID]],tblCategories[Category ID],tblCategories[Category])</f>
        <v>Accessories</v>
      </c>
      <c r="H2663">
        <v>13065</v>
      </c>
      <c r="I2663">
        <v>13674</v>
      </c>
      <c r="J2663">
        <v>65</v>
      </c>
      <c r="K2663">
        <f>tblSales[[#This Row],[Sales]]-tblSales[[#This Row],[Budget]]</f>
        <v>-609</v>
      </c>
      <c r="L2663" s="3">
        <f>(tblSales[[#This Row],[Sales]]-tblSales[[#This Row],[Budget]])/tblSales[[#This Row],[Budget]]</f>
        <v>-4.4537077665642827E-2</v>
      </c>
      <c r="M2663" s="2">
        <f>tblSales[[#This Row],[Sales]]/tblSales[[#This Row],[Transactions]]</f>
        <v>201</v>
      </c>
    </row>
    <row r="2664" spans="1:13" x14ac:dyDescent="0.25">
      <c r="A2664" s="1">
        <v>46156</v>
      </c>
      <c r="B2664" t="s">
        <v>10</v>
      </c>
      <c r="C2664" t="s">
        <v>9</v>
      </c>
      <c r="D2664" t="str">
        <f>_xlfn.XLOOKUP(tblSales[[#This Row],[Store ID]],tblStores[Store ID],tblStores[Store Name])</f>
        <v>Ballito</v>
      </c>
      <c r="E2664" t="str">
        <f>_xlfn.XLOOKUP(tblSales[[#This Row],[Store ID]],tblStores[Store ID],tblStores[Province])</f>
        <v>KZN</v>
      </c>
      <c r="F2664" t="str">
        <f>_xlfn.XLOOKUP(tblSales[[#This Row],[Store ID]],tblStores[Store ID],tblStores[Manager])</f>
        <v>Linda Smith</v>
      </c>
      <c r="G2664" t="str">
        <f>_xlfn.XLOOKUP(tblSales[[#This Row],[Category ID]],tblCategories[Category ID],tblCategories[Category])</f>
        <v>Ladieswear</v>
      </c>
      <c r="H2664">
        <v>34272</v>
      </c>
      <c r="I2664">
        <v>38774</v>
      </c>
      <c r="J2664">
        <v>84</v>
      </c>
      <c r="K2664">
        <f>tblSales[[#This Row],[Sales]]-tblSales[[#This Row],[Budget]]</f>
        <v>-4502</v>
      </c>
      <c r="L2664" s="3">
        <f>(tblSales[[#This Row],[Sales]]-tblSales[[#This Row],[Budget]])/tblSales[[#This Row],[Budget]]</f>
        <v>-0.11610873265590343</v>
      </c>
      <c r="M2664" s="2">
        <f>tblSales[[#This Row],[Sales]]/tblSales[[#This Row],[Transactions]]</f>
        <v>408</v>
      </c>
    </row>
    <row r="2665" spans="1:13" x14ac:dyDescent="0.25">
      <c r="A2665" s="1">
        <v>46156</v>
      </c>
      <c r="B2665" t="s">
        <v>12</v>
      </c>
      <c r="C2665" t="s">
        <v>7</v>
      </c>
      <c r="D2665" t="str">
        <f>_xlfn.XLOOKUP(tblSales[[#This Row],[Store ID]],tblStores[Store ID],tblStores[Store Name])</f>
        <v>Pietermaritzburg</v>
      </c>
      <c r="E2665" t="str">
        <f>_xlfn.XLOOKUP(tblSales[[#This Row],[Store ID]],tblStores[Store ID],tblStores[Province])</f>
        <v>KZN</v>
      </c>
      <c r="F2665" t="str">
        <f>_xlfn.XLOOKUP(tblSales[[#This Row],[Store ID]],tblStores[Store ID],tblStores[Manager])</f>
        <v>Peter Brown</v>
      </c>
      <c r="G2665" t="str">
        <f>_xlfn.XLOOKUP(tblSales[[#This Row],[Category ID]],tblCategories[Category ID],tblCategories[Category])</f>
        <v>Menswear</v>
      </c>
      <c r="H2665">
        <v>86304</v>
      </c>
      <c r="I2665">
        <v>85071</v>
      </c>
      <c r="J2665">
        <v>174</v>
      </c>
      <c r="K2665">
        <f>tblSales[[#This Row],[Sales]]-tblSales[[#This Row],[Budget]]</f>
        <v>1233</v>
      </c>
      <c r="L2665" s="3">
        <f>(tblSales[[#This Row],[Sales]]-tblSales[[#This Row],[Budget]])/tblSales[[#This Row],[Budget]]</f>
        <v>1.4493775787283563E-2</v>
      </c>
      <c r="M2665" s="2">
        <f>tblSales[[#This Row],[Sales]]/tblSales[[#This Row],[Transactions]]</f>
        <v>496</v>
      </c>
    </row>
    <row r="2666" spans="1:13" x14ac:dyDescent="0.25">
      <c r="A2666" s="1">
        <v>46156</v>
      </c>
      <c r="B2666" t="s">
        <v>13</v>
      </c>
      <c r="C2666" t="s">
        <v>11</v>
      </c>
      <c r="D2666" t="str">
        <f>_xlfn.XLOOKUP(tblSales[[#This Row],[Store ID]],tblStores[Store ID],tblStores[Store Name])</f>
        <v>Richards Bay</v>
      </c>
      <c r="E2666" t="str">
        <f>_xlfn.XLOOKUP(tblSales[[#This Row],[Store ID]],tblStores[Store ID],tblStores[Province])</f>
        <v>KZN</v>
      </c>
      <c r="F2666" t="str">
        <f>_xlfn.XLOOKUP(tblSales[[#This Row],[Store ID]],tblStores[Store ID],tblStores[Manager])</f>
        <v>David Green</v>
      </c>
      <c r="G2666" t="str">
        <f>_xlfn.XLOOKUP(tblSales[[#This Row],[Category ID]],tblCategories[Category ID],tblCategories[Category])</f>
        <v>Footwear</v>
      </c>
      <c r="H2666">
        <v>38958</v>
      </c>
      <c r="I2666">
        <v>42082</v>
      </c>
      <c r="J2666">
        <v>86</v>
      </c>
      <c r="K2666">
        <f>tblSales[[#This Row],[Sales]]-tblSales[[#This Row],[Budget]]</f>
        <v>-3124</v>
      </c>
      <c r="L2666" s="3">
        <f>(tblSales[[#This Row],[Sales]]-tblSales[[#This Row],[Budget]])/tblSales[[#This Row],[Budget]]</f>
        <v>-7.4236015398507674E-2</v>
      </c>
      <c r="M2666" s="2">
        <f>tblSales[[#This Row],[Sales]]/tblSales[[#This Row],[Transactions]]</f>
        <v>453</v>
      </c>
    </row>
    <row r="2667" spans="1:13" x14ac:dyDescent="0.25">
      <c r="A2667" s="1">
        <v>46156</v>
      </c>
      <c r="B2667" t="s">
        <v>14</v>
      </c>
      <c r="C2667" t="s">
        <v>7</v>
      </c>
      <c r="D2667" t="str">
        <f>_xlfn.XLOOKUP(tblSales[[#This Row],[Store ID]],tblStores[Store ID],tblStores[Store Name])</f>
        <v>Sandton</v>
      </c>
      <c r="E2667" t="str">
        <f>_xlfn.XLOOKUP(tblSales[[#This Row],[Store ID]],tblStores[Store ID],tblStores[Province])</f>
        <v>Gauteng</v>
      </c>
      <c r="F2667" t="str">
        <f>_xlfn.XLOOKUP(tblSales[[#This Row],[Store ID]],tblStores[Store ID],tblStores[Manager])</f>
        <v>Karen White</v>
      </c>
      <c r="G2667" t="str">
        <f>_xlfn.XLOOKUP(tblSales[[#This Row],[Category ID]],tblCategories[Category ID],tblCategories[Category])</f>
        <v>Menswear</v>
      </c>
      <c r="H2667">
        <v>18626</v>
      </c>
      <c r="I2667">
        <v>18710</v>
      </c>
      <c r="J2667">
        <v>67</v>
      </c>
      <c r="K2667">
        <f>tblSales[[#This Row],[Sales]]-tblSales[[#This Row],[Budget]]</f>
        <v>-84</v>
      </c>
      <c r="L2667" s="3">
        <f>(tblSales[[#This Row],[Sales]]-tblSales[[#This Row],[Budget]])/tblSales[[#This Row],[Budget]]</f>
        <v>-4.4895777659005875E-3</v>
      </c>
      <c r="M2667" s="2">
        <f>tblSales[[#This Row],[Sales]]/tblSales[[#This Row],[Transactions]]</f>
        <v>278</v>
      </c>
    </row>
    <row r="2668" spans="1:13" x14ac:dyDescent="0.25">
      <c r="A2668" s="1">
        <v>46156</v>
      </c>
      <c r="B2668" t="s">
        <v>15</v>
      </c>
      <c r="C2668" t="s">
        <v>22</v>
      </c>
      <c r="D2668" t="str">
        <f>_xlfn.XLOOKUP(tblSales[[#This Row],[Store ID]],tblStores[Store ID],tblStores[Store Name])</f>
        <v>Rosebank</v>
      </c>
      <c r="E2668" t="str">
        <f>_xlfn.XLOOKUP(tblSales[[#This Row],[Store ID]],tblStores[Store ID],tblStores[Province])</f>
        <v>Gauteng</v>
      </c>
      <c r="F2668" t="str">
        <f>_xlfn.XLOOKUP(tblSales[[#This Row],[Store ID]],tblStores[Store ID],tblStores[Manager])</f>
        <v>James Taylor</v>
      </c>
      <c r="G2668" t="str">
        <f>_xlfn.XLOOKUP(tblSales[[#This Row],[Category ID]],tblCategories[Category ID],tblCategories[Category])</f>
        <v>Kids</v>
      </c>
      <c r="H2668">
        <v>63546</v>
      </c>
      <c r="I2668">
        <v>71408</v>
      </c>
      <c r="J2668">
        <v>178</v>
      </c>
      <c r="K2668">
        <f>tblSales[[#This Row],[Sales]]-tblSales[[#This Row],[Budget]]</f>
        <v>-7862</v>
      </c>
      <c r="L2668" s="3">
        <f>(tblSales[[#This Row],[Sales]]-tblSales[[#This Row],[Budget]])/tblSales[[#This Row],[Budget]]</f>
        <v>-0.11009970871611025</v>
      </c>
      <c r="M2668" s="2">
        <f>tblSales[[#This Row],[Sales]]/tblSales[[#This Row],[Transactions]]</f>
        <v>357</v>
      </c>
    </row>
    <row r="2669" spans="1:13" x14ac:dyDescent="0.25">
      <c r="A2669" s="1">
        <v>46156</v>
      </c>
      <c r="B2669" t="s">
        <v>16</v>
      </c>
      <c r="C2669" t="s">
        <v>11</v>
      </c>
      <c r="D2669" t="str">
        <f>_xlfn.XLOOKUP(tblSales[[#This Row],[Store ID]],tblStores[Store ID],tblStores[Store Name])</f>
        <v>Pretoria</v>
      </c>
      <c r="E2669" t="str">
        <f>_xlfn.XLOOKUP(tblSales[[#This Row],[Store ID]],tblStores[Store ID],tblStores[Province])</f>
        <v>Gauteng</v>
      </c>
      <c r="F2669" t="str">
        <f>_xlfn.XLOOKUP(tblSales[[#This Row],[Store ID]],tblStores[Store ID],tblStores[Manager])</f>
        <v>Susan Clark</v>
      </c>
      <c r="G2669" t="str">
        <f>_xlfn.XLOOKUP(tblSales[[#This Row],[Category ID]],tblCategories[Category ID],tblCategories[Category])</f>
        <v>Footwear</v>
      </c>
      <c r="H2669">
        <v>47040</v>
      </c>
      <c r="I2669">
        <v>53047</v>
      </c>
      <c r="J2669">
        <v>196</v>
      </c>
      <c r="K2669">
        <f>tblSales[[#This Row],[Sales]]-tblSales[[#This Row],[Budget]]</f>
        <v>-6007</v>
      </c>
      <c r="L2669" s="3">
        <f>(tblSales[[#This Row],[Sales]]-tblSales[[#This Row],[Budget]])/tblSales[[#This Row],[Budget]]</f>
        <v>-0.11323920297095029</v>
      </c>
      <c r="M2669" s="2">
        <f>tblSales[[#This Row],[Sales]]/tblSales[[#This Row],[Transactions]]</f>
        <v>240</v>
      </c>
    </row>
    <row r="2670" spans="1:13" x14ac:dyDescent="0.25">
      <c r="A2670" s="1">
        <v>46156</v>
      </c>
      <c r="B2670" t="s">
        <v>17</v>
      </c>
      <c r="C2670" t="s">
        <v>7</v>
      </c>
      <c r="D2670" t="str">
        <f>_xlfn.XLOOKUP(tblSales[[#This Row],[Store ID]],tblStores[Store ID],tblStores[Store Name])</f>
        <v>Centurion</v>
      </c>
      <c r="E2670" t="str">
        <f>_xlfn.XLOOKUP(tblSales[[#This Row],[Store ID]],tblStores[Store ID],tblStores[Province])</f>
        <v>Gauteng</v>
      </c>
      <c r="F2670" t="str">
        <f>_xlfn.XLOOKUP(tblSales[[#This Row],[Store ID]],tblStores[Store ID],tblStores[Manager])</f>
        <v>Mark Wilson</v>
      </c>
      <c r="G2670" t="str">
        <f>_xlfn.XLOOKUP(tblSales[[#This Row],[Category ID]],tblCategories[Category ID],tblCategories[Category])</f>
        <v>Menswear</v>
      </c>
      <c r="H2670">
        <v>62252</v>
      </c>
      <c r="I2670">
        <v>64178</v>
      </c>
      <c r="J2670">
        <v>158</v>
      </c>
      <c r="K2670">
        <f>tblSales[[#This Row],[Sales]]-tblSales[[#This Row],[Budget]]</f>
        <v>-1926</v>
      </c>
      <c r="L2670" s="3">
        <f>(tblSales[[#This Row],[Sales]]-tblSales[[#This Row],[Budget]])/tblSales[[#This Row],[Budget]]</f>
        <v>-3.001028389790894E-2</v>
      </c>
      <c r="M2670" s="2">
        <f>tblSales[[#This Row],[Sales]]/tblSales[[#This Row],[Transactions]]</f>
        <v>394</v>
      </c>
    </row>
    <row r="2671" spans="1:13" x14ac:dyDescent="0.25">
      <c r="A2671" s="1">
        <v>46156</v>
      </c>
      <c r="B2671" t="s">
        <v>18</v>
      </c>
      <c r="C2671" t="s">
        <v>19</v>
      </c>
      <c r="D2671" t="str">
        <f>_xlfn.XLOOKUP(tblSales[[#This Row],[Store ID]],tblStores[Store ID],tblStores[Store Name])</f>
        <v>East Rand</v>
      </c>
      <c r="E2671" t="str">
        <f>_xlfn.XLOOKUP(tblSales[[#This Row],[Store ID]],tblStores[Store ID],tblStores[Province])</f>
        <v>Gauteng</v>
      </c>
      <c r="F2671" t="str">
        <f>_xlfn.XLOOKUP(tblSales[[#This Row],[Store ID]],tblStores[Store ID],tblStores[Manager])</f>
        <v>Lisa Young</v>
      </c>
      <c r="G2671" t="str">
        <f>_xlfn.XLOOKUP(tblSales[[#This Row],[Category ID]],tblCategories[Category ID],tblCategories[Category])</f>
        <v>Accessories</v>
      </c>
      <c r="H2671">
        <v>10600</v>
      </c>
      <c r="I2671">
        <v>11127</v>
      </c>
      <c r="J2671">
        <v>40</v>
      </c>
      <c r="K2671">
        <f>tblSales[[#This Row],[Sales]]-tblSales[[#This Row],[Budget]]</f>
        <v>-527</v>
      </c>
      <c r="L2671" s="3">
        <f>(tblSales[[#This Row],[Sales]]-tblSales[[#This Row],[Budget]])/tblSales[[#This Row],[Budget]]</f>
        <v>-4.7362271951109911E-2</v>
      </c>
      <c r="M2671" s="2">
        <f>tblSales[[#This Row],[Sales]]/tblSales[[#This Row],[Transactions]]</f>
        <v>265</v>
      </c>
    </row>
    <row r="2672" spans="1:13" x14ac:dyDescent="0.25">
      <c r="A2672" s="1">
        <v>46156</v>
      </c>
      <c r="B2672" t="s">
        <v>20</v>
      </c>
      <c r="C2672" t="s">
        <v>9</v>
      </c>
      <c r="D2672" t="str">
        <f>_xlfn.XLOOKUP(tblSales[[#This Row],[Store ID]],tblStores[Store ID],tblStores[Store Name])</f>
        <v>Cape Town CBD</v>
      </c>
      <c r="E2672" t="str">
        <f>_xlfn.XLOOKUP(tblSales[[#This Row],[Store ID]],tblStores[Store ID],tblStores[Province])</f>
        <v>Western Cape</v>
      </c>
      <c r="F2672" t="str">
        <f>_xlfn.XLOOKUP(tblSales[[#This Row],[Store ID]],tblStores[Store ID],tblStores[Manager])</f>
        <v>Brian Hall</v>
      </c>
      <c r="G2672" t="str">
        <f>_xlfn.XLOOKUP(tblSales[[#This Row],[Category ID]],tblCategories[Category ID],tblCategories[Category])</f>
        <v>Ladieswear</v>
      </c>
      <c r="H2672">
        <v>22127</v>
      </c>
      <c r="I2672">
        <v>25201</v>
      </c>
      <c r="J2672">
        <v>109</v>
      </c>
      <c r="K2672">
        <f>tblSales[[#This Row],[Sales]]-tblSales[[#This Row],[Budget]]</f>
        <v>-3074</v>
      </c>
      <c r="L2672" s="3">
        <f>(tblSales[[#This Row],[Sales]]-tblSales[[#This Row],[Budget]])/tblSales[[#This Row],[Budget]]</f>
        <v>-0.12197928653624857</v>
      </c>
      <c r="M2672" s="2">
        <f>tblSales[[#This Row],[Sales]]/tblSales[[#This Row],[Transactions]]</f>
        <v>203</v>
      </c>
    </row>
    <row r="2673" spans="1:13" x14ac:dyDescent="0.25">
      <c r="A2673" s="1">
        <v>46156</v>
      </c>
      <c r="B2673" t="s">
        <v>21</v>
      </c>
      <c r="C2673" t="s">
        <v>7</v>
      </c>
      <c r="D2673" t="str">
        <f>_xlfn.XLOOKUP(tblSales[[#This Row],[Store ID]],tblStores[Store ID],tblStores[Store Name])</f>
        <v>Canal Walk</v>
      </c>
      <c r="E2673" t="str">
        <f>_xlfn.XLOOKUP(tblSales[[#This Row],[Store ID]],tblStores[Store ID],tblStores[Province])</f>
        <v>Western Cape</v>
      </c>
      <c r="F2673" t="str">
        <f>_xlfn.XLOOKUP(tblSales[[#This Row],[Store ID]],tblStores[Store ID],tblStores[Manager])</f>
        <v>Megan Scott</v>
      </c>
      <c r="G2673" t="str">
        <f>_xlfn.XLOOKUP(tblSales[[#This Row],[Category ID]],tblCategories[Category ID],tblCategories[Category])</f>
        <v>Menswear</v>
      </c>
      <c r="H2673">
        <v>58724</v>
      </c>
      <c r="I2673">
        <v>63726</v>
      </c>
      <c r="J2673">
        <v>212</v>
      </c>
      <c r="K2673">
        <f>tblSales[[#This Row],[Sales]]-tblSales[[#This Row],[Budget]]</f>
        <v>-5002</v>
      </c>
      <c r="L2673" s="3">
        <f>(tblSales[[#This Row],[Sales]]-tblSales[[#This Row],[Budget]])/tblSales[[#This Row],[Budget]]</f>
        <v>-7.8492295138561971E-2</v>
      </c>
      <c r="M2673" s="2">
        <f>tblSales[[#This Row],[Sales]]/tblSales[[#This Row],[Transactions]]</f>
        <v>277</v>
      </c>
    </row>
    <row r="2674" spans="1:13" x14ac:dyDescent="0.25">
      <c r="A2674" s="1">
        <v>46156</v>
      </c>
      <c r="B2674" t="s">
        <v>23</v>
      </c>
      <c r="C2674" t="s">
        <v>11</v>
      </c>
      <c r="D2674" t="str">
        <f>_xlfn.XLOOKUP(tblSales[[#This Row],[Store ID]],tblStores[Store ID],tblStores[Store Name])</f>
        <v>Stellenbosch</v>
      </c>
      <c r="E2674" t="str">
        <f>_xlfn.XLOOKUP(tblSales[[#This Row],[Store ID]],tblStores[Store ID],tblStores[Province])</f>
        <v>Western Cape</v>
      </c>
      <c r="F2674" t="str">
        <f>_xlfn.XLOOKUP(tblSales[[#This Row],[Store ID]],tblStores[Store ID],tblStores[Manager])</f>
        <v>Jason King</v>
      </c>
      <c r="G2674" t="str">
        <f>_xlfn.XLOOKUP(tblSales[[#This Row],[Category ID]],tblCategories[Category ID],tblCategories[Category])</f>
        <v>Footwear</v>
      </c>
      <c r="H2674">
        <v>72772</v>
      </c>
      <c r="I2674">
        <v>81327</v>
      </c>
      <c r="J2674">
        <v>161</v>
      </c>
      <c r="K2674">
        <f>tblSales[[#This Row],[Sales]]-tblSales[[#This Row],[Budget]]</f>
        <v>-8555</v>
      </c>
      <c r="L2674" s="3">
        <f>(tblSales[[#This Row],[Sales]]-tblSales[[#This Row],[Budget]])/tblSales[[#This Row],[Budget]]</f>
        <v>-0.1051926174579168</v>
      </c>
      <c r="M2674" s="2">
        <f>tblSales[[#This Row],[Sales]]/tblSales[[#This Row],[Transactions]]</f>
        <v>452</v>
      </c>
    </row>
    <row r="2675" spans="1:13" x14ac:dyDescent="0.25">
      <c r="A2675" s="1">
        <v>46156</v>
      </c>
      <c r="B2675" t="s">
        <v>24</v>
      </c>
      <c r="C2675" t="s">
        <v>7</v>
      </c>
      <c r="D2675" t="str">
        <f>_xlfn.XLOOKUP(tblSales[[#This Row],[Store ID]],tblStores[Store ID],tblStores[Store Name])</f>
        <v>George</v>
      </c>
      <c r="E2675" t="str">
        <f>_xlfn.XLOOKUP(tblSales[[#This Row],[Store ID]],tblStores[Store ID],tblStores[Province])</f>
        <v>Western Cape</v>
      </c>
      <c r="F2675" t="str">
        <f>_xlfn.XLOOKUP(tblSales[[#This Row],[Store ID]],tblStores[Store ID],tblStores[Manager])</f>
        <v>Chloe Hill</v>
      </c>
      <c r="G2675" t="str">
        <f>_xlfn.XLOOKUP(tblSales[[#This Row],[Category ID]],tblCategories[Category ID],tblCategories[Category])</f>
        <v>Menswear</v>
      </c>
      <c r="H2675">
        <v>31108</v>
      </c>
      <c r="I2675">
        <v>33835</v>
      </c>
      <c r="J2675">
        <v>77</v>
      </c>
      <c r="K2675">
        <f>tblSales[[#This Row],[Sales]]-tblSales[[#This Row],[Budget]]</f>
        <v>-2727</v>
      </c>
      <c r="L2675" s="3">
        <f>(tblSales[[#This Row],[Sales]]-tblSales[[#This Row],[Budget]])/tblSales[[#This Row],[Budget]]</f>
        <v>-8.0597014925373134E-2</v>
      </c>
      <c r="M2675" s="2">
        <f>tblSales[[#This Row],[Sales]]/tblSales[[#This Row],[Transactions]]</f>
        <v>404</v>
      </c>
    </row>
    <row r="2676" spans="1:13" x14ac:dyDescent="0.25">
      <c r="A2676" s="1">
        <v>46156</v>
      </c>
      <c r="B2676" t="s">
        <v>25</v>
      </c>
      <c r="C2676" t="s">
        <v>11</v>
      </c>
      <c r="D2676" t="str">
        <f>_xlfn.XLOOKUP(tblSales[[#This Row],[Store ID]],tblStores[Store ID],tblStores[Store Name])</f>
        <v>Paarl</v>
      </c>
      <c r="E2676" t="str">
        <f>_xlfn.XLOOKUP(tblSales[[#This Row],[Store ID]],tblStores[Store ID],tblStores[Province])</f>
        <v>Western Cape</v>
      </c>
      <c r="F2676" t="str">
        <f>_xlfn.XLOOKUP(tblSales[[#This Row],[Store ID]],tblStores[Store ID],tblStores[Manager])</f>
        <v>Andrew Lee</v>
      </c>
      <c r="G2676" t="str">
        <f>_xlfn.XLOOKUP(tblSales[[#This Row],[Category ID]],tblCategories[Category ID],tblCategories[Category])</f>
        <v>Footwear</v>
      </c>
      <c r="H2676">
        <v>67462</v>
      </c>
      <c r="I2676">
        <v>67476</v>
      </c>
      <c r="J2676">
        <v>178</v>
      </c>
      <c r="K2676">
        <f>tblSales[[#This Row],[Sales]]-tblSales[[#This Row],[Budget]]</f>
        <v>-14</v>
      </c>
      <c r="L2676" s="3">
        <f>(tblSales[[#This Row],[Sales]]-tblSales[[#This Row],[Budget]])/tblSales[[#This Row],[Budget]]</f>
        <v>-2.0748117849309384E-4</v>
      </c>
      <c r="M2676" s="2">
        <f>tblSales[[#This Row],[Sales]]/tblSales[[#This Row],[Transactions]]</f>
        <v>379</v>
      </c>
    </row>
    <row r="2677" spans="1:13" x14ac:dyDescent="0.25">
      <c r="A2677" s="1">
        <v>46156</v>
      </c>
      <c r="B2677" t="s">
        <v>26</v>
      </c>
      <c r="C2677" t="s">
        <v>22</v>
      </c>
      <c r="D2677" t="str">
        <f>_xlfn.XLOOKUP(tblSales[[#This Row],[Store ID]],tblStores[Store ID],tblStores[Store Name])</f>
        <v>Gqeberha</v>
      </c>
      <c r="E2677" t="str">
        <f>_xlfn.XLOOKUP(tblSales[[#This Row],[Store ID]],tblStores[Store ID],tblStores[Province])</f>
        <v>Eastern Cape</v>
      </c>
      <c r="F2677" t="str">
        <f>_xlfn.XLOOKUP(tblSales[[#This Row],[Store ID]],tblStores[Store ID],tblStores[Manager])</f>
        <v>Emma Baker</v>
      </c>
      <c r="G2677" t="str">
        <f>_xlfn.XLOOKUP(tblSales[[#This Row],[Category ID]],tblCategories[Category ID],tblCategories[Category])</f>
        <v>Kids</v>
      </c>
      <c r="H2677">
        <v>23838</v>
      </c>
      <c r="I2677">
        <v>21475</v>
      </c>
      <c r="J2677">
        <v>87</v>
      </c>
      <c r="K2677">
        <f>tblSales[[#This Row],[Sales]]-tblSales[[#This Row],[Budget]]</f>
        <v>2363</v>
      </c>
      <c r="L2677" s="3">
        <f>(tblSales[[#This Row],[Sales]]-tblSales[[#This Row],[Budget]])/tblSales[[#This Row],[Budget]]</f>
        <v>0.110034924330617</v>
      </c>
      <c r="M2677" s="2">
        <f>tblSales[[#This Row],[Sales]]/tblSales[[#This Row],[Transactions]]</f>
        <v>274</v>
      </c>
    </row>
    <row r="2678" spans="1:13" x14ac:dyDescent="0.25">
      <c r="A2678" s="1">
        <v>46156</v>
      </c>
      <c r="B2678" t="s">
        <v>27</v>
      </c>
      <c r="C2678" t="s">
        <v>19</v>
      </c>
      <c r="D2678" t="str">
        <f>_xlfn.XLOOKUP(tblSales[[#This Row],[Store ID]],tblStores[Store ID],tblStores[Store Name])</f>
        <v>East London</v>
      </c>
      <c r="E2678" t="str">
        <f>_xlfn.XLOOKUP(tblSales[[#This Row],[Store ID]],tblStores[Store ID],tblStores[Province])</f>
        <v>Eastern Cape</v>
      </c>
      <c r="F2678" t="str">
        <f>_xlfn.XLOOKUP(tblSales[[#This Row],[Store ID]],tblStores[Store ID],tblStores[Manager])</f>
        <v>Daniel Evans</v>
      </c>
      <c r="G2678" t="str">
        <f>_xlfn.XLOOKUP(tblSales[[#This Row],[Category ID]],tblCategories[Category ID],tblCategories[Category])</f>
        <v>Accessories</v>
      </c>
      <c r="H2678">
        <v>43470</v>
      </c>
      <c r="I2678">
        <v>46694</v>
      </c>
      <c r="J2678">
        <v>90</v>
      </c>
      <c r="K2678">
        <f>tblSales[[#This Row],[Sales]]-tblSales[[#This Row],[Budget]]</f>
        <v>-3224</v>
      </c>
      <c r="L2678" s="3">
        <f>(tblSales[[#This Row],[Sales]]-tblSales[[#This Row],[Budget]])/tblSales[[#This Row],[Budget]]</f>
        <v>-6.9045273482674432E-2</v>
      </c>
      <c r="M2678" s="2">
        <f>tblSales[[#This Row],[Sales]]/tblSales[[#This Row],[Transactions]]</f>
        <v>483</v>
      </c>
    </row>
    <row r="2679" spans="1:13" x14ac:dyDescent="0.25">
      <c r="A2679" s="1">
        <v>46156</v>
      </c>
      <c r="B2679" t="s">
        <v>28</v>
      </c>
      <c r="C2679" t="s">
        <v>19</v>
      </c>
      <c r="D2679" t="str">
        <f>_xlfn.XLOOKUP(tblSales[[#This Row],[Store ID]],tblStores[Store ID],tblStores[Store Name])</f>
        <v>Bloemfontein</v>
      </c>
      <c r="E2679" t="str">
        <f>_xlfn.XLOOKUP(tblSales[[#This Row],[Store ID]],tblStores[Store ID],tblStores[Province])</f>
        <v>Free State</v>
      </c>
      <c r="F2679" t="str">
        <f>_xlfn.XLOOKUP(tblSales[[#This Row],[Store ID]],tblStores[Store ID],tblStores[Manager])</f>
        <v>Rachel Moore</v>
      </c>
      <c r="G2679" t="str">
        <f>_xlfn.XLOOKUP(tblSales[[#This Row],[Category ID]],tblCategories[Category ID],tblCategories[Category])</f>
        <v>Accessories</v>
      </c>
      <c r="H2679">
        <v>65987</v>
      </c>
      <c r="I2679">
        <v>71063</v>
      </c>
      <c r="J2679">
        <v>151</v>
      </c>
      <c r="K2679">
        <f>tblSales[[#This Row],[Sales]]-tblSales[[#This Row],[Budget]]</f>
        <v>-5076</v>
      </c>
      <c r="L2679" s="3">
        <f>(tblSales[[#This Row],[Sales]]-tblSales[[#This Row],[Budget]])/tblSales[[#This Row],[Budget]]</f>
        <v>-7.1429576572900097E-2</v>
      </c>
      <c r="M2679" s="2">
        <f>tblSales[[#This Row],[Sales]]/tblSales[[#This Row],[Transactions]]</f>
        <v>437</v>
      </c>
    </row>
    <row r="2680" spans="1:13" x14ac:dyDescent="0.25">
      <c r="A2680" s="1">
        <v>46156</v>
      </c>
      <c r="B2680" t="s">
        <v>29</v>
      </c>
      <c r="C2680" t="s">
        <v>19</v>
      </c>
      <c r="D2680" t="str">
        <f>_xlfn.XLOOKUP(tblSales[[#This Row],[Store ID]],tblStores[Store ID],tblStores[Store Name])</f>
        <v>Polokwane</v>
      </c>
      <c r="E2680" t="str">
        <f>_xlfn.XLOOKUP(tblSales[[#This Row],[Store ID]],tblStores[Store ID],tblStores[Province])</f>
        <v>Limpopo</v>
      </c>
      <c r="F2680" t="str">
        <f>_xlfn.XLOOKUP(tblSales[[#This Row],[Store ID]],tblStores[Store ID],tblStores[Manager])</f>
        <v>Kevin Harris</v>
      </c>
      <c r="G2680" t="str">
        <f>_xlfn.XLOOKUP(tblSales[[#This Row],[Category ID]],tblCategories[Category ID],tblCategories[Category])</f>
        <v>Accessories</v>
      </c>
      <c r="H2680">
        <v>33835</v>
      </c>
      <c r="I2680">
        <v>37662</v>
      </c>
      <c r="J2680">
        <v>101</v>
      </c>
      <c r="K2680">
        <f>tblSales[[#This Row],[Sales]]-tblSales[[#This Row],[Budget]]</f>
        <v>-3827</v>
      </c>
      <c r="L2680" s="3">
        <f>(tblSales[[#This Row],[Sales]]-tblSales[[#This Row],[Budget]])/tblSales[[#This Row],[Budget]]</f>
        <v>-0.10161435930115235</v>
      </c>
      <c r="M2680" s="2">
        <f>tblSales[[#This Row],[Sales]]/tblSales[[#This Row],[Transactions]]</f>
        <v>335</v>
      </c>
    </row>
    <row r="2681" spans="1:13" x14ac:dyDescent="0.25">
      <c r="A2681" s="1">
        <v>46156</v>
      </c>
      <c r="B2681" t="s">
        <v>30</v>
      </c>
      <c r="C2681" t="s">
        <v>22</v>
      </c>
      <c r="D2681" t="str">
        <f>_xlfn.XLOOKUP(tblSales[[#This Row],[Store ID]],tblStores[Store ID],tblStores[Store Name])</f>
        <v>Nelspruit</v>
      </c>
      <c r="E2681" t="str">
        <f>_xlfn.XLOOKUP(tblSales[[#This Row],[Store ID]],tblStores[Store ID],tblStores[Province])</f>
        <v>Mpumalanga</v>
      </c>
      <c r="F2681" t="str">
        <f>_xlfn.XLOOKUP(tblSales[[#This Row],[Store ID]],tblStores[Store ID],tblStores[Manager])</f>
        <v>Olivia Turner</v>
      </c>
      <c r="G2681" t="str">
        <f>_xlfn.XLOOKUP(tblSales[[#This Row],[Category ID]],tblCategories[Category ID],tblCategories[Category])</f>
        <v>Kids</v>
      </c>
      <c r="H2681">
        <v>68472</v>
      </c>
      <c r="I2681">
        <v>71076</v>
      </c>
      <c r="J2681">
        <v>216</v>
      </c>
      <c r="K2681">
        <f>tblSales[[#This Row],[Sales]]-tblSales[[#This Row],[Budget]]</f>
        <v>-2604</v>
      </c>
      <c r="L2681" s="3">
        <f>(tblSales[[#This Row],[Sales]]-tblSales[[#This Row],[Budget]])/tblSales[[#This Row],[Budget]]</f>
        <v>-3.663683943947324E-2</v>
      </c>
      <c r="M2681" s="2">
        <f>tblSales[[#This Row],[Sales]]/tblSales[[#This Row],[Transactions]]</f>
        <v>317</v>
      </c>
    </row>
    <row r="2682" spans="1:13" x14ac:dyDescent="0.25">
      <c r="A2682" s="1">
        <v>46157</v>
      </c>
      <c r="B2682" t="s">
        <v>6</v>
      </c>
      <c r="C2682" t="s">
        <v>9</v>
      </c>
      <c r="D2682" t="str">
        <f>_xlfn.XLOOKUP(tblSales[[#This Row],[Store ID]],tblStores[Store ID],tblStores[Store Name])</f>
        <v>Durban CBD</v>
      </c>
      <c r="E2682" t="str">
        <f>_xlfn.XLOOKUP(tblSales[[#This Row],[Store ID]],tblStores[Store ID],tblStores[Province])</f>
        <v>KZN</v>
      </c>
      <c r="F2682" t="str">
        <f>_xlfn.XLOOKUP(tblSales[[#This Row],[Store ID]],tblStores[Store ID],tblStores[Manager])</f>
        <v>Sarah Adams</v>
      </c>
      <c r="G2682" t="str">
        <f>_xlfn.XLOOKUP(tblSales[[#This Row],[Category ID]],tblCategories[Category ID],tblCategories[Category])</f>
        <v>Ladieswear</v>
      </c>
      <c r="H2682">
        <v>18676</v>
      </c>
      <c r="I2682">
        <v>19299</v>
      </c>
      <c r="J2682">
        <v>92</v>
      </c>
      <c r="K2682">
        <f>tblSales[[#This Row],[Sales]]-tblSales[[#This Row],[Budget]]</f>
        <v>-623</v>
      </c>
      <c r="L2682" s="3">
        <f>(tblSales[[#This Row],[Sales]]-tblSales[[#This Row],[Budget]])/tblSales[[#This Row],[Budget]]</f>
        <v>-3.2281465360899528E-2</v>
      </c>
      <c r="M2682" s="2">
        <f>tblSales[[#This Row],[Sales]]/tblSales[[#This Row],[Transactions]]</f>
        <v>203</v>
      </c>
    </row>
    <row r="2683" spans="1:13" x14ac:dyDescent="0.25">
      <c r="A2683" s="1">
        <v>46157</v>
      </c>
      <c r="B2683" t="s">
        <v>8</v>
      </c>
      <c r="C2683" t="s">
        <v>22</v>
      </c>
      <c r="D2683" t="str">
        <f>_xlfn.XLOOKUP(tblSales[[#This Row],[Store ID]],tblStores[Store ID],tblStores[Store Name])</f>
        <v>Gateway</v>
      </c>
      <c r="E2683" t="str">
        <f>_xlfn.XLOOKUP(tblSales[[#This Row],[Store ID]],tblStores[Store ID],tblStores[Province])</f>
        <v>KZN</v>
      </c>
      <c r="F2683" t="str">
        <f>_xlfn.XLOOKUP(tblSales[[#This Row],[Store ID]],tblStores[Store ID],tblStores[Manager])</f>
        <v>Michael Jones</v>
      </c>
      <c r="G2683" t="str">
        <f>_xlfn.XLOOKUP(tblSales[[#This Row],[Category ID]],tblCategories[Category ID],tblCategories[Category])</f>
        <v>Kids</v>
      </c>
      <c r="H2683">
        <v>22815</v>
      </c>
      <c r="I2683">
        <v>21378</v>
      </c>
      <c r="J2683">
        <v>45</v>
      </c>
      <c r="K2683">
        <f>tblSales[[#This Row],[Sales]]-tblSales[[#This Row],[Budget]]</f>
        <v>1437</v>
      </c>
      <c r="L2683" s="3">
        <f>(tblSales[[#This Row],[Sales]]-tblSales[[#This Row],[Budget]])/tblSales[[#This Row],[Budget]]</f>
        <v>6.7218635980914959E-2</v>
      </c>
      <c r="M2683" s="2">
        <f>tblSales[[#This Row],[Sales]]/tblSales[[#This Row],[Transactions]]</f>
        <v>507</v>
      </c>
    </row>
    <row r="2684" spans="1:13" x14ac:dyDescent="0.25">
      <c r="A2684" s="1">
        <v>46157</v>
      </c>
      <c r="B2684" t="s">
        <v>10</v>
      </c>
      <c r="C2684" t="s">
        <v>22</v>
      </c>
      <c r="D2684" t="str">
        <f>_xlfn.XLOOKUP(tblSales[[#This Row],[Store ID]],tblStores[Store ID],tblStores[Store Name])</f>
        <v>Ballito</v>
      </c>
      <c r="E2684" t="str">
        <f>_xlfn.XLOOKUP(tblSales[[#This Row],[Store ID]],tblStores[Store ID],tblStores[Province])</f>
        <v>KZN</v>
      </c>
      <c r="F2684" t="str">
        <f>_xlfn.XLOOKUP(tblSales[[#This Row],[Store ID]],tblStores[Store ID],tblStores[Manager])</f>
        <v>Linda Smith</v>
      </c>
      <c r="G2684" t="str">
        <f>_xlfn.XLOOKUP(tblSales[[#This Row],[Category ID]],tblCategories[Category ID],tblCategories[Category])</f>
        <v>Kids</v>
      </c>
      <c r="H2684">
        <v>21942</v>
      </c>
      <c r="I2684">
        <v>24538</v>
      </c>
      <c r="J2684">
        <v>69</v>
      </c>
      <c r="K2684">
        <f>tblSales[[#This Row],[Sales]]-tblSales[[#This Row],[Budget]]</f>
        <v>-2596</v>
      </c>
      <c r="L2684" s="3">
        <f>(tblSales[[#This Row],[Sales]]-tblSales[[#This Row],[Budget]])/tblSales[[#This Row],[Budget]]</f>
        <v>-0.10579509332463934</v>
      </c>
      <c r="M2684" s="2">
        <f>tblSales[[#This Row],[Sales]]/tblSales[[#This Row],[Transactions]]</f>
        <v>318</v>
      </c>
    </row>
    <row r="2685" spans="1:13" x14ac:dyDescent="0.25">
      <c r="A2685" s="1">
        <v>46157</v>
      </c>
      <c r="B2685" t="s">
        <v>12</v>
      </c>
      <c r="C2685" t="s">
        <v>7</v>
      </c>
      <c r="D2685" t="str">
        <f>_xlfn.XLOOKUP(tblSales[[#This Row],[Store ID]],tblStores[Store ID],tblStores[Store Name])</f>
        <v>Pietermaritzburg</v>
      </c>
      <c r="E2685" t="str">
        <f>_xlfn.XLOOKUP(tblSales[[#This Row],[Store ID]],tblStores[Store ID],tblStores[Province])</f>
        <v>KZN</v>
      </c>
      <c r="F2685" t="str">
        <f>_xlfn.XLOOKUP(tblSales[[#This Row],[Store ID]],tblStores[Store ID],tblStores[Manager])</f>
        <v>Peter Brown</v>
      </c>
      <c r="G2685" t="str">
        <f>_xlfn.XLOOKUP(tblSales[[#This Row],[Category ID]],tblCategories[Category ID],tblCategories[Category])</f>
        <v>Menswear</v>
      </c>
      <c r="H2685">
        <v>61093</v>
      </c>
      <c r="I2685">
        <v>70097</v>
      </c>
      <c r="J2685">
        <v>199</v>
      </c>
      <c r="K2685">
        <f>tblSales[[#This Row],[Sales]]-tblSales[[#This Row],[Budget]]</f>
        <v>-9004</v>
      </c>
      <c r="L2685" s="3">
        <f>(tblSales[[#This Row],[Sales]]-tblSales[[#This Row],[Budget]])/tblSales[[#This Row],[Budget]]</f>
        <v>-0.12845057563091145</v>
      </c>
      <c r="M2685" s="2">
        <f>tblSales[[#This Row],[Sales]]/tblSales[[#This Row],[Transactions]]</f>
        <v>307</v>
      </c>
    </row>
    <row r="2686" spans="1:13" x14ac:dyDescent="0.25">
      <c r="A2686" s="1">
        <v>46157</v>
      </c>
      <c r="B2686" t="s">
        <v>13</v>
      </c>
      <c r="C2686" t="s">
        <v>9</v>
      </c>
      <c r="D2686" t="str">
        <f>_xlfn.XLOOKUP(tblSales[[#This Row],[Store ID]],tblStores[Store ID],tblStores[Store Name])</f>
        <v>Richards Bay</v>
      </c>
      <c r="E2686" t="str">
        <f>_xlfn.XLOOKUP(tblSales[[#This Row],[Store ID]],tblStores[Store ID],tblStores[Province])</f>
        <v>KZN</v>
      </c>
      <c r="F2686" t="str">
        <f>_xlfn.XLOOKUP(tblSales[[#This Row],[Store ID]],tblStores[Store ID],tblStores[Manager])</f>
        <v>David Green</v>
      </c>
      <c r="G2686" t="str">
        <f>_xlfn.XLOOKUP(tblSales[[#This Row],[Category ID]],tblCategories[Category ID],tblCategories[Category])</f>
        <v>Ladieswear</v>
      </c>
      <c r="H2686">
        <v>40869</v>
      </c>
      <c r="I2686">
        <v>36796</v>
      </c>
      <c r="J2686">
        <v>171</v>
      </c>
      <c r="K2686">
        <f>tblSales[[#This Row],[Sales]]-tblSales[[#This Row],[Budget]]</f>
        <v>4073</v>
      </c>
      <c r="L2686" s="3">
        <f>(tblSales[[#This Row],[Sales]]-tblSales[[#This Row],[Budget]])/tblSales[[#This Row],[Budget]]</f>
        <v>0.1106913794977715</v>
      </c>
      <c r="M2686" s="2">
        <f>tblSales[[#This Row],[Sales]]/tblSales[[#This Row],[Transactions]]</f>
        <v>239</v>
      </c>
    </row>
    <row r="2687" spans="1:13" x14ac:dyDescent="0.25">
      <c r="A2687" s="1">
        <v>46157</v>
      </c>
      <c r="B2687" t="s">
        <v>14</v>
      </c>
      <c r="C2687" t="s">
        <v>22</v>
      </c>
      <c r="D2687" t="str">
        <f>_xlfn.XLOOKUP(tblSales[[#This Row],[Store ID]],tblStores[Store ID],tblStores[Store Name])</f>
        <v>Sandton</v>
      </c>
      <c r="E2687" t="str">
        <f>_xlfn.XLOOKUP(tblSales[[#This Row],[Store ID]],tblStores[Store ID],tblStores[Province])</f>
        <v>Gauteng</v>
      </c>
      <c r="F2687" t="str">
        <f>_xlfn.XLOOKUP(tblSales[[#This Row],[Store ID]],tblStores[Store ID],tblStores[Manager])</f>
        <v>Karen White</v>
      </c>
      <c r="G2687" t="str">
        <f>_xlfn.XLOOKUP(tblSales[[#This Row],[Category ID]],tblCategories[Category ID],tblCategories[Category])</f>
        <v>Kids</v>
      </c>
      <c r="H2687">
        <v>95844</v>
      </c>
      <c r="I2687">
        <v>109554</v>
      </c>
      <c r="J2687">
        <v>196</v>
      </c>
      <c r="K2687">
        <f>tblSales[[#This Row],[Sales]]-tblSales[[#This Row],[Budget]]</f>
        <v>-13710</v>
      </c>
      <c r="L2687" s="3">
        <f>(tblSales[[#This Row],[Sales]]-tblSales[[#This Row],[Budget]])/tblSales[[#This Row],[Budget]]</f>
        <v>-0.12514376471876881</v>
      </c>
      <c r="M2687" s="2">
        <f>tblSales[[#This Row],[Sales]]/tblSales[[#This Row],[Transactions]]</f>
        <v>489</v>
      </c>
    </row>
    <row r="2688" spans="1:13" x14ac:dyDescent="0.25">
      <c r="A2688" s="1">
        <v>46157</v>
      </c>
      <c r="B2688" t="s">
        <v>15</v>
      </c>
      <c r="C2688" t="s">
        <v>22</v>
      </c>
      <c r="D2688" t="str">
        <f>_xlfn.XLOOKUP(tblSales[[#This Row],[Store ID]],tblStores[Store ID],tblStores[Store Name])</f>
        <v>Rosebank</v>
      </c>
      <c r="E2688" t="str">
        <f>_xlfn.XLOOKUP(tblSales[[#This Row],[Store ID]],tblStores[Store ID],tblStores[Province])</f>
        <v>Gauteng</v>
      </c>
      <c r="F2688" t="str">
        <f>_xlfn.XLOOKUP(tblSales[[#This Row],[Store ID]],tblStores[Store ID],tblStores[Manager])</f>
        <v>James Taylor</v>
      </c>
      <c r="G2688" t="str">
        <f>_xlfn.XLOOKUP(tblSales[[#This Row],[Category ID]],tblCategories[Category ID],tblCategories[Category])</f>
        <v>Kids</v>
      </c>
      <c r="H2688">
        <v>25816</v>
      </c>
      <c r="I2688">
        <v>24938</v>
      </c>
      <c r="J2688">
        <v>56</v>
      </c>
      <c r="K2688">
        <f>tblSales[[#This Row],[Sales]]-tblSales[[#This Row],[Budget]]</f>
        <v>878</v>
      </c>
      <c r="L2688" s="3">
        <f>(tblSales[[#This Row],[Sales]]-tblSales[[#This Row],[Budget]])/tblSales[[#This Row],[Budget]]</f>
        <v>3.5207314139064881E-2</v>
      </c>
      <c r="M2688" s="2">
        <f>tblSales[[#This Row],[Sales]]/tblSales[[#This Row],[Transactions]]</f>
        <v>461</v>
      </c>
    </row>
    <row r="2689" spans="1:13" x14ac:dyDescent="0.25">
      <c r="A2689" s="1">
        <v>46157</v>
      </c>
      <c r="B2689" t="s">
        <v>16</v>
      </c>
      <c r="C2689" t="s">
        <v>9</v>
      </c>
      <c r="D2689" t="str">
        <f>_xlfn.XLOOKUP(tblSales[[#This Row],[Store ID]],tblStores[Store ID],tblStores[Store Name])</f>
        <v>Pretoria</v>
      </c>
      <c r="E2689" t="str">
        <f>_xlfn.XLOOKUP(tblSales[[#This Row],[Store ID]],tblStores[Store ID],tblStores[Province])</f>
        <v>Gauteng</v>
      </c>
      <c r="F2689" t="str">
        <f>_xlfn.XLOOKUP(tblSales[[#This Row],[Store ID]],tblStores[Store ID],tblStores[Manager])</f>
        <v>Susan Clark</v>
      </c>
      <c r="G2689" t="str">
        <f>_xlfn.XLOOKUP(tblSales[[#This Row],[Category ID]],tblCategories[Category ID],tblCategories[Category])</f>
        <v>Ladieswear</v>
      </c>
      <c r="H2689">
        <v>68527</v>
      </c>
      <c r="I2689">
        <v>66726</v>
      </c>
      <c r="J2689">
        <v>139</v>
      </c>
      <c r="K2689">
        <f>tblSales[[#This Row],[Sales]]-tblSales[[#This Row],[Budget]]</f>
        <v>1801</v>
      </c>
      <c r="L2689" s="3">
        <f>(tblSales[[#This Row],[Sales]]-tblSales[[#This Row],[Budget]])/tblSales[[#This Row],[Budget]]</f>
        <v>2.6990978029553699E-2</v>
      </c>
      <c r="M2689" s="2">
        <f>tblSales[[#This Row],[Sales]]/tblSales[[#This Row],[Transactions]]</f>
        <v>493</v>
      </c>
    </row>
    <row r="2690" spans="1:13" x14ac:dyDescent="0.25">
      <c r="A2690" s="1">
        <v>46157</v>
      </c>
      <c r="B2690" t="s">
        <v>17</v>
      </c>
      <c r="C2690" t="s">
        <v>7</v>
      </c>
      <c r="D2690" t="str">
        <f>_xlfn.XLOOKUP(tblSales[[#This Row],[Store ID]],tblStores[Store ID],tblStores[Store Name])</f>
        <v>Centurion</v>
      </c>
      <c r="E2690" t="str">
        <f>_xlfn.XLOOKUP(tblSales[[#This Row],[Store ID]],tblStores[Store ID],tblStores[Province])</f>
        <v>Gauteng</v>
      </c>
      <c r="F2690" t="str">
        <f>_xlfn.XLOOKUP(tblSales[[#This Row],[Store ID]],tblStores[Store ID],tblStores[Manager])</f>
        <v>Mark Wilson</v>
      </c>
      <c r="G2690" t="str">
        <f>_xlfn.XLOOKUP(tblSales[[#This Row],[Category ID]],tblCategories[Category ID],tblCategories[Category])</f>
        <v>Menswear</v>
      </c>
      <c r="H2690">
        <v>36075</v>
      </c>
      <c r="I2690">
        <v>39898</v>
      </c>
      <c r="J2690">
        <v>195</v>
      </c>
      <c r="K2690">
        <f>tblSales[[#This Row],[Sales]]-tblSales[[#This Row],[Budget]]</f>
        <v>-3823</v>
      </c>
      <c r="L2690" s="3">
        <f>(tblSales[[#This Row],[Sales]]-tblSales[[#This Row],[Budget]])/tblSales[[#This Row],[Budget]]</f>
        <v>-9.5819339315253896E-2</v>
      </c>
      <c r="M2690" s="2">
        <f>tblSales[[#This Row],[Sales]]/tblSales[[#This Row],[Transactions]]</f>
        <v>185</v>
      </c>
    </row>
    <row r="2691" spans="1:13" x14ac:dyDescent="0.25">
      <c r="A2691" s="1">
        <v>46157</v>
      </c>
      <c r="B2691" t="s">
        <v>18</v>
      </c>
      <c r="C2691" t="s">
        <v>9</v>
      </c>
      <c r="D2691" t="str">
        <f>_xlfn.XLOOKUP(tblSales[[#This Row],[Store ID]],tblStores[Store ID],tblStores[Store Name])</f>
        <v>East Rand</v>
      </c>
      <c r="E2691" t="str">
        <f>_xlfn.XLOOKUP(tblSales[[#This Row],[Store ID]],tblStores[Store ID],tblStores[Province])</f>
        <v>Gauteng</v>
      </c>
      <c r="F2691" t="str">
        <f>_xlfn.XLOOKUP(tblSales[[#This Row],[Store ID]],tblStores[Store ID],tblStores[Manager])</f>
        <v>Lisa Young</v>
      </c>
      <c r="G2691" t="str">
        <f>_xlfn.XLOOKUP(tblSales[[#This Row],[Category ID]],tblCategories[Category ID],tblCategories[Category])</f>
        <v>Ladieswear</v>
      </c>
      <c r="H2691">
        <v>28620</v>
      </c>
      <c r="I2691">
        <v>27589</v>
      </c>
      <c r="J2691">
        <v>106</v>
      </c>
      <c r="K2691">
        <f>tblSales[[#This Row],[Sales]]-tblSales[[#This Row],[Budget]]</f>
        <v>1031</v>
      </c>
      <c r="L2691" s="3">
        <f>(tblSales[[#This Row],[Sales]]-tblSales[[#This Row],[Budget]])/tblSales[[#This Row],[Budget]]</f>
        <v>3.7369966290913048E-2</v>
      </c>
      <c r="M2691" s="2">
        <f>tblSales[[#This Row],[Sales]]/tblSales[[#This Row],[Transactions]]</f>
        <v>270</v>
      </c>
    </row>
    <row r="2692" spans="1:13" x14ac:dyDescent="0.25">
      <c r="A2692" s="1">
        <v>46157</v>
      </c>
      <c r="B2692" t="s">
        <v>20</v>
      </c>
      <c r="C2692" t="s">
        <v>7</v>
      </c>
      <c r="D2692" t="str">
        <f>_xlfn.XLOOKUP(tblSales[[#This Row],[Store ID]],tblStores[Store ID],tblStores[Store Name])</f>
        <v>Cape Town CBD</v>
      </c>
      <c r="E2692" t="str">
        <f>_xlfn.XLOOKUP(tblSales[[#This Row],[Store ID]],tblStores[Store ID],tblStores[Province])</f>
        <v>Western Cape</v>
      </c>
      <c r="F2692" t="str">
        <f>_xlfn.XLOOKUP(tblSales[[#This Row],[Store ID]],tblStores[Store ID],tblStores[Manager])</f>
        <v>Brian Hall</v>
      </c>
      <c r="G2692" t="str">
        <f>_xlfn.XLOOKUP(tblSales[[#This Row],[Category ID]],tblCategories[Category ID],tblCategories[Category])</f>
        <v>Menswear</v>
      </c>
      <c r="H2692">
        <v>88752</v>
      </c>
      <c r="I2692">
        <v>101593</v>
      </c>
      <c r="J2692">
        <v>172</v>
      </c>
      <c r="K2692">
        <f>tblSales[[#This Row],[Sales]]-tblSales[[#This Row],[Budget]]</f>
        <v>-12841</v>
      </c>
      <c r="L2692" s="3">
        <f>(tblSales[[#This Row],[Sales]]-tblSales[[#This Row],[Budget]])/tblSales[[#This Row],[Budget]]</f>
        <v>-0.12639650369612079</v>
      </c>
      <c r="M2692" s="2">
        <f>tblSales[[#This Row],[Sales]]/tblSales[[#This Row],[Transactions]]</f>
        <v>516</v>
      </c>
    </row>
    <row r="2693" spans="1:13" x14ac:dyDescent="0.25">
      <c r="A2693" s="1">
        <v>46157</v>
      </c>
      <c r="B2693" t="s">
        <v>21</v>
      </c>
      <c r="C2693" t="s">
        <v>19</v>
      </c>
      <c r="D2693" t="str">
        <f>_xlfn.XLOOKUP(tblSales[[#This Row],[Store ID]],tblStores[Store ID],tblStores[Store Name])</f>
        <v>Canal Walk</v>
      </c>
      <c r="E2693" t="str">
        <f>_xlfn.XLOOKUP(tblSales[[#This Row],[Store ID]],tblStores[Store ID],tblStores[Province])</f>
        <v>Western Cape</v>
      </c>
      <c r="F2693" t="str">
        <f>_xlfn.XLOOKUP(tblSales[[#This Row],[Store ID]],tblStores[Store ID],tblStores[Manager])</f>
        <v>Megan Scott</v>
      </c>
      <c r="G2693" t="str">
        <f>_xlfn.XLOOKUP(tblSales[[#This Row],[Category ID]],tblCategories[Category ID],tblCategories[Category])</f>
        <v>Accessories</v>
      </c>
      <c r="H2693">
        <v>23250</v>
      </c>
      <c r="I2693">
        <v>26421</v>
      </c>
      <c r="J2693">
        <v>62</v>
      </c>
      <c r="K2693">
        <f>tblSales[[#This Row],[Sales]]-tblSales[[#This Row],[Budget]]</f>
        <v>-3171</v>
      </c>
      <c r="L2693" s="3">
        <f>(tblSales[[#This Row],[Sales]]-tblSales[[#This Row],[Budget]])/tblSales[[#This Row],[Budget]]</f>
        <v>-0.12001816736686727</v>
      </c>
      <c r="M2693" s="2">
        <f>tblSales[[#This Row],[Sales]]/tblSales[[#This Row],[Transactions]]</f>
        <v>375</v>
      </c>
    </row>
    <row r="2694" spans="1:13" x14ac:dyDescent="0.25">
      <c r="A2694" s="1">
        <v>46157</v>
      </c>
      <c r="B2694" t="s">
        <v>23</v>
      </c>
      <c r="C2694" t="s">
        <v>22</v>
      </c>
      <c r="D2694" t="str">
        <f>_xlfn.XLOOKUP(tblSales[[#This Row],[Store ID]],tblStores[Store ID],tblStores[Store Name])</f>
        <v>Stellenbosch</v>
      </c>
      <c r="E2694" t="str">
        <f>_xlfn.XLOOKUP(tblSales[[#This Row],[Store ID]],tblStores[Store ID],tblStores[Province])</f>
        <v>Western Cape</v>
      </c>
      <c r="F2694" t="str">
        <f>_xlfn.XLOOKUP(tblSales[[#This Row],[Store ID]],tblStores[Store ID],tblStores[Manager])</f>
        <v>Jason King</v>
      </c>
      <c r="G2694" t="str">
        <f>_xlfn.XLOOKUP(tblSales[[#This Row],[Category ID]],tblCategories[Category ID],tblCategories[Category])</f>
        <v>Kids</v>
      </c>
      <c r="H2694">
        <v>98280</v>
      </c>
      <c r="I2694">
        <v>103300</v>
      </c>
      <c r="J2694">
        <v>195</v>
      </c>
      <c r="K2694">
        <f>tblSales[[#This Row],[Sales]]-tblSales[[#This Row],[Budget]]</f>
        <v>-5020</v>
      </c>
      <c r="L2694" s="3">
        <f>(tblSales[[#This Row],[Sales]]-tblSales[[#This Row],[Budget]])/tblSales[[#This Row],[Budget]]</f>
        <v>-4.8596321393998061E-2</v>
      </c>
      <c r="M2694" s="2">
        <f>tblSales[[#This Row],[Sales]]/tblSales[[#This Row],[Transactions]]</f>
        <v>504</v>
      </c>
    </row>
    <row r="2695" spans="1:13" x14ac:dyDescent="0.25">
      <c r="A2695" s="1">
        <v>46157</v>
      </c>
      <c r="B2695" t="s">
        <v>24</v>
      </c>
      <c r="C2695" t="s">
        <v>9</v>
      </c>
      <c r="D2695" t="str">
        <f>_xlfn.XLOOKUP(tblSales[[#This Row],[Store ID]],tblStores[Store ID],tblStores[Store Name])</f>
        <v>George</v>
      </c>
      <c r="E2695" t="str">
        <f>_xlfn.XLOOKUP(tblSales[[#This Row],[Store ID]],tblStores[Store ID],tblStores[Province])</f>
        <v>Western Cape</v>
      </c>
      <c r="F2695" t="str">
        <f>_xlfn.XLOOKUP(tblSales[[#This Row],[Store ID]],tblStores[Store ID],tblStores[Manager])</f>
        <v>Chloe Hill</v>
      </c>
      <c r="G2695" t="str">
        <f>_xlfn.XLOOKUP(tblSales[[#This Row],[Category ID]],tblCategories[Category ID],tblCategories[Category])</f>
        <v>Ladieswear</v>
      </c>
      <c r="H2695">
        <v>43216</v>
      </c>
      <c r="I2695">
        <v>42397</v>
      </c>
      <c r="J2695">
        <v>148</v>
      </c>
      <c r="K2695">
        <f>tblSales[[#This Row],[Sales]]-tblSales[[#This Row],[Budget]]</f>
        <v>819</v>
      </c>
      <c r="L2695" s="3">
        <f>(tblSales[[#This Row],[Sales]]-tblSales[[#This Row],[Budget]])/tblSales[[#This Row],[Budget]]</f>
        <v>1.9317404533339622E-2</v>
      </c>
      <c r="M2695" s="2">
        <f>tblSales[[#This Row],[Sales]]/tblSales[[#This Row],[Transactions]]</f>
        <v>292</v>
      </c>
    </row>
    <row r="2696" spans="1:13" x14ac:dyDescent="0.25">
      <c r="A2696" s="1">
        <v>46157</v>
      </c>
      <c r="B2696" t="s">
        <v>25</v>
      </c>
      <c r="C2696" t="s">
        <v>9</v>
      </c>
      <c r="D2696" t="str">
        <f>_xlfn.XLOOKUP(tblSales[[#This Row],[Store ID]],tblStores[Store ID],tblStores[Store Name])</f>
        <v>Paarl</v>
      </c>
      <c r="E2696" t="str">
        <f>_xlfn.XLOOKUP(tblSales[[#This Row],[Store ID]],tblStores[Store ID],tblStores[Province])</f>
        <v>Western Cape</v>
      </c>
      <c r="F2696" t="str">
        <f>_xlfn.XLOOKUP(tblSales[[#This Row],[Store ID]],tblStores[Store ID],tblStores[Manager])</f>
        <v>Andrew Lee</v>
      </c>
      <c r="G2696" t="str">
        <f>_xlfn.XLOOKUP(tblSales[[#This Row],[Category ID]],tblCategories[Category ID],tblCategories[Category])</f>
        <v>Ladieswear</v>
      </c>
      <c r="H2696">
        <v>91866</v>
      </c>
      <c r="I2696">
        <v>101230</v>
      </c>
      <c r="J2696">
        <v>183</v>
      </c>
      <c r="K2696">
        <f>tblSales[[#This Row],[Sales]]-tblSales[[#This Row],[Budget]]</f>
        <v>-9364</v>
      </c>
      <c r="L2696" s="3">
        <f>(tblSales[[#This Row],[Sales]]-tblSales[[#This Row],[Budget]])/tblSales[[#This Row],[Budget]]</f>
        <v>-9.2502222661266426E-2</v>
      </c>
      <c r="M2696" s="2">
        <f>tblSales[[#This Row],[Sales]]/tblSales[[#This Row],[Transactions]]</f>
        <v>502</v>
      </c>
    </row>
    <row r="2697" spans="1:13" x14ac:dyDescent="0.25">
      <c r="A2697" s="1">
        <v>46157</v>
      </c>
      <c r="B2697" t="s">
        <v>26</v>
      </c>
      <c r="C2697" t="s">
        <v>11</v>
      </c>
      <c r="D2697" t="str">
        <f>_xlfn.XLOOKUP(tblSales[[#This Row],[Store ID]],tblStores[Store ID],tblStores[Store Name])</f>
        <v>Gqeberha</v>
      </c>
      <c r="E2697" t="str">
        <f>_xlfn.XLOOKUP(tblSales[[#This Row],[Store ID]],tblStores[Store ID],tblStores[Province])</f>
        <v>Eastern Cape</v>
      </c>
      <c r="F2697" t="str">
        <f>_xlfn.XLOOKUP(tblSales[[#This Row],[Store ID]],tblStores[Store ID],tblStores[Manager])</f>
        <v>Emma Baker</v>
      </c>
      <c r="G2697" t="str">
        <f>_xlfn.XLOOKUP(tblSales[[#This Row],[Category ID]],tblCategories[Category ID],tblCategories[Category])</f>
        <v>Footwear</v>
      </c>
      <c r="H2697">
        <v>30192</v>
      </c>
      <c r="I2697">
        <v>28921</v>
      </c>
      <c r="J2697">
        <v>74</v>
      </c>
      <c r="K2697">
        <f>tblSales[[#This Row],[Sales]]-tblSales[[#This Row],[Budget]]</f>
        <v>1271</v>
      </c>
      <c r="L2697" s="3">
        <f>(tblSales[[#This Row],[Sales]]-tblSales[[#This Row],[Budget]])/tblSales[[#This Row],[Budget]]</f>
        <v>4.3947304726669204E-2</v>
      </c>
      <c r="M2697" s="2">
        <f>tblSales[[#This Row],[Sales]]/tblSales[[#This Row],[Transactions]]</f>
        <v>408</v>
      </c>
    </row>
    <row r="2698" spans="1:13" x14ac:dyDescent="0.25">
      <c r="A2698" s="1">
        <v>46157</v>
      </c>
      <c r="B2698" t="s">
        <v>27</v>
      </c>
      <c r="C2698" t="s">
        <v>11</v>
      </c>
      <c r="D2698" t="str">
        <f>_xlfn.XLOOKUP(tblSales[[#This Row],[Store ID]],tblStores[Store ID],tblStores[Store Name])</f>
        <v>East London</v>
      </c>
      <c r="E2698" t="str">
        <f>_xlfn.XLOOKUP(tblSales[[#This Row],[Store ID]],tblStores[Store ID],tblStores[Province])</f>
        <v>Eastern Cape</v>
      </c>
      <c r="F2698" t="str">
        <f>_xlfn.XLOOKUP(tblSales[[#This Row],[Store ID]],tblStores[Store ID],tblStores[Manager])</f>
        <v>Daniel Evans</v>
      </c>
      <c r="G2698" t="str">
        <f>_xlfn.XLOOKUP(tblSales[[#This Row],[Category ID]],tblCategories[Category ID],tblCategories[Category])</f>
        <v>Footwear</v>
      </c>
      <c r="H2698">
        <v>32895</v>
      </c>
      <c r="I2698">
        <v>37024</v>
      </c>
      <c r="J2698">
        <v>129</v>
      </c>
      <c r="K2698">
        <f>tblSales[[#This Row],[Sales]]-tblSales[[#This Row],[Budget]]</f>
        <v>-4129</v>
      </c>
      <c r="L2698" s="3">
        <f>(tblSales[[#This Row],[Sales]]-tblSales[[#This Row],[Budget]])/tblSales[[#This Row],[Budget]]</f>
        <v>-0.11152225583405359</v>
      </c>
      <c r="M2698" s="2">
        <f>tblSales[[#This Row],[Sales]]/tblSales[[#This Row],[Transactions]]</f>
        <v>255</v>
      </c>
    </row>
    <row r="2699" spans="1:13" x14ac:dyDescent="0.25">
      <c r="A2699" s="1">
        <v>46157</v>
      </c>
      <c r="B2699" t="s">
        <v>28</v>
      </c>
      <c r="C2699" t="s">
        <v>7</v>
      </c>
      <c r="D2699" t="str">
        <f>_xlfn.XLOOKUP(tblSales[[#This Row],[Store ID]],tblStores[Store ID],tblStores[Store Name])</f>
        <v>Bloemfontein</v>
      </c>
      <c r="E2699" t="str">
        <f>_xlfn.XLOOKUP(tblSales[[#This Row],[Store ID]],tblStores[Store ID],tblStores[Province])</f>
        <v>Free State</v>
      </c>
      <c r="F2699" t="str">
        <f>_xlfn.XLOOKUP(tblSales[[#This Row],[Store ID]],tblStores[Store ID],tblStores[Manager])</f>
        <v>Rachel Moore</v>
      </c>
      <c r="G2699" t="str">
        <f>_xlfn.XLOOKUP(tblSales[[#This Row],[Category ID]],tblCategories[Category ID],tblCategories[Category])</f>
        <v>Menswear</v>
      </c>
      <c r="H2699">
        <v>43792</v>
      </c>
      <c r="I2699">
        <v>44442</v>
      </c>
      <c r="J2699">
        <v>161</v>
      </c>
      <c r="K2699">
        <f>tblSales[[#This Row],[Sales]]-tblSales[[#This Row],[Budget]]</f>
        <v>-650</v>
      </c>
      <c r="L2699" s="3">
        <f>(tblSales[[#This Row],[Sales]]-tblSales[[#This Row],[Budget]])/tblSales[[#This Row],[Budget]]</f>
        <v>-1.4625804419243058E-2</v>
      </c>
      <c r="M2699" s="2">
        <f>tblSales[[#This Row],[Sales]]/tblSales[[#This Row],[Transactions]]</f>
        <v>272</v>
      </c>
    </row>
    <row r="2700" spans="1:13" x14ac:dyDescent="0.25">
      <c r="A2700" s="1">
        <v>46157</v>
      </c>
      <c r="B2700" t="s">
        <v>29</v>
      </c>
      <c r="C2700" t="s">
        <v>9</v>
      </c>
      <c r="D2700" t="str">
        <f>_xlfn.XLOOKUP(tblSales[[#This Row],[Store ID]],tblStores[Store ID],tblStores[Store Name])</f>
        <v>Polokwane</v>
      </c>
      <c r="E2700" t="str">
        <f>_xlfn.XLOOKUP(tblSales[[#This Row],[Store ID]],tblStores[Store ID],tblStores[Province])</f>
        <v>Limpopo</v>
      </c>
      <c r="F2700" t="str">
        <f>_xlfn.XLOOKUP(tblSales[[#This Row],[Store ID]],tblStores[Store ID],tblStores[Manager])</f>
        <v>Kevin Harris</v>
      </c>
      <c r="G2700" t="str">
        <f>_xlfn.XLOOKUP(tblSales[[#This Row],[Category ID]],tblCategories[Category ID],tblCategories[Category])</f>
        <v>Ladieswear</v>
      </c>
      <c r="H2700">
        <v>39093</v>
      </c>
      <c r="I2700">
        <v>39977</v>
      </c>
      <c r="J2700">
        <v>83</v>
      </c>
      <c r="K2700">
        <f>tblSales[[#This Row],[Sales]]-tblSales[[#This Row],[Budget]]</f>
        <v>-884</v>
      </c>
      <c r="L2700" s="3">
        <f>(tblSales[[#This Row],[Sales]]-tblSales[[#This Row],[Budget]])/tblSales[[#This Row],[Budget]]</f>
        <v>-2.2112714811016336E-2</v>
      </c>
      <c r="M2700" s="2">
        <f>tblSales[[#This Row],[Sales]]/tblSales[[#This Row],[Transactions]]</f>
        <v>471</v>
      </c>
    </row>
    <row r="2701" spans="1:13" x14ac:dyDescent="0.25">
      <c r="A2701" s="1">
        <v>46157</v>
      </c>
      <c r="B2701" t="s">
        <v>30</v>
      </c>
      <c r="C2701" t="s">
        <v>9</v>
      </c>
      <c r="D2701" t="str">
        <f>_xlfn.XLOOKUP(tblSales[[#This Row],[Store ID]],tblStores[Store ID],tblStores[Store Name])</f>
        <v>Nelspruit</v>
      </c>
      <c r="E2701" t="str">
        <f>_xlfn.XLOOKUP(tblSales[[#This Row],[Store ID]],tblStores[Store ID],tblStores[Province])</f>
        <v>Mpumalanga</v>
      </c>
      <c r="F2701" t="str">
        <f>_xlfn.XLOOKUP(tblSales[[#This Row],[Store ID]],tblStores[Store ID],tblStores[Manager])</f>
        <v>Olivia Turner</v>
      </c>
      <c r="G2701" t="str">
        <f>_xlfn.XLOOKUP(tblSales[[#This Row],[Category ID]],tblCategories[Category ID],tblCategories[Category])</f>
        <v>Ladieswear</v>
      </c>
      <c r="H2701">
        <v>64800</v>
      </c>
      <c r="I2701">
        <v>58660</v>
      </c>
      <c r="J2701">
        <v>200</v>
      </c>
      <c r="K2701">
        <f>tblSales[[#This Row],[Sales]]-tblSales[[#This Row],[Budget]]</f>
        <v>6140</v>
      </c>
      <c r="L2701" s="3">
        <f>(tblSales[[#This Row],[Sales]]-tblSales[[#This Row],[Budget]])/tblSales[[#This Row],[Budget]]</f>
        <v>0.1046709853392431</v>
      </c>
      <c r="M2701" s="2">
        <f>tblSales[[#This Row],[Sales]]/tblSales[[#This Row],[Transactions]]</f>
        <v>324</v>
      </c>
    </row>
    <row r="2702" spans="1:13" x14ac:dyDescent="0.25">
      <c r="A2702" s="1">
        <v>46158</v>
      </c>
      <c r="B2702" t="s">
        <v>6</v>
      </c>
      <c r="C2702" t="s">
        <v>9</v>
      </c>
      <c r="D2702" t="str">
        <f>_xlfn.XLOOKUP(tblSales[[#This Row],[Store ID]],tblStores[Store ID],tblStores[Store Name])</f>
        <v>Durban CBD</v>
      </c>
      <c r="E2702" t="str">
        <f>_xlfn.XLOOKUP(tblSales[[#This Row],[Store ID]],tblStores[Store ID],tblStores[Province])</f>
        <v>KZN</v>
      </c>
      <c r="F2702" t="str">
        <f>_xlfn.XLOOKUP(tblSales[[#This Row],[Store ID]],tblStores[Store ID],tblStores[Manager])</f>
        <v>Sarah Adams</v>
      </c>
      <c r="G2702" t="str">
        <f>_xlfn.XLOOKUP(tblSales[[#This Row],[Category ID]],tblCategories[Category ID],tblCategories[Category])</f>
        <v>Ladieswear</v>
      </c>
      <c r="H2702">
        <v>30480</v>
      </c>
      <c r="I2702">
        <v>32669</v>
      </c>
      <c r="J2702">
        <v>80</v>
      </c>
      <c r="K2702">
        <f>tblSales[[#This Row],[Sales]]-tblSales[[#This Row],[Budget]]</f>
        <v>-2189</v>
      </c>
      <c r="L2702" s="3">
        <f>(tblSales[[#This Row],[Sales]]-tblSales[[#This Row],[Budget]])/tblSales[[#This Row],[Budget]]</f>
        <v>-6.7005417980348342E-2</v>
      </c>
      <c r="M2702" s="2">
        <f>tblSales[[#This Row],[Sales]]/tblSales[[#This Row],[Transactions]]</f>
        <v>381</v>
      </c>
    </row>
    <row r="2703" spans="1:13" x14ac:dyDescent="0.25">
      <c r="A2703" s="1">
        <v>46158</v>
      </c>
      <c r="B2703" t="s">
        <v>8</v>
      </c>
      <c r="C2703" t="s">
        <v>9</v>
      </c>
      <c r="D2703" t="str">
        <f>_xlfn.XLOOKUP(tblSales[[#This Row],[Store ID]],tblStores[Store ID],tblStores[Store Name])</f>
        <v>Gateway</v>
      </c>
      <c r="E2703" t="str">
        <f>_xlfn.XLOOKUP(tblSales[[#This Row],[Store ID]],tblStores[Store ID],tblStores[Province])</f>
        <v>KZN</v>
      </c>
      <c r="F2703" t="str">
        <f>_xlfn.XLOOKUP(tblSales[[#This Row],[Store ID]],tblStores[Store ID],tblStores[Manager])</f>
        <v>Michael Jones</v>
      </c>
      <c r="G2703" t="str">
        <f>_xlfn.XLOOKUP(tblSales[[#This Row],[Category ID]],tblCategories[Category ID],tblCategories[Category])</f>
        <v>Ladieswear</v>
      </c>
      <c r="H2703">
        <v>13156</v>
      </c>
      <c r="I2703">
        <v>12077</v>
      </c>
      <c r="J2703">
        <v>52</v>
      </c>
      <c r="K2703">
        <f>tblSales[[#This Row],[Sales]]-tblSales[[#This Row],[Budget]]</f>
        <v>1079</v>
      </c>
      <c r="L2703" s="3">
        <f>(tblSales[[#This Row],[Sales]]-tblSales[[#This Row],[Budget]])/tblSales[[#This Row],[Budget]]</f>
        <v>8.9343379978471471E-2</v>
      </c>
      <c r="M2703" s="2">
        <f>tblSales[[#This Row],[Sales]]/tblSales[[#This Row],[Transactions]]</f>
        <v>253</v>
      </c>
    </row>
    <row r="2704" spans="1:13" x14ac:dyDescent="0.25">
      <c r="A2704" s="1">
        <v>46158</v>
      </c>
      <c r="B2704" t="s">
        <v>10</v>
      </c>
      <c r="C2704" t="s">
        <v>9</v>
      </c>
      <c r="D2704" t="str">
        <f>_xlfn.XLOOKUP(tblSales[[#This Row],[Store ID]],tblStores[Store ID],tblStores[Store Name])</f>
        <v>Ballito</v>
      </c>
      <c r="E2704" t="str">
        <f>_xlfn.XLOOKUP(tblSales[[#This Row],[Store ID]],tblStores[Store ID],tblStores[Province])</f>
        <v>KZN</v>
      </c>
      <c r="F2704" t="str">
        <f>_xlfn.XLOOKUP(tblSales[[#This Row],[Store ID]],tblStores[Store ID],tblStores[Manager])</f>
        <v>Linda Smith</v>
      </c>
      <c r="G2704" t="str">
        <f>_xlfn.XLOOKUP(tblSales[[#This Row],[Category ID]],tblCategories[Category ID],tblCategories[Category])</f>
        <v>Ladieswear</v>
      </c>
      <c r="H2704">
        <v>77010</v>
      </c>
      <c r="I2704">
        <v>87991</v>
      </c>
      <c r="J2704">
        <v>151</v>
      </c>
      <c r="K2704">
        <f>tblSales[[#This Row],[Sales]]-tblSales[[#This Row],[Budget]]</f>
        <v>-10981</v>
      </c>
      <c r="L2704" s="3">
        <f>(tblSales[[#This Row],[Sales]]-tblSales[[#This Row],[Budget]])/tblSales[[#This Row],[Budget]]</f>
        <v>-0.12479685422372742</v>
      </c>
      <c r="M2704" s="2">
        <f>tblSales[[#This Row],[Sales]]/tblSales[[#This Row],[Transactions]]</f>
        <v>510</v>
      </c>
    </row>
    <row r="2705" spans="1:13" x14ac:dyDescent="0.25">
      <c r="A2705" s="1">
        <v>46158</v>
      </c>
      <c r="B2705" t="s">
        <v>12</v>
      </c>
      <c r="C2705" t="s">
        <v>7</v>
      </c>
      <c r="D2705" t="str">
        <f>_xlfn.XLOOKUP(tblSales[[#This Row],[Store ID]],tblStores[Store ID],tblStores[Store Name])</f>
        <v>Pietermaritzburg</v>
      </c>
      <c r="E2705" t="str">
        <f>_xlfn.XLOOKUP(tblSales[[#This Row],[Store ID]],tblStores[Store ID],tblStores[Province])</f>
        <v>KZN</v>
      </c>
      <c r="F2705" t="str">
        <f>_xlfn.XLOOKUP(tblSales[[#This Row],[Store ID]],tblStores[Store ID],tblStores[Manager])</f>
        <v>Peter Brown</v>
      </c>
      <c r="G2705" t="str">
        <f>_xlfn.XLOOKUP(tblSales[[#This Row],[Category ID]],tblCategories[Category ID],tblCategories[Category])</f>
        <v>Menswear</v>
      </c>
      <c r="H2705">
        <v>98780</v>
      </c>
      <c r="I2705">
        <v>92292</v>
      </c>
      <c r="J2705">
        <v>220</v>
      </c>
      <c r="K2705">
        <f>tblSales[[#This Row],[Sales]]-tblSales[[#This Row],[Budget]]</f>
        <v>6488</v>
      </c>
      <c r="L2705" s="3">
        <f>(tblSales[[#This Row],[Sales]]-tblSales[[#This Row],[Budget]])/tblSales[[#This Row],[Budget]]</f>
        <v>7.0298617431630045E-2</v>
      </c>
      <c r="M2705" s="2">
        <f>tblSales[[#This Row],[Sales]]/tblSales[[#This Row],[Transactions]]</f>
        <v>449</v>
      </c>
    </row>
    <row r="2706" spans="1:13" x14ac:dyDescent="0.25">
      <c r="A2706" s="1">
        <v>46158</v>
      </c>
      <c r="B2706" t="s">
        <v>13</v>
      </c>
      <c r="C2706" t="s">
        <v>7</v>
      </c>
      <c r="D2706" t="str">
        <f>_xlfn.XLOOKUP(tblSales[[#This Row],[Store ID]],tblStores[Store ID],tblStores[Store Name])</f>
        <v>Richards Bay</v>
      </c>
      <c r="E2706" t="str">
        <f>_xlfn.XLOOKUP(tblSales[[#This Row],[Store ID]],tblStores[Store ID],tblStores[Province])</f>
        <v>KZN</v>
      </c>
      <c r="F2706" t="str">
        <f>_xlfn.XLOOKUP(tblSales[[#This Row],[Store ID]],tblStores[Store ID],tblStores[Manager])</f>
        <v>David Green</v>
      </c>
      <c r="G2706" t="str">
        <f>_xlfn.XLOOKUP(tblSales[[#This Row],[Category ID]],tblCategories[Category ID],tblCategories[Category])</f>
        <v>Menswear</v>
      </c>
      <c r="H2706">
        <v>43659</v>
      </c>
      <c r="I2706">
        <v>43417</v>
      </c>
      <c r="J2706">
        <v>189</v>
      </c>
      <c r="K2706">
        <f>tblSales[[#This Row],[Sales]]-tblSales[[#This Row],[Budget]]</f>
        <v>242</v>
      </c>
      <c r="L2706" s="3">
        <f>(tblSales[[#This Row],[Sales]]-tblSales[[#This Row],[Budget]])/tblSales[[#This Row],[Budget]]</f>
        <v>5.5738535596655684E-3</v>
      </c>
      <c r="M2706" s="2">
        <f>tblSales[[#This Row],[Sales]]/tblSales[[#This Row],[Transactions]]</f>
        <v>231</v>
      </c>
    </row>
    <row r="2707" spans="1:13" x14ac:dyDescent="0.25">
      <c r="A2707" s="1">
        <v>46158</v>
      </c>
      <c r="B2707" t="s">
        <v>14</v>
      </c>
      <c r="C2707" t="s">
        <v>7</v>
      </c>
      <c r="D2707" t="str">
        <f>_xlfn.XLOOKUP(tblSales[[#This Row],[Store ID]],tblStores[Store ID],tblStores[Store Name])</f>
        <v>Sandton</v>
      </c>
      <c r="E2707" t="str">
        <f>_xlfn.XLOOKUP(tblSales[[#This Row],[Store ID]],tblStores[Store ID],tblStores[Province])</f>
        <v>Gauteng</v>
      </c>
      <c r="F2707" t="str">
        <f>_xlfn.XLOOKUP(tblSales[[#This Row],[Store ID]],tblStores[Store ID],tblStores[Manager])</f>
        <v>Karen White</v>
      </c>
      <c r="G2707" t="str">
        <f>_xlfn.XLOOKUP(tblSales[[#This Row],[Category ID]],tblCategories[Category ID],tblCategories[Category])</f>
        <v>Menswear</v>
      </c>
      <c r="H2707">
        <v>11718</v>
      </c>
      <c r="I2707">
        <v>12782</v>
      </c>
      <c r="J2707">
        <v>63</v>
      </c>
      <c r="K2707">
        <f>tblSales[[#This Row],[Sales]]-tblSales[[#This Row],[Budget]]</f>
        <v>-1064</v>
      </c>
      <c r="L2707" s="3">
        <f>(tblSales[[#This Row],[Sales]]-tblSales[[#This Row],[Budget]])/tblSales[[#This Row],[Budget]]</f>
        <v>-8.3242059145673605E-2</v>
      </c>
      <c r="M2707" s="2">
        <f>tblSales[[#This Row],[Sales]]/tblSales[[#This Row],[Transactions]]</f>
        <v>186</v>
      </c>
    </row>
    <row r="2708" spans="1:13" x14ac:dyDescent="0.25">
      <c r="A2708" s="1">
        <v>46158</v>
      </c>
      <c r="B2708" t="s">
        <v>15</v>
      </c>
      <c r="C2708" t="s">
        <v>7</v>
      </c>
      <c r="D2708" t="str">
        <f>_xlfn.XLOOKUP(tblSales[[#This Row],[Store ID]],tblStores[Store ID],tblStores[Store Name])</f>
        <v>Rosebank</v>
      </c>
      <c r="E2708" t="str">
        <f>_xlfn.XLOOKUP(tblSales[[#This Row],[Store ID]],tblStores[Store ID],tblStores[Province])</f>
        <v>Gauteng</v>
      </c>
      <c r="F2708" t="str">
        <f>_xlfn.XLOOKUP(tblSales[[#This Row],[Store ID]],tblStores[Store ID],tblStores[Manager])</f>
        <v>James Taylor</v>
      </c>
      <c r="G2708" t="str">
        <f>_xlfn.XLOOKUP(tblSales[[#This Row],[Category ID]],tblCategories[Category ID],tblCategories[Category])</f>
        <v>Menswear</v>
      </c>
      <c r="H2708">
        <v>20876</v>
      </c>
      <c r="I2708">
        <v>22807</v>
      </c>
      <c r="J2708">
        <v>68</v>
      </c>
      <c r="K2708">
        <f>tblSales[[#This Row],[Sales]]-tblSales[[#This Row],[Budget]]</f>
        <v>-1931</v>
      </c>
      <c r="L2708" s="3">
        <f>(tblSales[[#This Row],[Sales]]-tblSales[[#This Row],[Budget]])/tblSales[[#This Row],[Budget]]</f>
        <v>-8.4666988205375548E-2</v>
      </c>
      <c r="M2708" s="2">
        <f>tblSales[[#This Row],[Sales]]/tblSales[[#This Row],[Transactions]]</f>
        <v>307</v>
      </c>
    </row>
    <row r="2709" spans="1:13" x14ac:dyDescent="0.25">
      <c r="A2709" s="1">
        <v>46158</v>
      </c>
      <c r="B2709" t="s">
        <v>16</v>
      </c>
      <c r="C2709" t="s">
        <v>22</v>
      </c>
      <c r="D2709" t="str">
        <f>_xlfn.XLOOKUP(tblSales[[#This Row],[Store ID]],tblStores[Store ID],tblStores[Store Name])</f>
        <v>Pretoria</v>
      </c>
      <c r="E2709" t="str">
        <f>_xlfn.XLOOKUP(tblSales[[#This Row],[Store ID]],tblStores[Store ID],tblStores[Province])</f>
        <v>Gauteng</v>
      </c>
      <c r="F2709" t="str">
        <f>_xlfn.XLOOKUP(tblSales[[#This Row],[Store ID]],tblStores[Store ID],tblStores[Manager])</f>
        <v>Susan Clark</v>
      </c>
      <c r="G2709" t="str">
        <f>_xlfn.XLOOKUP(tblSales[[#This Row],[Category ID]],tblCategories[Category ID],tblCategories[Category])</f>
        <v>Kids</v>
      </c>
      <c r="H2709">
        <v>35571</v>
      </c>
      <c r="I2709">
        <v>37346</v>
      </c>
      <c r="J2709">
        <v>71</v>
      </c>
      <c r="K2709">
        <f>tblSales[[#This Row],[Sales]]-tblSales[[#This Row],[Budget]]</f>
        <v>-1775</v>
      </c>
      <c r="L2709" s="3">
        <f>(tblSales[[#This Row],[Sales]]-tblSales[[#This Row],[Budget]])/tblSales[[#This Row],[Budget]]</f>
        <v>-4.7528517110266157E-2</v>
      </c>
      <c r="M2709" s="2">
        <f>tblSales[[#This Row],[Sales]]/tblSales[[#This Row],[Transactions]]</f>
        <v>501</v>
      </c>
    </row>
    <row r="2710" spans="1:13" x14ac:dyDescent="0.25">
      <c r="A2710" s="1">
        <v>46158</v>
      </c>
      <c r="B2710" t="s">
        <v>17</v>
      </c>
      <c r="C2710" t="s">
        <v>7</v>
      </c>
      <c r="D2710" t="str">
        <f>_xlfn.XLOOKUP(tblSales[[#This Row],[Store ID]],tblStores[Store ID],tblStores[Store Name])</f>
        <v>Centurion</v>
      </c>
      <c r="E2710" t="str">
        <f>_xlfn.XLOOKUP(tblSales[[#This Row],[Store ID]],tblStores[Store ID],tblStores[Province])</f>
        <v>Gauteng</v>
      </c>
      <c r="F2710" t="str">
        <f>_xlfn.XLOOKUP(tblSales[[#This Row],[Store ID]],tblStores[Store ID],tblStores[Manager])</f>
        <v>Mark Wilson</v>
      </c>
      <c r="G2710" t="str">
        <f>_xlfn.XLOOKUP(tblSales[[#This Row],[Category ID]],tblCategories[Category ID],tblCategories[Category])</f>
        <v>Menswear</v>
      </c>
      <c r="H2710">
        <v>28334</v>
      </c>
      <c r="I2710">
        <v>30714</v>
      </c>
      <c r="J2710">
        <v>62</v>
      </c>
      <c r="K2710">
        <f>tblSales[[#This Row],[Sales]]-tblSales[[#This Row],[Budget]]</f>
        <v>-2380</v>
      </c>
      <c r="L2710" s="3">
        <f>(tblSales[[#This Row],[Sales]]-tblSales[[#This Row],[Budget]])/tblSales[[#This Row],[Budget]]</f>
        <v>-7.7489092921794622E-2</v>
      </c>
      <c r="M2710" s="2">
        <f>tblSales[[#This Row],[Sales]]/tblSales[[#This Row],[Transactions]]</f>
        <v>457</v>
      </c>
    </row>
    <row r="2711" spans="1:13" x14ac:dyDescent="0.25">
      <c r="A2711" s="1">
        <v>46158</v>
      </c>
      <c r="B2711" t="s">
        <v>18</v>
      </c>
      <c r="C2711" t="s">
        <v>22</v>
      </c>
      <c r="D2711" t="str">
        <f>_xlfn.XLOOKUP(tblSales[[#This Row],[Store ID]],tblStores[Store ID],tblStores[Store Name])</f>
        <v>East Rand</v>
      </c>
      <c r="E2711" t="str">
        <f>_xlfn.XLOOKUP(tblSales[[#This Row],[Store ID]],tblStores[Store ID],tblStores[Province])</f>
        <v>Gauteng</v>
      </c>
      <c r="F2711" t="str">
        <f>_xlfn.XLOOKUP(tblSales[[#This Row],[Store ID]],tblStores[Store ID],tblStores[Manager])</f>
        <v>Lisa Young</v>
      </c>
      <c r="G2711" t="str">
        <f>_xlfn.XLOOKUP(tblSales[[#This Row],[Category ID]],tblCategories[Category ID],tblCategories[Category])</f>
        <v>Kids</v>
      </c>
      <c r="H2711">
        <v>48168</v>
      </c>
      <c r="I2711">
        <v>45787</v>
      </c>
      <c r="J2711">
        <v>216</v>
      </c>
      <c r="K2711">
        <f>tblSales[[#This Row],[Sales]]-tblSales[[#This Row],[Budget]]</f>
        <v>2381</v>
      </c>
      <c r="L2711" s="3">
        <f>(tblSales[[#This Row],[Sales]]-tblSales[[#This Row],[Budget]])/tblSales[[#This Row],[Budget]]</f>
        <v>5.2001659859785526E-2</v>
      </c>
      <c r="M2711" s="2">
        <f>tblSales[[#This Row],[Sales]]/tblSales[[#This Row],[Transactions]]</f>
        <v>223</v>
      </c>
    </row>
    <row r="2712" spans="1:13" x14ac:dyDescent="0.25">
      <c r="A2712" s="1">
        <v>46158</v>
      </c>
      <c r="B2712" t="s">
        <v>20</v>
      </c>
      <c r="C2712" t="s">
        <v>11</v>
      </c>
      <c r="D2712" t="str">
        <f>_xlfn.XLOOKUP(tblSales[[#This Row],[Store ID]],tblStores[Store ID],tblStores[Store Name])</f>
        <v>Cape Town CBD</v>
      </c>
      <c r="E2712" t="str">
        <f>_xlfn.XLOOKUP(tblSales[[#This Row],[Store ID]],tblStores[Store ID],tblStores[Province])</f>
        <v>Western Cape</v>
      </c>
      <c r="F2712" t="str">
        <f>_xlfn.XLOOKUP(tblSales[[#This Row],[Store ID]],tblStores[Store ID],tblStores[Manager])</f>
        <v>Brian Hall</v>
      </c>
      <c r="G2712" t="str">
        <f>_xlfn.XLOOKUP(tblSales[[#This Row],[Category ID]],tblCategories[Category ID],tblCategories[Category])</f>
        <v>Footwear</v>
      </c>
      <c r="H2712">
        <v>72853</v>
      </c>
      <c r="I2712">
        <v>80419</v>
      </c>
      <c r="J2712">
        <v>179</v>
      </c>
      <c r="K2712">
        <f>tblSales[[#This Row],[Sales]]-tblSales[[#This Row],[Budget]]</f>
        <v>-7566</v>
      </c>
      <c r="L2712" s="3">
        <f>(tblSales[[#This Row],[Sales]]-tblSales[[#This Row],[Budget]])/tblSales[[#This Row],[Budget]]</f>
        <v>-9.4082244245762822E-2</v>
      </c>
      <c r="M2712" s="2">
        <f>tblSales[[#This Row],[Sales]]/tblSales[[#This Row],[Transactions]]</f>
        <v>407</v>
      </c>
    </row>
    <row r="2713" spans="1:13" x14ac:dyDescent="0.25">
      <c r="A2713" s="1">
        <v>46158</v>
      </c>
      <c r="B2713" t="s">
        <v>21</v>
      </c>
      <c r="C2713" t="s">
        <v>22</v>
      </c>
      <c r="D2713" t="str">
        <f>_xlfn.XLOOKUP(tblSales[[#This Row],[Store ID]],tblStores[Store ID],tblStores[Store Name])</f>
        <v>Canal Walk</v>
      </c>
      <c r="E2713" t="str">
        <f>_xlfn.XLOOKUP(tblSales[[#This Row],[Store ID]],tblStores[Store ID],tblStores[Province])</f>
        <v>Western Cape</v>
      </c>
      <c r="F2713" t="str">
        <f>_xlfn.XLOOKUP(tblSales[[#This Row],[Store ID]],tblStores[Store ID],tblStores[Manager])</f>
        <v>Megan Scott</v>
      </c>
      <c r="G2713" t="str">
        <f>_xlfn.XLOOKUP(tblSales[[#This Row],[Category ID]],tblCategories[Category ID],tblCategories[Category])</f>
        <v>Kids</v>
      </c>
      <c r="H2713">
        <v>50575</v>
      </c>
      <c r="I2713">
        <v>47471</v>
      </c>
      <c r="J2713">
        <v>119</v>
      </c>
      <c r="K2713">
        <f>tblSales[[#This Row],[Sales]]-tblSales[[#This Row],[Budget]]</f>
        <v>3104</v>
      </c>
      <c r="L2713" s="3">
        <f>(tblSales[[#This Row],[Sales]]-tblSales[[#This Row],[Budget]])/tblSales[[#This Row],[Budget]]</f>
        <v>6.5387289081755173E-2</v>
      </c>
      <c r="M2713" s="2">
        <f>tblSales[[#This Row],[Sales]]/tblSales[[#This Row],[Transactions]]</f>
        <v>425</v>
      </c>
    </row>
    <row r="2714" spans="1:13" x14ac:dyDescent="0.25">
      <c r="A2714" s="1">
        <v>46158</v>
      </c>
      <c r="B2714" t="s">
        <v>23</v>
      </c>
      <c r="C2714" t="s">
        <v>7</v>
      </c>
      <c r="D2714" t="str">
        <f>_xlfn.XLOOKUP(tblSales[[#This Row],[Store ID]],tblStores[Store ID],tblStores[Store Name])</f>
        <v>Stellenbosch</v>
      </c>
      <c r="E2714" t="str">
        <f>_xlfn.XLOOKUP(tblSales[[#This Row],[Store ID]],tblStores[Store ID],tblStores[Province])</f>
        <v>Western Cape</v>
      </c>
      <c r="F2714" t="str">
        <f>_xlfn.XLOOKUP(tblSales[[#This Row],[Store ID]],tblStores[Store ID],tblStores[Manager])</f>
        <v>Jason King</v>
      </c>
      <c r="G2714" t="str">
        <f>_xlfn.XLOOKUP(tblSales[[#This Row],[Category ID]],tblCategories[Category ID],tblCategories[Category])</f>
        <v>Menswear</v>
      </c>
      <c r="H2714">
        <v>54984</v>
      </c>
      <c r="I2714">
        <v>58111</v>
      </c>
      <c r="J2714">
        <v>174</v>
      </c>
      <c r="K2714">
        <f>tblSales[[#This Row],[Sales]]-tblSales[[#This Row],[Budget]]</f>
        <v>-3127</v>
      </c>
      <c r="L2714" s="3">
        <f>(tblSales[[#This Row],[Sales]]-tblSales[[#This Row],[Budget]])/tblSales[[#This Row],[Budget]]</f>
        <v>-5.3810810345717677E-2</v>
      </c>
      <c r="M2714" s="2">
        <f>tblSales[[#This Row],[Sales]]/tblSales[[#This Row],[Transactions]]</f>
        <v>316</v>
      </c>
    </row>
    <row r="2715" spans="1:13" x14ac:dyDescent="0.25">
      <c r="A2715" s="1">
        <v>46158</v>
      </c>
      <c r="B2715" t="s">
        <v>24</v>
      </c>
      <c r="C2715" t="s">
        <v>7</v>
      </c>
      <c r="D2715" t="str">
        <f>_xlfn.XLOOKUP(tblSales[[#This Row],[Store ID]],tblStores[Store ID],tblStores[Store Name])</f>
        <v>George</v>
      </c>
      <c r="E2715" t="str">
        <f>_xlfn.XLOOKUP(tblSales[[#This Row],[Store ID]],tblStores[Store ID],tblStores[Province])</f>
        <v>Western Cape</v>
      </c>
      <c r="F2715" t="str">
        <f>_xlfn.XLOOKUP(tblSales[[#This Row],[Store ID]],tblStores[Store ID],tblStores[Manager])</f>
        <v>Chloe Hill</v>
      </c>
      <c r="G2715" t="str">
        <f>_xlfn.XLOOKUP(tblSales[[#This Row],[Category ID]],tblCategories[Category ID],tblCategories[Category])</f>
        <v>Menswear</v>
      </c>
      <c r="H2715">
        <v>8080</v>
      </c>
      <c r="I2715">
        <v>7479</v>
      </c>
      <c r="J2715">
        <v>40</v>
      </c>
      <c r="K2715">
        <f>tblSales[[#This Row],[Sales]]-tblSales[[#This Row],[Budget]]</f>
        <v>601</v>
      </c>
      <c r="L2715" s="3">
        <f>(tblSales[[#This Row],[Sales]]-tblSales[[#This Row],[Budget]])/tblSales[[#This Row],[Budget]]</f>
        <v>8.035833667602621E-2</v>
      </c>
      <c r="M2715" s="2">
        <f>tblSales[[#This Row],[Sales]]/tblSales[[#This Row],[Transactions]]</f>
        <v>202</v>
      </c>
    </row>
    <row r="2716" spans="1:13" x14ac:dyDescent="0.25">
      <c r="A2716" s="1">
        <v>46158</v>
      </c>
      <c r="B2716" t="s">
        <v>25</v>
      </c>
      <c r="C2716" t="s">
        <v>22</v>
      </c>
      <c r="D2716" t="str">
        <f>_xlfn.XLOOKUP(tblSales[[#This Row],[Store ID]],tblStores[Store ID],tblStores[Store Name])</f>
        <v>Paarl</v>
      </c>
      <c r="E2716" t="str">
        <f>_xlfn.XLOOKUP(tblSales[[#This Row],[Store ID]],tblStores[Store ID],tblStores[Province])</f>
        <v>Western Cape</v>
      </c>
      <c r="F2716" t="str">
        <f>_xlfn.XLOOKUP(tblSales[[#This Row],[Store ID]],tblStores[Store ID],tblStores[Manager])</f>
        <v>Andrew Lee</v>
      </c>
      <c r="G2716" t="str">
        <f>_xlfn.XLOOKUP(tblSales[[#This Row],[Category ID]],tblCategories[Category ID],tblCategories[Category])</f>
        <v>Kids</v>
      </c>
      <c r="H2716">
        <v>26901</v>
      </c>
      <c r="I2716">
        <v>30172</v>
      </c>
      <c r="J2716">
        <v>61</v>
      </c>
      <c r="K2716">
        <f>tblSales[[#This Row],[Sales]]-tblSales[[#This Row],[Budget]]</f>
        <v>-3271</v>
      </c>
      <c r="L2716" s="3">
        <f>(tblSales[[#This Row],[Sales]]-tblSales[[#This Row],[Budget]])/tblSales[[#This Row],[Budget]]</f>
        <v>-0.10841177250430863</v>
      </c>
      <c r="M2716" s="2">
        <f>tblSales[[#This Row],[Sales]]/tblSales[[#This Row],[Transactions]]</f>
        <v>441</v>
      </c>
    </row>
    <row r="2717" spans="1:13" x14ac:dyDescent="0.25">
      <c r="A2717" s="1">
        <v>46158</v>
      </c>
      <c r="B2717" t="s">
        <v>26</v>
      </c>
      <c r="C2717" t="s">
        <v>11</v>
      </c>
      <c r="D2717" t="str">
        <f>_xlfn.XLOOKUP(tblSales[[#This Row],[Store ID]],tblStores[Store ID],tblStores[Store Name])</f>
        <v>Gqeberha</v>
      </c>
      <c r="E2717" t="str">
        <f>_xlfn.XLOOKUP(tblSales[[#This Row],[Store ID]],tblStores[Store ID],tblStores[Province])</f>
        <v>Eastern Cape</v>
      </c>
      <c r="F2717" t="str">
        <f>_xlfn.XLOOKUP(tblSales[[#This Row],[Store ID]],tblStores[Store ID],tblStores[Manager])</f>
        <v>Emma Baker</v>
      </c>
      <c r="G2717" t="str">
        <f>_xlfn.XLOOKUP(tblSales[[#This Row],[Category ID]],tblCategories[Category ID],tblCategories[Category])</f>
        <v>Footwear</v>
      </c>
      <c r="H2717">
        <v>12780</v>
      </c>
      <c r="I2717">
        <v>14416</v>
      </c>
      <c r="J2717">
        <v>71</v>
      </c>
      <c r="K2717">
        <f>tblSales[[#This Row],[Sales]]-tblSales[[#This Row],[Budget]]</f>
        <v>-1636</v>
      </c>
      <c r="L2717" s="3">
        <f>(tblSales[[#This Row],[Sales]]-tblSales[[#This Row],[Budget]])/tblSales[[#This Row],[Budget]]</f>
        <v>-0.11348501664816871</v>
      </c>
      <c r="M2717" s="2">
        <f>tblSales[[#This Row],[Sales]]/tblSales[[#This Row],[Transactions]]</f>
        <v>180</v>
      </c>
    </row>
    <row r="2718" spans="1:13" x14ac:dyDescent="0.25">
      <c r="A2718" s="1">
        <v>46158</v>
      </c>
      <c r="B2718" t="s">
        <v>27</v>
      </c>
      <c r="C2718" t="s">
        <v>7</v>
      </c>
      <c r="D2718" t="str">
        <f>_xlfn.XLOOKUP(tblSales[[#This Row],[Store ID]],tblStores[Store ID],tblStores[Store Name])</f>
        <v>East London</v>
      </c>
      <c r="E2718" t="str">
        <f>_xlfn.XLOOKUP(tblSales[[#This Row],[Store ID]],tblStores[Store ID],tblStores[Province])</f>
        <v>Eastern Cape</v>
      </c>
      <c r="F2718" t="str">
        <f>_xlfn.XLOOKUP(tblSales[[#This Row],[Store ID]],tblStores[Store ID],tblStores[Manager])</f>
        <v>Daniel Evans</v>
      </c>
      <c r="G2718" t="str">
        <f>_xlfn.XLOOKUP(tblSales[[#This Row],[Category ID]],tblCategories[Category ID],tblCategories[Category])</f>
        <v>Menswear</v>
      </c>
      <c r="H2718">
        <v>37014</v>
      </c>
      <c r="I2718">
        <v>36878</v>
      </c>
      <c r="J2718">
        <v>93</v>
      </c>
      <c r="K2718">
        <f>tblSales[[#This Row],[Sales]]-tblSales[[#This Row],[Budget]]</f>
        <v>136</v>
      </c>
      <c r="L2718" s="3">
        <f>(tblSales[[#This Row],[Sales]]-tblSales[[#This Row],[Budget]])/tblSales[[#This Row],[Budget]]</f>
        <v>3.6878355659200608E-3</v>
      </c>
      <c r="M2718" s="2">
        <f>tblSales[[#This Row],[Sales]]/tblSales[[#This Row],[Transactions]]</f>
        <v>398</v>
      </c>
    </row>
    <row r="2719" spans="1:13" x14ac:dyDescent="0.25">
      <c r="A2719" s="1">
        <v>46158</v>
      </c>
      <c r="B2719" t="s">
        <v>28</v>
      </c>
      <c r="C2719" t="s">
        <v>22</v>
      </c>
      <c r="D2719" t="str">
        <f>_xlfn.XLOOKUP(tblSales[[#This Row],[Store ID]],tblStores[Store ID],tblStores[Store Name])</f>
        <v>Bloemfontein</v>
      </c>
      <c r="E2719" t="str">
        <f>_xlfn.XLOOKUP(tblSales[[#This Row],[Store ID]],tblStores[Store ID],tblStores[Province])</f>
        <v>Free State</v>
      </c>
      <c r="F2719" t="str">
        <f>_xlfn.XLOOKUP(tblSales[[#This Row],[Store ID]],tblStores[Store ID],tblStores[Manager])</f>
        <v>Rachel Moore</v>
      </c>
      <c r="G2719" t="str">
        <f>_xlfn.XLOOKUP(tblSales[[#This Row],[Category ID]],tblCategories[Category ID],tblCategories[Category])</f>
        <v>Kids</v>
      </c>
      <c r="H2719">
        <v>65852</v>
      </c>
      <c r="I2719">
        <v>62985</v>
      </c>
      <c r="J2719">
        <v>202</v>
      </c>
      <c r="K2719">
        <f>tblSales[[#This Row],[Sales]]-tblSales[[#This Row],[Budget]]</f>
        <v>2867</v>
      </c>
      <c r="L2719" s="3">
        <f>(tblSales[[#This Row],[Sales]]-tblSales[[#This Row],[Budget]])/tblSales[[#This Row],[Budget]]</f>
        <v>4.5518774311343969E-2</v>
      </c>
      <c r="M2719" s="2">
        <f>tblSales[[#This Row],[Sales]]/tblSales[[#This Row],[Transactions]]</f>
        <v>326</v>
      </c>
    </row>
    <row r="2720" spans="1:13" x14ac:dyDescent="0.25">
      <c r="A2720" s="1">
        <v>46158</v>
      </c>
      <c r="B2720" t="s">
        <v>29</v>
      </c>
      <c r="C2720" t="s">
        <v>11</v>
      </c>
      <c r="D2720" t="str">
        <f>_xlfn.XLOOKUP(tblSales[[#This Row],[Store ID]],tblStores[Store ID],tblStores[Store Name])</f>
        <v>Polokwane</v>
      </c>
      <c r="E2720" t="str">
        <f>_xlfn.XLOOKUP(tblSales[[#This Row],[Store ID]],tblStores[Store ID],tblStores[Province])</f>
        <v>Limpopo</v>
      </c>
      <c r="F2720" t="str">
        <f>_xlfn.XLOOKUP(tblSales[[#This Row],[Store ID]],tblStores[Store ID],tblStores[Manager])</f>
        <v>Kevin Harris</v>
      </c>
      <c r="G2720" t="str">
        <f>_xlfn.XLOOKUP(tblSales[[#This Row],[Category ID]],tblCategories[Category ID],tblCategories[Category])</f>
        <v>Footwear</v>
      </c>
      <c r="H2720">
        <v>49770</v>
      </c>
      <c r="I2720">
        <v>50912</v>
      </c>
      <c r="J2720">
        <v>210</v>
      </c>
      <c r="K2720">
        <f>tblSales[[#This Row],[Sales]]-tblSales[[#This Row],[Budget]]</f>
        <v>-1142</v>
      </c>
      <c r="L2720" s="3">
        <f>(tblSales[[#This Row],[Sales]]-tblSales[[#This Row],[Budget]])/tblSales[[#This Row],[Budget]]</f>
        <v>-2.2430861093651791E-2</v>
      </c>
      <c r="M2720" s="2">
        <f>tblSales[[#This Row],[Sales]]/tblSales[[#This Row],[Transactions]]</f>
        <v>237</v>
      </c>
    </row>
    <row r="2721" spans="1:13" x14ac:dyDescent="0.25">
      <c r="A2721" s="1">
        <v>46158</v>
      </c>
      <c r="B2721" t="s">
        <v>30</v>
      </c>
      <c r="C2721" t="s">
        <v>7</v>
      </c>
      <c r="D2721" t="str">
        <f>_xlfn.XLOOKUP(tblSales[[#This Row],[Store ID]],tblStores[Store ID],tblStores[Store Name])</f>
        <v>Nelspruit</v>
      </c>
      <c r="E2721" t="str">
        <f>_xlfn.XLOOKUP(tblSales[[#This Row],[Store ID]],tblStores[Store ID],tblStores[Province])</f>
        <v>Mpumalanga</v>
      </c>
      <c r="F2721" t="str">
        <f>_xlfn.XLOOKUP(tblSales[[#This Row],[Store ID]],tblStores[Store ID],tblStores[Manager])</f>
        <v>Olivia Turner</v>
      </c>
      <c r="G2721" t="str">
        <f>_xlfn.XLOOKUP(tblSales[[#This Row],[Category ID]],tblCategories[Category ID],tblCategories[Category])</f>
        <v>Menswear</v>
      </c>
      <c r="H2721">
        <v>21344</v>
      </c>
      <c r="I2721">
        <v>24313</v>
      </c>
      <c r="J2721">
        <v>92</v>
      </c>
      <c r="K2721">
        <f>tblSales[[#This Row],[Sales]]-tblSales[[#This Row],[Budget]]</f>
        <v>-2969</v>
      </c>
      <c r="L2721" s="3">
        <f>(tblSales[[#This Row],[Sales]]-tblSales[[#This Row],[Budget]])/tblSales[[#This Row],[Budget]]</f>
        <v>-0.12211574055032287</v>
      </c>
      <c r="M2721" s="2">
        <f>tblSales[[#This Row],[Sales]]/tblSales[[#This Row],[Transactions]]</f>
        <v>232</v>
      </c>
    </row>
    <row r="2722" spans="1:13" x14ac:dyDescent="0.25">
      <c r="A2722" s="1">
        <v>46159</v>
      </c>
      <c r="B2722" t="s">
        <v>6</v>
      </c>
      <c r="C2722" t="s">
        <v>22</v>
      </c>
      <c r="D2722" t="str">
        <f>_xlfn.XLOOKUP(tblSales[[#This Row],[Store ID]],tblStores[Store ID],tblStores[Store Name])</f>
        <v>Durban CBD</v>
      </c>
      <c r="E2722" t="str">
        <f>_xlfn.XLOOKUP(tblSales[[#This Row],[Store ID]],tblStores[Store ID],tblStores[Province])</f>
        <v>KZN</v>
      </c>
      <c r="F2722" t="str">
        <f>_xlfn.XLOOKUP(tblSales[[#This Row],[Store ID]],tblStores[Store ID],tblStores[Manager])</f>
        <v>Sarah Adams</v>
      </c>
      <c r="G2722" t="str">
        <f>_xlfn.XLOOKUP(tblSales[[#This Row],[Category ID]],tblCategories[Category ID],tblCategories[Category])</f>
        <v>Kids</v>
      </c>
      <c r="H2722">
        <v>27594</v>
      </c>
      <c r="I2722">
        <v>29081</v>
      </c>
      <c r="J2722">
        <v>126</v>
      </c>
      <c r="K2722">
        <f>tblSales[[#This Row],[Sales]]-tblSales[[#This Row],[Budget]]</f>
        <v>-1487</v>
      </c>
      <c r="L2722" s="3">
        <f>(tblSales[[#This Row],[Sales]]-tblSales[[#This Row],[Budget]])/tblSales[[#This Row],[Budget]]</f>
        <v>-5.1133042192496821E-2</v>
      </c>
      <c r="M2722" s="2">
        <f>tblSales[[#This Row],[Sales]]/tblSales[[#This Row],[Transactions]]</f>
        <v>219</v>
      </c>
    </row>
    <row r="2723" spans="1:13" x14ac:dyDescent="0.25">
      <c r="A2723" s="1">
        <v>46159</v>
      </c>
      <c r="B2723" t="s">
        <v>8</v>
      </c>
      <c r="C2723" t="s">
        <v>7</v>
      </c>
      <c r="D2723" t="str">
        <f>_xlfn.XLOOKUP(tblSales[[#This Row],[Store ID]],tblStores[Store ID],tblStores[Store Name])</f>
        <v>Gateway</v>
      </c>
      <c r="E2723" t="str">
        <f>_xlfn.XLOOKUP(tblSales[[#This Row],[Store ID]],tblStores[Store ID],tblStores[Province])</f>
        <v>KZN</v>
      </c>
      <c r="F2723" t="str">
        <f>_xlfn.XLOOKUP(tblSales[[#This Row],[Store ID]],tblStores[Store ID],tblStores[Manager])</f>
        <v>Michael Jones</v>
      </c>
      <c r="G2723" t="str">
        <f>_xlfn.XLOOKUP(tblSales[[#This Row],[Category ID]],tblCategories[Category ID],tblCategories[Category])</f>
        <v>Menswear</v>
      </c>
      <c r="H2723">
        <v>28321</v>
      </c>
      <c r="I2723">
        <v>31829</v>
      </c>
      <c r="J2723">
        <v>127</v>
      </c>
      <c r="K2723">
        <f>tblSales[[#This Row],[Sales]]-tblSales[[#This Row],[Budget]]</f>
        <v>-3508</v>
      </c>
      <c r="L2723" s="3">
        <f>(tblSales[[#This Row],[Sales]]-tblSales[[#This Row],[Budget]])/tblSales[[#This Row],[Budget]]</f>
        <v>-0.11021395582644758</v>
      </c>
      <c r="M2723" s="2">
        <f>tblSales[[#This Row],[Sales]]/tblSales[[#This Row],[Transactions]]</f>
        <v>223</v>
      </c>
    </row>
    <row r="2724" spans="1:13" x14ac:dyDescent="0.25">
      <c r="A2724" s="1">
        <v>46159</v>
      </c>
      <c r="B2724" t="s">
        <v>10</v>
      </c>
      <c r="C2724" t="s">
        <v>19</v>
      </c>
      <c r="D2724" t="str">
        <f>_xlfn.XLOOKUP(tblSales[[#This Row],[Store ID]],tblStores[Store ID],tblStores[Store Name])</f>
        <v>Ballito</v>
      </c>
      <c r="E2724" t="str">
        <f>_xlfn.XLOOKUP(tblSales[[#This Row],[Store ID]],tblStores[Store ID],tblStores[Province])</f>
        <v>KZN</v>
      </c>
      <c r="F2724" t="str">
        <f>_xlfn.XLOOKUP(tblSales[[#This Row],[Store ID]],tblStores[Store ID],tblStores[Manager])</f>
        <v>Linda Smith</v>
      </c>
      <c r="G2724" t="str">
        <f>_xlfn.XLOOKUP(tblSales[[#This Row],[Category ID]],tblCategories[Category ID],tblCategories[Category])</f>
        <v>Accessories</v>
      </c>
      <c r="H2724">
        <v>19783</v>
      </c>
      <c r="I2724">
        <v>19924</v>
      </c>
      <c r="J2724">
        <v>73</v>
      </c>
      <c r="K2724">
        <f>tblSales[[#This Row],[Sales]]-tblSales[[#This Row],[Budget]]</f>
        <v>-141</v>
      </c>
      <c r="L2724" s="3">
        <f>(tblSales[[#This Row],[Sales]]-tblSales[[#This Row],[Budget]])/tblSales[[#This Row],[Budget]]</f>
        <v>-7.0768921903232281E-3</v>
      </c>
      <c r="M2724" s="2">
        <f>tblSales[[#This Row],[Sales]]/tblSales[[#This Row],[Transactions]]</f>
        <v>271</v>
      </c>
    </row>
    <row r="2725" spans="1:13" x14ac:dyDescent="0.25">
      <c r="A2725" s="1">
        <v>46159</v>
      </c>
      <c r="B2725" t="s">
        <v>12</v>
      </c>
      <c r="C2725" t="s">
        <v>22</v>
      </c>
      <c r="D2725" t="str">
        <f>_xlfn.XLOOKUP(tblSales[[#This Row],[Store ID]],tblStores[Store ID],tblStores[Store Name])</f>
        <v>Pietermaritzburg</v>
      </c>
      <c r="E2725" t="str">
        <f>_xlfn.XLOOKUP(tblSales[[#This Row],[Store ID]],tblStores[Store ID],tblStores[Province])</f>
        <v>KZN</v>
      </c>
      <c r="F2725" t="str">
        <f>_xlfn.XLOOKUP(tblSales[[#This Row],[Store ID]],tblStores[Store ID],tblStores[Manager])</f>
        <v>Peter Brown</v>
      </c>
      <c r="G2725" t="str">
        <f>_xlfn.XLOOKUP(tblSales[[#This Row],[Category ID]],tblCategories[Category ID],tblCategories[Category])</f>
        <v>Kids</v>
      </c>
      <c r="H2725">
        <v>51136</v>
      </c>
      <c r="I2725">
        <v>54708</v>
      </c>
      <c r="J2725">
        <v>188</v>
      </c>
      <c r="K2725">
        <f>tblSales[[#This Row],[Sales]]-tblSales[[#This Row],[Budget]]</f>
        <v>-3572</v>
      </c>
      <c r="L2725" s="3">
        <f>(tblSales[[#This Row],[Sales]]-tblSales[[#This Row],[Budget]])/tblSales[[#This Row],[Budget]]</f>
        <v>-6.5292096219931275E-2</v>
      </c>
      <c r="M2725" s="2">
        <f>tblSales[[#This Row],[Sales]]/tblSales[[#This Row],[Transactions]]</f>
        <v>272</v>
      </c>
    </row>
    <row r="2726" spans="1:13" x14ac:dyDescent="0.25">
      <c r="A2726" s="1">
        <v>46159</v>
      </c>
      <c r="B2726" t="s">
        <v>13</v>
      </c>
      <c r="C2726" t="s">
        <v>9</v>
      </c>
      <c r="D2726" t="str">
        <f>_xlfn.XLOOKUP(tblSales[[#This Row],[Store ID]],tblStores[Store ID],tblStores[Store Name])</f>
        <v>Richards Bay</v>
      </c>
      <c r="E2726" t="str">
        <f>_xlfn.XLOOKUP(tblSales[[#This Row],[Store ID]],tblStores[Store ID],tblStores[Province])</f>
        <v>KZN</v>
      </c>
      <c r="F2726" t="str">
        <f>_xlfn.XLOOKUP(tblSales[[#This Row],[Store ID]],tblStores[Store ID],tblStores[Manager])</f>
        <v>David Green</v>
      </c>
      <c r="G2726" t="str">
        <f>_xlfn.XLOOKUP(tblSales[[#This Row],[Category ID]],tblCategories[Category ID],tblCategories[Category])</f>
        <v>Ladieswear</v>
      </c>
      <c r="H2726">
        <v>68470</v>
      </c>
      <c r="I2726">
        <v>72317</v>
      </c>
      <c r="J2726">
        <v>205</v>
      </c>
      <c r="K2726">
        <f>tblSales[[#This Row],[Sales]]-tblSales[[#This Row],[Budget]]</f>
        <v>-3847</v>
      </c>
      <c r="L2726" s="3">
        <f>(tblSales[[#This Row],[Sales]]-tblSales[[#This Row],[Budget]])/tblSales[[#This Row],[Budget]]</f>
        <v>-5.3196343874884193E-2</v>
      </c>
      <c r="M2726" s="2">
        <f>tblSales[[#This Row],[Sales]]/tblSales[[#This Row],[Transactions]]</f>
        <v>334</v>
      </c>
    </row>
    <row r="2727" spans="1:13" x14ac:dyDescent="0.25">
      <c r="A2727" s="1">
        <v>46159</v>
      </c>
      <c r="B2727" t="s">
        <v>14</v>
      </c>
      <c r="C2727" t="s">
        <v>22</v>
      </c>
      <c r="D2727" t="str">
        <f>_xlfn.XLOOKUP(tblSales[[#This Row],[Store ID]],tblStores[Store ID],tblStores[Store Name])</f>
        <v>Sandton</v>
      </c>
      <c r="E2727" t="str">
        <f>_xlfn.XLOOKUP(tblSales[[#This Row],[Store ID]],tblStores[Store ID],tblStores[Province])</f>
        <v>Gauteng</v>
      </c>
      <c r="F2727" t="str">
        <f>_xlfn.XLOOKUP(tblSales[[#This Row],[Store ID]],tblStores[Store ID],tblStores[Manager])</f>
        <v>Karen White</v>
      </c>
      <c r="G2727" t="str">
        <f>_xlfn.XLOOKUP(tblSales[[#This Row],[Category ID]],tblCategories[Category ID],tblCategories[Category])</f>
        <v>Kids</v>
      </c>
      <c r="H2727">
        <v>28892</v>
      </c>
      <c r="I2727">
        <v>27960</v>
      </c>
      <c r="J2727">
        <v>124</v>
      </c>
      <c r="K2727">
        <f>tblSales[[#This Row],[Sales]]-tblSales[[#This Row],[Budget]]</f>
        <v>932</v>
      </c>
      <c r="L2727" s="3">
        <f>(tblSales[[#This Row],[Sales]]-tblSales[[#This Row],[Budget]])/tblSales[[#This Row],[Budget]]</f>
        <v>3.3333333333333333E-2</v>
      </c>
      <c r="M2727" s="2">
        <f>tblSales[[#This Row],[Sales]]/tblSales[[#This Row],[Transactions]]</f>
        <v>233</v>
      </c>
    </row>
    <row r="2728" spans="1:13" x14ac:dyDescent="0.25">
      <c r="A2728" s="1">
        <v>46159</v>
      </c>
      <c r="B2728" t="s">
        <v>15</v>
      </c>
      <c r="C2728" t="s">
        <v>11</v>
      </c>
      <c r="D2728" t="str">
        <f>_xlfn.XLOOKUP(tblSales[[#This Row],[Store ID]],tblStores[Store ID],tblStores[Store Name])</f>
        <v>Rosebank</v>
      </c>
      <c r="E2728" t="str">
        <f>_xlfn.XLOOKUP(tblSales[[#This Row],[Store ID]],tblStores[Store ID],tblStores[Province])</f>
        <v>Gauteng</v>
      </c>
      <c r="F2728" t="str">
        <f>_xlfn.XLOOKUP(tblSales[[#This Row],[Store ID]],tblStores[Store ID],tblStores[Manager])</f>
        <v>James Taylor</v>
      </c>
      <c r="G2728" t="str">
        <f>_xlfn.XLOOKUP(tblSales[[#This Row],[Category ID]],tblCategories[Category ID],tblCategories[Category])</f>
        <v>Footwear</v>
      </c>
      <c r="H2728">
        <v>75072</v>
      </c>
      <c r="I2728">
        <v>85073</v>
      </c>
      <c r="J2728">
        <v>204</v>
      </c>
      <c r="K2728">
        <f>tblSales[[#This Row],[Sales]]-tblSales[[#This Row],[Budget]]</f>
        <v>-10001</v>
      </c>
      <c r="L2728" s="3">
        <f>(tblSales[[#This Row],[Sales]]-tblSales[[#This Row],[Budget]])/tblSales[[#This Row],[Budget]]</f>
        <v>-0.11755786207139751</v>
      </c>
      <c r="M2728" s="2">
        <f>tblSales[[#This Row],[Sales]]/tblSales[[#This Row],[Transactions]]</f>
        <v>368</v>
      </c>
    </row>
    <row r="2729" spans="1:13" x14ac:dyDescent="0.25">
      <c r="A2729" s="1">
        <v>46159</v>
      </c>
      <c r="B2729" t="s">
        <v>16</v>
      </c>
      <c r="C2729" t="s">
        <v>7</v>
      </c>
      <c r="D2729" t="str">
        <f>_xlfn.XLOOKUP(tblSales[[#This Row],[Store ID]],tblStores[Store ID],tblStores[Store Name])</f>
        <v>Pretoria</v>
      </c>
      <c r="E2729" t="str">
        <f>_xlfn.XLOOKUP(tblSales[[#This Row],[Store ID]],tblStores[Store ID],tblStores[Province])</f>
        <v>Gauteng</v>
      </c>
      <c r="F2729" t="str">
        <f>_xlfn.XLOOKUP(tblSales[[#This Row],[Store ID]],tblStores[Store ID],tblStores[Manager])</f>
        <v>Susan Clark</v>
      </c>
      <c r="G2729" t="str">
        <f>_xlfn.XLOOKUP(tblSales[[#This Row],[Category ID]],tblCategories[Category ID],tblCategories[Category])</f>
        <v>Menswear</v>
      </c>
      <c r="H2729">
        <v>8960</v>
      </c>
      <c r="I2729">
        <v>9806</v>
      </c>
      <c r="J2729">
        <v>35</v>
      </c>
      <c r="K2729">
        <f>tblSales[[#This Row],[Sales]]-tblSales[[#This Row],[Budget]]</f>
        <v>-846</v>
      </c>
      <c r="L2729" s="3">
        <f>(tblSales[[#This Row],[Sales]]-tblSales[[#This Row],[Budget]])/tblSales[[#This Row],[Budget]]</f>
        <v>-8.6273709973485616E-2</v>
      </c>
      <c r="M2729" s="2">
        <f>tblSales[[#This Row],[Sales]]/tblSales[[#This Row],[Transactions]]</f>
        <v>256</v>
      </c>
    </row>
    <row r="2730" spans="1:13" x14ac:dyDescent="0.25">
      <c r="A2730" s="1">
        <v>46159</v>
      </c>
      <c r="B2730" t="s">
        <v>17</v>
      </c>
      <c r="C2730" t="s">
        <v>9</v>
      </c>
      <c r="D2730" t="str">
        <f>_xlfn.XLOOKUP(tblSales[[#This Row],[Store ID]],tblStores[Store ID],tblStores[Store Name])</f>
        <v>Centurion</v>
      </c>
      <c r="E2730" t="str">
        <f>_xlfn.XLOOKUP(tblSales[[#This Row],[Store ID]],tblStores[Store ID],tblStores[Province])</f>
        <v>Gauteng</v>
      </c>
      <c r="F2730" t="str">
        <f>_xlfn.XLOOKUP(tblSales[[#This Row],[Store ID]],tblStores[Store ID],tblStores[Manager])</f>
        <v>Mark Wilson</v>
      </c>
      <c r="G2730" t="str">
        <f>_xlfn.XLOOKUP(tblSales[[#This Row],[Category ID]],tblCategories[Category ID],tblCategories[Category])</f>
        <v>Ladieswear</v>
      </c>
      <c r="H2730">
        <v>29580</v>
      </c>
      <c r="I2730">
        <v>29510</v>
      </c>
      <c r="J2730">
        <v>116</v>
      </c>
      <c r="K2730">
        <f>tblSales[[#This Row],[Sales]]-tblSales[[#This Row],[Budget]]</f>
        <v>70</v>
      </c>
      <c r="L2730" s="3">
        <f>(tblSales[[#This Row],[Sales]]-tblSales[[#This Row],[Budget]])/tblSales[[#This Row],[Budget]]</f>
        <v>2.3720772619451034E-3</v>
      </c>
      <c r="M2730" s="2">
        <f>tblSales[[#This Row],[Sales]]/tblSales[[#This Row],[Transactions]]</f>
        <v>255</v>
      </c>
    </row>
    <row r="2731" spans="1:13" x14ac:dyDescent="0.25">
      <c r="A2731" s="1">
        <v>46159</v>
      </c>
      <c r="B2731" t="s">
        <v>18</v>
      </c>
      <c r="C2731" t="s">
        <v>11</v>
      </c>
      <c r="D2731" t="str">
        <f>_xlfn.XLOOKUP(tblSales[[#This Row],[Store ID]],tblStores[Store ID],tblStores[Store Name])</f>
        <v>East Rand</v>
      </c>
      <c r="E2731" t="str">
        <f>_xlfn.XLOOKUP(tblSales[[#This Row],[Store ID]],tblStores[Store ID],tblStores[Province])</f>
        <v>Gauteng</v>
      </c>
      <c r="F2731" t="str">
        <f>_xlfn.XLOOKUP(tblSales[[#This Row],[Store ID]],tblStores[Store ID],tblStores[Manager])</f>
        <v>Lisa Young</v>
      </c>
      <c r="G2731" t="str">
        <f>_xlfn.XLOOKUP(tblSales[[#This Row],[Category ID]],tblCategories[Category ID],tblCategories[Category])</f>
        <v>Footwear</v>
      </c>
      <c r="H2731">
        <v>12324</v>
      </c>
      <c r="I2731">
        <v>12871</v>
      </c>
      <c r="J2731">
        <v>52</v>
      </c>
      <c r="K2731">
        <f>tblSales[[#This Row],[Sales]]-tblSales[[#This Row],[Budget]]</f>
        <v>-547</v>
      </c>
      <c r="L2731" s="3">
        <f>(tblSales[[#This Row],[Sales]]-tblSales[[#This Row],[Budget]])/tblSales[[#This Row],[Budget]]</f>
        <v>-4.2498640354284828E-2</v>
      </c>
      <c r="M2731" s="2">
        <f>tblSales[[#This Row],[Sales]]/tblSales[[#This Row],[Transactions]]</f>
        <v>237</v>
      </c>
    </row>
    <row r="2732" spans="1:13" x14ac:dyDescent="0.25">
      <c r="A2732" s="1">
        <v>46159</v>
      </c>
      <c r="B2732" t="s">
        <v>20</v>
      </c>
      <c r="C2732" t="s">
        <v>22</v>
      </c>
      <c r="D2732" t="str">
        <f>_xlfn.XLOOKUP(tblSales[[#This Row],[Store ID]],tblStores[Store ID],tblStores[Store Name])</f>
        <v>Cape Town CBD</v>
      </c>
      <c r="E2732" t="str">
        <f>_xlfn.XLOOKUP(tblSales[[#This Row],[Store ID]],tblStores[Store ID],tblStores[Province])</f>
        <v>Western Cape</v>
      </c>
      <c r="F2732" t="str">
        <f>_xlfn.XLOOKUP(tblSales[[#This Row],[Store ID]],tblStores[Store ID],tblStores[Manager])</f>
        <v>Brian Hall</v>
      </c>
      <c r="G2732" t="str">
        <f>_xlfn.XLOOKUP(tblSales[[#This Row],[Category ID]],tblCategories[Category ID],tblCategories[Category])</f>
        <v>Kids</v>
      </c>
      <c r="H2732">
        <v>16272</v>
      </c>
      <c r="I2732">
        <v>15958</v>
      </c>
      <c r="J2732">
        <v>72</v>
      </c>
      <c r="K2732">
        <f>tblSales[[#This Row],[Sales]]-tblSales[[#This Row],[Budget]]</f>
        <v>314</v>
      </c>
      <c r="L2732" s="3">
        <f>(tblSales[[#This Row],[Sales]]-tblSales[[#This Row],[Budget]])/tblSales[[#This Row],[Budget]]</f>
        <v>1.9676651209424741E-2</v>
      </c>
      <c r="M2732" s="2">
        <f>tblSales[[#This Row],[Sales]]/tblSales[[#This Row],[Transactions]]</f>
        <v>226</v>
      </c>
    </row>
    <row r="2733" spans="1:13" x14ac:dyDescent="0.25">
      <c r="A2733" s="1">
        <v>46159</v>
      </c>
      <c r="B2733" t="s">
        <v>21</v>
      </c>
      <c r="C2733" t="s">
        <v>9</v>
      </c>
      <c r="D2733" t="str">
        <f>_xlfn.XLOOKUP(tblSales[[#This Row],[Store ID]],tblStores[Store ID],tblStores[Store Name])</f>
        <v>Canal Walk</v>
      </c>
      <c r="E2733" t="str">
        <f>_xlfn.XLOOKUP(tblSales[[#This Row],[Store ID]],tblStores[Store ID],tblStores[Province])</f>
        <v>Western Cape</v>
      </c>
      <c r="F2733" t="str">
        <f>_xlfn.XLOOKUP(tblSales[[#This Row],[Store ID]],tblStores[Store ID],tblStores[Manager])</f>
        <v>Megan Scott</v>
      </c>
      <c r="G2733" t="str">
        <f>_xlfn.XLOOKUP(tblSales[[#This Row],[Category ID]],tblCategories[Category ID],tblCategories[Category])</f>
        <v>Ladieswear</v>
      </c>
      <c r="H2733">
        <v>30537</v>
      </c>
      <c r="I2733">
        <v>30175</v>
      </c>
      <c r="J2733">
        <v>81</v>
      </c>
      <c r="K2733">
        <f>tblSales[[#This Row],[Sales]]-tblSales[[#This Row],[Budget]]</f>
        <v>362</v>
      </c>
      <c r="L2733" s="3">
        <f>(tblSales[[#This Row],[Sales]]-tblSales[[#This Row],[Budget]])/tblSales[[#This Row],[Budget]]</f>
        <v>1.1996685998342999E-2</v>
      </c>
      <c r="M2733" s="2">
        <f>tblSales[[#This Row],[Sales]]/tblSales[[#This Row],[Transactions]]</f>
        <v>377</v>
      </c>
    </row>
    <row r="2734" spans="1:13" x14ac:dyDescent="0.25">
      <c r="A2734" s="1">
        <v>46159</v>
      </c>
      <c r="B2734" t="s">
        <v>23</v>
      </c>
      <c r="C2734" t="s">
        <v>11</v>
      </c>
      <c r="D2734" t="str">
        <f>_xlfn.XLOOKUP(tblSales[[#This Row],[Store ID]],tblStores[Store ID],tblStores[Store Name])</f>
        <v>Stellenbosch</v>
      </c>
      <c r="E2734" t="str">
        <f>_xlfn.XLOOKUP(tblSales[[#This Row],[Store ID]],tblStores[Store ID],tblStores[Province])</f>
        <v>Western Cape</v>
      </c>
      <c r="F2734" t="str">
        <f>_xlfn.XLOOKUP(tblSales[[#This Row],[Store ID]],tblStores[Store ID],tblStores[Manager])</f>
        <v>Jason King</v>
      </c>
      <c r="G2734" t="str">
        <f>_xlfn.XLOOKUP(tblSales[[#This Row],[Category ID]],tblCategories[Category ID],tblCategories[Category])</f>
        <v>Footwear</v>
      </c>
      <c r="H2734">
        <v>60918</v>
      </c>
      <c r="I2734">
        <v>65386</v>
      </c>
      <c r="J2734">
        <v>143</v>
      </c>
      <c r="K2734">
        <f>tblSales[[#This Row],[Sales]]-tblSales[[#This Row],[Budget]]</f>
        <v>-4468</v>
      </c>
      <c r="L2734" s="3">
        <f>(tblSales[[#This Row],[Sales]]-tblSales[[#This Row],[Budget]])/tblSales[[#This Row],[Budget]]</f>
        <v>-6.8332670602269593E-2</v>
      </c>
      <c r="M2734" s="2">
        <f>tblSales[[#This Row],[Sales]]/tblSales[[#This Row],[Transactions]]</f>
        <v>426</v>
      </c>
    </row>
    <row r="2735" spans="1:13" x14ac:dyDescent="0.25">
      <c r="A2735" s="1">
        <v>46159</v>
      </c>
      <c r="B2735" t="s">
        <v>24</v>
      </c>
      <c r="C2735" t="s">
        <v>11</v>
      </c>
      <c r="D2735" t="str">
        <f>_xlfn.XLOOKUP(tblSales[[#This Row],[Store ID]],tblStores[Store ID],tblStores[Store Name])</f>
        <v>George</v>
      </c>
      <c r="E2735" t="str">
        <f>_xlfn.XLOOKUP(tblSales[[#This Row],[Store ID]],tblStores[Store ID],tblStores[Province])</f>
        <v>Western Cape</v>
      </c>
      <c r="F2735" t="str">
        <f>_xlfn.XLOOKUP(tblSales[[#This Row],[Store ID]],tblStores[Store ID],tblStores[Manager])</f>
        <v>Chloe Hill</v>
      </c>
      <c r="G2735" t="str">
        <f>_xlfn.XLOOKUP(tblSales[[#This Row],[Category ID]],tblCategories[Category ID],tblCategories[Category])</f>
        <v>Footwear</v>
      </c>
      <c r="H2735">
        <v>95445</v>
      </c>
      <c r="I2735">
        <v>93857</v>
      </c>
      <c r="J2735">
        <v>189</v>
      </c>
      <c r="K2735">
        <f>tblSales[[#This Row],[Sales]]-tblSales[[#This Row],[Budget]]</f>
        <v>1588</v>
      </c>
      <c r="L2735" s="3">
        <f>(tblSales[[#This Row],[Sales]]-tblSales[[#This Row],[Budget]])/tblSales[[#This Row],[Budget]]</f>
        <v>1.6919356041637811E-2</v>
      </c>
      <c r="M2735" s="2">
        <f>tblSales[[#This Row],[Sales]]/tblSales[[#This Row],[Transactions]]</f>
        <v>505</v>
      </c>
    </row>
    <row r="2736" spans="1:13" x14ac:dyDescent="0.25">
      <c r="A2736" s="1">
        <v>46159</v>
      </c>
      <c r="B2736" t="s">
        <v>25</v>
      </c>
      <c r="C2736" t="s">
        <v>9</v>
      </c>
      <c r="D2736" t="str">
        <f>_xlfn.XLOOKUP(tblSales[[#This Row],[Store ID]],tblStores[Store ID],tblStores[Store Name])</f>
        <v>Paarl</v>
      </c>
      <c r="E2736" t="str">
        <f>_xlfn.XLOOKUP(tblSales[[#This Row],[Store ID]],tblStores[Store ID],tblStores[Province])</f>
        <v>Western Cape</v>
      </c>
      <c r="F2736" t="str">
        <f>_xlfn.XLOOKUP(tblSales[[#This Row],[Store ID]],tblStores[Store ID],tblStores[Manager])</f>
        <v>Andrew Lee</v>
      </c>
      <c r="G2736" t="str">
        <f>_xlfn.XLOOKUP(tblSales[[#This Row],[Category ID]],tblCategories[Category ID],tblCategories[Category])</f>
        <v>Ladieswear</v>
      </c>
      <c r="H2736">
        <v>52402</v>
      </c>
      <c r="I2736">
        <v>54358</v>
      </c>
      <c r="J2736">
        <v>133</v>
      </c>
      <c r="K2736">
        <f>tblSales[[#This Row],[Sales]]-tblSales[[#This Row],[Budget]]</f>
        <v>-1956</v>
      </c>
      <c r="L2736" s="3">
        <f>(tblSales[[#This Row],[Sales]]-tblSales[[#This Row],[Budget]])/tblSales[[#This Row],[Budget]]</f>
        <v>-3.5983663858125757E-2</v>
      </c>
      <c r="M2736" s="2">
        <f>tblSales[[#This Row],[Sales]]/tblSales[[#This Row],[Transactions]]</f>
        <v>394</v>
      </c>
    </row>
    <row r="2737" spans="1:13" x14ac:dyDescent="0.25">
      <c r="A2737" s="1">
        <v>46159</v>
      </c>
      <c r="B2737" t="s">
        <v>26</v>
      </c>
      <c r="C2737" t="s">
        <v>19</v>
      </c>
      <c r="D2737" t="str">
        <f>_xlfn.XLOOKUP(tblSales[[#This Row],[Store ID]],tblStores[Store ID],tblStores[Store Name])</f>
        <v>Gqeberha</v>
      </c>
      <c r="E2737" t="str">
        <f>_xlfn.XLOOKUP(tblSales[[#This Row],[Store ID]],tblStores[Store ID],tblStores[Province])</f>
        <v>Eastern Cape</v>
      </c>
      <c r="F2737" t="str">
        <f>_xlfn.XLOOKUP(tblSales[[#This Row],[Store ID]],tblStores[Store ID],tblStores[Manager])</f>
        <v>Emma Baker</v>
      </c>
      <c r="G2737" t="str">
        <f>_xlfn.XLOOKUP(tblSales[[#This Row],[Category ID]],tblCategories[Category ID],tblCategories[Category])</f>
        <v>Accessories</v>
      </c>
      <c r="H2737">
        <v>73872</v>
      </c>
      <c r="I2737">
        <v>76318</v>
      </c>
      <c r="J2737">
        <v>171</v>
      </c>
      <c r="K2737">
        <f>tblSales[[#This Row],[Sales]]-tblSales[[#This Row],[Budget]]</f>
        <v>-2446</v>
      </c>
      <c r="L2737" s="3">
        <f>(tblSales[[#This Row],[Sales]]-tblSales[[#This Row],[Budget]])/tblSales[[#This Row],[Budget]]</f>
        <v>-3.205010613485678E-2</v>
      </c>
      <c r="M2737" s="2">
        <f>tblSales[[#This Row],[Sales]]/tblSales[[#This Row],[Transactions]]</f>
        <v>432</v>
      </c>
    </row>
    <row r="2738" spans="1:13" x14ac:dyDescent="0.25">
      <c r="A2738" s="1">
        <v>46159</v>
      </c>
      <c r="B2738" t="s">
        <v>27</v>
      </c>
      <c r="C2738" t="s">
        <v>9</v>
      </c>
      <c r="D2738" t="str">
        <f>_xlfn.XLOOKUP(tblSales[[#This Row],[Store ID]],tblStores[Store ID],tblStores[Store Name])</f>
        <v>East London</v>
      </c>
      <c r="E2738" t="str">
        <f>_xlfn.XLOOKUP(tblSales[[#This Row],[Store ID]],tblStores[Store ID],tblStores[Province])</f>
        <v>Eastern Cape</v>
      </c>
      <c r="F2738" t="str">
        <f>_xlfn.XLOOKUP(tblSales[[#This Row],[Store ID]],tblStores[Store ID],tblStores[Manager])</f>
        <v>Daniel Evans</v>
      </c>
      <c r="G2738" t="str">
        <f>_xlfn.XLOOKUP(tblSales[[#This Row],[Category ID]],tblCategories[Category ID],tblCategories[Category])</f>
        <v>Ladieswear</v>
      </c>
      <c r="H2738">
        <v>29526</v>
      </c>
      <c r="I2738">
        <v>30861</v>
      </c>
      <c r="J2738">
        <v>133</v>
      </c>
      <c r="K2738">
        <f>tblSales[[#This Row],[Sales]]-tblSales[[#This Row],[Budget]]</f>
        <v>-1335</v>
      </c>
      <c r="L2738" s="3">
        <f>(tblSales[[#This Row],[Sales]]-tblSales[[#This Row],[Budget]])/tblSales[[#This Row],[Budget]]</f>
        <v>-4.3258481578691554E-2</v>
      </c>
      <c r="M2738" s="2">
        <f>tblSales[[#This Row],[Sales]]/tblSales[[#This Row],[Transactions]]</f>
        <v>222</v>
      </c>
    </row>
    <row r="2739" spans="1:13" x14ac:dyDescent="0.25">
      <c r="A2739" s="1">
        <v>46159</v>
      </c>
      <c r="B2739" t="s">
        <v>28</v>
      </c>
      <c r="C2739" t="s">
        <v>11</v>
      </c>
      <c r="D2739" t="str">
        <f>_xlfn.XLOOKUP(tblSales[[#This Row],[Store ID]],tblStores[Store ID],tblStores[Store Name])</f>
        <v>Bloemfontein</v>
      </c>
      <c r="E2739" t="str">
        <f>_xlfn.XLOOKUP(tblSales[[#This Row],[Store ID]],tblStores[Store ID],tblStores[Province])</f>
        <v>Free State</v>
      </c>
      <c r="F2739" t="str">
        <f>_xlfn.XLOOKUP(tblSales[[#This Row],[Store ID]],tblStores[Store ID],tblStores[Manager])</f>
        <v>Rachel Moore</v>
      </c>
      <c r="G2739" t="str">
        <f>_xlfn.XLOOKUP(tblSales[[#This Row],[Category ID]],tblCategories[Category ID],tblCategories[Category])</f>
        <v>Footwear</v>
      </c>
      <c r="H2739">
        <v>80275</v>
      </c>
      <c r="I2739">
        <v>87832</v>
      </c>
      <c r="J2739">
        <v>169</v>
      </c>
      <c r="K2739">
        <f>tblSales[[#This Row],[Sales]]-tblSales[[#This Row],[Budget]]</f>
        <v>-7557</v>
      </c>
      <c r="L2739" s="3">
        <f>(tblSales[[#This Row],[Sales]]-tblSales[[#This Row],[Budget]])/tblSales[[#This Row],[Budget]]</f>
        <v>-8.6039256762911007E-2</v>
      </c>
      <c r="M2739" s="2">
        <f>tblSales[[#This Row],[Sales]]/tblSales[[#This Row],[Transactions]]</f>
        <v>475</v>
      </c>
    </row>
    <row r="2740" spans="1:13" x14ac:dyDescent="0.25">
      <c r="A2740" s="1">
        <v>46159</v>
      </c>
      <c r="B2740" t="s">
        <v>29</v>
      </c>
      <c r="C2740" t="s">
        <v>9</v>
      </c>
      <c r="D2740" t="str">
        <f>_xlfn.XLOOKUP(tblSales[[#This Row],[Store ID]],tblStores[Store ID],tblStores[Store Name])</f>
        <v>Polokwane</v>
      </c>
      <c r="E2740" t="str">
        <f>_xlfn.XLOOKUP(tblSales[[#This Row],[Store ID]],tblStores[Store ID],tblStores[Province])</f>
        <v>Limpopo</v>
      </c>
      <c r="F2740" t="str">
        <f>_xlfn.XLOOKUP(tblSales[[#This Row],[Store ID]],tblStores[Store ID],tblStores[Manager])</f>
        <v>Kevin Harris</v>
      </c>
      <c r="G2740" t="str">
        <f>_xlfn.XLOOKUP(tblSales[[#This Row],[Category ID]],tblCategories[Category ID],tblCategories[Category])</f>
        <v>Ladieswear</v>
      </c>
      <c r="H2740">
        <v>47936</v>
      </c>
      <c r="I2740">
        <v>45960</v>
      </c>
      <c r="J2740">
        <v>214</v>
      </c>
      <c r="K2740">
        <f>tblSales[[#This Row],[Sales]]-tblSales[[#This Row],[Budget]]</f>
        <v>1976</v>
      </c>
      <c r="L2740" s="3">
        <f>(tblSales[[#This Row],[Sales]]-tblSales[[#This Row],[Budget]])/tblSales[[#This Row],[Budget]]</f>
        <v>4.2993907745865971E-2</v>
      </c>
      <c r="M2740" s="2">
        <f>tblSales[[#This Row],[Sales]]/tblSales[[#This Row],[Transactions]]</f>
        <v>224</v>
      </c>
    </row>
    <row r="2741" spans="1:13" x14ac:dyDescent="0.25">
      <c r="A2741" s="1">
        <v>46159</v>
      </c>
      <c r="B2741" t="s">
        <v>30</v>
      </c>
      <c r="C2741" t="s">
        <v>7</v>
      </c>
      <c r="D2741" t="str">
        <f>_xlfn.XLOOKUP(tblSales[[#This Row],[Store ID]],tblStores[Store ID],tblStores[Store Name])</f>
        <v>Nelspruit</v>
      </c>
      <c r="E2741" t="str">
        <f>_xlfn.XLOOKUP(tblSales[[#This Row],[Store ID]],tblStores[Store ID],tblStores[Province])</f>
        <v>Mpumalanga</v>
      </c>
      <c r="F2741" t="str">
        <f>_xlfn.XLOOKUP(tblSales[[#This Row],[Store ID]],tblStores[Store ID],tblStores[Manager])</f>
        <v>Olivia Turner</v>
      </c>
      <c r="G2741" t="str">
        <f>_xlfn.XLOOKUP(tblSales[[#This Row],[Category ID]],tblCategories[Category ID],tblCategories[Category])</f>
        <v>Menswear</v>
      </c>
      <c r="H2741">
        <v>16356</v>
      </c>
      <c r="I2741">
        <v>16202</v>
      </c>
      <c r="J2741">
        <v>87</v>
      </c>
      <c r="K2741">
        <f>tblSales[[#This Row],[Sales]]-tblSales[[#This Row],[Budget]]</f>
        <v>154</v>
      </c>
      <c r="L2741" s="3">
        <f>(tblSales[[#This Row],[Sales]]-tblSales[[#This Row],[Budget]])/tblSales[[#This Row],[Budget]]</f>
        <v>9.5049993827922476E-3</v>
      </c>
      <c r="M2741" s="2">
        <f>tblSales[[#This Row],[Sales]]/tblSales[[#This Row],[Transactions]]</f>
        <v>188</v>
      </c>
    </row>
    <row r="2742" spans="1:13" x14ac:dyDescent="0.25">
      <c r="A2742" s="1">
        <v>46160</v>
      </c>
      <c r="B2742" t="s">
        <v>6</v>
      </c>
      <c r="C2742" t="s">
        <v>11</v>
      </c>
      <c r="D2742" t="str">
        <f>_xlfn.XLOOKUP(tblSales[[#This Row],[Store ID]],tblStores[Store ID],tblStores[Store Name])</f>
        <v>Durban CBD</v>
      </c>
      <c r="E2742" t="str">
        <f>_xlfn.XLOOKUP(tblSales[[#This Row],[Store ID]],tblStores[Store ID],tblStores[Province])</f>
        <v>KZN</v>
      </c>
      <c r="F2742" t="str">
        <f>_xlfn.XLOOKUP(tblSales[[#This Row],[Store ID]],tblStores[Store ID],tblStores[Manager])</f>
        <v>Sarah Adams</v>
      </c>
      <c r="G2742" t="str">
        <f>_xlfn.XLOOKUP(tblSales[[#This Row],[Category ID]],tblCategories[Category ID],tblCategories[Category])</f>
        <v>Footwear</v>
      </c>
      <c r="H2742">
        <v>16284</v>
      </c>
      <c r="I2742">
        <v>14898</v>
      </c>
      <c r="J2742">
        <v>69</v>
      </c>
      <c r="K2742">
        <f>tblSales[[#This Row],[Sales]]-tblSales[[#This Row],[Budget]]</f>
        <v>1386</v>
      </c>
      <c r="L2742" s="3">
        <f>(tblSales[[#This Row],[Sales]]-tblSales[[#This Row],[Budget]])/tblSales[[#This Row],[Budget]]</f>
        <v>9.3032621828433346E-2</v>
      </c>
      <c r="M2742" s="2">
        <f>tblSales[[#This Row],[Sales]]/tblSales[[#This Row],[Transactions]]</f>
        <v>236</v>
      </c>
    </row>
    <row r="2743" spans="1:13" x14ac:dyDescent="0.25">
      <c r="A2743" s="1">
        <v>46160</v>
      </c>
      <c r="B2743" t="s">
        <v>8</v>
      </c>
      <c r="C2743" t="s">
        <v>22</v>
      </c>
      <c r="D2743" t="str">
        <f>_xlfn.XLOOKUP(tblSales[[#This Row],[Store ID]],tblStores[Store ID],tblStores[Store Name])</f>
        <v>Gateway</v>
      </c>
      <c r="E2743" t="str">
        <f>_xlfn.XLOOKUP(tblSales[[#This Row],[Store ID]],tblStores[Store ID],tblStores[Province])</f>
        <v>KZN</v>
      </c>
      <c r="F2743" t="str">
        <f>_xlfn.XLOOKUP(tblSales[[#This Row],[Store ID]],tblStores[Store ID],tblStores[Manager])</f>
        <v>Michael Jones</v>
      </c>
      <c r="G2743" t="str">
        <f>_xlfn.XLOOKUP(tblSales[[#This Row],[Category ID]],tblCategories[Category ID],tblCategories[Category])</f>
        <v>Kids</v>
      </c>
      <c r="H2743">
        <v>31877</v>
      </c>
      <c r="I2743">
        <v>31037</v>
      </c>
      <c r="J2743">
        <v>127</v>
      </c>
      <c r="K2743">
        <f>tblSales[[#This Row],[Sales]]-tblSales[[#This Row],[Budget]]</f>
        <v>840</v>
      </c>
      <c r="L2743" s="3">
        <f>(tblSales[[#This Row],[Sales]]-tblSales[[#This Row],[Budget]])/tblSales[[#This Row],[Budget]]</f>
        <v>2.7064471437316752E-2</v>
      </c>
      <c r="M2743" s="2">
        <f>tblSales[[#This Row],[Sales]]/tblSales[[#This Row],[Transactions]]</f>
        <v>251</v>
      </c>
    </row>
    <row r="2744" spans="1:13" x14ac:dyDescent="0.25">
      <c r="A2744" s="1">
        <v>46160</v>
      </c>
      <c r="B2744" t="s">
        <v>10</v>
      </c>
      <c r="C2744" t="s">
        <v>9</v>
      </c>
      <c r="D2744" t="str">
        <f>_xlfn.XLOOKUP(tblSales[[#This Row],[Store ID]],tblStores[Store ID],tblStores[Store Name])</f>
        <v>Ballito</v>
      </c>
      <c r="E2744" t="str">
        <f>_xlfn.XLOOKUP(tblSales[[#This Row],[Store ID]],tblStores[Store ID],tblStores[Province])</f>
        <v>KZN</v>
      </c>
      <c r="F2744" t="str">
        <f>_xlfn.XLOOKUP(tblSales[[#This Row],[Store ID]],tblStores[Store ID],tblStores[Manager])</f>
        <v>Linda Smith</v>
      </c>
      <c r="G2744" t="str">
        <f>_xlfn.XLOOKUP(tblSales[[#This Row],[Category ID]],tblCategories[Category ID],tblCategories[Category])</f>
        <v>Ladieswear</v>
      </c>
      <c r="H2744">
        <v>69520</v>
      </c>
      <c r="I2744">
        <v>66782</v>
      </c>
      <c r="J2744">
        <v>176</v>
      </c>
      <c r="K2744">
        <f>tblSales[[#This Row],[Sales]]-tblSales[[#This Row],[Budget]]</f>
        <v>2738</v>
      </c>
      <c r="L2744" s="3">
        <f>(tblSales[[#This Row],[Sales]]-tblSales[[#This Row],[Budget]])/tblSales[[#This Row],[Budget]]</f>
        <v>4.0999071606121408E-2</v>
      </c>
      <c r="M2744" s="2">
        <f>tblSales[[#This Row],[Sales]]/tblSales[[#This Row],[Transactions]]</f>
        <v>395</v>
      </c>
    </row>
    <row r="2745" spans="1:13" x14ac:dyDescent="0.25">
      <c r="A2745" s="1">
        <v>46160</v>
      </c>
      <c r="B2745" t="s">
        <v>12</v>
      </c>
      <c r="C2745" t="s">
        <v>9</v>
      </c>
      <c r="D2745" t="str">
        <f>_xlfn.XLOOKUP(tblSales[[#This Row],[Store ID]],tblStores[Store ID],tblStores[Store Name])</f>
        <v>Pietermaritzburg</v>
      </c>
      <c r="E2745" t="str">
        <f>_xlfn.XLOOKUP(tblSales[[#This Row],[Store ID]],tblStores[Store ID],tblStores[Province])</f>
        <v>KZN</v>
      </c>
      <c r="F2745" t="str">
        <f>_xlfn.XLOOKUP(tblSales[[#This Row],[Store ID]],tblStores[Store ID],tblStores[Manager])</f>
        <v>Peter Brown</v>
      </c>
      <c r="G2745" t="str">
        <f>_xlfn.XLOOKUP(tblSales[[#This Row],[Category ID]],tblCategories[Category ID],tblCategories[Category])</f>
        <v>Ladieswear</v>
      </c>
      <c r="H2745">
        <v>12250</v>
      </c>
      <c r="I2745">
        <v>11384</v>
      </c>
      <c r="J2745">
        <v>49</v>
      </c>
      <c r="K2745">
        <f>tblSales[[#This Row],[Sales]]-tblSales[[#This Row],[Budget]]</f>
        <v>866</v>
      </c>
      <c r="L2745" s="3">
        <f>(tblSales[[#This Row],[Sales]]-tblSales[[#This Row],[Budget]])/tblSales[[#This Row],[Budget]]</f>
        <v>7.6071679550245963E-2</v>
      </c>
      <c r="M2745" s="2">
        <f>tblSales[[#This Row],[Sales]]/tblSales[[#This Row],[Transactions]]</f>
        <v>250</v>
      </c>
    </row>
    <row r="2746" spans="1:13" x14ac:dyDescent="0.25">
      <c r="A2746" s="1">
        <v>46160</v>
      </c>
      <c r="B2746" t="s">
        <v>13</v>
      </c>
      <c r="C2746" t="s">
        <v>9</v>
      </c>
      <c r="D2746" t="str">
        <f>_xlfn.XLOOKUP(tblSales[[#This Row],[Store ID]],tblStores[Store ID],tblStores[Store Name])</f>
        <v>Richards Bay</v>
      </c>
      <c r="E2746" t="str">
        <f>_xlfn.XLOOKUP(tblSales[[#This Row],[Store ID]],tblStores[Store ID],tblStores[Province])</f>
        <v>KZN</v>
      </c>
      <c r="F2746" t="str">
        <f>_xlfn.XLOOKUP(tblSales[[#This Row],[Store ID]],tblStores[Store ID],tblStores[Manager])</f>
        <v>David Green</v>
      </c>
      <c r="G2746" t="str">
        <f>_xlfn.XLOOKUP(tblSales[[#This Row],[Category ID]],tblCategories[Category ID],tblCategories[Category])</f>
        <v>Ladieswear</v>
      </c>
      <c r="H2746">
        <v>25283</v>
      </c>
      <c r="I2746">
        <v>27154</v>
      </c>
      <c r="J2746">
        <v>131</v>
      </c>
      <c r="K2746">
        <f>tblSales[[#This Row],[Sales]]-tblSales[[#This Row],[Budget]]</f>
        <v>-1871</v>
      </c>
      <c r="L2746" s="3">
        <f>(tblSales[[#This Row],[Sales]]-tblSales[[#This Row],[Budget]])/tblSales[[#This Row],[Budget]]</f>
        <v>-6.8903292332621338E-2</v>
      </c>
      <c r="M2746" s="2">
        <f>tblSales[[#This Row],[Sales]]/tblSales[[#This Row],[Transactions]]</f>
        <v>193</v>
      </c>
    </row>
    <row r="2747" spans="1:13" x14ac:dyDescent="0.25">
      <c r="A2747" s="1">
        <v>46160</v>
      </c>
      <c r="B2747" t="s">
        <v>14</v>
      </c>
      <c r="C2747" t="s">
        <v>11</v>
      </c>
      <c r="D2747" t="str">
        <f>_xlfn.XLOOKUP(tblSales[[#This Row],[Store ID]],tblStores[Store ID],tblStores[Store Name])</f>
        <v>Sandton</v>
      </c>
      <c r="E2747" t="str">
        <f>_xlfn.XLOOKUP(tblSales[[#This Row],[Store ID]],tblStores[Store ID],tblStores[Province])</f>
        <v>Gauteng</v>
      </c>
      <c r="F2747" t="str">
        <f>_xlfn.XLOOKUP(tblSales[[#This Row],[Store ID]],tblStores[Store ID],tblStores[Manager])</f>
        <v>Karen White</v>
      </c>
      <c r="G2747" t="str">
        <f>_xlfn.XLOOKUP(tblSales[[#This Row],[Category ID]],tblCategories[Category ID],tblCategories[Category])</f>
        <v>Footwear</v>
      </c>
      <c r="H2747">
        <v>26910</v>
      </c>
      <c r="I2747">
        <v>28937</v>
      </c>
      <c r="J2747">
        <v>130</v>
      </c>
      <c r="K2747">
        <f>tblSales[[#This Row],[Sales]]-tblSales[[#This Row],[Budget]]</f>
        <v>-2027</v>
      </c>
      <c r="L2747" s="3">
        <f>(tblSales[[#This Row],[Sales]]-tblSales[[#This Row],[Budget]])/tblSales[[#This Row],[Budget]]</f>
        <v>-7.0048726543871162E-2</v>
      </c>
      <c r="M2747" s="2">
        <f>tblSales[[#This Row],[Sales]]/tblSales[[#This Row],[Transactions]]</f>
        <v>207</v>
      </c>
    </row>
    <row r="2748" spans="1:13" x14ac:dyDescent="0.25">
      <c r="A2748" s="1">
        <v>46160</v>
      </c>
      <c r="B2748" t="s">
        <v>15</v>
      </c>
      <c r="C2748" t="s">
        <v>19</v>
      </c>
      <c r="D2748" t="str">
        <f>_xlfn.XLOOKUP(tblSales[[#This Row],[Store ID]],tblStores[Store ID],tblStores[Store Name])</f>
        <v>Rosebank</v>
      </c>
      <c r="E2748" t="str">
        <f>_xlfn.XLOOKUP(tblSales[[#This Row],[Store ID]],tblStores[Store ID],tblStores[Province])</f>
        <v>Gauteng</v>
      </c>
      <c r="F2748" t="str">
        <f>_xlfn.XLOOKUP(tblSales[[#This Row],[Store ID]],tblStores[Store ID],tblStores[Manager])</f>
        <v>James Taylor</v>
      </c>
      <c r="G2748" t="str">
        <f>_xlfn.XLOOKUP(tblSales[[#This Row],[Category ID]],tblCategories[Category ID],tblCategories[Category])</f>
        <v>Accessories</v>
      </c>
      <c r="H2748">
        <v>22472</v>
      </c>
      <c r="I2748">
        <v>24929</v>
      </c>
      <c r="J2748">
        <v>53</v>
      </c>
      <c r="K2748">
        <f>tblSales[[#This Row],[Sales]]-tblSales[[#This Row],[Budget]]</f>
        <v>-2457</v>
      </c>
      <c r="L2748" s="3">
        <f>(tblSales[[#This Row],[Sales]]-tblSales[[#This Row],[Budget]])/tblSales[[#This Row],[Budget]]</f>
        <v>-9.8559910144811261E-2</v>
      </c>
      <c r="M2748" s="2">
        <f>tblSales[[#This Row],[Sales]]/tblSales[[#This Row],[Transactions]]</f>
        <v>424</v>
      </c>
    </row>
    <row r="2749" spans="1:13" x14ac:dyDescent="0.25">
      <c r="A2749" s="1">
        <v>46160</v>
      </c>
      <c r="B2749" t="s">
        <v>16</v>
      </c>
      <c r="C2749" t="s">
        <v>9</v>
      </c>
      <c r="D2749" t="str">
        <f>_xlfn.XLOOKUP(tblSales[[#This Row],[Store ID]],tblStores[Store ID],tblStores[Store Name])</f>
        <v>Pretoria</v>
      </c>
      <c r="E2749" t="str">
        <f>_xlfn.XLOOKUP(tblSales[[#This Row],[Store ID]],tblStores[Store ID],tblStores[Province])</f>
        <v>Gauteng</v>
      </c>
      <c r="F2749" t="str">
        <f>_xlfn.XLOOKUP(tblSales[[#This Row],[Store ID]],tblStores[Store ID],tblStores[Manager])</f>
        <v>Susan Clark</v>
      </c>
      <c r="G2749" t="str">
        <f>_xlfn.XLOOKUP(tblSales[[#This Row],[Category ID]],tblCategories[Category ID],tblCategories[Category])</f>
        <v>Ladieswear</v>
      </c>
      <c r="H2749">
        <v>10710</v>
      </c>
      <c r="I2749">
        <v>10616</v>
      </c>
      <c r="J2749">
        <v>42</v>
      </c>
      <c r="K2749">
        <f>tblSales[[#This Row],[Sales]]-tblSales[[#This Row],[Budget]]</f>
        <v>94</v>
      </c>
      <c r="L2749" s="3">
        <f>(tblSales[[#This Row],[Sales]]-tblSales[[#This Row],[Budget]])/tblSales[[#This Row],[Budget]]</f>
        <v>8.8545591559909577E-3</v>
      </c>
      <c r="M2749" s="2">
        <f>tblSales[[#This Row],[Sales]]/tblSales[[#This Row],[Transactions]]</f>
        <v>255</v>
      </c>
    </row>
    <row r="2750" spans="1:13" x14ac:dyDescent="0.25">
      <c r="A2750" s="1">
        <v>46160</v>
      </c>
      <c r="B2750" t="s">
        <v>17</v>
      </c>
      <c r="C2750" t="s">
        <v>7</v>
      </c>
      <c r="D2750" t="str">
        <f>_xlfn.XLOOKUP(tblSales[[#This Row],[Store ID]],tblStores[Store ID],tblStores[Store Name])</f>
        <v>Centurion</v>
      </c>
      <c r="E2750" t="str">
        <f>_xlfn.XLOOKUP(tblSales[[#This Row],[Store ID]],tblStores[Store ID],tblStores[Province])</f>
        <v>Gauteng</v>
      </c>
      <c r="F2750" t="str">
        <f>_xlfn.XLOOKUP(tblSales[[#This Row],[Store ID]],tblStores[Store ID],tblStores[Manager])</f>
        <v>Mark Wilson</v>
      </c>
      <c r="G2750" t="str">
        <f>_xlfn.XLOOKUP(tblSales[[#This Row],[Category ID]],tblCategories[Category ID],tblCategories[Category])</f>
        <v>Menswear</v>
      </c>
      <c r="H2750">
        <v>21243</v>
      </c>
      <c r="I2750">
        <v>19184</v>
      </c>
      <c r="J2750">
        <v>97</v>
      </c>
      <c r="K2750">
        <f>tblSales[[#This Row],[Sales]]-tblSales[[#This Row],[Budget]]</f>
        <v>2059</v>
      </c>
      <c r="L2750" s="3">
        <f>(tblSales[[#This Row],[Sales]]-tblSales[[#This Row],[Budget]])/tblSales[[#This Row],[Budget]]</f>
        <v>0.10732902418682236</v>
      </c>
      <c r="M2750" s="2">
        <f>tblSales[[#This Row],[Sales]]/tblSales[[#This Row],[Transactions]]</f>
        <v>219</v>
      </c>
    </row>
    <row r="2751" spans="1:13" x14ac:dyDescent="0.25">
      <c r="A2751" s="1">
        <v>46160</v>
      </c>
      <c r="B2751" t="s">
        <v>18</v>
      </c>
      <c r="C2751" t="s">
        <v>11</v>
      </c>
      <c r="D2751" t="str">
        <f>_xlfn.XLOOKUP(tblSales[[#This Row],[Store ID]],tblStores[Store ID],tblStores[Store Name])</f>
        <v>East Rand</v>
      </c>
      <c r="E2751" t="str">
        <f>_xlfn.XLOOKUP(tblSales[[#This Row],[Store ID]],tblStores[Store ID],tblStores[Province])</f>
        <v>Gauteng</v>
      </c>
      <c r="F2751" t="str">
        <f>_xlfn.XLOOKUP(tblSales[[#This Row],[Store ID]],tblStores[Store ID],tblStores[Manager])</f>
        <v>Lisa Young</v>
      </c>
      <c r="G2751" t="str">
        <f>_xlfn.XLOOKUP(tblSales[[#This Row],[Category ID]],tblCategories[Category ID],tblCategories[Category])</f>
        <v>Footwear</v>
      </c>
      <c r="H2751">
        <v>19929</v>
      </c>
      <c r="I2751">
        <v>20276</v>
      </c>
      <c r="J2751">
        <v>73</v>
      </c>
      <c r="K2751">
        <f>tblSales[[#This Row],[Sales]]-tblSales[[#This Row],[Budget]]</f>
        <v>-347</v>
      </c>
      <c r="L2751" s="3">
        <f>(tblSales[[#This Row],[Sales]]-tblSales[[#This Row],[Budget]])/tblSales[[#This Row],[Budget]]</f>
        <v>-1.7113829157624778E-2</v>
      </c>
      <c r="M2751" s="2">
        <f>tblSales[[#This Row],[Sales]]/tblSales[[#This Row],[Transactions]]</f>
        <v>273</v>
      </c>
    </row>
    <row r="2752" spans="1:13" x14ac:dyDescent="0.25">
      <c r="A2752" s="1">
        <v>46160</v>
      </c>
      <c r="B2752" t="s">
        <v>20</v>
      </c>
      <c r="C2752" t="s">
        <v>9</v>
      </c>
      <c r="D2752" t="str">
        <f>_xlfn.XLOOKUP(tblSales[[#This Row],[Store ID]],tblStores[Store ID],tblStores[Store Name])</f>
        <v>Cape Town CBD</v>
      </c>
      <c r="E2752" t="str">
        <f>_xlfn.XLOOKUP(tblSales[[#This Row],[Store ID]],tblStores[Store ID],tblStores[Province])</f>
        <v>Western Cape</v>
      </c>
      <c r="F2752" t="str">
        <f>_xlfn.XLOOKUP(tblSales[[#This Row],[Store ID]],tblStores[Store ID],tblStores[Manager])</f>
        <v>Brian Hall</v>
      </c>
      <c r="G2752" t="str">
        <f>_xlfn.XLOOKUP(tblSales[[#This Row],[Category ID]],tblCategories[Category ID],tblCategories[Category])</f>
        <v>Ladieswear</v>
      </c>
      <c r="H2752">
        <v>56610</v>
      </c>
      <c r="I2752">
        <v>57603</v>
      </c>
      <c r="J2752">
        <v>170</v>
      </c>
      <c r="K2752">
        <f>tblSales[[#This Row],[Sales]]-tblSales[[#This Row],[Budget]]</f>
        <v>-993</v>
      </c>
      <c r="L2752" s="3">
        <f>(tblSales[[#This Row],[Sales]]-tblSales[[#This Row],[Budget]])/tblSales[[#This Row],[Budget]]</f>
        <v>-1.7238685485130984E-2</v>
      </c>
      <c r="M2752" s="2">
        <f>tblSales[[#This Row],[Sales]]/tblSales[[#This Row],[Transactions]]</f>
        <v>333</v>
      </c>
    </row>
    <row r="2753" spans="1:13" x14ac:dyDescent="0.25">
      <c r="A2753" s="1">
        <v>46160</v>
      </c>
      <c r="B2753" t="s">
        <v>21</v>
      </c>
      <c r="C2753" t="s">
        <v>22</v>
      </c>
      <c r="D2753" t="str">
        <f>_xlfn.XLOOKUP(tblSales[[#This Row],[Store ID]],tblStores[Store ID],tblStores[Store Name])</f>
        <v>Canal Walk</v>
      </c>
      <c r="E2753" t="str">
        <f>_xlfn.XLOOKUP(tblSales[[#This Row],[Store ID]],tblStores[Store ID],tblStores[Province])</f>
        <v>Western Cape</v>
      </c>
      <c r="F2753" t="str">
        <f>_xlfn.XLOOKUP(tblSales[[#This Row],[Store ID]],tblStores[Store ID],tblStores[Manager])</f>
        <v>Megan Scott</v>
      </c>
      <c r="G2753" t="str">
        <f>_xlfn.XLOOKUP(tblSales[[#This Row],[Category ID]],tblCategories[Category ID],tblCategories[Category])</f>
        <v>Kids</v>
      </c>
      <c r="H2753">
        <v>75480</v>
      </c>
      <c r="I2753">
        <v>81051</v>
      </c>
      <c r="J2753">
        <v>148</v>
      </c>
      <c r="K2753">
        <f>tblSales[[#This Row],[Sales]]-tblSales[[#This Row],[Budget]]</f>
        <v>-5571</v>
      </c>
      <c r="L2753" s="3">
        <f>(tblSales[[#This Row],[Sales]]-tblSales[[#This Row],[Budget]])/tblSales[[#This Row],[Budget]]</f>
        <v>-6.873450049968538E-2</v>
      </c>
      <c r="M2753" s="2">
        <f>tblSales[[#This Row],[Sales]]/tblSales[[#This Row],[Transactions]]</f>
        <v>510</v>
      </c>
    </row>
    <row r="2754" spans="1:13" x14ac:dyDescent="0.25">
      <c r="A2754" s="1">
        <v>46160</v>
      </c>
      <c r="B2754" t="s">
        <v>23</v>
      </c>
      <c r="C2754" t="s">
        <v>22</v>
      </c>
      <c r="D2754" t="str">
        <f>_xlfn.XLOOKUP(tblSales[[#This Row],[Store ID]],tblStores[Store ID],tblStores[Store Name])</f>
        <v>Stellenbosch</v>
      </c>
      <c r="E2754" t="str">
        <f>_xlfn.XLOOKUP(tblSales[[#This Row],[Store ID]],tblStores[Store ID],tblStores[Province])</f>
        <v>Western Cape</v>
      </c>
      <c r="F2754" t="str">
        <f>_xlfn.XLOOKUP(tblSales[[#This Row],[Store ID]],tblStores[Store ID],tblStores[Manager])</f>
        <v>Jason King</v>
      </c>
      <c r="G2754" t="str">
        <f>_xlfn.XLOOKUP(tblSales[[#This Row],[Category ID]],tblCategories[Category ID],tblCategories[Category])</f>
        <v>Kids</v>
      </c>
      <c r="H2754">
        <v>16317</v>
      </c>
      <c r="I2754">
        <v>14930</v>
      </c>
      <c r="J2754">
        <v>63</v>
      </c>
      <c r="K2754">
        <f>tblSales[[#This Row],[Sales]]-tblSales[[#This Row],[Budget]]</f>
        <v>1387</v>
      </c>
      <c r="L2754" s="3">
        <f>(tblSales[[#This Row],[Sales]]-tblSales[[#This Row],[Budget]])/tblSales[[#This Row],[Budget]]</f>
        <v>9.2900200937709315E-2</v>
      </c>
      <c r="M2754" s="2">
        <f>tblSales[[#This Row],[Sales]]/tblSales[[#This Row],[Transactions]]</f>
        <v>259</v>
      </c>
    </row>
    <row r="2755" spans="1:13" x14ac:dyDescent="0.25">
      <c r="A2755" s="1">
        <v>46160</v>
      </c>
      <c r="B2755" t="s">
        <v>24</v>
      </c>
      <c r="C2755" t="s">
        <v>7</v>
      </c>
      <c r="D2755" t="str">
        <f>_xlfn.XLOOKUP(tblSales[[#This Row],[Store ID]],tblStores[Store ID],tblStores[Store Name])</f>
        <v>George</v>
      </c>
      <c r="E2755" t="str">
        <f>_xlfn.XLOOKUP(tblSales[[#This Row],[Store ID]],tblStores[Store ID],tblStores[Province])</f>
        <v>Western Cape</v>
      </c>
      <c r="F2755" t="str">
        <f>_xlfn.XLOOKUP(tblSales[[#This Row],[Store ID]],tblStores[Store ID],tblStores[Manager])</f>
        <v>Chloe Hill</v>
      </c>
      <c r="G2755" t="str">
        <f>_xlfn.XLOOKUP(tblSales[[#This Row],[Category ID]],tblCategories[Category ID],tblCategories[Category])</f>
        <v>Menswear</v>
      </c>
      <c r="H2755">
        <v>50652</v>
      </c>
      <c r="I2755">
        <v>51960</v>
      </c>
      <c r="J2755">
        <v>189</v>
      </c>
      <c r="K2755">
        <f>tblSales[[#This Row],[Sales]]-tblSales[[#This Row],[Budget]]</f>
        <v>-1308</v>
      </c>
      <c r="L2755" s="3">
        <f>(tblSales[[#This Row],[Sales]]-tblSales[[#This Row],[Budget]])/tblSales[[#This Row],[Budget]]</f>
        <v>-2.5173210161662816E-2</v>
      </c>
      <c r="M2755" s="2">
        <f>tblSales[[#This Row],[Sales]]/tblSales[[#This Row],[Transactions]]</f>
        <v>268</v>
      </c>
    </row>
    <row r="2756" spans="1:13" x14ac:dyDescent="0.25">
      <c r="A2756" s="1">
        <v>46160</v>
      </c>
      <c r="B2756" t="s">
        <v>25</v>
      </c>
      <c r="C2756" t="s">
        <v>7</v>
      </c>
      <c r="D2756" t="str">
        <f>_xlfn.XLOOKUP(tblSales[[#This Row],[Store ID]],tblStores[Store ID],tblStores[Store Name])</f>
        <v>Paarl</v>
      </c>
      <c r="E2756" t="str">
        <f>_xlfn.XLOOKUP(tblSales[[#This Row],[Store ID]],tblStores[Store ID],tblStores[Province])</f>
        <v>Western Cape</v>
      </c>
      <c r="F2756" t="str">
        <f>_xlfn.XLOOKUP(tblSales[[#This Row],[Store ID]],tblStores[Store ID],tblStores[Manager])</f>
        <v>Andrew Lee</v>
      </c>
      <c r="G2756" t="str">
        <f>_xlfn.XLOOKUP(tblSales[[#This Row],[Category ID]],tblCategories[Category ID],tblCategories[Category])</f>
        <v>Menswear</v>
      </c>
      <c r="H2756">
        <v>53856</v>
      </c>
      <c r="I2756">
        <v>57624</v>
      </c>
      <c r="J2756">
        <v>136</v>
      </c>
      <c r="K2756">
        <f>tblSales[[#This Row],[Sales]]-tblSales[[#This Row],[Budget]]</f>
        <v>-3768</v>
      </c>
      <c r="L2756" s="3">
        <f>(tblSales[[#This Row],[Sales]]-tblSales[[#This Row],[Budget]])/tblSales[[#This Row],[Budget]]</f>
        <v>-6.538942107455227E-2</v>
      </c>
      <c r="M2756" s="2">
        <f>tblSales[[#This Row],[Sales]]/tblSales[[#This Row],[Transactions]]</f>
        <v>396</v>
      </c>
    </row>
    <row r="2757" spans="1:13" x14ac:dyDescent="0.25">
      <c r="A2757" s="1">
        <v>46160</v>
      </c>
      <c r="B2757" t="s">
        <v>26</v>
      </c>
      <c r="C2757" t="s">
        <v>11</v>
      </c>
      <c r="D2757" t="str">
        <f>_xlfn.XLOOKUP(tblSales[[#This Row],[Store ID]],tblStores[Store ID],tblStores[Store Name])</f>
        <v>Gqeberha</v>
      </c>
      <c r="E2757" t="str">
        <f>_xlfn.XLOOKUP(tblSales[[#This Row],[Store ID]],tblStores[Store ID],tblStores[Province])</f>
        <v>Eastern Cape</v>
      </c>
      <c r="F2757" t="str">
        <f>_xlfn.XLOOKUP(tblSales[[#This Row],[Store ID]],tblStores[Store ID],tblStores[Manager])</f>
        <v>Emma Baker</v>
      </c>
      <c r="G2757" t="str">
        <f>_xlfn.XLOOKUP(tblSales[[#This Row],[Category ID]],tblCategories[Category ID],tblCategories[Category])</f>
        <v>Footwear</v>
      </c>
      <c r="H2757">
        <v>54912</v>
      </c>
      <c r="I2757">
        <v>62038</v>
      </c>
      <c r="J2757">
        <v>176</v>
      </c>
      <c r="K2757">
        <f>tblSales[[#This Row],[Sales]]-tblSales[[#This Row],[Budget]]</f>
        <v>-7126</v>
      </c>
      <c r="L2757" s="3">
        <f>(tblSales[[#This Row],[Sales]]-tblSales[[#This Row],[Budget]])/tblSales[[#This Row],[Budget]]</f>
        <v>-0.11486508269125374</v>
      </c>
      <c r="M2757" s="2">
        <f>tblSales[[#This Row],[Sales]]/tblSales[[#This Row],[Transactions]]</f>
        <v>312</v>
      </c>
    </row>
    <row r="2758" spans="1:13" x14ac:dyDescent="0.25">
      <c r="A2758" s="1">
        <v>46160</v>
      </c>
      <c r="B2758" t="s">
        <v>27</v>
      </c>
      <c r="C2758" t="s">
        <v>19</v>
      </c>
      <c r="D2758" t="str">
        <f>_xlfn.XLOOKUP(tblSales[[#This Row],[Store ID]],tblStores[Store ID],tblStores[Store Name])</f>
        <v>East London</v>
      </c>
      <c r="E2758" t="str">
        <f>_xlfn.XLOOKUP(tblSales[[#This Row],[Store ID]],tblStores[Store ID],tblStores[Province])</f>
        <v>Eastern Cape</v>
      </c>
      <c r="F2758" t="str">
        <f>_xlfn.XLOOKUP(tblSales[[#This Row],[Store ID]],tblStores[Store ID],tblStores[Manager])</f>
        <v>Daniel Evans</v>
      </c>
      <c r="G2758" t="str">
        <f>_xlfn.XLOOKUP(tblSales[[#This Row],[Category ID]],tblCategories[Category ID],tblCategories[Category])</f>
        <v>Accessories</v>
      </c>
      <c r="H2758">
        <v>33448</v>
      </c>
      <c r="I2758">
        <v>33645</v>
      </c>
      <c r="J2758">
        <v>113</v>
      </c>
      <c r="K2758">
        <f>tblSales[[#This Row],[Sales]]-tblSales[[#This Row],[Budget]]</f>
        <v>-197</v>
      </c>
      <c r="L2758" s="3">
        <f>(tblSales[[#This Row],[Sales]]-tblSales[[#This Row],[Budget]])/tblSales[[#This Row],[Budget]]</f>
        <v>-5.8552533808886907E-3</v>
      </c>
      <c r="M2758" s="2">
        <f>tblSales[[#This Row],[Sales]]/tblSales[[#This Row],[Transactions]]</f>
        <v>296</v>
      </c>
    </row>
    <row r="2759" spans="1:13" x14ac:dyDescent="0.25">
      <c r="A2759" s="1">
        <v>46160</v>
      </c>
      <c r="B2759" t="s">
        <v>28</v>
      </c>
      <c r="C2759" t="s">
        <v>9</v>
      </c>
      <c r="D2759" t="str">
        <f>_xlfn.XLOOKUP(tblSales[[#This Row],[Store ID]],tblStores[Store ID],tblStores[Store Name])</f>
        <v>Bloemfontein</v>
      </c>
      <c r="E2759" t="str">
        <f>_xlfn.XLOOKUP(tblSales[[#This Row],[Store ID]],tblStores[Store ID],tblStores[Province])</f>
        <v>Free State</v>
      </c>
      <c r="F2759" t="str">
        <f>_xlfn.XLOOKUP(tblSales[[#This Row],[Store ID]],tblStores[Store ID],tblStores[Manager])</f>
        <v>Rachel Moore</v>
      </c>
      <c r="G2759" t="str">
        <f>_xlfn.XLOOKUP(tblSales[[#This Row],[Category ID]],tblCategories[Category ID],tblCategories[Category])</f>
        <v>Ladieswear</v>
      </c>
      <c r="H2759">
        <v>23608</v>
      </c>
      <c r="I2759">
        <v>24325</v>
      </c>
      <c r="J2759">
        <v>104</v>
      </c>
      <c r="K2759">
        <f>tblSales[[#This Row],[Sales]]-tblSales[[#This Row],[Budget]]</f>
        <v>-717</v>
      </c>
      <c r="L2759" s="3">
        <f>(tblSales[[#This Row],[Sales]]-tblSales[[#This Row],[Budget]])/tblSales[[#This Row],[Budget]]</f>
        <v>-2.9475847893114079E-2</v>
      </c>
      <c r="M2759" s="2">
        <f>tblSales[[#This Row],[Sales]]/tblSales[[#This Row],[Transactions]]</f>
        <v>227</v>
      </c>
    </row>
    <row r="2760" spans="1:13" x14ac:dyDescent="0.25">
      <c r="A2760" s="1">
        <v>46160</v>
      </c>
      <c r="B2760" t="s">
        <v>29</v>
      </c>
      <c r="C2760" t="s">
        <v>9</v>
      </c>
      <c r="D2760" t="str">
        <f>_xlfn.XLOOKUP(tblSales[[#This Row],[Store ID]],tblStores[Store ID],tblStores[Store Name])</f>
        <v>Polokwane</v>
      </c>
      <c r="E2760" t="str">
        <f>_xlfn.XLOOKUP(tblSales[[#This Row],[Store ID]],tblStores[Store ID],tblStores[Province])</f>
        <v>Limpopo</v>
      </c>
      <c r="F2760" t="str">
        <f>_xlfn.XLOOKUP(tblSales[[#This Row],[Store ID]],tblStores[Store ID],tblStores[Manager])</f>
        <v>Kevin Harris</v>
      </c>
      <c r="G2760" t="str">
        <f>_xlfn.XLOOKUP(tblSales[[#This Row],[Category ID]],tblCategories[Category ID],tblCategories[Category])</f>
        <v>Ladieswear</v>
      </c>
      <c r="H2760">
        <v>34265</v>
      </c>
      <c r="I2760">
        <v>36141</v>
      </c>
      <c r="J2760">
        <v>89</v>
      </c>
      <c r="K2760">
        <f>tblSales[[#This Row],[Sales]]-tblSales[[#This Row],[Budget]]</f>
        <v>-1876</v>
      </c>
      <c r="L2760" s="3">
        <f>(tblSales[[#This Row],[Sales]]-tblSales[[#This Row],[Budget]])/tblSales[[#This Row],[Budget]]</f>
        <v>-5.1907805539415069E-2</v>
      </c>
      <c r="M2760" s="2">
        <f>tblSales[[#This Row],[Sales]]/tblSales[[#This Row],[Transactions]]</f>
        <v>385</v>
      </c>
    </row>
    <row r="2761" spans="1:13" x14ac:dyDescent="0.25">
      <c r="A2761" s="1">
        <v>46160</v>
      </c>
      <c r="B2761" t="s">
        <v>30</v>
      </c>
      <c r="C2761" t="s">
        <v>9</v>
      </c>
      <c r="D2761" t="str">
        <f>_xlfn.XLOOKUP(tblSales[[#This Row],[Store ID]],tblStores[Store ID],tblStores[Store Name])</f>
        <v>Nelspruit</v>
      </c>
      <c r="E2761" t="str">
        <f>_xlfn.XLOOKUP(tblSales[[#This Row],[Store ID]],tblStores[Store ID],tblStores[Province])</f>
        <v>Mpumalanga</v>
      </c>
      <c r="F2761" t="str">
        <f>_xlfn.XLOOKUP(tblSales[[#This Row],[Store ID]],tblStores[Store ID],tblStores[Manager])</f>
        <v>Olivia Turner</v>
      </c>
      <c r="G2761" t="str">
        <f>_xlfn.XLOOKUP(tblSales[[#This Row],[Category ID]],tblCategories[Category ID],tblCategories[Category])</f>
        <v>Ladieswear</v>
      </c>
      <c r="H2761">
        <v>36990</v>
      </c>
      <c r="I2761">
        <v>40897</v>
      </c>
      <c r="J2761">
        <v>135</v>
      </c>
      <c r="K2761">
        <f>tblSales[[#This Row],[Sales]]-tblSales[[#This Row],[Budget]]</f>
        <v>-3907</v>
      </c>
      <c r="L2761" s="3">
        <f>(tblSales[[#This Row],[Sales]]-tblSales[[#This Row],[Budget]])/tblSales[[#This Row],[Budget]]</f>
        <v>-9.5532679658654668E-2</v>
      </c>
      <c r="M2761" s="2">
        <f>tblSales[[#This Row],[Sales]]/tblSales[[#This Row],[Transactions]]</f>
        <v>274</v>
      </c>
    </row>
    <row r="2762" spans="1:13" x14ac:dyDescent="0.25">
      <c r="A2762" s="1">
        <v>46161</v>
      </c>
      <c r="B2762" t="s">
        <v>6</v>
      </c>
      <c r="C2762" t="s">
        <v>19</v>
      </c>
      <c r="D2762" t="str">
        <f>_xlfn.XLOOKUP(tblSales[[#This Row],[Store ID]],tblStores[Store ID],tblStores[Store Name])</f>
        <v>Durban CBD</v>
      </c>
      <c r="E2762" t="str">
        <f>_xlfn.XLOOKUP(tblSales[[#This Row],[Store ID]],tblStores[Store ID],tblStores[Province])</f>
        <v>KZN</v>
      </c>
      <c r="F2762" t="str">
        <f>_xlfn.XLOOKUP(tblSales[[#This Row],[Store ID]],tblStores[Store ID],tblStores[Manager])</f>
        <v>Sarah Adams</v>
      </c>
      <c r="G2762" t="str">
        <f>_xlfn.XLOOKUP(tblSales[[#This Row],[Category ID]],tblCategories[Category ID],tblCategories[Category])</f>
        <v>Accessories</v>
      </c>
      <c r="H2762">
        <v>41391</v>
      </c>
      <c r="I2762">
        <v>45701</v>
      </c>
      <c r="J2762">
        <v>189</v>
      </c>
      <c r="K2762">
        <f>tblSales[[#This Row],[Sales]]-tblSales[[#This Row],[Budget]]</f>
        <v>-4310</v>
      </c>
      <c r="L2762" s="3">
        <f>(tblSales[[#This Row],[Sales]]-tblSales[[#This Row],[Budget]])/tblSales[[#This Row],[Budget]]</f>
        <v>-9.4308658453863159E-2</v>
      </c>
      <c r="M2762" s="2">
        <f>tblSales[[#This Row],[Sales]]/tblSales[[#This Row],[Transactions]]</f>
        <v>219</v>
      </c>
    </row>
    <row r="2763" spans="1:13" x14ac:dyDescent="0.25">
      <c r="A2763" s="1">
        <v>46161</v>
      </c>
      <c r="B2763" t="s">
        <v>8</v>
      </c>
      <c r="C2763" t="s">
        <v>11</v>
      </c>
      <c r="D2763" t="str">
        <f>_xlfn.XLOOKUP(tblSales[[#This Row],[Store ID]],tblStores[Store ID],tblStores[Store Name])</f>
        <v>Gateway</v>
      </c>
      <c r="E2763" t="str">
        <f>_xlfn.XLOOKUP(tblSales[[#This Row],[Store ID]],tblStores[Store ID],tblStores[Province])</f>
        <v>KZN</v>
      </c>
      <c r="F2763" t="str">
        <f>_xlfn.XLOOKUP(tblSales[[#This Row],[Store ID]],tblStores[Store ID],tblStores[Manager])</f>
        <v>Michael Jones</v>
      </c>
      <c r="G2763" t="str">
        <f>_xlfn.XLOOKUP(tblSales[[#This Row],[Category ID]],tblCategories[Category ID],tblCategories[Category])</f>
        <v>Footwear</v>
      </c>
      <c r="H2763">
        <v>53380</v>
      </c>
      <c r="I2763">
        <v>56752</v>
      </c>
      <c r="J2763">
        <v>157</v>
      </c>
      <c r="K2763">
        <f>tblSales[[#This Row],[Sales]]-tblSales[[#This Row],[Budget]]</f>
        <v>-3372</v>
      </c>
      <c r="L2763" s="3">
        <f>(tblSales[[#This Row],[Sales]]-tblSales[[#This Row],[Budget]])/tblSales[[#This Row],[Budget]]</f>
        <v>-5.9416408232308995E-2</v>
      </c>
      <c r="M2763" s="2">
        <f>tblSales[[#This Row],[Sales]]/tblSales[[#This Row],[Transactions]]</f>
        <v>340</v>
      </c>
    </row>
    <row r="2764" spans="1:13" x14ac:dyDescent="0.25">
      <c r="A2764" s="1">
        <v>46161</v>
      </c>
      <c r="B2764" t="s">
        <v>10</v>
      </c>
      <c r="C2764" t="s">
        <v>11</v>
      </c>
      <c r="D2764" t="str">
        <f>_xlfn.XLOOKUP(tblSales[[#This Row],[Store ID]],tblStores[Store ID],tblStores[Store Name])</f>
        <v>Ballito</v>
      </c>
      <c r="E2764" t="str">
        <f>_xlfn.XLOOKUP(tblSales[[#This Row],[Store ID]],tblStores[Store ID],tblStores[Province])</f>
        <v>KZN</v>
      </c>
      <c r="F2764" t="str">
        <f>_xlfn.XLOOKUP(tblSales[[#This Row],[Store ID]],tblStores[Store ID],tblStores[Manager])</f>
        <v>Linda Smith</v>
      </c>
      <c r="G2764" t="str">
        <f>_xlfn.XLOOKUP(tblSales[[#This Row],[Category ID]],tblCategories[Category ID],tblCategories[Category])</f>
        <v>Footwear</v>
      </c>
      <c r="H2764">
        <v>34848</v>
      </c>
      <c r="I2764">
        <v>31839</v>
      </c>
      <c r="J2764">
        <v>132</v>
      </c>
      <c r="K2764">
        <f>tblSales[[#This Row],[Sales]]-tblSales[[#This Row],[Budget]]</f>
        <v>3009</v>
      </c>
      <c r="L2764" s="3">
        <f>(tblSales[[#This Row],[Sales]]-tblSales[[#This Row],[Budget]])/tblSales[[#This Row],[Budget]]</f>
        <v>9.450673702063507E-2</v>
      </c>
      <c r="M2764" s="2">
        <f>tblSales[[#This Row],[Sales]]/tblSales[[#This Row],[Transactions]]</f>
        <v>264</v>
      </c>
    </row>
    <row r="2765" spans="1:13" x14ac:dyDescent="0.25">
      <c r="A2765" s="1">
        <v>46161</v>
      </c>
      <c r="B2765" t="s">
        <v>12</v>
      </c>
      <c r="C2765" t="s">
        <v>22</v>
      </c>
      <c r="D2765" t="str">
        <f>_xlfn.XLOOKUP(tblSales[[#This Row],[Store ID]],tblStores[Store ID],tblStores[Store Name])</f>
        <v>Pietermaritzburg</v>
      </c>
      <c r="E2765" t="str">
        <f>_xlfn.XLOOKUP(tblSales[[#This Row],[Store ID]],tblStores[Store ID],tblStores[Province])</f>
        <v>KZN</v>
      </c>
      <c r="F2765" t="str">
        <f>_xlfn.XLOOKUP(tblSales[[#This Row],[Store ID]],tblStores[Store ID],tblStores[Manager])</f>
        <v>Peter Brown</v>
      </c>
      <c r="G2765" t="str">
        <f>_xlfn.XLOOKUP(tblSales[[#This Row],[Category ID]],tblCategories[Category ID],tblCategories[Category])</f>
        <v>Kids</v>
      </c>
      <c r="H2765">
        <v>79400</v>
      </c>
      <c r="I2765">
        <v>75325</v>
      </c>
      <c r="J2765">
        <v>200</v>
      </c>
      <c r="K2765">
        <f>tblSales[[#This Row],[Sales]]-tblSales[[#This Row],[Budget]]</f>
        <v>4075</v>
      </c>
      <c r="L2765" s="3">
        <f>(tblSales[[#This Row],[Sales]]-tblSales[[#This Row],[Budget]])/tblSales[[#This Row],[Budget]]</f>
        <v>5.4098904746100233E-2</v>
      </c>
      <c r="M2765" s="2">
        <f>tblSales[[#This Row],[Sales]]/tblSales[[#This Row],[Transactions]]</f>
        <v>397</v>
      </c>
    </row>
    <row r="2766" spans="1:13" x14ac:dyDescent="0.25">
      <c r="A2766" s="1">
        <v>46161</v>
      </c>
      <c r="B2766" t="s">
        <v>13</v>
      </c>
      <c r="C2766" t="s">
        <v>7</v>
      </c>
      <c r="D2766" t="str">
        <f>_xlfn.XLOOKUP(tblSales[[#This Row],[Store ID]],tblStores[Store ID],tblStores[Store Name])</f>
        <v>Richards Bay</v>
      </c>
      <c r="E2766" t="str">
        <f>_xlfn.XLOOKUP(tblSales[[#This Row],[Store ID]],tblStores[Store ID],tblStores[Province])</f>
        <v>KZN</v>
      </c>
      <c r="F2766" t="str">
        <f>_xlfn.XLOOKUP(tblSales[[#This Row],[Store ID]],tblStores[Store ID],tblStores[Manager])</f>
        <v>David Green</v>
      </c>
      <c r="G2766" t="str">
        <f>_xlfn.XLOOKUP(tblSales[[#This Row],[Category ID]],tblCategories[Category ID],tblCategories[Category])</f>
        <v>Menswear</v>
      </c>
      <c r="H2766">
        <v>13359</v>
      </c>
      <c r="I2766">
        <v>13234</v>
      </c>
      <c r="J2766">
        <v>61</v>
      </c>
      <c r="K2766">
        <f>tblSales[[#This Row],[Sales]]-tblSales[[#This Row],[Budget]]</f>
        <v>125</v>
      </c>
      <c r="L2766" s="3">
        <f>(tblSales[[#This Row],[Sales]]-tblSales[[#This Row],[Budget]])/tblSales[[#This Row],[Budget]]</f>
        <v>9.4453679915369494E-3</v>
      </c>
      <c r="M2766" s="2">
        <f>tblSales[[#This Row],[Sales]]/tblSales[[#This Row],[Transactions]]</f>
        <v>219</v>
      </c>
    </row>
    <row r="2767" spans="1:13" x14ac:dyDescent="0.25">
      <c r="A2767" s="1">
        <v>46161</v>
      </c>
      <c r="B2767" t="s">
        <v>14</v>
      </c>
      <c r="C2767" t="s">
        <v>22</v>
      </c>
      <c r="D2767" t="str">
        <f>_xlfn.XLOOKUP(tblSales[[#This Row],[Store ID]],tblStores[Store ID],tblStores[Store Name])</f>
        <v>Sandton</v>
      </c>
      <c r="E2767" t="str">
        <f>_xlfn.XLOOKUP(tblSales[[#This Row],[Store ID]],tblStores[Store ID],tblStores[Province])</f>
        <v>Gauteng</v>
      </c>
      <c r="F2767" t="str">
        <f>_xlfn.XLOOKUP(tblSales[[#This Row],[Store ID]],tblStores[Store ID],tblStores[Manager])</f>
        <v>Karen White</v>
      </c>
      <c r="G2767" t="str">
        <f>_xlfn.XLOOKUP(tblSales[[#This Row],[Category ID]],tblCategories[Category ID],tblCategories[Category])</f>
        <v>Kids</v>
      </c>
      <c r="H2767">
        <v>12684</v>
      </c>
      <c r="I2767">
        <v>12310</v>
      </c>
      <c r="J2767">
        <v>42</v>
      </c>
      <c r="K2767">
        <f>tblSales[[#This Row],[Sales]]-tblSales[[#This Row],[Budget]]</f>
        <v>374</v>
      </c>
      <c r="L2767" s="3">
        <f>(tblSales[[#This Row],[Sales]]-tblSales[[#This Row],[Budget]])/tblSales[[#This Row],[Budget]]</f>
        <v>3.0381803411860277E-2</v>
      </c>
      <c r="M2767" s="2">
        <f>tblSales[[#This Row],[Sales]]/tblSales[[#This Row],[Transactions]]</f>
        <v>302</v>
      </c>
    </row>
    <row r="2768" spans="1:13" x14ac:dyDescent="0.25">
      <c r="A2768" s="1">
        <v>46161</v>
      </c>
      <c r="B2768" t="s">
        <v>15</v>
      </c>
      <c r="C2768" t="s">
        <v>19</v>
      </c>
      <c r="D2768" t="str">
        <f>_xlfn.XLOOKUP(tblSales[[#This Row],[Store ID]],tblStores[Store ID],tblStores[Store Name])</f>
        <v>Rosebank</v>
      </c>
      <c r="E2768" t="str">
        <f>_xlfn.XLOOKUP(tblSales[[#This Row],[Store ID]],tblStores[Store ID],tblStores[Province])</f>
        <v>Gauteng</v>
      </c>
      <c r="F2768" t="str">
        <f>_xlfn.XLOOKUP(tblSales[[#This Row],[Store ID]],tblStores[Store ID],tblStores[Manager])</f>
        <v>James Taylor</v>
      </c>
      <c r="G2768" t="str">
        <f>_xlfn.XLOOKUP(tblSales[[#This Row],[Category ID]],tblCategories[Category ID],tblCategories[Category])</f>
        <v>Accessories</v>
      </c>
      <c r="H2768">
        <v>13206</v>
      </c>
      <c r="I2768">
        <v>12585</v>
      </c>
      <c r="J2768">
        <v>62</v>
      </c>
      <c r="K2768">
        <f>tblSales[[#This Row],[Sales]]-tblSales[[#This Row],[Budget]]</f>
        <v>621</v>
      </c>
      <c r="L2768" s="3">
        <f>(tblSales[[#This Row],[Sales]]-tblSales[[#This Row],[Budget]])/tblSales[[#This Row],[Budget]]</f>
        <v>4.9344457687723484E-2</v>
      </c>
      <c r="M2768" s="2">
        <f>tblSales[[#This Row],[Sales]]/tblSales[[#This Row],[Transactions]]</f>
        <v>213</v>
      </c>
    </row>
    <row r="2769" spans="1:13" x14ac:dyDescent="0.25">
      <c r="A2769" s="1">
        <v>46161</v>
      </c>
      <c r="B2769" t="s">
        <v>16</v>
      </c>
      <c r="C2769" t="s">
        <v>7</v>
      </c>
      <c r="D2769" t="str">
        <f>_xlfn.XLOOKUP(tblSales[[#This Row],[Store ID]],tblStores[Store ID],tblStores[Store Name])</f>
        <v>Pretoria</v>
      </c>
      <c r="E2769" t="str">
        <f>_xlfn.XLOOKUP(tblSales[[#This Row],[Store ID]],tblStores[Store ID],tblStores[Province])</f>
        <v>Gauteng</v>
      </c>
      <c r="F2769" t="str">
        <f>_xlfn.XLOOKUP(tblSales[[#This Row],[Store ID]],tblStores[Store ID],tblStores[Manager])</f>
        <v>Susan Clark</v>
      </c>
      <c r="G2769" t="str">
        <f>_xlfn.XLOOKUP(tblSales[[#This Row],[Category ID]],tblCategories[Category ID],tblCategories[Category])</f>
        <v>Menswear</v>
      </c>
      <c r="H2769">
        <v>31464</v>
      </c>
      <c r="I2769">
        <v>32657</v>
      </c>
      <c r="J2769">
        <v>114</v>
      </c>
      <c r="K2769">
        <f>tblSales[[#This Row],[Sales]]-tblSales[[#This Row],[Budget]]</f>
        <v>-1193</v>
      </c>
      <c r="L2769" s="3">
        <f>(tblSales[[#This Row],[Sales]]-tblSales[[#This Row],[Budget]])/tblSales[[#This Row],[Budget]]</f>
        <v>-3.6531218421777874E-2</v>
      </c>
      <c r="M2769" s="2">
        <f>tblSales[[#This Row],[Sales]]/tblSales[[#This Row],[Transactions]]</f>
        <v>276</v>
      </c>
    </row>
    <row r="2770" spans="1:13" x14ac:dyDescent="0.25">
      <c r="A2770" s="1">
        <v>46161</v>
      </c>
      <c r="B2770" t="s">
        <v>17</v>
      </c>
      <c r="C2770" t="s">
        <v>7</v>
      </c>
      <c r="D2770" t="str">
        <f>_xlfn.XLOOKUP(tblSales[[#This Row],[Store ID]],tblStores[Store ID],tblStores[Store Name])</f>
        <v>Centurion</v>
      </c>
      <c r="E2770" t="str">
        <f>_xlfn.XLOOKUP(tblSales[[#This Row],[Store ID]],tblStores[Store ID],tblStores[Province])</f>
        <v>Gauteng</v>
      </c>
      <c r="F2770" t="str">
        <f>_xlfn.XLOOKUP(tblSales[[#This Row],[Store ID]],tblStores[Store ID],tblStores[Manager])</f>
        <v>Mark Wilson</v>
      </c>
      <c r="G2770" t="str">
        <f>_xlfn.XLOOKUP(tblSales[[#This Row],[Category ID]],tblCategories[Category ID],tblCategories[Category])</f>
        <v>Menswear</v>
      </c>
      <c r="H2770">
        <v>30432</v>
      </c>
      <c r="I2770">
        <v>28035</v>
      </c>
      <c r="J2770">
        <v>96</v>
      </c>
      <c r="K2770">
        <f>tblSales[[#This Row],[Sales]]-tblSales[[#This Row],[Budget]]</f>
        <v>2397</v>
      </c>
      <c r="L2770" s="3">
        <f>(tblSales[[#This Row],[Sales]]-tblSales[[#This Row],[Budget]])/tblSales[[#This Row],[Budget]]</f>
        <v>8.5500267522739426E-2</v>
      </c>
      <c r="M2770" s="2">
        <f>tblSales[[#This Row],[Sales]]/tblSales[[#This Row],[Transactions]]</f>
        <v>317</v>
      </c>
    </row>
    <row r="2771" spans="1:13" x14ac:dyDescent="0.25">
      <c r="A2771" s="1">
        <v>46161</v>
      </c>
      <c r="B2771" t="s">
        <v>18</v>
      </c>
      <c r="C2771" t="s">
        <v>19</v>
      </c>
      <c r="D2771" t="str">
        <f>_xlfn.XLOOKUP(tblSales[[#This Row],[Store ID]],tblStores[Store ID],tblStores[Store Name])</f>
        <v>East Rand</v>
      </c>
      <c r="E2771" t="str">
        <f>_xlfn.XLOOKUP(tblSales[[#This Row],[Store ID]],tblStores[Store ID],tblStores[Province])</f>
        <v>Gauteng</v>
      </c>
      <c r="F2771" t="str">
        <f>_xlfn.XLOOKUP(tblSales[[#This Row],[Store ID]],tblStores[Store ID],tblStores[Manager])</f>
        <v>Lisa Young</v>
      </c>
      <c r="G2771" t="str">
        <f>_xlfn.XLOOKUP(tblSales[[#This Row],[Category ID]],tblCategories[Category ID],tblCategories[Category])</f>
        <v>Accessories</v>
      </c>
      <c r="H2771">
        <v>36158</v>
      </c>
      <c r="I2771">
        <v>37638</v>
      </c>
      <c r="J2771">
        <v>179</v>
      </c>
      <c r="K2771">
        <f>tblSales[[#This Row],[Sales]]-tblSales[[#This Row],[Budget]]</f>
        <v>-1480</v>
      </c>
      <c r="L2771" s="3">
        <f>(tblSales[[#This Row],[Sales]]-tblSales[[#This Row],[Budget]])/tblSales[[#This Row],[Budget]]</f>
        <v>-3.9321961847069452E-2</v>
      </c>
      <c r="M2771" s="2">
        <f>tblSales[[#This Row],[Sales]]/tblSales[[#This Row],[Transactions]]</f>
        <v>202</v>
      </c>
    </row>
    <row r="2772" spans="1:13" x14ac:dyDescent="0.25">
      <c r="A2772" s="1">
        <v>46161</v>
      </c>
      <c r="B2772" t="s">
        <v>20</v>
      </c>
      <c r="C2772" t="s">
        <v>11</v>
      </c>
      <c r="D2772" t="str">
        <f>_xlfn.XLOOKUP(tblSales[[#This Row],[Store ID]],tblStores[Store ID],tblStores[Store Name])</f>
        <v>Cape Town CBD</v>
      </c>
      <c r="E2772" t="str">
        <f>_xlfn.XLOOKUP(tblSales[[#This Row],[Store ID]],tblStores[Store ID],tblStores[Province])</f>
        <v>Western Cape</v>
      </c>
      <c r="F2772" t="str">
        <f>_xlfn.XLOOKUP(tblSales[[#This Row],[Store ID]],tblStores[Store ID],tblStores[Manager])</f>
        <v>Brian Hall</v>
      </c>
      <c r="G2772" t="str">
        <f>_xlfn.XLOOKUP(tblSales[[#This Row],[Category ID]],tblCategories[Category ID],tblCategories[Category])</f>
        <v>Footwear</v>
      </c>
      <c r="H2772">
        <v>9384</v>
      </c>
      <c r="I2772">
        <v>9183</v>
      </c>
      <c r="J2772">
        <v>46</v>
      </c>
      <c r="K2772">
        <f>tblSales[[#This Row],[Sales]]-tblSales[[#This Row],[Budget]]</f>
        <v>201</v>
      </c>
      <c r="L2772" s="3">
        <f>(tblSales[[#This Row],[Sales]]-tblSales[[#This Row],[Budget]])/tblSales[[#This Row],[Budget]]</f>
        <v>2.1888271806599149E-2</v>
      </c>
      <c r="M2772" s="2">
        <f>tblSales[[#This Row],[Sales]]/tblSales[[#This Row],[Transactions]]</f>
        <v>204</v>
      </c>
    </row>
    <row r="2773" spans="1:13" x14ac:dyDescent="0.25">
      <c r="A2773" s="1">
        <v>46161</v>
      </c>
      <c r="B2773" t="s">
        <v>21</v>
      </c>
      <c r="C2773" t="s">
        <v>22</v>
      </c>
      <c r="D2773" t="str">
        <f>_xlfn.XLOOKUP(tblSales[[#This Row],[Store ID]],tblStores[Store ID],tblStores[Store Name])</f>
        <v>Canal Walk</v>
      </c>
      <c r="E2773" t="str">
        <f>_xlfn.XLOOKUP(tblSales[[#This Row],[Store ID]],tblStores[Store ID],tblStores[Province])</f>
        <v>Western Cape</v>
      </c>
      <c r="F2773" t="str">
        <f>_xlfn.XLOOKUP(tblSales[[#This Row],[Store ID]],tblStores[Store ID],tblStores[Manager])</f>
        <v>Megan Scott</v>
      </c>
      <c r="G2773" t="str">
        <f>_xlfn.XLOOKUP(tblSales[[#This Row],[Category ID]],tblCategories[Category ID],tblCategories[Category])</f>
        <v>Kids</v>
      </c>
      <c r="H2773">
        <v>13394</v>
      </c>
      <c r="I2773">
        <v>14571</v>
      </c>
      <c r="J2773">
        <v>37</v>
      </c>
      <c r="K2773">
        <f>tblSales[[#This Row],[Sales]]-tblSales[[#This Row],[Budget]]</f>
        <v>-1177</v>
      </c>
      <c r="L2773" s="3">
        <f>(tblSales[[#This Row],[Sales]]-tblSales[[#This Row],[Budget]])/tblSales[[#This Row],[Budget]]</f>
        <v>-8.0776885594674358E-2</v>
      </c>
      <c r="M2773" s="2">
        <f>tblSales[[#This Row],[Sales]]/tblSales[[#This Row],[Transactions]]</f>
        <v>362</v>
      </c>
    </row>
    <row r="2774" spans="1:13" x14ac:dyDescent="0.25">
      <c r="A2774" s="1">
        <v>46161</v>
      </c>
      <c r="B2774" t="s">
        <v>23</v>
      </c>
      <c r="C2774" t="s">
        <v>11</v>
      </c>
      <c r="D2774" t="str">
        <f>_xlfn.XLOOKUP(tblSales[[#This Row],[Store ID]],tblStores[Store ID],tblStores[Store Name])</f>
        <v>Stellenbosch</v>
      </c>
      <c r="E2774" t="str">
        <f>_xlfn.XLOOKUP(tblSales[[#This Row],[Store ID]],tblStores[Store ID],tblStores[Province])</f>
        <v>Western Cape</v>
      </c>
      <c r="F2774" t="str">
        <f>_xlfn.XLOOKUP(tblSales[[#This Row],[Store ID]],tblStores[Store ID],tblStores[Manager])</f>
        <v>Jason King</v>
      </c>
      <c r="G2774" t="str">
        <f>_xlfn.XLOOKUP(tblSales[[#This Row],[Category ID]],tblCategories[Category ID],tblCategories[Category])</f>
        <v>Footwear</v>
      </c>
      <c r="H2774">
        <v>45477</v>
      </c>
      <c r="I2774">
        <v>44504</v>
      </c>
      <c r="J2774">
        <v>163</v>
      </c>
      <c r="K2774">
        <f>tblSales[[#This Row],[Sales]]-tblSales[[#This Row],[Budget]]</f>
        <v>973</v>
      </c>
      <c r="L2774" s="3">
        <f>(tblSales[[#This Row],[Sales]]-tblSales[[#This Row],[Budget]])/tblSales[[#This Row],[Budget]]</f>
        <v>2.1863203307567858E-2</v>
      </c>
      <c r="M2774" s="2">
        <f>tblSales[[#This Row],[Sales]]/tblSales[[#This Row],[Transactions]]</f>
        <v>279</v>
      </c>
    </row>
    <row r="2775" spans="1:13" x14ac:dyDescent="0.25">
      <c r="A2775" s="1">
        <v>46161</v>
      </c>
      <c r="B2775" t="s">
        <v>24</v>
      </c>
      <c r="C2775" t="s">
        <v>11</v>
      </c>
      <c r="D2775" t="str">
        <f>_xlfn.XLOOKUP(tblSales[[#This Row],[Store ID]],tblStores[Store ID],tblStores[Store Name])</f>
        <v>George</v>
      </c>
      <c r="E2775" t="str">
        <f>_xlfn.XLOOKUP(tblSales[[#This Row],[Store ID]],tblStores[Store ID],tblStores[Province])</f>
        <v>Western Cape</v>
      </c>
      <c r="F2775" t="str">
        <f>_xlfn.XLOOKUP(tblSales[[#This Row],[Store ID]],tblStores[Store ID],tblStores[Manager])</f>
        <v>Chloe Hill</v>
      </c>
      <c r="G2775" t="str">
        <f>_xlfn.XLOOKUP(tblSales[[#This Row],[Category ID]],tblCategories[Category ID],tblCategories[Category])</f>
        <v>Footwear</v>
      </c>
      <c r="H2775">
        <v>79640</v>
      </c>
      <c r="I2775">
        <v>91065</v>
      </c>
      <c r="J2775">
        <v>220</v>
      </c>
      <c r="K2775">
        <f>tblSales[[#This Row],[Sales]]-tblSales[[#This Row],[Budget]]</f>
        <v>-11425</v>
      </c>
      <c r="L2775" s="3">
        <f>(tblSales[[#This Row],[Sales]]-tblSales[[#This Row],[Budget]])/tblSales[[#This Row],[Budget]]</f>
        <v>-0.12545983638060726</v>
      </c>
      <c r="M2775" s="2">
        <f>tblSales[[#This Row],[Sales]]/tblSales[[#This Row],[Transactions]]</f>
        <v>362</v>
      </c>
    </row>
    <row r="2776" spans="1:13" x14ac:dyDescent="0.25">
      <c r="A2776" s="1">
        <v>46161</v>
      </c>
      <c r="B2776" t="s">
        <v>25</v>
      </c>
      <c r="C2776" t="s">
        <v>7</v>
      </c>
      <c r="D2776" t="str">
        <f>_xlfn.XLOOKUP(tblSales[[#This Row],[Store ID]],tblStores[Store ID],tblStores[Store Name])</f>
        <v>Paarl</v>
      </c>
      <c r="E2776" t="str">
        <f>_xlfn.XLOOKUP(tblSales[[#This Row],[Store ID]],tblStores[Store ID],tblStores[Province])</f>
        <v>Western Cape</v>
      </c>
      <c r="F2776" t="str">
        <f>_xlfn.XLOOKUP(tblSales[[#This Row],[Store ID]],tblStores[Store ID],tblStores[Manager])</f>
        <v>Andrew Lee</v>
      </c>
      <c r="G2776" t="str">
        <f>_xlfn.XLOOKUP(tblSales[[#This Row],[Category ID]],tblCategories[Category ID],tblCategories[Category])</f>
        <v>Menswear</v>
      </c>
      <c r="H2776">
        <v>46172</v>
      </c>
      <c r="I2776">
        <v>51903</v>
      </c>
      <c r="J2776">
        <v>119</v>
      </c>
      <c r="K2776">
        <f>tblSales[[#This Row],[Sales]]-tblSales[[#This Row],[Budget]]</f>
        <v>-5731</v>
      </c>
      <c r="L2776" s="3">
        <f>(tblSales[[#This Row],[Sales]]-tblSales[[#This Row],[Budget]])/tblSales[[#This Row],[Budget]]</f>
        <v>-0.11041750958518776</v>
      </c>
      <c r="M2776" s="2">
        <f>tblSales[[#This Row],[Sales]]/tblSales[[#This Row],[Transactions]]</f>
        <v>388</v>
      </c>
    </row>
    <row r="2777" spans="1:13" x14ac:dyDescent="0.25">
      <c r="A2777" s="1">
        <v>46161</v>
      </c>
      <c r="B2777" t="s">
        <v>26</v>
      </c>
      <c r="C2777" t="s">
        <v>19</v>
      </c>
      <c r="D2777" t="str">
        <f>_xlfn.XLOOKUP(tblSales[[#This Row],[Store ID]],tblStores[Store ID],tblStores[Store Name])</f>
        <v>Gqeberha</v>
      </c>
      <c r="E2777" t="str">
        <f>_xlfn.XLOOKUP(tblSales[[#This Row],[Store ID]],tblStores[Store ID],tblStores[Province])</f>
        <v>Eastern Cape</v>
      </c>
      <c r="F2777" t="str">
        <f>_xlfn.XLOOKUP(tblSales[[#This Row],[Store ID]],tblStores[Store ID],tblStores[Manager])</f>
        <v>Emma Baker</v>
      </c>
      <c r="G2777" t="str">
        <f>_xlfn.XLOOKUP(tblSales[[#This Row],[Category ID]],tblCategories[Category ID],tblCategories[Category])</f>
        <v>Accessories</v>
      </c>
      <c r="H2777">
        <v>26220</v>
      </c>
      <c r="I2777">
        <v>28891</v>
      </c>
      <c r="J2777">
        <v>60</v>
      </c>
      <c r="K2777">
        <f>tblSales[[#This Row],[Sales]]-tblSales[[#This Row],[Budget]]</f>
        <v>-2671</v>
      </c>
      <c r="L2777" s="3">
        <f>(tblSales[[#This Row],[Sales]]-tblSales[[#This Row],[Budget]])/tblSales[[#This Row],[Budget]]</f>
        <v>-9.2450936277733556E-2</v>
      </c>
      <c r="M2777" s="2">
        <f>tblSales[[#This Row],[Sales]]/tblSales[[#This Row],[Transactions]]</f>
        <v>437</v>
      </c>
    </row>
    <row r="2778" spans="1:13" x14ac:dyDescent="0.25">
      <c r="A2778" s="1">
        <v>46161</v>
      </c>
      <c r="B2778" t="s">
        <v>27</v>
      </c>
      <c r="C2778" t="s">
        <v>9</v>
      </c>
      <c r="D2778" t="str">
        <f>_xlfn.XLOOKUP(tblSales[[#This Row],[Store ID]],tblStores[Store ID],tblStores[Store Name])</f>
        <v>East London</v>
      </c>
      <c r="E2778" t="str">
        <f>_xlfn.XLOOKUP(tblSales[[#This Row],[Store ID]],tblStores[Store ID],tblStores[Province])</f>
        <v>Eastern Cape</v>
      </c>
      <c r="F2778" t="str">
        <f>_xlfn.XLOOKUP(tblSales[[#This Row],[Store ID]],tblStores[Store ID],tblStores[Manager])</f>
        <v>Daniel Evans</v>
      </c>
      <c r="G2778" t="str">
        <f>_xlfn.XLOOKUP(tblSales[[#This Row],[Category ID]],tblCategories[Category ID],tblCategories[Category])</f>
        <v>Ladieswear</v>
      </c>
      <c r="H2778">
        <v>19680</v>
      </c>
      <c r="I2778">
        <v>21628</v>
      </c>
      <c r="J2778">
        <v>41</v>
      </c>
      <c r="K2778">
        <f>tblSales[[#This Row],[Sales]]-tblSales[[#This Row],[Budget]]</f>
        <v>-1948</v>
      </c>
      <c r="L2778" s="3">
        <f>(tblSales[[#This Row],[Sales]]-tblSales[[#This Row],[Budget]])/tblSales[[#This Row],[Budget]]</f>
        <v>-9.0068429813205106E-2</v>
      </c>
      <c r="M2778" s="2">
        <f>tblSales[[#This Row],[Sales]]/tblSales[[#This Row],[Transactions]]</f>
        <v>480</v>
      </c>
    </row>
    <row r="2779" spans="1:13" x14ac:dyDescent="0.25">
      <c r="A2779" s="1">
        <v>46161</v>
      </c>
      <c r="B2779" t="s">
        <v>28</v>
      </c>
      <c r="C2779" t="s">
        <v>11</v>
      </c>
      <c r="D2779" t="str">
        <f>_xlfn.XLOOKUP(tblSales[[#This Row],[Store ID]],tblStores[Store ID],tblStores[Store Name])</f>
        <v>Bloemfontein</v>
      </c>
      <c r="E2779" t="str">
        <f>_xlfn.XLOOKUP(tblSales[[#This Row],[Store ID]],tblStores[Store ID],tblStores[Province])</f>
        <v>Free State</v>
      </c>
      <c r="F2779" t="str">
        <f>_xlfn.XLOOKUP(tblSales[[#This Row],[Store ID]],tblStores[Store ID],tblStores[Manager])</f>
        <v>Rachel Moore</v>
      </c>
      <c r="G2779" t="str">
        <f>_xlfn.XLOOKUP(tblSales[[#This Row],[Category ID]],tblCategories[Category ID],tblCategories[Category])</f>
        <v>Footwear</v>
      </c>
      <c r="H2779">
        <v>36815</v>
      </c>
      <c r="I2779">
        <v>35803</v>
      </c>
      <c r="J2779">
        <v>185</v>
      </c>
      <c r="K2779">
        <f>tblSales[[#This Row],[Sales]]-tblSales[[#This Row],[Budget]]</f>
        <v>1012</v>
      </c>
      <c r="L2779" s="3">
        <f>(tblSales[[#This Row],[Sales]]-tblSales[[#This Row],[Budget]])/tblSales[[#This Row],[Budget]]</f>
        <v>2.8265787783146663E-2</v>
      </c>
      <c r="M2779" s="2">
        <f>tblSales[[#This Row],[Sales]]/tblSales[[#This Row],[Transactions]]</f>
        <v>199</v>
      </c>
    </row>
    <row r="2780" spans="1:13" x14ac:dyDescent="0.25">
      <c r="A2780" s="1">
        <v>46161</v>
      </c>
      <c r="B2780" t="s">
        <v>29</v>
      </c>
      <c r="C2780" t="s">
        <v>9</v>
      </c>
      <c r="D2780" t="str">
        <f>_xlfn.XLOOKUP(tblSales[[#This Row],[Store ID]],tblStores[Store ID],tblStores[Store Name])</f>
        <v>Polokwane</v>
      </c>
      <c r="E2780" t="str">
        <f>_xlfn.XLOOKUP(tblSales[[#This Row],[Store ID]],tblStores[Store ID],tblStores[Province])</f>
        <v>Limpopo</v>
      </c>
      <c r="F2780" t="str">
        <f>_xlfn.XLOOKUP(tblSales[[#This Row],[Store ID]],tblStores[Store ID],tblStores[Manager])</f>
        <v>Kevin Harris</v>
      </c>
      <c r="G2780" t="str">
        <f>_xlfn.XLOOKUP(tblSales[[#This Row],[Category ID]],tblCategories[Category ID],tblCategories[Category])</f>
        <v>Ladieswear</v>
      </c>
      <c r="H2780">
        <v>87153</v>
      </c>
      <c r="I2780">
        <v>80153</v>
      </c>
      <c r="J2780">
        <v>209</v>
      </c>
      <c r="K2780">
        <f>tblSales[[#This Row],[Sales]]-tblSales[[#This Row],[Budget]]</f>
        <v>7000</v>
      </c>
      <c r="L2780" s="3">
        <f>(tblSales[[#This Row],[Sales]]-tblSales[[#This Row],[Budget]])/tblSales[[#This Row],[Budget]]</f>
        <v>8.7332975684004346E-2</v>
      </c>
      <c r="M2780" s="2">
        <f>tblSales[[#This Row],[Sales]]/tblSales[[#This Row],[Transactions]]</f>
        <v>417</v>
      </c>
    </row>
    <row r="2781" spans="1:13" x14ac:dyDescent="0.25">
      <c r="A2781" s="1">
        <v>46161</v>
      </c>
      <c r="B2781" t="s">
        <v>30</v>
      </c>
      <c r="C2781" t="s">
        <v>7</v>
      </c>
      <c r="D2781" t="str">
        <f>_xlfn.XLOOKUP(tblSales[[#This Row],[Store ID]],tblStores[Store ID],tblStores[Store Name])</f>
        <v>Nelspruit</v>
      </c>
      <c r="E2781" t="str">
        <f>_xlfn.XLOOKUP(tblSales[[#This Row],[Store ID]],tblStores[Store ID],tblStores[Province])</f>
        <v>Mpumalanga</v>
      </c>
      <c r="F2781" t="str">
        <f>_xlfn.XLOOKUP(tblSales[[#This Row],[Store ID]],tblStores[Store ID],tblStores[Manager])</f>
        <v>Olivia Turner</v>
      </c>
      <c r="G2781" t="str">
        <f>_xlfn.XLOOKUP(tblSales[[#This Row],[Category ID]],tblCategories[Category ID],tblCategories[Category])</f>
        <v>Menswear</v>
      </c>
      <c r="H2781">
        <v>64964</v>
      </c>
      <c r="I2781">
        <v>72831</v>
      </c>
      <c r="J2781">
        <v>218</v>
      </c>
      <c r="K2781">
        <f>tblSales[[#This Row],[Sales]]-tblSales[[#This Row],[Budget]]</f>
        <v>-7867</v>
      </c>
      <c r="L2781" s="3">
        <f>(tblSales[[#This Row],[Sales]]-tblSales[[#This Row],[Budget]])/tblSales[[#This Row],[Budget]]</f>
        <v>-0.10801719048207493</v>
      </c>
      <c r="M2781" s="2">
        <f>tblSales[[#This Row],[Sales]]/tblSales[[#This Row],[Transactions]]</f>
        <v>298</v>
      </c>
    </row>
    <row r="2782" spans="1:13" x14ac:dyDescent="0.25">
      <c r="A2782" s="1">
        <v>46162</v>
      </c>
      <c r="B2782" t="s">
        <v>6</v>
      </c>
      <c r="C2782" t="s">
        <v>9</v>
      </c>
      <c r="D2782" t="str">
        <f>_xlfn.XLOOKUP(tblSales[[#This Row],[Store ID]],tblStores[Store ID],tblStores[Store Name])</f>
        <v>Durban CBD</v>
      </c>
      <c r="E2782" t="str">
        <f>_xlfn.XLOOKUP(tblSales[[#This Row],[Store ID]],tblStores[Store ID],tblStores[Province])</f>
        <v>KZN</v>
      </c>
      <c r="F2782" t="str">
        <f>_xlfn.XLOOKUP(tblSales[[#This Row],[Store ID]],tblStores[Store ID],tblStores[Manager])</f>
        <v>Sarah Adams</v>
      </c>
      <c r="G2782" t="str">
        <f>_xlfn.XLOOKUP(tblSales[[#This Row],[Category ID]],tblCategories[Category ID],tblCategories[Category])</f>
        <v>Ladieswear</v>
      </c>
      <c r="H2782">
        <v>57116</v>
      </c>
      <c r="I2782">
        <v>65589</v>
      </c>
      <c r="J2782">
        <v>218</v>
      </c>
      <c r="K2782">
        <f>tblSales[[#This Row],[Sales]]-tblSales[[#This Row],[Budget]]</f>
        <v>-8473</v>
      </c>
      <c r="L2782" s="3">
        <f>(tblSales[[#This Row],[Sales]]-tblSales[[#This Row],[Budget]])/tblSales[[#This Row],[Budget]]</f>
        <v>-0.12918324719083993</v>
      </c>
      <c r="M2782" s="2">
        <f>tblSales[[#This Row],[Sales]]/tblSales[[#This Row],[Transactions]]</f>
        <v>262</v>
      </c>
    </row>
    <row r="2783" spans="1:13" x14ac:dyDescent="0.25">
      <c r="A2783" s="1">
        <v>46162</v>
      </c>
      <c r="B2783" t="s">
        <v>8</v>
      </c>
      <c r="C2783" t="s">
        <v>19</v>
      </c>
      <c r="D2783" t="str">
        <f>_xlfn.XLOOKUP(tblSales[[#This Row],[Store ID]],tblStores[Store ID],tblStores[Store Name])</f>
        <v>Gateway</v>
      </c>
      <c r="E2783" t="str">
        <f>_xlfn.XLOOKUP(tblSales[[#This Row],[Store ID]],tblStores[Store ID],tblStores[Province])</f>
        <v>KZN</v>
      </c>
      <c r="F2783" t="str">
        <f>_xlfn.XLOOKUP(tblSales[[#This Row],[Store ID]],tblStores[Store ID],tblStores[Manager])</f>
        <v>Michael Jones</v>
      </c>
      <c r="G2783" t="str">
        <f>_xlfn.XLOOKUP(tblSales[[#This Row],[Category ID]],tblCategories[Category ID],tblCategories[Category])</f>
        <v>Accessories</v>
      </c>
      <c r="H2783">
        <v>81997</v>
      </c>
      <c r="I2783">
        <v>87150</v>
      </c>
      <c r="J2783">
        <v>167</v>
      </c>
      <c r="K2783">
        <f>tblSales[[#This Row],[Sales]]-tblSales[[#This Row],[Budget]]</f>
        <v>-5153</v>
      </c>
      <c r="L2783" s="3">
        <f>(tblSales[[#This Row],[Sales]]-tblSales[[#This Row],[Budget]])/tblSales[[#This Row],[Budget]]</f>
        <v>-5.9127940332759608E-2</v>
      </c>
      <c r="M2783" s="2">
        <f>tblSales[[#This Row],[Sales]]/tblSales[[#This Row],[Transactions]]</f>
        <v>491</v>
      </c>
    </row>
    <row r="2784" spans="1:13" x14ac:dyDescent="0.25">
      <c r="A2784" s="1">
        <v>46162</v>
      </c>
      <c r="B2784" t="s">
        <v>10</v>
      </c>
      <c r="C2784" t="s">
        <v>22</v>
      </c>
      <c r="D2784" t="str">
        <f>_xlfn.XLOOKUP(tblSales[[#This Row],[Store ID]],tblStores[Store ID],tblStores[Store Name])</f>
        <v>Ballito</v>
      </c>
      <c r="E2784" t="str">
        <f>_xlfn.XLOOKUP(tblSales[[#This Row],[Store ID]],tblStores[Store ID],tblStores[Province])</f>
        <v>KZN</v>
      </c>
      <c r="F2784" t="str">
        <f>_xlfn.XLOOKUP(tblSales[[#This Row],[Store ID]],tblStores[Store ID],tblStores[Manager])</f>
        <v>Linda Smith</v>
      </c>
      <c r="G2784" t="str">
        <f>_xlfn.XLOOKUP(tblSales[[#This Row],[Category ID]],tblCategories[Category ID],tblCategories[Category])</f>
        <v>Kids</v>
      </c>
      <c r="H2784">
        <v>36803</v>
      </c>
      <c r="I2784">
        <v>36241</v>
      </c>
      <c r="J2784">
        <v>149</v>
      </c>
      <c r="K2784">
        <f>tblSales[[#This Row],[Sales]]-tblSales[[#This Row],[Budget]]</f>
        <v>562</v>
      </c>
      <c r="L2784" s="3">
        <f>(tblSales[[#This Row],[Sales]]-tblSales[[#This Row],[Budget]])/tblSales[[#This Row],[Budget]]</f>
        <v>1.5507298363731685E-2</v>
      </c>
      <c r="M2784" s="2">
        <f>tblSales[[#This Row],[Sales]]/tblSales[[#This Row],[Transactions]]</f>
        <v>247</v>
      </c>
    </row>
    <row r="2785" spans="1:13" x14ac:dyDescent="0.25">
      <c r="A2785" s="1">
        <v>46162</v>
      </c>
      <c r="B2785" t="s">
        <v>12</v>
      </c>
      <c r="C2785" t="s">
        <v>22</v>
      </c>
      <c r="D2785" t="str">
        <f>_xlfn.XLOOKUP(tblSales[[#This Row],[Store ID]],tblStores[Store ID],tblStores[Store Name])</f>
        <v>Pietermaritzburg</v>
      </c>
      <c r="E2785" t="str">
        <f>_xlfn.XLOOKUP(tblSales[[#This Row],[Store ID]],tblStores[Store ID],tblStores[Province])</f>
        <v>KZN</v>
      </c>
      <c r="F2785" t="str">
        <f>_xlfn.XLOOKUP(tblSales[[#This Row],[Store ID]],tblStores[Store ID],tblStores[Manager])</f>
        <v>Peter Brown</v>
      </c>
      <c r="G2785" t="str">
        <f>_xlfn.XLOOKUP(tblSales[[#This Row],[Category ID]],tblCategories[Category ID],tblCategories[Category])</f>
        <v>Kids</v>
      </c>
      <c r="H2785">
        <v>77600</v>
      </c>
      <c r="I2785">
        <v>70616</v>
      </c>
      <c r="J2785">
        <v>194</v>
      </c>
      <c r="K2785">
        <f>tblSales[[#This Row],[Sales]]-tblSales[[#This Row],[Budget]]</f>
        <v>6984</v>
      </c>
      <c r="L2785" s="3">
        <f>(tblSales[[#This Row],[Sales]]-tblSales[[#This Row],[Budget]])/tblSales[[#This Row],[Budget]]</f>
        <v>9.8901098901098897E-2</v>
      </c>
      <c r="M2785" s="2">
        <f>tblSales[[#This Row],[Sales]]/tblSales[[#This Row],[Transactions]]</f>
        <v>400</v>
      </c>
    </row>
    <row r="2786" spans="1:13" x14ac:dyDescent="0.25">
      <c r="A2786" s="1">
        <v>46162</v>
      </c>
      <c r="B2786" t="s">
        <v>13</v>
      </c>
      <c r="C2786" t="s">
        <v>11</v>
      </c>
      <c r="D2786" t="str">
        <f>_xlfn.XLOOKUP(tblSales[[#This Row],[Store ID]],tblStores[Store ID],tblStores[Store Name])</f>
        <v>Richards Bay</v>
      </c>
      <c r="E2786" t="str">
        <f>_xlfn.XLOOKUP(tblSales[[#This Row],[Store ID]],tblStores[Store ID],tblStores[Province])</f>
        <v>KZN</v>
      </c>
      <c r="F2786" t="str">
        <f>_xlfn.XLOOKUP(tblSales[[#This Row],[Store ID]],tblStores[Store ID],tblStores[Manager])</f>
        <v>David Green</v>
      </c>
      <c r="G2786" t="str">
        <f>_xlfn.XLOOKUP(tblSales[[#This Row],[Category ID]],tblCategories[Category ID],tblCategories[Category])</f>
        <v>Footwear</v>
      </c>
      <c r="H2786">
        <v>27456</v>
      </c>
      <c r="I2786">
        <v>31553</v>
      </c>
      <c r="J2786">
        <v>96</v>
      </c>
      <c r="K2786">
        <f>tblSales[[#This Row],[Sales]]-tblSales[[#This Row],[Budget]]</f>
        <v>-4097</v>
      </c>
      <c r="L2786" s="3">
        <f>(tblSales[[#This Row],[Sales]]-tblSales[[#This Row],[Budget]])/tblSales[[#This Row],[Budget]]</f>
        <v>-0.12984502266028586</v>
      </c>
      <c r="M2786" s="2">
        <f>tblSales[[#This Row],[Sales]]/tblSales[[#This Row],[Transactions]]</f>
        <v>286</v>
      </c>
    </row>
    <row r="2787" spans="1:13" x14ac:dyDescent="0.25">
      <c r="A2787" s="1">
        <v>46162</v>
      </c>
      <c r="B2787" t="s">
        <v>14</v>
      </c>
      <c r="C2787" t="s">
        <v>19</v>
      </c>
      <c r="D2787" t="str">
        <f>_xlfn.XLOOKUP(tblSales[[#This Row],[Store ID]],tblStores[Store ID],tblStores[Store Name])</f>
        <v>Sandton</v>
      </c>
      <c r="E2787" t="str">
        <f>_xlfn.XLOOKUP(tblSales[[#This Row],[Store ID]],tblStores[Store ID],tblStores[Province])</f>
        <v>Gauteng</v>
      </c>
      <c r="F2787" t="str">
        <f>_xlfn.XLOOKUP(tblSales[[#This Row],[Store ID]],tblStores[Store ID],tblStores[Manager])</f>
        <v>Karen White</v>
      </c>
      <c r="G2787" t="str">
        <f>_xlfn.XLOOKUP(tblSales[[#This Row],[Category ID]],tblCategories[Category ID],tblCategories[Category])</f>
        <v>Accessories</v>
      </c>
      <c r="H2787">
        <v>13932</v>
      </c>
      <c r="I2787">
        <v>14513</v>
      </c>
      <c r="J2787">
        <v>54</v>
      </c>
      <c r="K2787">
        <f>tblSales[[#This Row],[Sales]]-tblSales[[#This Row],[Budget]]</f>
        <v>-581</v>
      </c>
      <c r="L2787" s="3">
        <f>(tblSales[[#This Row],[Sales]]-tblSales[[#This Row],[Budget]])/tblSales[[#This Row],[Budget]]</f>
        <v>-4.003307379590712E-2</v>
      </c>
      <c r="M2787" s="2">
        <f>tblSales[[#This Row],[Sales]]/tblSales[[#This Row],[Transactions]]</f>
        <v>258</v>
      </c>
    </row>
    <row r="2788" spans="1:13" x14ac:dyDescent="0.25">
      <c r="A2788" s="1">
        <v>46162</v>
      </c>
      <c r="B2788" t="s">
        <v>15</v>
      </c>
      <c r="C2788" t="s">
        <v>11</v>
      </c>
      <c r="D2788" t="str">
        <f>_xlfn.XLOOKUP(tblSales[[#This Row],[Store ID]],tblStores[Store ID],tblStores[Store Name])</f>
        <v>Rosebank</v>
      </c>
      <c r="E2788" t="str">
        <f>_xlfn.XLOOKUP(tblSales[[#This Row],[Store ID]],tblStores[Store ID],tblStores[Province])</f>
        <v>Gauteng</v>
      </c>
      <c r="F2788" t="str">
        <f>_xlfn.XLOOKUP(tblSales[[#This Row],[Store ID]],tblStores[Store ID],tblStores[Manager])</f>
        <v>James Taylor</v>
      </c>
      <c r="G2788" t="str">
        <f>_xlfn.XLOOKUP(tblSales[[#This Row],[Category ID]],tblCategories[Category ID],tblCategories[Category])</f>
        <v>Footwear</v>
      </c>
      <c r="H2788">
        <v>11033</v>
      </c>
      <c r="I2788">
        <v>10323</v>
      </c>
      <c r="J2788">
        <v>59</v>
      </c>
      <c r="K2788">
        <f>tblSales[[#This Row],[Sales]]-tblSales[[#This Row],[Budget]]</f>
        <v>710</v>
      </c>
      <c r="L2788" s="3">
        <f>(tblSales[[#This Row],[Sales]]-tblSales[[#This Row],[Budget]])/tblSales[[#This Row],[Budget]]</f>
        <v>6.8778455875230071E-2</v>
      </c>
      <c r="M2788" s="2">
        <f>tblSales[[#This Row],[Sales]]/tblSales[[#This Row],[Transactions]]</f>
        <v>187</v>
      </c>
    </row>
    <row r="2789" spans="1:13" x14ac:dyDescent="0.25">
      <c r="A2789" s="1">
        <v>46162</v>
      </c>
      <c r="B2789" t="s">
        <v>16</v>
      </c>
      <c r="C2789" t="s">
        <v>22</v>
      </c>
      <c r="D2789" t="str">
        <f>_xlfn.XLOOKUP(tblSales[[#This Row],[Store ID]],tblStores[Store ID],tblStores[Store Name])</f>
        <v>Pretoria</v>
      </c>
      <c r="E2789" t="str">
        <f>_xlfn.XLOOKUP(tblSales[[#This Row],[Store ID]],tblStores[Store ID],tblStores[Province])</f>
        <v>Gauteng</v>
      </c>
      <c r="F2789" t="str">
        <f>_xlfn.XLOOKUP(tblSales[[#This Row],[Store ID]],tblStores[Store ID],tblStores[Manager])</f>
        <v>Susan Clark</v>
      </c>
      <c r="G2789" t="str">
        <f>_xlfn.XLOOKUP(tblSales[[#This Row],[Category ID]],tblCategories[Category ID],tblCategories[Category])</f>
        <v>Kids</v>
      </c>
      <c r="H2789">
        <v>39200</v>
      </c>
      <c r="I2789">
        <v>40169</v>
      </c>
      <c r="J2789">
        <v>175</v>
      </c>
      <c r="K2789">
        <f>tblSales[[#This Row],[Sales]]-tblSales[[#This Row],[Budget]]</f>
        <v>-969</v>
      </c>
      <c r="L2789" s="3">
        <f>(tblSales[[#This Row],[Sales]]-tblSales[[#This Row],[Budget]])/tblSales[[#This Row],[Budget]]</f>
        <v>-2.4123079987054694E-2</v>
      </c>
      <c r="M2789" s="2">
        <f>tblSales[[#This Row],[Sales]]/tblSales[[#This Row],[Transactions]]</f>
        <v>224</v>
      </c>
    </row>
    <row r="2790" spans="1:13" x14ac:dyDescent="0.25">
      <c r="A2790" s="1">
        <v>46162</v>
      </c>
      <c r="B2790" t="s">
        <v>17</v>
      </c>
      <c r="C2790" t="s">
        <v>11</v>
      </c>
      <c r="D2790" t="str">
        <f>_xlfn.XLOOKUP(tblSales[[#This Row],[Store ID]],tblStores[Store ID],tblStores[Store Name])</f>
        <v>Centurion</v>
      </c>
      <c r="E2790" t="str">
        <f>_xlfn.XLOOKUP(tblSales[[#This Row],[Store ID]],tblStores[Store ID],tblStores[Province])</f>
        <v>Gauteng</v>
      </c>
      <c r="F2790" t="str">
        <f>_xlfn.XLOOKUP(tblSales[[#This Row],[Store ID]],tblStores[Store ID],tblStores[Manager])</f>
        <v>Mark Wilson</v>
      </c>
      <c r="G2790" t="str">
        <f>_xlfn.XLOOKUP(tblSales[[#This Row],[Category ID]],tblCategories[Category ID],tblCategories[Category])</f>
        <v>Footwear</v>
      </c>
      <c r="H2790">
        <v>30590</v>
      </c>
      <c r="I2790">
        <v>34674</v>
      </c>
      <c r="J2790">
        <v>115</v>
      </c>
      <c r="K2790">
        <f>tblSales[[#This Row],[Sales]]-tblSales[[#This Row],[Budget]]</f>
        <v>-4084</v>
      </c>
      <c r="L2790" s="3">
        <f>(tblSales[[#This Row],[Sales]]-tblSales[[#This Row],[Budget]])/tblSales[[#This Row],[Budget]]</f>
        <v>-0.11778277672030917</v>
      </c>
      <c r="M2790" s="2">
        <f>tblSales[[#This Row],[Sales]]/tblSales[[#This Row],[Transactions]]</f>
        <v>266</v>
      </c>
    </row>
    <row r="2791" spans="1:13" x14ac:dyDescent="0.25">
      <c r="A2791" s="1">
        <v>46162</v>
      </c>
      <c r="B2791" t="s">
        <v>18</v>
      </c>
      <c r="C2791" t="s">
        <v>9</v>
      </c>
      <c r="D2791" t="str">
        <f>_xlfn.XLOOKUP(tblSales[[#This Row],[Store ID]],tblStores[Store ID],tblStores[Store Name])</f>
        <v>East Rand</v>
      </c>
      <c r="E2791" t="str">
        <f>_xlfn.XLOOKUP(tblSales[[#This Row],[Store ID]],tblStores[Store ID],tblStores[Province])</f>
        <v>Gauteng</v>
      </c>
      <c r="F2791" t="str">
        <f>_xlfn.XLOOKUP(tblSales[[#This Row],[Store ID]],tblStores[Store ID],tblStores[Manager])</f>
        <v>Lisa Young</v>
      </c>
      <c r="G2791" t="str">
        <f>_xlfn.XLOOKUP(tblSales[[#This Row],[Category ID]],tblCategories[Category ID],tblCategories[Category])</f>
        <v>Ladieswear</v>
      </c>
      <c r="H2791">
        <v>16796</v>
      </c>
      <c r="I2791">
        <v>17537</v>
      </c>
      <c r="J2791">
        <v>52</v>
      </c>
      <c r="K2791">
        <f>tblSales[[#This Row],[Sales]]-tblSales[[#This Row],[Budget]]</f>
        <v>-741</v>
      </c>
      <c r="L2791" s="3">
        <f>(tblSales[[#This Row],[Sales]]-tblSales[[#This Row],[Budget]])/tblSales[[#This Row],[Budget]]</f>
        <v>-4.2253521126760563E-2</v>
      </c>
      <c r="M2791" s="2">
        <f>tblSales[[#This Row],[Sales]]/tblSales[[#This Row],[Transactions]]</f>
        <v>323</v>
      </c>
    </row>
    <row r="2792" spans="1:13" x14ac:dyDescent="0.25">
      <c r="A2792" s="1">
        <v>46162</v>
      </c>
      <c r="B2792" t="s">
        <v>20</v>
      </c>
      <c r="C2792" t="s">
        <v>22</v>
      </c>
      <c r="D2792" t="str">
        <f>_xlfn.XLOOKUP(tblSales[[#This Row],[Store ID]],tblStores[Store ID],tblStores[Store Name])</f>
        <v>Cape Town CBD</v>
      </c>
      <c r="E2792" t="str">
        <f>_xlfn.XLOOKUP(tblSales[[#This Row],[Store ID]],tblStores[Store ID],tblStores[Province])</f>
        <v>Western Cape</v>
      </c>
      <c r="F2792" t="str">
        <f>_xlfn.XLOOKUP(tblSales[[#This Row],[Store ID]],tblStores[Store ID],tblStores[Manager])</f>
        <v>Brian Hall</v>
      </c>
      <c r="G2792" t="str">
        <f>_xlfn.XLOOKUP(tblSales[[#This Row],[Category ID]],tblCategories[Category ID],tblCategories[Category])</f>
        <v>Kids</v>
      </c>
      <c r="H2792">
        <v>12312</v>
      </c>
      <c r="I2792">
        <v>11632</v>
      </c>
      <c r="J2792">
        <v>57</v>
      </c>
      <c r="K2792">
        <f>tblSales[[#This Row],[Sales]]-tblSales[[#This Row],[Budget]]</f>
        <v>680</v>
      </c>
      <c r="L2792" s="3">
        <f>(tblSales[[#This Row],[Sales]]-tblSales[[#This Row],[Budget]])/tblSales[[#This Row],[Budget]]</f>
        <v>5.8459422283356259E-2</v>
      </c>
      <c r="M2792" s="2">
        <f>tblSales[[#This Row],[Sales]]/tblSales[[#This Row],[Transactions]]</f>
        <v>216</v>
      </c>
    </row>
    <row r="2793" spans="1:13" x14ac:dyDescent="0.25">
      <c r="A2793" s="1">
        <v>46162</v>
      </c>
      <c r="B2793" t="s">
        <v>21</v>
      </c>
      <c r="C2793" t="s">
        <v>11</v>
      </c>
      <c r="D2793" t="str">
        <f>_xlfn.XLOOKUP(tblSales[[#This Row],[Store ID]],tblStores[Store ID],tblStores[Store Name])</f>
        <v>Canal Walk</v>
      </c>
      <c r="E2793" t="str">
        <f>_xlfn.XLOOKUP(tblSales[[#This Row],[Store ID]],tblStores[Store ID],tblStores[Province])</f>
        <v>Western Cape</v>
      </c>
      <c r="F2793" t="str">
        <f>_xlfn.XLOOKUP(tblSales[[#This Row],[Store ID]],tblStores[Store ID],tblStores[Manager])</f>
        <v>Megan Scott</v>
      </c>
      <c r="G2793" t="str">
        <f>_xlfn.XLOOKUP(tblSales[[#This Row],[Category ID]],tblCategories[Category ID],tblCategories[Category])</f>
        <v>Footwear</v>
      </c>
      <c r="H2793">
        <v>42622</v>
      </c>
      <c r="I2793">
        <v>48786</v>
      </c>
      <c r="J2793">
        <v>101</v>
      </c>
      <c r="K2793">
        <f>tblSales[[#This Row],[Sales]]-tblSales[[#This Row],[Budget]]</f>
        <v>-6164</v>
      </c>
      <c r="L2793" s="3">
        <f>(tblSales[[#This Row],[Sales]]-tblSales[[#This Row],[Budget]])/tblSales[[#This Row],[Budget]]</f>
        <v>-0.12634772270733408</v>
      </c>
      <c r="M2793" s="2">
        <f>tblSales[[#This Row],[Sales]]/tblSales[[#This Row],[Transactions]]</f>
        <v>422</v>
      </c>
    </row>
    <row r="2794" spans="1:13" x14ac:dyDescent="0.25">
      <c r="A2794" s="1">
        <v>46162</v>
      </c>
      <c r="B2794" t="s">
        <v>23</v>
      </c>
      <c r="C2794" t="s">
        <v>11</v>
      </c>
      <c r="D2794" t="str">
        <f>_xlfn.XLOOKUP(tblSales[[#This Row],[Store ID]],tblStores[Store ID],tblStores[Store Name])</f>
        <v>Stellenbosch</v>
      </c>
      <c r="E2794" t="str">
        <f>_xlfn.XLOOKUP(tblSales[[#This Row],[Store ID]],tblStores[Store ID],tblStores[Province])</f>
        <v>Western Cape</v>
      </c>
      <c r="F2794" t="str">
        <f>_xlfn.XLOOKUP(tblSales[[#This Row],[Store ID]],tblStores[Store ID],tblStores[Manager])</f>
        <v>Jason King</v>
      </c>
      <c r="G2794" t="str">
        <f>_xlfn.XLOOKUP(tblSales[[#This Row],[Category ID]],tblCategories[Category ID],tblCategories[Category])</f>
        <v>Footwear</v>
      </c>
      <c r="H2794">
        <v>50451</v>
      </c>
      <c r="I2794">
        <v>57259</v>
      </c>
      <c r="J2794">
        <v>201</v>
      </c>
      <c r="K2794">
        <f>tblSales[[#This Row],[Sales]]-tblSales[[#This Row],[Budget]]</f>
        <v>-6808</v>
      </c>
      <c r="L2794" s="3">
        <f>(tblSales[[#This Row],[Sales]]-tblSales[[#This Row],[Budget]])/tblSales[[#This Row],[Budget]]</f>
        <v>-0.11889833912572696</v>
      </c>
      <c r="M2794" s="2">
        <f>tblSales[[#This Row],[Sales]]/tblSales[[#This Row],[Transactions]]</f>
        <v>251</v>
      </c>
    </row>
    <row r="2795" spans="1:13" x14ac:dyDescent="0.25">
      <c r="A2795" s="1">
        <v>46162</v>
      </c>
      <c r="B2795" t="s">
        <v>24</v>
      </c>
      <c r="C2795" t="s">
        <v>19</v>
      </c>
      <c r="D2795" t="str">
        <f>_xlfn.XLOOKUP(tblSales[[#This Row],[Store ID]],tblStores[Store ID],tblStores[Store Name])</f>
        <v>George</v>
      </c>
      <c r="E2795" t="str">
        <f>_xlfn.XLOOKUP(tblSales[[#This Row],[Store ID]],tblStores[Store ID],tblStores[Province])</f>
        <v>Western Cape</v>
      </c>
      <c r="F2795" t="str">
        <f>_xlfn.XLOOKUP(tblSales[[#This Row],[Store ID]],tblStores[Store ID],tblStores[Manager])</f>
        <v>Chloe Hill</v>
      </c>
      <c r="G2795" t="str">
        <f>_xlfn.XLOOKUP(tblSales[[#This Row],[Category ID]],tblCategories[Category ID],tblCategories[Category])</f>
        <v>Accessories</v>
      </c>
      <c r="H2795">
        <v>31800</v>
      </c>
      <c r="I2795">
        <v>31509</v>
      </c>
      <c r="J2795">
        <v>159</v>
      </c>
      <c r="K2795">
        <f>tblSales[[#This Row],[Sales]]-tblSales[[#This Row],[Budget]]</f>
        <v>291</v>
      </c>
      <c r="L2795" s="3">
        <f>(tblSales[[#This Row],[Sales]]-tblSales[[#This Row],[Budget]])/tblSales[[#This Row],[Budget]]</f>
        <v>9.235456536227744E-3</v>
      </c>
      <c r="M2795" s="2">
        <f>tblSales[[#This Row],[Sales]]/tblSales[[#This Row],[Transactions]]</f>
        <v>200</v>
      </c>
    </row>
    <row r="2796" spans="1:13" x14ac:dyDescent="0.25">
      <c r="A2796" s="1">
        <v>46162</v>
      </c>
      <c r="B2796" t="s">
        <v>25</v>
      </c>
      <c r="C2796" t="s">
        <v>22</v>
      </c>
      <c r="D2796" t="str">
        <f>_xlfn.XLOOKUP(tblSales[[#This Row],[Store ID]],tblStores[Store ID],tblStores[Store Name])</f>
        <v>Paarl</v>
      </c>
      <c r="E2796" t="str">
        <f>_xlfn.XLOOKUP(tblSales[[#This Row],[Store ID]],tblStores[Store ID],tblStores[Province])</f>
        <v>Western Cape</v>
      </c>
      <c r="F2796" t="str">
        <f>_xlfn.XLOOKUP(tblSales[[#This Row],[Store ID]],tblStores[Store ID],tblStores[Manager])</f>
        <v>Andrew Lee</v>
      </c>
      <c r="G2796" t="str">
        <f>_xlfn.XLOOKUP(tblSales[[#This Row],[Category ID]],tblCategories[Category ID],tblCategories[Category])</f>
        <v>Kids</v>
      </c>
      <c r="H2796">
        <v>53293</v>
      </c>
      <c r="I2796">
        <v>59381</v>
      </c>
      <c r="J2796">
        <v>137</v>
      </c>
      <c r="K2796">
        <f>tblSales[[#This Row],[Sales]]-tblSales[[#This Row],[Budget]]</f>
        <v>-6088</v>
      </c>
      <c r="L2796" s="3">
        <f>(tblSales[[#This Row],[Sales]]-tblSales[[#This Row],[Budget]])/tblSales[[#This Row],[Budget]]</f>
        <v>-0.10252437648406056</v>
      </c>
      <c r="M2796" s="2">
        <f>tblSales[[#This Row],[Sales]]/tblSales[[#This Row],[Transactions]]</f>
        <v>389</v>
      </c>
    </row>
    <row r="2797" spans="1:13" x14ac:dyDescent="0.25">
      <c r="A2797" s="1">
        <v>46162</v>
      </c>
      <c r="B2797" t="s">
        <v>26</v>
      </c>
      <c r="C2797" t="s">
        <v>9</v>
      </c>
      <c r="D2797" t="str">
        <f>_xlfn.XLOOKUP(tblSales[[#This Row],[Store ID]],tblStores[Store ID],tblStores[Store Name])</f>
        <v>Gqeberha</v>
      </c>
      <c r="E2797" t="str">
        <f>_xlfn.XLOOKUP(tblSales[[#This Row],[Store ID]],tblStores[Store ID],tblStores[Province])</f>
        <v>Eastern Cape</v>
      </c>
      <c r="F2797" t="str">
        <f>_xlfn.XLOOKUP(tblSales[[#This Row],[Store ID]],tblStores[Store ID],tblStores[Manager])</f>
        <v>Emma Baker</v>
      </c>
      <c r="G2797" t="str">
        <f>_xlfn.XLOOKUP(tblSales[[#This Row],[Category ID]],tblCategories[Category ID],tblCategories[Category])</f>
        <v>Ladieswear</v>
      </c>
      <c r="H2797">
        <v>53949</v>
      </c>
      <c r="I2797">
        <v>55466</v>
      </c>
      <c r="J2797">
        <v>147</v>
      </c>
      <c r="K2797">
        <f>tblSales[[#This Row],[Sales]]-tblSales[[#This Row],[Budget]]</f>
        <v>-1517</v>
      </c>
      <c r="L2797" s="3">
        <f>(tblSales[[#This Row],[Sales]]-tblSales[[#This Row],[Budget]])/tblSales[[#This Row],[Budget]]</f>
        <v>-2.7350088342407961E-2</v>
      </c>
      <c r="M2797" s="2">
        <f>tblSales[[#This Row],[Sales]]/tblSales[[#This Row],[Transactions]]</f>
        <v>367</v>
      </c>
    </row>
    <row r="2798" spans="1:13" x14ac:dyDescent="0.25">
      <c r="A2798" s="1">
        <v>46162</v>
      </c>
      <c r="B2798" t="s">
        <v>27</v>
      </c>
      <c r="C2798" t="s">
        <v>19</v>
      </c>
      <c r="D2798" t="str">
        <f>_xlfn.XLOOKUP(tblSales[[#This Row],[Store ID]],tblStores[Store ID],tblStores[Store Name])</f>
        <v>East London</v>
      </c>
      <c r="E2798" t="str">
        <f>_xlfn.XLOOKUP(tblSales[[#This Row],[Store ID]],tblStores[Store ID],tblStores[Province])</f>
        <v>Eastern Cape</v>
      </c>
      <c r="F2798" t="str">
        <f>_xlfn.XLOOKUP(tblSales[[#This Row],[Store ID]],tblStores[Store ID],tblStores[Manager])</f>
        <v>Daniel Evans</v>
      </c>
      <c r="G2798" t="str">
        <f>_xlfn.XLOOKUP(tblSales[[#This Row],[Category ID]],tblCategories[Category ID],tblCategories[Category])</f>
        <v>Accessories</v>
      </c>
      <c r="H2798">
        <v>42665</v>
      </c>
      <c r="I2798">
        <v>39289</v>
      </c>
      <c r="J2798">
        <v>115</v>
      </c>
      <c r="K2798">
        <f>tblSales[[#This Row],[Sales]]-tblSales[[#This Row],[Budget]]</f>
        <v>3376</v>
      </c>
      <c r="L2798" s="3">
        <f>(tblSales[[#This Row],[Sales]]-tblSales[[#This Row],[Budget]])/tblSales[[#This Row],[Budget]]</f>
        <v>8.5927358802718318E-2</v>
      </c>
      <c r="M2798" s="2">
        <f>tblSales[[#This Row],[Sales]]/tblSales[[#This Row],[Transactions]]</f>
        <v>371</v>
      </c>
    </row>
    <row r="2799" spans="1:13" x14ac:dyDescent="0.25">
      <c r="A2799" s="1">
        <v>46162</v>
      </c>
      <c r="B2799" t="s">
        <v>28</v>
      </c>
      <c r="C2799" t="s">
        <v>11</v>
      </c>
      <c r="D2799" t="str">
        <f>_xlfn.XLOOKUP(tblSales[[#This Row],[Store ID]],tblStores[Store ID],tblStores[Store Name])</f>
        <v>Bloemfontein</v>
      </c>
      <c r="E2799" t="str">
        <f>_xlfn.XLOOKUP(tblSales[[#This Row],[Store ID]],tblStores[Store ID],tblStores[Province])</f>
        <v>Free State</v>
      </c>
      <c r="F2799" t="str">
        <f>_xlfn.XLOOKUP(tblSales[[#This Row],[Store ID]],tblStores[Store ID],tblStores[Manager])</f>
        <v>Rachel Moore</v>
      </c>
      <c r="G2799" t="str">
        <f>_xlfn.XLOOKUP(tblSales[[#This Row],[Category ID]],tblCategories[Category ID],tblCategories[Category])</f>
        <v>Footwear</v>
      </c>
      <c r="H2799">
        <v>67240</v>
      </c>
      <c r="I2799">
        <v>64934</v>
      </c>
      <c r="J2799">
        <v>164</v>
      </c>
      <c r="K2799">
        <f>tblSales[[#This Row],[Sales]]-tblSales[[#This Row],[Budget]]</f>
        <v>2306</v>
      </c>
      <c r="L2799" s="3">
        <f>(tblSales[[#This Row],[Sales]]-tblSales[[#This Row],[Budget]])/tblSales[[#This Row],[Budget]]</f>
        <v>3.5512982412911571E-2</v>
      </c>
      <c r="M2799" s="2">
        <f>tblSales[[#This Row],[Sales]]/tblSales[[#This Row],[Transactions]]</f>
        <v>410</v>
      </c>
    </row>
    <row r="2800" spans="1:13" x14ac:dyDescent="0.25">
      <c r="A2800" s="1">
        <v>46162</v>
      </c>
      <c r="B2800" t="s">
        <v>29</v>
      </c>
      <c r="C2800" t="s">
        <v>7</v>
      </c>
      <c r="D2800" t="str">
        <f>_xlfn.XLOOKUP(tblSales[[#This Row],[Store ID]],tblStores[Store ID],tblStores[Store Name])</f>
        <v>Polokwane</v>
      </c>
      <c r="E2800" t="str">
        <f>_xlfn.XLOOKUP(tblSales[[#This Row],[Store ID]],tblStores[Store ID],tblStores[Province])</f>
        <v>Limpopo</v>
      </c>
      <c r="F2800" t="str">
        <f>_xlfn.XLOOKUP(tblSales[[#This Row],[Store ID]],tblStores[Store ID],tblStores[Manager])</f>
        <v>Kevin Harris</v>
      </c>
      <c r="G2800" t="str">
        <f>_xlfn.XLOOKUP(tblSales[[#This Row],[Category ID]],tblCategories[Category ID],tblCategories[Category])</f>
        <v>Menswear</v>
      </c>
      <c r="H2800">
        <v>98237</v>
      </c>
      <c r="I2800">
        <v>89814</v>
      </c>
      <c r="J2800">
        <v>193</v>
      </c>
      <c r="K2800">
        <f>tblSales[[#This Row],[Sales]]-tblSales[[#This Row],[Budget]]</f>
        <v>8423</v>
      </c>
      <c r="L2800" s="3">
        <f>(tblSales[[#This Row],[Sales]]-tblSales[[#This Row],[Budget]])/tblSales[[#This Row],[Budget]]</f>
        <v>9.3782706482285608E-2</v>
      </c>
      <c r="M2800" s="2">
        <f>tblSales[[#This Row],[Sales]]/tblSales[[#This Row],[Transactions]]</f>
        <v>509</v>
      </c>
    </row>
    <row r="2801" spans="1:13" x14ac:dyDescent="0.25">
      <c r="A2801" s="1">
        <v>46162</v>
      </c>
      <c r="B2801" t="s">
        <v>30</v>
      </c>
      <c r="C2801" t="s">
        <v>9</v>
      </c>
      <c r="D2801" t="str">
        <f>_xlfn.XLOOKUP(tblSales[[#This Row],[Store ID]],tblStores[Store ID],tblStores[Store Name])</f>
        <v>Nelspruit</v>
      </c>
      <c r="E2801" t="str">
        <f>_xlfn.XLOOKUP(tblSales[[#This Row],[Store ID]],tblStores[Store ID],tblStores[Province])</f>
        <v>Mpumalanga</v>
      </c>
      <c r="F2801" t="str">
        <f>_xlfn.XLOOKUP(tblSales[[#This Row],[Store ID]],tblStores[Store ID],tblStores[Manager])</f>
        <v>Olivia Turner</v>
      </c>
      <c r="G2801" t="str">
        <f>_xlfn.XLOOKUP(tblSales[[#This Row],[Category ID]],tblCategories[Category ID],tblCategories[Category])</f>
        <v>Ladieswear</v>
      </c>
      <c r="H2801">
        <v>99938</v>
      </c>
      <c r="I2801">
        <v>90142</v>
      </c>
      <c r="J2801">
        <v>214</v>
      </c>
      <c r="K2801">
        <f>tblSales[[#This Row],[Sales]]-tblSales[[#This Row],[Budget]]</f>
        <v>9796</v>
      </c>
      <c r="L2801" s="3">
        <f>(tblSales[[#This Row],[Sales]]-tblSales[[#This Row],[Budget]])/tblSales[[#This Row],[Budget]]</f>
        <v>0.10867298262741008</v>
      </c>
      <c r="M2801" s="2">
        <f>tblSales[[#This Row],[Sales]]/tblSales[[#This Row],[Transactions]]</f>
        <v>467</v>
      </c>
    </row>
    <row r="2802" spans="1:13" x14ac:dyDescent="0.25">
      <c r="A2802" s="1">
        <v>46163</v>
      </c>
      <c r="B2802" t="s">
        <v>6</v>
      </c>
      <c r="C2802" t="s">
        <v>7</v>
      </c>
      <c r="D2802" t="str">
        <f>_xlfn.XLOOKUP(tblSales[[#This Row],[Store ID]],tblStores[Store ID],tblStores[Store Name])</f>
        <v>Durban CBD</v>
      </c>
      <c r="E2802" t="str">
        <f>_xlfn.XLOOKUP(tblSales[[#This Row],[Store ID]],tblStores[Store ID],tblStores[Province])</f>
        <v>KZN</v>
      </c>
      <c r="F2802" t="str">
        <f>_xlfn.XLOOKUP(tblSales[[#This Row],[Store ID]],tblStores[Store ID],tblStores[Manager])</f>
        <v>Sarah Adams</v>
      </c>
      <c r="G2802" t="str">
        <f>_xlfn.XLOOKUP(tblSales[[#This Row],[Category ID]],tblCategories[Category ID],tblCategories[Category])</f>
        <v>Menswear</v>
      </c>
      <c r="H2802">
        <v>40548</v>
      </c>
      <c r="I2802">
        <v>38096</v>
      </c>
      <c r="J2802">
        <v>109</v>
      </c>
      <c r="K2802">
        <f>tblSales[[#This Row],[Sales]]-tblSales[[#This Row],[Budget]]</f>
        <v>2452</v>
      </c>
      <c r="L2802" s="3">
        <f>(tblSales[[#This Row],[Sales]]-tblSales[[#This Row],[Budget]])/tblSales[[#This Row],[Budget]]</f>
        <v>6.4363712725745481E-2</v>
      </c>
      <c r="M2802" s="2">
        <f>tblSales[[#This Row],[Sales]]/tblSales[[#This Row],[Transactions]]</f>
        <v>372</v>
      </c>
    </row>
    <row r="2803" spans="1:13" x14ac:dyDescent="0.25">
      <c r="A2803" s="1">
        <v>46163</v>
      </c>
      <c r="B2803" t="s">
        <v>8</v>
      </c>
      <c r="C2803" t="s">
        <v>11</v>
      </c>
      <c r="D2803" t="str">
        <f>_xlfn.XLOOKUP(tblSales[[#This Row],[Store ID]],tblStores[Store ID],tblStores[Store Name])</f>
        <v>Gateway</v>
      </c>
      <c r="E2803" t="str">
        <f>_xlfn.XLOOKUP(tblSales[[#This Row],[Store ID]],tblStores[Store ID],tblStores[Province])</f>
        <v>KZN</v>
      </c>
      <c r="F2803" t="str">
        <f>_xlfn.XLOOKUP(tblSales[[#This Row],[Store ID]],tblStores[Store ID],tblStores[Manager])</f>
        <v>Michael Jones</v>
      </c>
      <c r="G2803" t="str">
        <f>_xlfn.XLOOKUP(tblSales[[#This Row],[Category ID]],tblCategories[Category ID],tblCategories[Category])</f>
        <v>Footwear</v>
      </c>
      <c r="H2803">
        <v>15582</v>
      </c>
      <c r="I2803">
        <v>15536</v>
      </c>
      <c r="J2803">
        <v>53</v>
      </c>
      <c r="K2803">
        <f>tblSales[[#This Row],[Sales]]-tblSales[[#This Row],[Budget]]</f>
        <v>46</v>
      </c>
      <c r="L2803" s="3">
        <f>(tblSales[[#This Row],[Sales]]-tblSales[[#This Row],[Budget]])/tblSales[[#This Row],[Budget]]</f>
        <v>2.96086508753862E-3</v>
      </c>
      <c r="M2803" s="2">
        <f>tblSales[[#This Row],[Sales]]/tblSales[[#This Row],[Transactions]]</f>
        <v>294</v>
      </c>
    </row>
    <row r="2804" spans="1:13" x14ac:dyDescent="0.25">
      <c r="A2804" s="1">
        <v>46163</v>
      </c>
      <c r="B2804" t="s">
        <v>10</v>
      </c>
      <c r="C2804" t="s">
        <v>11</v>
      </c>
      <c r="D2804" t="str">
        <f>_xlfn.XLOOKUP(tblSales[[#This Row],[Store ID]],tblStores[Store ID],tblStores[Store Name])</f>
        <v>Ballito</v>
      </c>
      <c r="E2804" t="str">
        <f>_xlfn.XLOOKUP(tblSales[[#This Row],[Store ID]],tblStores[Store ID],tblStores[Province])</f>
        <v>KZN</v>
      </c>
      <c r="F2804" t="str">
        <f>_xlfn.XLOOKUP(tblSales[[#This Row],[Store ID]],tblStores[Store ID],tblStores[Manager])</f>
        <v>Linda Smith</v>
      </c>
      <c r="G2804" t="str">
        <f>_xlfn.XLOOKUP(tblSales[[#This Row],[Category ID]],tblCategories[Category ID],tblCategories[Category])</f>
        <v>Footwear</v>
      </c>
      <c r="H2804">
        <v>46762</v>
      </c>
      <c r="I2804">
        <v>46165</v>
      </c>
      <c r="J2804">
        <v>206</v>
      </c>
      <c r="K2804">
        <f>tblSales[[#This Row],[Sales]]-tblSales[[#This Row],[Budget]]</f>
        <v>597</v>
      </c>
      <c r="L2804" s="3">
        <f>(tblSales[[#This Row],[Sales]]-tblSales[[#This Row],[Budget]])/tblSales[[#This Row],[Budget]]</f>
        <v>1.2931874796924077E-2</v>
      </c>
      <c r="M2804" s="2">
        <f>tblSales[[#This Row],[Sales]]/tblSales[[#This Row],[Transactions]]</f>
        <v>227</v>
      </c>
    </row>
    <row r="2805" spans="1:13" x14ac:dyDescent="0.25">
      <c r="A2805" s="1">
        <v>46163</v>
      </c>
      <c r="B2805" t="s">
        <v>12</v>
      </c>
      <c r="C2805" t="s">
        <v>11</v>
      </c>
      <c r="D2805" t="str">
        <f>_xlfn.XLOOKUP(tblSales[[#This Row],[Store ID]],tblStores[Store ID],tblStores[Store Name])</f>
        <v>Pietermaritzburg</v>
      </c>
      <c r="E2805" t="str">
        <f>_xlfn.XLOOKUP(tblSales[[#This Row],[Store ID]],tblStores[Store ID],tblStores[Province])</f>
        <v>KZN</v>
      </c>
      <c r="F2805" t="str">
        <f>_xlfn.XLOOKUP(tblSales[[#This Row],[Store ID]],tblStores[Store ID],tblStores[Manager])</f>
        <v>Peter Brown</v>
      </c>
      <c r="G2805" t="str">
        <f>_xlfn.XLOOKUP(tblSales[[#This Row],[Category ID]],tblCategories[Category ID],tblCategories[Category])</f>
        <v>Footwear</v>
      </c>
      <c r="H2805">
        <v>90147</v>
      </c>
      <c r="I2805">
        <v>101418</v>
      </c>
      <c r="J2805">
        <v>199</v>
      </c>
      <c r="K2805">
        <f>tblSales[[#This Row],[Sales]]-tblSales[[#This Row],[Budget]]</f>
        <v>-11271</v>
      </c>
      <c r="L2805" s="3">
        <f>(tblSales[[#This Row],[Sales]]-tblSales[[#This Row],[Budget]])/tblSales[[#This Row],[Budget]]</f>
        <v>-0.11113411820386913</v>
      </c>
      <c r="M2805" s="2">
        <f>tblSales[[#This Row],[Sales]]/tblSales[[#This Row],[Transactions]]</f>
        <v>453</v>
      </c>
    </row>
    <row r="2806" spans="1:13" x14ac:dyDescent="0.25">
      <c r="A2806" s="1">
        <v>46163</v>
      </c>
      <c r="B2806" t="s">
        <v>13</v>
      </c>
      <c r="C2806" t="s">
        <v>11</v>
      </c>
      <c r="D2806" t="str">
        <f>_xlfn.XLOOKUP(tblSales[[#This Row],[Store ID]],tblStores[Store ID],tblStores[Store Name])</f>
        <v>Richards Bay</v>
      </c>
      <c r="E2806" t="str">
        <f>_xlfn.XLOOKUP(tblSales[[#This Row],[Store ID]],tblStores[Store ID],tblStores[Province])</f>
        <v>KZN</v>
      </c>
      <c r="F2806" t="str">
        <f>_xlfn.XLOOKUP(tblSales[[#This Row],[Store ID]],tblStores[Store ID],tblStores[Manager])</f>
        <v>David Green</v>
      </c>
      <c r="G2806" t="str">
        <f>_xlfn.XLOOKUP(tblSales[[#This Row],[Category ID]],tblCategories[Category ID],tblCategories[Category])</f>
        <v>Footwear</v>
      </c>
      <c r="H2806">
        <v>13826</v>
      </c>
      <c r="I2806">
        <v>13066</v>
      </c>
      <c r="J2806">
        <v>62</v>
      </c>
      <c r="K2806">
        <f>tblSales[[#This Row],[Sales]]-tblSales[[#This Row],[Budget]]</f>
        <v>760</v>
      </c>
      <c r="L2806" s="3">
        <f>(tblSales[[#This Row],[Sales]]-tblSales[[#This Row],[Budget]])/tblSales[[#This Row],[Budget]]</f>
        <v>5.8166232971069952E-2</v>
      </c>
      <c r="M2806" s="2">
        <f>tblSales[[#This Row],[Sales]]/tblSales[[#This Row],[Transactions]]</f>
        <v>223</v>
      </c>
    </row>
    <row r="2807" spans="1:13" x14ac:dyDescent="0.25">
      <c r="A2807" s="1">
        <v>46163</v>
      </c>
      <c r="B2807" t="s">
        <v>14</v>
      </c>
      <c r="C2807" t="s">
        <v>7</v>
      </c>
      <c r="D2807" t="str">
        <f>_xlfn.XLOOKUP(tblSales[[#This Row],[Store ID]],tblStores[Store ID],tblStores[Store Name])</f>
        <v>Sandton</v>
      </c>
      <c r="E2807" t="str">
        <f>_xlfn.XLOOKUP(tblSales[[#This Row],[Store ID]],tblStores[Store ID],tblStores[Province])</f>
        <v>Gauteng</v>
      </c>
      <c r="F2807" t="str">
        <f>_xlfn.XLOOKUP(tblSales[[#This Row],[Store ID]],tblStores[Store ID],tblStores[Manager])</f>
        <v>Karen White</v>
      </c>
      <c r="G2807" t="str">
        <f>_xlfn.XLOOKUP(tblSales[[#This Row],[Category ID]],tblCategories[Category ID],tblCategories[Category])</f>
        <v>Menswear</v>
      </c>
      <c r="H2807">
        <v>54536</v>
      </c>
      <c r="I2807">
        <v>51801</v>
      </c>
      <c r="J2807">
        <v>136</v>
      </c>
      <c r="K2807">
        <f>tblSales[[#This Row],[Sales]]-tblSales[[#This Row],[Budget]]</f>
        <v>2735</v>
      </c>
      <c r="L2807" s="3">
        <f>(tblSales[[#This Row],[Sales]]-tblSales[[#This Row],[Budget]])/tblSales[[#This Row],[Budget]]</f>
        <v>5.2798208528792884E-2</v>
      </c>
      <c r="M2807" s="2">
        <f>tblSales[[#This Row],[Sales]]/tblSales[[#This Row],[Transactions]]</f>
        <v>401</v>
      </c>
    </row>
    <row r="2808" spans="1:13" x14ac:dyDescent="0.25">
      <c r="A2808" s="1">
        <v>46163</v>
      </c>
      <c r="B2808" t="s">
        <v>15</v>
      </c>
      <c r="C2808" t="s">
        <v>22</v>
      </c>
      <c r="D2808" t="str">
        <f>_xlfn.XLOOKUP(tblSales[[#This Row],[Store ID]],tblStores[Store ID],tblStores[Store Name])</f>
        <v>Rosebank</v>
      </c>
      <c r="E2808" t="str">
        <f>_xlfn.XLOOKUP(tblSales[[#This Row],[Store ID]],tblStores[Store ID],tblStores[Province])</f>
        <v>Gauteng</v>
      </c>
      <c r="F2808" t="str">
        <f>_xlfn.XLOOKUP(tblSales[[#This Row],[Store ID]],tblStores[Store ID],tblStores[Manager])</f>
        <v>James Taylor</v>
      </c>
      <c r="G2808" t="str">
        <f>_xlfn.XLOOKUP(tblSales[[#This Row],[Category ID]],tblCategories[Category ID],tblCategories[Category])</f>
        <v>Kids</v>
      </c>
      <c r="H2808">
        <v>17442</v>
      </c>
      <c r="I2808">
        <v>17190</v>
      </c>
      <c r="J2808">
        <v>51</v>
      </c>
      <c r="K2808">
        <f>tblSales[[#This Row],[Sales]]-tblSales[[#This Row],[Budget]]</f>
        <v>252</v>
      </c>
      <c r="L2808" s="3">
        <f>(tblSales[[#This Row],[Sales]]-tblSales[[#This Row],[Budget]])/tblSales[[#This Row],[Budget]]</f>
        <v>1.4659685863874346E-2</v>
      </c>
      <c r="M2808" s="2">
        <f>tblSales[[#This Row],[Sales]]/tblSales[[#This Row],[Transactions]]</f>
        <v>342</v>
      </c>
    </row>
    <row r="2809" spans="1:13" x14ac:dyDescent="0.25">
      <c r="A2809" s="1">
        <v>46163</v>
      </c>
      <c r="B2809" t="s">
        <v>16</v>
      </c>
      <c r="C2809" t="s">
        <v>19</v>
      </c>
      <c r="D2809" t="str">
        <f>_xlfn.XLOOKUP(tblSales[[#This Row],[Store ID]],tblStores[Store ID],tblStores[Store Name])</f>
        <v>Pretoria</v>
      </c>
      <c r="E2809" t="str">
        <f>_xlfn.XLOOKUP(tblSales[[#This Row],[Store ID]],tblStores[Store ID],tblStores[Province])</f>
        <v>Gauteng</v>
      </c>
      <c r="F2809" t="str">
        <f>_xlfn.XLOOKUP(tblSales[[#This Row],[Store ID]],tblStores[Store ID],tblStores[Manager])</f>
        <v>Susan Clark</v>
      </c>
      <c r="G2809" t="str">
        <f>_xlfn.XLOOKUP(tblSales[[#This Row],[Category ID]],tblCategories[Category ID],tblCategories[Category])</f>
        <v>Accessories</v>
      </c>
      <c r="H2809">
        <v>45792</v>
      </c>
      <c r="I2809">
        <v>49252</v>
      </c>
      <c r="J2809">
        <v>159</v>
      </c>
      <c r="K2809">
        <f>tblSales[[#This Row],[Sales]]-tblSales[[#This Row],[Budget]]</f>
        <v>-3460</v>
      </c>
      <c r="L2809" s="3">
        <f>(tblSales[[#This Row],[Sales]]-tblSales[[#This Row],[Budget]])/tblSales[[#This Row],[Budget]]</f>
        <v>-7.0250954275968489E-2</v>
      </c>
      <c r="M2809" s="2">
        <f>tblSales[[#This Row],[Sales]]/tblSales[[#This Row],[Transactions]]</f>
        <v>288</v>
      </c>
    </row>
    <row r="2810" spans="1:13" x14ac:dyDescent="0.25">
      <c r="A2810" s="1">
        <v>46163</v>
      </c>
      <c r="B2810" t="s">
        <v>17</v>
      </c>
      <c r="C2810" t="s">
        <v>11</v>
      </c>
      <c r="D2810" t="str">
        <f>_xlfn.XLOOKUP(tblSales[[#This Row],[Store ID]],tblStores[Store ID],tblStores[Store Name])</f>
        <v>Centurion</v>
      </c>
      <c r="E2810" t="str">
        <f>_xlfn.XLOOKUP(tblSales[[#This Row],[Store ID]],tblStores[Store ID],tblStores[Province])</f>
        <v>Gauteng</v>
      </c>
      <c r="F2810" t="str">
        <f>_xlfn.XLOOKUP(tblSales[[#This Row],[Store ID]],tblStores[Store ID],tblStores[Manager])</f>
        <v>Mark Wilson</v>
      </c>
      <c r="G2810" t="str">
        <f>_xlfn.XLOOKUP(tblSales[[#This Row],[Category ID]],tblCategories[Category ID],tblCategories[Category])</f>
        <v>Footwear</v>
      </c>
      <c r="H2810">
        <v>20608</v>
      </c>
      <c r="I2810">
        <v>20889</v>
      </c>
      <c r="J2810">
        <v>64</v>
      </c>
      <c r="K2810">
        <f>tblSales[[#This Row],[Sales]]-tblSales[[#This Row],[Budget]]</f>
        <v>-281</v>
      </c>
      <c r="L2810" s="3">
        <f>(tblSales[[#This Row],[Sales]]-tblSales[[#This Row],[Budget]])/tblSales[[#This Row],[Budget]]</f>
        <v>-1.3452056106084543E-2</v>
      </c>
      <c r="M2810" s="2">
        <f>tblSales[[#This Row],[Sales]]/tblSales[[#This Row],[Transactions]]</f>
        <v>322</v>
      </c>
    </row>
    <row r="2811" spans="1:13" x14ac:dyDescent="0.25">
      <c r="A2811" s="1">
        <v>46163</v>
      </c>
      <c r="B2811" t="s">
        <v>18</v>
      </c>
      <c r="C2811" t="s">
        <v>19</v>
      </c>
      <c r="D2811" t="str">
        <f>_xlfn.XLOOKUP(tblSales[[#This Row],[Store ID]],tblStores[Store ID],tblStores[Store Name])</f>
        <v>East Rand</v>
      </c>
      <c r="E2811" t="str">
        <f>_xlfn.XLOOKUP(tblSales[[#This Row],[Store ID]],tblStores[Store ID],tblStores[Province])</f>
        <v>Gauteng</v>
      </c>
      <c r="F2811" t="str">
        <f>_xlfn.XLOOKUP(tblSales[[#This Row],[Store ID]],tblStores[Store ID],tblStores[Manager])</f>
        <v>Lisa Young</v>
      </c>
      <c r="G2811" t="str">
        <f>_xlfn.XLOOKUP(tblSales[[#This Row],[Category ID]],tblCategories[Category ID],tblCategories[Category])</f>
        <v>Accessories</v>
      </c>
      <c r="H2811">
        <v>31080</v>
      </c>
      <c r="I2811">
        <v>29102</v>
      </c>
      <c r="J2811">
        <v>74</v>
      </c>
      <c r="K2811">
        <f>tblSales[[#This Row],[Sales]]-tblSales[[#This Row],[Budget]]</f>
        <v>1978</v>
      </c>
      <c r="L2811" s="3">
        <f>(tblSales[[#This Row],[Sales]]-tblSales[[#This Row],[Budget]])/tblSales[[#This Row],[Budget]]</f>
        <v>6.7967837262043848E-2</v>
      </c>
      <c r="M2811" s="2">
        <f>tblSales[[#This Row],[Sales]]/tblSales[[#This Row],[Transactions]]</f>
        <v>420</v>
      </c>
    </row>
    <row r="2812" spans="1:13" x14ac:dyDescent="0.25">
      <c r="A2812" s="1">
        <v>46163</v>
      </c>
      <c r="B2812" t="s">
        <v>20</v>
      </c>
      <c r="C2812" t="s">
        <v>9</v>
      </c>
      <c r="D2812" t="str">
        <f>_xlfn.XLOOKUP(tblSales[[#This Row],[Store ID]],tblStores[Store ID],tblStores[Store Name])</f>
        <v>Cape Town CBD</v>
      </c>
      <c r="E2812" t="str">
        <f>_xlfn.XLOOKUP(tblSales[[#This Row],[Store ID]],tblStores[Store ID],tblStores[Province])</f>
        <v>Western Cape</v>
      </c>
      <c r="F2812" t="str">
        <f>_xlfn.XLOOKUP(tblSales[[#This Row],[Store ID]],tblStores[Store ID],tblStores[Manager])</f>
        <v>Brian Hall</v>
      </c>
      <c r="G2812" t="str">
        <f>_xlfn.XLOOKUP(tblSales[[#This Row],[Category ID]],tblCategories[Category ID],tblCategories[Category])</f>
        <v>Ladieswear</v>
      </c>
      <c r="H2812">
        <v>54520</v>
      </c>
      <c r="I2812">
        <v>49494</v>
      </c>
      <c r="J2812">
        <v>116</v>
      </c>
      <c r="K2812">
        <f>tblSales[[#This Row],[Sales]]-tblSales[[#This Row],[Budget]]</f>
        <v>5026</v>
      </c>
      <c r="L2812" s="3">
        <f>(tblSales[[#This Row],[Sales]]-tblSales[[#This Row],[Budget]])/tblSales[[#This Row],[Budget]]</f>
        <v>0.10154766234291025</v>
      </c>
      <c r="M2812" s="2">
        <f>tblSales[[#This Row],[Sales]]/tblSales[[#This Row],[Transactions]]</f>
        <v>470</v>
      </c>
    </row>
    <row r="2813" spans="1:13" x14ac:dyDescent="0.25">
      <c r="A2813" s="1">
        <v>46163</v>
      </c>
      <c r="B2813" t="s">
        <v>21</v>
      </c>
      <c r="C2813" t="s">
        <v>19</v>
      </c>
      <c r="D2813" t="str">
        <f>_xlfn.XLOOKUP(tblSales[[#This Row],[Store ID]],tblStores[Store ID],tblStores[Store Name])</f>
        <v>Canal Walk</v>
      </c>
      <c r="E2813" t="str">
        <f>_xlfn.XLOOKUP(tblSales[[#This Row],[Store ID]],tblStores[Store ID],tblStores[Province])</f>
        <v>Western Cape</v>
      </c>
      <c r="F2813" t="str">
        <f>_xlfn.XLOOKUP(tblSales[[#This Row],[Store ID]],tblStores[Store ID],tblStores[Manager])</f>
        <v>Megan Scott</v>
      </c>
      <c r="G2813" t="str">
        <f>_xlfn.XLOOKUP(tblSales[[#This Row],[Category ID]],tblCategories[Category ID],tblCategories[Category])</f>
        <v>Accessories</v>
      </c>
      <c r="H2813">
        <v>27852</v>
      </c>
      <c r="I2813">
        <v>31587</v>
      </c>
      <c r="J2813">
        <v>132</v>
      </c>
      <c r="K2813">
        <f>tblSales[[#This Row],[Sales]]-tblSales[[#This Row],[Budget]]</f>
        <v>-3735</v>
      </c>
      <c r="L2813" s="3">
        <f>(tblSales[[#This Row],[Sales]]-tblSales[[#This Row],[Budget]])/tblSales[[#This Row],[Budget]]</f>
        <v>-0.11824484756387121</v>
      </c>
      <c r="M2813" s="2">
        <f>tblSales[[#This Row],[Sales]]/tblSales[[#This Row],[Transactions]]</f>
        <v>211</v>
      </c>
    </row>
    <row r="2814" spans="1:13" x14ac:dyDescent="0.25">
      <c r="A2814" s="1">
        <v>46163</v>
      </c>
      <c r="B2814" t="s">
        <v>23</v>
      </c>
      <c r="C2814" t="s">
        <v>22</v>
      </c>
      <c r="D2814" t="str">
        <f>_xlfn.XLOOKUP(tblSales[[#This Row],[Store ID]],tblStores[Store ID],tblStores[Store Name])</f>
        <v>Stellenbosch</v>
      </c>
      <c r="E2814" t="str">
        <f>_xlfn.XLOOKUP(tblSales[[#This Row],[Store ID]],tblStores[Store ID],tblStores[Province])</f>
        <v>Western Cape</v>
      </c>
      <c r="F2814" t="str">
        <f>_xlfn.XLOOKUP(tblSales[[#This Row],[Store ID]],tblStores[Store ID],tblStores[Manager])</f>
        <v>Jason King</v>
      </c>
      <c r="G2814" t="str">
        <f>_xlfn.XLOOKUP(tblSales[[#This Row],[Category ID]],tblCategories[Category ID],tblCategories[Category])</f>
        <v>Kids</v>
      </c>
      <c r="H2814">
        <v>61190</v>
      </c>
      <c r="I2814">
        <v>58335</v>
      </c>
      <c r="J2814">
        <v>145</v>
      </c>
      <c r="K2814">
        <f>tblSales[[#This Row],[Sales]]-tblSales[[#This Row],[Budget]]</f>
        <v>2855</v>
      </c>
      <c r="L2814" s="3">
        <f>(tblSales[[#This Row],[Sales]]-tblSales[[#This Row],[Budget]])/tblSales[[#This Row],[Budget]]</f>
        <v>4.8941458815462413E-2</v>
      </c>
      <c r="M2814" s="2">
        <f>tblSales[[#This Row],[Sales]]/tblSales[[#This Row],[Transactions]]</f>
        <v>422</v>
      </c>
    </row>
    <row r="2815" spans="1:13" x14ac:dyDescent="0.25">
      <c r="A2815" s="1">
        <v>46163</v>
      </c>
      <c r="B2815" t="s">
        <v>24</v>
      </c>
      <c r="C2815" t="s">
        <v>9</v>
      </c>
      <c r="D2815" t="str">
        <f>_xlfn.XLOOKUP(tblSales[[#This Row],[Store ID]],tblStores[Store ID],tblStores[Store Name])</f>
        <v>George</v>
      </c>
      <c r="E2815" t="str">
        <f>_xlfn.XLOOKUP(tblSales[[#This Row],[Store ID]],tblStores[Store ID],tblStores[Province])</f>
        <v>Western Cape</v>
      </c>
      <c r="F2815" t="str">
        <f>_xlfn.XLOOKUP(tblSales[[#This Row],[Store ID]],tblStores[Store ID],tblStores[Manager])</f>
        <v>Chloe Hill</v>
      </c>
      <c r="G2815" t="str">
        <f>_xlfn.XLOOKUP(tblSales[[#This Row],[Category ID]],tblCategories[Category ID],tblCategories[Category])</f>
        <v>Ladieswear</v>
      </c>
      <c r="H2815">
        <v>15840</v>
      </c>
      <c r="I2815">
        <v>15324</v>
      </c>
      <c r="J2815">
        <v>40</v>
      </c>
      <c r="K2815">
        <f>tblSales[[#This Row],[Sales]]-tblSales[[#This Row],[Budget]]</f>
        <v>516</v>
      </c>
      <c r="L2815" s="3">
        <f>(tblSales[[#This Row],[Sales]]-tblSales[[#This Row],[Budget]])/tblSales[[#This Row],[Budget]]</f>
        <v>3.3672670321064996E-2</v>
      </c>
      <c r="M2815" s="2">
        <f>tblSales[[#This Row],[Sales]]/tblSales[[#This Row],[Transactions]]</f>
        <v>396</v>
      </c>
    </row>
    <row r="2816" spans="1:13" x14ac:dyDescent="0.25">
      <c r="A2816" s="1">
        <v>46163</v>
      </c>
      <c r="B2816" t="s">
        <v>25</v>
      </c>
      <c r="C2816" t="s">
        <v>9</v>
      </c>
      <c r="D2816" t="str">
        <f>_xlfn.XLOOKUP(tblSales[[#This Row],[Store ID]],tblStores[Store ID],tblStores[Store Name])</f>
        <v>Paarl</v>
      </c>
      <c r="E2816" t="str">
        <f>_xlfn.XLOOKUP(tblSales[[#This Row],[Store ID]],tblStores[Store ID],tblStores[Province])</f>
        <v>Western Cape</v>
      </c>
      <c r="F2816" t="str">
        <f>_xlfn.XLOOKUP(tblSales[[#This Row],[Store ID]],tblStores[Store ID],tblStores[Manager])</f>
        <v>Andrew Lee</v>
      </c>
      <c r="G2816" t="str">
        <f>_xlfn.XLOOKUP(tblSales[[#This Row],[Category ID]],tblCategories[Category ID],tblCategories[Category])</f>
        <v>Ladieswear</v>
      </c>
      <c r="H2816">
        <v>14112</v>
      </c>
      <c r="I2816">
        <v>12945</v>
      </c>
      <c r="J2816">
        <v>56</v>
      </c>
      <c r="K2816">
        <f>tblSales[[#This Row],[Sales]]-tblSales[[#This Row],[Budget]]</f>
        <v>1167</v>
      </c>
      <c r="L2816" s="3">
        <f>(tblSales[[#This Row],[Sales]]-tblSales[[#This Row],[Budget]])/tblSales[[#This Row],[Budget]]</f>
        <v>9.0150637311703363E-2</v>
      </c>
      <c r="M2816" s="2">
        <f>tblSales[[#This Row],[Sales]]/tblSales[[#This Row],[Transactions]]</f>
        <v>252</v>
      </c>
    </row>
    <row r="2817" spans="1:13" x14ac:dyDescent="0.25">
      <c r="A2817" s="1">
        <v>46163</v>
      </c>
      <c r="B2817" t="s">
        <v>26</v>
      </c>
      <c r="C2817" t="s">
        <v>11</v>
      </c>
      <c r="D2817" t="str">
        <f>_xlfn.XLOOKUP(tblSales[[#This Row],[Store ID]],tblStores[Store ID],tblStores[Store Name])</f>
        <v>Gqeberha</v>
      </c>
      <c r="E2817" t="str">
        <f>_xlfn.XLOOKUP(tblSales[[#This Row],[Store ID]],tblStores[Store ID],tblStores[Province])</f>
        <v>Eastern Cape</v>
      </c>
      <c r="F2817" t="str">
        <f>_xlfn.XLOOKUP(tblSales[[#This Row],[Store ID]],tblStores[Store ID],tblStores[Manager])</f>
        <v>Emma Baker</v>
      </c>
      <c r="G2817" t="str">
        <f>_xlfn.XLOOKUP(tblSales[[#This Row],[Category ID]],tblCategories[Category ID],tblCategories[Category])</f>
        <v>Footwear</v>
      </c>
      <c r="H2817">
        <v>18260</v>
      </c>
      <c r="I2817">
        <v>20422</v>
      </c>
      <c r="J2817">
        <v>55</v>
      </c>
      <c r="K2817">
        <f>tblSales[[#This Row],[Sales]]-tblSales[[#This Row],[Budget]]</f>
        <v>-2162</v>
      </c>
      <c r="L2817" s="3">
        <f>(tblSales[[#This Row],[Sales]]-tblSales[[#This Row],[Budget]])/tblSales[[#This Row],[Budget]]</f>
        <v>-0.10586622270100872</v>
      </c>
      <c r="M2817" s="2">
        <f>tblSales[[#This Row],[Sales]]/tblSales[[#This Row],[Transactions]]</f>
        <v>332</v>
      </c>
    </row>
    <row r="2818" spans="1:13" x14ac:dyDescent="0.25">
      <c r="A2818" s="1">
        <v>46163</v>
      </c>
      <c r="B2818" t="s">
        <v>27</v>
      </c>
      <c r="C2818" t="s">
        <v>11</v>
      </c>
      <c r="D2818" t="str">
        <f>_xlfn.XLOOKUP(tblSales[[#This Row],[Store ID]],tblStores[Store ID],tblStores[Store Name])</f>
        <v>East London</v>
      </c>
      <c r="E2818" t="str">
        <f>_xlfn.XLOOKUP(tblSales[[#This Row],[Store ID]],tblStores[Store ID],tblStores[Province])</f>
        <v>Eastern Cape</v>
      </c>
      <c r="F2818" t="str">
        <f>_xlfn.XLOOKUP(tblSales[[#This Row],[Store ID]],tblStores[Store ID],tblStores[Manager])</f>
        <v>Daniel Evans</v>
      </c>
      <c r="G2818" t="str">
        <f>_xlfn.XLOOKUP(tblSales[[#This Row],[Category ID]],tblCategories[Category ID],tblCategories[Category])</f>
        <v>Footwear</v>
      </c>
      <c r="H2818">
        <v>63616</v>
      </c>
      <c r="I2818">
        <v>60659</v>
      </c>
      <c r="J2818">
        <v>142</v>
      </c>
      <c r="K2818">
        <f>tblSales[[#This Row],[Sales]]-tblSales[[#This Row],[Budget]]</f>
        <v>2957</v>
      </c>
      <c r="L2818" s="3">
        <f>(tblSales[[#This Row],[Sales]]-tblSales[[#This Row],[Budget]])/tblSales[[#This Row],[Budget]]</f>
        <v>4.8747918693021648E-2</v>
      </c>
      <c r="M2818" s="2">
        <f>tblSales[[#This Row],[Sales]]/tblSales[[#This Row],[Transactions]]</f>
        <v>448</v>
      </c>
    </row>
    <row r="2819" spans="1:13" x14ac:dyDescent="0.25">
      <c r="A2819" s="1">
        <v>46163</v>
      </c>
      <c r="B2819" t="s">
        <v>28</v>
      </c>
      <c r="C2819" t="s">
        <v>22</v>
      </c>
      <c r="D2819" t="str">
        <f>_xlfn.XLOOKUP(tblSales[[#This Row],[Store ID]],tblStores[Store ID],tblStores[Store Name])</f>
        <v>Bloemfontein</v>
      </c>
      <c r="E2819" t="str">
        <f>_xlfn.XLOOKUP(tblSales[[#This Row],[Store ID]],tblStores[Store ID],tblStores[Province])</f>
        <v>Free State</v>
      </c>
      <c r="F2819" t="str">
        <f>_xlfn.XLOOKUP(tblSales[[#This Row],[Store ID]],tblStores[Store ID],tblStores[Manager])</f>
        <v>Rachel Moore</v>
      </c>
      <c r="G2819" t="str">
        <f>_xlfn.XLOOKUP(tblSales[[#This Row],[Category ID]],tblCategories[Category ID],tblCategories[Category])</f>
        <v>Kids</v>
      </c>
      <c r="H2819">
        <v>16974</v>
      </c>
      <c r="I2819">
        <v>15668</v>
      </c>
      <c r="J2819">
        <v>82</v>
      </c>
      <c r="K2819">
        <f>tblSales[[#This Row],[Sales]]-tblSales[[#This Row],[Budget]]</f>
        <v>1306</v>
      </c>
      <c r="L2819" s="3">
        <f>(tblSales[[#This Row],[Sales]]-tblSales[[#This Row],[Budget]])/tblSales[[#This Row],[Budget]]</f>
        <v>8.3354608118458004E-2</v>
      </c>
      <c r="M2819" s="2">
        <f>tblSales[[#This Row],[Sales]]/tblSales[[#This Row],[Transactions]]</f>
        <v>207</v>
      </c>
    </row>
    <row r="2820" spans="1:13" x14ac:dyDescent="0.25">
      <c r="A2820" s="1">
        <v>46163</v>
      </c>
      <c r="B2820" t="s">
        <v>29</v>
      </c>
      <c r="C2820" t="s">
        <v>11</v>
      </c>
      <c r="D2820" t="str">
        <f>_xlfn.XLOOKUP(tblSales[[#This Row],[Store ID]],tblStores[Store ID],tblStores[Store Name])</f>
        <v>Polokwane</v>
      </c>
      <c r="E2820" t="str">
        <f>_xlfn.XLOOKUP(tblSales[[#This Row],[Store ID]],tblStores[Store ID],tblStores[Province])</f>
        <v>Limpopo</v>
      </c>
      <c r="F2820" t="str">
        <f>_xlfn.XLOOKUP(tblSales[[#This Row],[Store ID]],tblStores[Store ID],tblStores[Manager])</f>
        <v>Kevin Harris</v>
      </c>
      <c r="G2820" t="str">
        <f>_xlfn.XLOOKUP(tblSales[[#This Row],[Category ID]],tblCategories[Category ID],tblCategories[Category])</f>
        <v>Footwear</v>
      </c>
      <c r="H2820">
        <v>40504</v>
      </c>
      <c r="I2820">
        <v>38119</v>
      </c>
      <c r="J2820">
        <v>122</v>
      </c>
      <c r="K2820">
        <f>tblSales[[#This Row],[Sales]]-tblSales[[#This Row],[Budget]]</f>
        <v>2385</v>
      </c>
      <c r="L2820" s="3">
        <f>(tblSales[[#This Row],[Sales]]-tblSales[[#This Row],[Budget]])/tblSales[[#This Row],[Budget]]</f>
        <v>6.2567223694220728E-2</v>
      </c>
      <c r="M2820" s="2">
        <f>tblSales[[#This Row],[Sales]]/tblSales[[#This Row],[Transactions]]</f>
        <v>332</v>
      </c>
    </row>
    <row r="2821" spans="1:13" x14ac:dyDescent="0.25">
      <c r="A2821" s="1">
        <v>46163</v>
      </c>
      <c r="B2821" t="s">
        <v>30</v>
      </c>
      <c r="C2821" t="s">
        <v>22</v>
      </c>
      <c r="D2821" t="str">
        <f>_xlfn.XLOOKUP(tblSales[[#This Row],[Store ID]],tblStores[Store ID],tblStores[Store Name])</f>
        <v>Nelspruit</v>
      </c>
      <c r="E2821" t="str">
        <f>_xlfn.XLOOKUP(tblSales[[#This Row],[Store ID]],tblStores[Store ID],tblStores[Province])</f>
        <v>Mpumalanga</v>
      </c>
      <c r="F2821" t="str">
        <f>_xlfn.XLOOKUP(tblSales[[#This Row],[Store ID]],tblStores[Store ID],tblStores[Manager])</f>
        <v>Olivia Turner</v>
      </c>
      <c r="G2821" t="str">
        <f>_xlfn.XLOOKUP(tblSales[[#This Row],[Category ID]],tblCategories[Category ID],tblCategories[Category])</f>
        <v>Kids</v>
      </c>
      <c r="H2821">
        <v>60492</v>
      </c>
      <c r="I2821">
        <v>61633</v>
      </c>
      <c r="J2821">
        <v>142</v>
      </c>
      <c r="K2821">
        <f>tblSales[[#This Row],[Sales]]-tblSales[[#This Row],[Budget]]</f>
        <v>-1141</v>
      </c>
      <c r="L2821" s="3">
        <f>(tblSales[[#This Row],[Sales]]-tblSales[[#This Row],[Budget]])/tblSales[[#This Row],[Budget]]</f>
        <v>-1.851280969610436E-2</v>
      </c>
      <c r="M2821" s="2">
        <f>tblSales[[#This Row],[Sales]]/tblSales[[#This Row],[Transactions]]</f>
        <v>426</v>
      </c>
    </row>
    <row r="2822" spans="1:13" x14ac:dyDescent="0.25">
      <c r="A2822" s="1">
        <v>46164</v>
      </c>
      <c r="B2822" t="s">
        <v>6</v>
      </c>
      <c r="C2822" t="s">
        <v>9</v>
      </c>
      <c r="D2822" t="str">
        <f>_xlfn.XLOOKUP(tblSales[[#This Row],[Store ID]],tblStores[Store ID],tblStores[Store Name])</f>
        <v>Durban CBD</v>
      </c>
      <c r="E2822" t="str">
        <f>_xlfn.XLOOKUP(tblSales[[#This Row],[Store ID]],tblStores[Store ID],tblStores[Province])</f>
        <v>KZN</v>
      </c>
      <c r="F2822" t="str">
        <f>_xlfn.XLOOKUP(tblSales[[#This Row],[Store ID]],tblStores[Store ID],tblStores[Manager])</f>
        <v>Sarah Adams</v>
      </c>
      <c r="G2822" t="str">
        <f>_xlfn.XLOOKUP(tblSales[[#This Row],[Category ID]],tblCategories[Category ID],tblCategories[Category])</f>
        <v>Ladieswear</v>
      </c>
      <c r="H2822">
        <v>85839</v>
      </c>
      <c r="I2822">
        <v>84866</v>
      </c>
      <c r="J2822">
        <v>213</v>
      </c>
      <c r="K2822">
        <f>tblSales[[#This Row],[Sales]]-tblSales[[#This Row],[Budget]]</f>
        <v>973</v>
      </c>
      <c r="L2822" s="3">
        <f>(tblSales[[#This Row],[Sales]]-tblSales[[#This Row],[Budget]])/tblSales[[#This Row],[Budget]]</f>
        <v>1.1465133268918059E-2</v>
      </c>
      <c r="M2822" s="2">
        <f>tblSales[[#This Row],[Sales]]/tblSales[[#This Row],[Transactions]]</f>
        <v>403</v>
      </c>
    </row>
    <row r="2823" spans="1:13" x14ac:dyDescent="0.25">
      <c r="A2823" s="1">
        <v>46164</v>
      </c>
      <c r="B2823" t="s">
        <v>8</v>
      </c>
      <c r="C2823" t="s">
        <v>19</v>
      </c>
      <c r="D2823" t="str">
        <f>_xlfn.XLOOKUP(tblSales[[#This Row],[Store ID]],tblStores[Store ID],tblStores[Store Name])</f>
        <v>Gateway</v>
      </c>
      <c r="E2823" t="str">
        <f>_xlfn.XLOOKUP(tblSales[[#This Row],[Store ID]],tblStores[Store ID],tblStores[Province])</f>
        <v>KZN</v>
      </c>
      <c r="F2823" t="str">
        <f>_xlfn.XLOOKUP(tblSales[[#This Row],[Store ID]],tblStores[Store ID],tblStores[Manager])</f>
        <v>Michael Jones</v>
      </c>
      <c r="G2823" t="str">
        <f>_xlfn.XLOOKUP(tblSales[[#This Row],[Category ID]],tblCategories[Category ID],tblCategories[Category])</f>
        <v>Accessories</v>
      </c>
      <c r="H2823">
        <v>24790</v>
      </c>
      <c r="I2823">
        <v>25787</v>
      </c>
      <c r="J2823">
        <v>134</v>
      </c>
      <c r="K2823">
        <f>tblSales[[#This Row],[Sales]]-tblSales[[#This Row],[Budget]]</f>
        <v>-997</v>
      </c>
      <c r="L2823" s="3">
        <f>(tblSales[[#This Row],[Sales]]-tblSales[[#This Row],[Budget]])/tblSales[[#This Row],[Budget]]</f>
        <v>-3.8662892154961805E-2</v>
      </c>
      <c r="M2823" s="2">
        <f>tblSales[[#This Row],[Sales]]/tblSales[[#This Row],[Transactions]]</f>
        <v>185</v>
      </c>
    </row>
    <row r="2824" spans="1:13" x14ac:dyDescent="0.25">
      <c r="A2824" s="1">
        <v>46164</v>
      </c>
      <c r="B2824" t="s">
        <v>10</v>
      </c>
      <c r="C2824" t="s">
        <v>19</v>
      </c>
      <c r="D2824" t="str">
        <f>_xlfn.XLOOKUP(tblSales[[#This Row],[Store ID]],tblStores[Store ID],tblStores[Store Name])</f>
        <v>Ballito</v>
      </c>
      <c r="E2824" t="str">
        <f>_xlfn.XLOOKUP(tblSales[[#This Row],[Store ID]],tblStores[Store ID],tblStores[Province])</f>
        <v>KZN</v>
      </c>
      <c r="F2824" t="str">
        <f>_xlfn.XLOOKUP(tblSales[[#This Row],[Store ID]],tblStores[Store ID],tblStores[Manager])</f>
        <v>Linda Smith</v>
      </c>
      <c r="G2824" t="str">
        <f>_xlfn.XLOOKUP(tblSales[[#This Row],[Category ID]],tblCategories[Category ID],tblCategories[Category])</f>
        <v>Accessories</v>
      </c>
      <c r="H2824">
        <v>18615</v>
      </c>
      <c r="I2824">
        <v>20116</v>
      </c>
      <c r="J2824">
        <v>85</v>
      </c>
      <c r="K2824">
        <f>tblSales[[#This Row],[Sales]]-tblSales[[#This Row],[Budget]]</f>
        <v>-1501</v>
      </c>
      <c r="L2824" s="3">
        <f>(tblSales[[#This Row],[Sales]]-tblSales[[#This Row],[Budget]])/tblSales[[#This Row],[Budget]]</f>
        <v>-7.461722012328495E-2</v>
      </c>
      <c r="M2824" s="2">
        <f>tblSales[[#This Row],[Sales]]/tblSales[[#This Row],[Transactions]]</f>
        <v>219</v>
      </c>
    </row>
    <row r="2825" spans="1:13" x14ac:dyDescent="0.25">
      <c r="A2825" s="1">
        <v>46164</v>
      </c>
      <c r="B2825" t="s">
        <v>12</v>
      </c>
      <c r="C2825" t="s">
        <v>19</v>
      </c>
      <c r="D2825" t="str">
        <f>_xlfn.XLOOKUP(tblSales[[#This Row],[Store ID]],tblStores[Store ID],tblStores[Store Name])</f>
        <v>Pietermaritzburg</v>
      </c>
      <c r="E2825" t="str">
        <f>_xlfn.XLOOKUP(tblSales[[#This Row],[Store ID]],tblStores[Store ID],tblStores[Province])</f>
        <v>KZN</v>
      </c>
      <c r="F2825" t="str">
        <f>_xlfn.XLOOKUP(tblSales[[#This Row],[Store ID]],tblStores[Store ID],tblStores[Manager])</f>
        <v>Peter Brown</v>
      </c>
      <c r="G2825" t="str">
        <f>_xlfn.XLOOKUP(tblSales[[#This Row],[Category ID]],tblCategories[Category ID],tblCategories[Category])</f>
        <v>Accessories</v>
      </c>
      <c r="H2825">
        <v>48768</v>
      </c>
      <c r="I2825">
        <v>47838</v>
      </c>
      <c r="J2825">
        <v>192</v>
      </c>
      <c r="K2825">
        <f>tblSales[[#This Row],[Sales]]-tblSales[[#This Row],[Budget]]</f>
        <v>930</v>
      </c>
      <c r="L2825" s="3">
        <f>(tblSales[[#This Row],[Sales]]-tblSales[[#This Row],[Budget]])/tblSales[[#This Row],[Budget]]</f>
        <v>1.9440612065721809E-2</v>
      </c>
      <c r="M2825" s="2">
        <f>tblSales[[#This Row],[Sales]]/tblSales[[#This Row],[Transactions]]</f>
        <v>254</v>
      </c>
    </row>
    <row r="2826" spans="1:13" x14ac:dyDescent="0.25">
      <c r="A2826" s="1">
        <v>46164</v>
      </c>
      <c r="B2826" t="s">
        <v>13</v>
      </c>
      <c r="C2826" t="s">
        <v>22</v>
      </c>
      <c r="D2826" t="str">
        <f>_xlfn.XLOOKUP(tblSales[[#This Row],[Store ID]],tblStores[Store ID],tblStores[Store Name])</f>
        <v>Richards Bay</v>
      </c>
      <c r="E2826" t="str">
        <f>_xlfn.XLOOKUP(tblSales[[#This Row],[Store ID]],tblStores[Store ID],tblStores[Province])</f>
        <v>KZN</v>
      </c>
      <c r="F2826" t="str">
        <f>_xlfn.XLOOKUP(tblSales[[#This Row],[Store ID]],tblStores[Store ID],tblStores[Manager])</f>
        <v>David Green</v>
      </c>
      <c r="G2826" t="str">
        <f>_xlfn.XLOOKUP(tblSales[[#This Row],[Category ID]],tblCategories[Category ID],tblCategories[Category])</f>
        <v>Kids</v>
      </c>
      <c r="H2826">
        <v>9766</v>
      </c>
      <c r="I2826">
        <v>10978</v>
      </c>
      <c r="J2826">
        <v>38</v>
      </c>
      <c r="K2826">
        <f>tblSales[[#This Row],[Sales]]-tblSales[[#This Row],[Budget]]</f>
        <v>-1212</v>
      </c>
      <c r="L2826" s="3">
        <f>(tblSales[[#This Row],[Sales]]-tblSales[[#This Row],[Budget]])/tblSales[[#This Row],[Budget]]</f>
        <v>-0.11040262342867553</v>
      </c>
      <c r="M2826" s="2">
        <f>tblSales[[#This Row],[Sales]]/tblSales[[#This Row],[Transactions]]</f>
        <v>257</v>
      </c>
    </row>
    <row r="2827" spans="1:13" x14ac:dyDescent="0.25">
      <c r="A2827" s="1">
        <v>46164</v>
      </c>
      <c r="B2827" t="s">
        <v>14</v>
      </c>
      <c r="C2827" t="s">
        <v>9</v>
      </c>
      <c r="D2827" t="str">
        <f>_xlfn.XLOOKUP(tblSales[[#This Row],[Store ID]],tblStores[Store ID],tblStores[Store Name])</f>
        <v>Sandton</v>
      </c>
      <c r="E2827" t="str">
        <f>_xlfn.XLOOKUP(tblSales[[#This Row],[Store ID]],tblStores[Store ID],tblStores[Province])</f>
        <v>Gauteng</v>
      </c>
      <c r="F2827" t="str">
        <f>_xlfn.XLOOKUP(tblSales[[#This Row],[Store ID]],tblStores[Store ID],tblStores[Manager])</f>
        <v>Karen White</v>
      </c>
      <c r="G2827" t="str">
        <f>_xlfn.XLOOKUP(tblSales[[#This Row],[Category ID]],tblCategories[Category ID],tblCategories[Category])</f>
        <v>Ladieswear</v>
      </c>
      <c r="H2827">
        <v>55404</v>
      </c>
      <c r="I2827">
        <v>51437</v>
      </c>
      <c r="J2827">
        <v>162</v>
      </c>
      <c r="K2827">
        <f>tblSales[[#This Row],[Sales]]-tblSales[[#This Row],[Budget]]</f>
        <v>3967</v>
      </c>
      <c r="L2827" s="3">
        <f>(tblSales[[#This Row],[Sales]]-tblSales[[#This Row],[Budget]])/tblSales[[#This Row],[Budget]]</f>
        <v>7.7123471431071025E-2</v>
      </c>
      <c r="M2827" s="2">
        <f>tblSales[[#This Row],[Sales]]/tblSales[[#This Row],[Transactions]]</f>
        <v>342</v>
      </c>
    </row>
    <row r="2828" spans="1:13" x14ac:dyDescent="0.25">
      <c r="A2828" s="1">
        <v>46164</v>
      </c>
      <c r="B2828" t="s">
        <v>15</v>
      </c>
      <c r="C2828" t="s">
        <v>11</v>
      </c>
      <c r="D2828" t="str">
        <f>_xlfn.XLOOKUP(tblSales[[#This Row],[Store ID]],tblStores[Store ID],tblStores[Store Name])</f>
        <v>Rosebank</v>
      </c>
      <c r="E2828" t="str">
        <f>_xlfn.XLOOKUP(tblSales[[#This Row],[Store ID]],tblStores[Store ID],tblStores[Province])</f>
        <v>Gauteng</v>
      </c>
      <c r="F2828" t="str">
        <f>_xlfn.XLOOKUP(tblSales[[#This Row],[Store ID]],tblStores[Store ID],tblStores[Manager])</f>
        <v>James Taylor</v>
      </c>
      <c r="G2828" t="str">
        <f>_xlfn.XLOOKUP(tblSales[[#This Row],[Category ID]],tblCategories[Category ID],tblCategories[Category])</f>
        <v>Footwear</v>
      </c>
      <c r="H2828">
        <v>45492</v>
      </c>
      <c r="I2828">
        <v>49157</v>
      </c>
      <c r="J2828">
        <v>102</v>
      </c>
      <c r="K2828">
        <f>tblSales[[#This Row],[Sales]]-tblSales[[#This Row],[Budget]]</f>
        <v>-3665</v>
      </c>
      <c r="L2828" s="3">
        <f>(tblSales[[#This Row],[Sales]]-tblSales[[#This Row],[Budget]])/tblSales[[#This Row],[Budget]]</f>
        <v>-7.4557031551966149E-2</v>
      </c>
      <c r="M2828" s="2">
        <f>tblSales[[#This Row],[Sales]]/tblSales[[#This Row],[Transactions]]</f>
        <v>446</v>
      </c>
    </row>
    <row r="2829" spans="1:13" x14ac:dyDescent="0.25">
      <c r="A2829" s="1">
        <v>46164</v>
      </c>
      <c r="B2829" t="s">
        <v>16</v>
      </c>
      <c r="C2829" t="s">
        <v>11</v>
      </c>
      <c r="D2829" t="str">
        <f>_xlfn.XLOOKUP(tblSales[[#This Row],[Store ID]],tblStores[Store ID],tblStores[Store Name])</f>
        <v>Pretoria</v>
      </c>
      <c r="E2829" t="str">
        <f>_xlfn.XLOOKUP(tblSales[[#This Row],[Store ID]],tblStores[Store ID],tblStores[Province])</f>
        <v>Gauteng</v>
      </c>
      <c r="F2829" t="str">
        <f>_xlfn.XLOOKUP(tblSales[[#This Row],[Store ID]],tblStores[Store ID],tblStores[Manager])</f>
        <v>Susan Clark</v>
      </c>
      <c r="G2829" t="str">
        <f>_xlfn.XLOOKUP(tblSales[[#This Row],[Category ID]],tblCategories[Category ID],tblCategories[Category])</f>
        <v>Footwear</v>
      </c>
      <c r="H2829">
        <v>33768</v>
      </c>
      <c r="I2829">
        <v>34184</v>
      </c>
      <c r="J2829">
        <v>67</v>
      </c>
      <c r="K2829">
        <f>tblSales[[#This Row],[Sales]]-tblSales[[#This Row],[Budget]]</f>
        <v>-416</v>
      </c>
      <c r="L2829" s="3">
        <f>(tblSales[[#This Row],[Sales]]-tblSales[[#This Row],[Budget]])/tblSales[[#This Row],[Budget]]</f>
        <v>-1.2169435993447227E-2</v>
      </c>
      <c r="M2829" s="2">
        <f>tblSales[[#This Row],[Sales]]/tblSales[[#This Row],[Transactions]]</f>
        <v>504</v>
      </c>
    </row>
    <row r="2830" spans="1:13" x14ac:dyDescent="0.25">
      <c r="A2830" s="1">
        <v>46164</v>
      </c>
      <c r="B2830" t="s">
        <v>17</v>
      </c>
      <c r="C2830" t="s">
        <v>19</v>
      </c>
      <c r="D2830" t="str">
        <f>_xlfn.XLOOKUP(tblSales[[#This Row],[Store ID]],tblStores[Store ID],tblStores[Store Name])</f>
        <v>Centurion</v>
      </c>
      <c r="E2830" t="str">
        <f>_xlfn.XLOOKUP(tblSales[[#This Row],[Store ID]],tblStores[Store ID],tblStores[Province])</f>
        <v>Gauteng</v>
      </c>
      <c r="F2830" t="str">
        <f>_xlfn.XLOOKUP(tblSales[[#This Row],[Store ID]],tblStores[Store ID],tblStores[Manager])</f>
        <v>Mark Wilson</v>
      </c>
      <c r="G2830" t="str">
        <f>_xlfn.XLOOKUP(tblSales[[#This Row],[Category ID]],tblCategories[Category ID],tblCategories[Category])</f>
        <v>Accessories</v>
      </c>
      <c r="H2830">
        <v>11682</v>
      </c>
      <c r="I2830">
        <v>11152</v>
      </c>
      <c r="J2830">
        <v>59</v>
      </c>
      <c r="K2830">
        <f>tblSales[[#This Row],[Sales]]-tblSales[[#This Row],[Budget]]</f>
        <v>530</v>
      </c>
      <c r="L2830" s="3">
        <f>(tblSales[[#This Row],[Sales]]-tblSales[[#This Row],[Budget]])/tblSales[[#This Row],[Budget]]</f>
        <v>4.7525107604017215E-2</v>
      </c>
      <c r="M2830" s="2">
        <f>tblSales[[#This Row],[Sales]]/tblSales[[#This Row],[Transactions]]</f>
        <v>198</v>
      </c>
    </row>
    <row r="2831" spans="1:13" x14ac:dyDescent="0.25">
      <c r="A2831" s="1">
        <v>46164</v>
      </c>
      <c r="B2831" t="s">
        <v>18</v>
      </c>
      <c r="C2831" t="s">
        <v>9</v>
      </c>
      <c r="D2831" t="str">
        <f>_xlfn.XLOOKUP(tblSales[[#This Row],[Store ID]],tblStores[Store ID],tblStores[Store Name])</f>
        <v>East Rand</v>
      </c>
      <c r="E2831" t="str">
        <f>_xlfn.XLOOKUP(tblSales[[#This Row],[Store ID]],tblStores[Store ID],tblStores[Province])</f>
        <v>Gauteng</v>
      </c>
      <c r="F2831" t="str">
        <f>_xlfn.XLOOKUP(tblSales[[#This Row],[Store ID]],tblStores[Store ID],tblStores[Manager])</f>
        <v>Lisa Young</v>
      </c>
      <c r="G2831" t="str">
        <f>_xlfn.XLOOKUP(tblSales[[#This Row],[Category ID]],tblCategories[Category ID],tblCategories[Category])</f>
        <v>Ladieswear</v>
      </c>
      <c r="H2831">
        <v>65178</v>
      </c>
      <c r="I2831">
        <v>71278</v>
      </c>
      <c r="J2831">
        <v>142</v>
      </c>
      <c r="K2831">
        <f>tblSales[[#This Row],[Sales]]-tblSales[[#This Row],[Budget]]</f>
        <v>-6100</v>
      </c>
      <c r="L2831" s="3">
        <f>(tblSales[[#This Row],[Sales]]-tblSales[[#This Row],[Budget]])/tblSales[[#This Row],[Budget]]</f>
        <v>-8.5580403490558093E-2</v>
      </c>
      <c r="M2831" s="2">
        <f>tblSales[[#This Row],[Sales]]/tblSales[[#This Row],[Transactions]]</f>
        <v>459</v>
      </c>
    </row>
    <row r="2832" spans="1:13" x14ac:dyDescent="0.25">
      <c r="A2832" s="1">
        <v>46164</v>
      </c>
      <c r="B2832" t="s">
        <v>20</v>
      </c>
      <c r="C2832" t="s">
        <v>19</v>
      </c>
      <c r="D2832" t="str">
        <f>_xlfn.XLOOKUP(tblSales[[#This Row],[Store ID]],tblStores[Store ID],tblStores[Store Name])</f>
        <v>Cape Town CBD</v>
      </c>
      <c r="E2832" t="str">
        <f>_xlfn.XLOOKUP(tblSales[[#This Row],[Store ID]],tblStores[Store ID],tblStores[Province])</f>
        <v>Western Cape</v>
      </c>
      <c r="F2832" t="str">
        <f>_xlfn.XLOOKUP(tblSales[[#This Row],[Store ID]],tblStores[Store ID],tblStores[Manager])</f>
        <v>Brian Hall</v>
      </c>
      <c r="G2832" t="str">
        <f>_xlfn.XLOOKUP(tblSales[[#This Row],[Category ID]],tblCategories[Category ID],tblCategories[Category])</f>
        <v>Accessories</v>
      </c>
      <c r="H2832">
        <v>37990</v>
      </c>
      <c r="I2832">
        <v>37496</v>
      </c>
      <c r="J2832">
        <v>131</v>
      </c>
      <c r="K2832">
        <f>tblSales[[#This Row],[Sales]]-tblSales[[#This Row],[Budget]]</f>
        <v>494</v>
      </c>
      <c r="L2832" s="3">
        <f>(tblSales[[#This Row],[Sales]]-tblSales[[#This Row],[Budget]])/tblSales[[#This Row],[Budget]]</f>
        <v>1.3174738638788137E-2</v>
      </c>
      <c r="M2832" s="2">
        <f>tblSales[[#This Row],[Sales]]/tblSales[[#This Row],[Transactions]]</f>
        <v>290</v>
      </c>
    </row>
    <row r="2833" spans="1:13" x14ac:dyDescent="0.25">
      <c r="A2833" s="1">
        <v>46164</v>
      </c>
      <c r="B2833" t="s">
        <v>21</v>
      </c>
      <c r="C2833" t="s">
        <v>9</v>
      </c>
      <c r="D2833" t="str">
        <f>_xlfn.XLOOKUP(tblSales[[#This Row],[Store ID]],tblStores[Store ID],tblStores[Store Name])</f>
        <v>Canal Walk</v>
      </c>
      <c r="E2833" t="str">
        <f>_xlfn.XLOOKUP(tblSales[[#This Row],[Store ID]],tblStores[Store ID],tblStores[Province])</f>
        <v>Western Cape</v>
      </c>
      <c r="F2833" t="str">
        <f>_xlfn.XLOOKUP(tblSales[[#This Row],[Store ID]],tblStores[Store ID],tblStores[Manager])</f>
        <v>Megan Scott</v>
      </c>
      <c r="G2833" t="str">
        <f>_xlfn.XLOOKUP(tblSales[[#This Row],[Category ID]],tblCategories[Category ID],tblCategories[Category])</f>
        <v>Ladieswear</v>
      </c>
      <c r="H2833">
        <v>98800</v>
      </c>
      <c r="I2833">
        <v>112511</v>
      </c>
      <c r="J2833">
        <v>208</v>
      </c>
      <c r="K2833">
        <f>tblSales[[#This Row],[Sales]]-tblSales[[#This Row],[Budget]]</f>
        <v>-13711</v>
      </c>
      <c r="L2833" s="3">
        <f>(tblSales[[#This Row],[Sales]]-tblSales[[#This Row],[Budget]])/tblSales[[#This Row],[Budget]]</f>
        <v>-0.12186363999964447</v>
      </c>
      <c r="M2833" s="2">
        <f>tblSales[[#This Row],[Sales]]/tblSales[[#This Row],[Transactions]]</f>
        <v>475</v>
      </c>
    </row>
    <row r="2834" spans="1:13" x14ac:dyDescent="0.25">
      <c r="A2834" s="1">
        <v>46164</v>
      </c>
      <c r="B2834" t="s">
        <v>23</v>
      </c>
      <c r="C2834" t="s">
        <v>22</v>
      </c>
      <c r="D2834" t="str">
        <f>_xlfn.XLOOKUP(tblSales[[#This Row],[Store ID]],tblStores[Store ID],tblStores[Store Name])</f>
        <v>Stellenbosch</v>
      </c>
      <c r="E2834" t="str">
        <f>_xlfn.XLOOKUP(tblSales[[#This Row],[Store ID]],tblStores[Store ID],tblStores[Province])</f>
        <v>Western Cape</v>
      </c>
      <c r="F2834" t="str">
        <f>_xlfn.XLOOKUP(tblSales[[#This Row],[Store ID]],tblStores[Store ID],tblStores[Manager])</f>
        <v>Jason King</v>
      </c>
      <c r="G2834" t="str">
        <f>_xlfn.XLOOKUP(tblSales[[#This Row],[Category ID]],tblCategories[Category ID],tblCategories[Category])</f>
        <v>Kids</v>
      </c>
      <c r="H2834">
        <v>24064</v>
      </c>
      <c r="I2834">
        <v>23474</v>
      </c>
      <c r="J2834">
        <v>128</v>
      </c>
      <c r="K2834">
        <f>tblSales[[#This Row],[Sales]]-tblSales[[#This Row],[Budget]]</f>
        <v>590</v>
      </c>
      <c r="L2834" s="3">
        <f>(tblSales[[#This Row],[Sales]]-tblSales[[#This Row],[Budget]])/tblSales[[#This Row],[Budget]]</f>
        <v>2.5134191019851752E-2</v>
      </c>
      <c r="M2834" s="2">
        <f>tblSales[[#This Row],[Sales]]/tblSales[[#This Row],[Transactions]]</f>
        <v>188</v>
      </c>
    </row>
    <row r="2835" spans="1:13" x14ac:dyDescent="0.25">
      <c r="A2835" s="1">
        <v>46164</v>
      </c>
      <c r="B2835" t="s">
        <v>24</v>
      </c>
      <c r="C2835" t="s">
        <v>22</v>
      </c>
      <c r="D2835" t="str">
        <f>_xlfn.XLOOKUP(tblSales[[#This Row],[Store ID]],tblStores[Store ID],tblStores[Store Name])</f>
        <v>George</v>
      </c>
      <c r="E2835" t="str">
        <f>_xlfn.XLOOKUP(tblSales[[#This Row],[Store ID]],tblStores[Store ID],tblStores[Province])</f>
        <v>Western Cape</v>
      </c>
      <c r="F2835" t="str">
        <f>_xlfn.XLOOKUP(tblSales[[#This Row],[Store ID]],tblStores[Store ID],tblStores[Manager])</f>
        <v>Chloe Hill</v>
      </c>
      <c r="G2835" t="str">
        <f>_xlfn.XLOOKUP(tblSales[[#This Row],[Category ID]],tblCategories[Category ID],tblCategories[Category])</f>
        <v>Kids</v>
      </c>
      <c r="H2835">
        <v>39609</v>
      </c>
      <c r="I2835">
        <v>42572</v>
      </c>
      <c r="J2835">
        <v>163</v>
      </c>
      <c r="K2835">
        <f>tblSales[[#This Row],[Sales]]-tblSales[[#This Row],[Budget]]</f>
        <v>-2963</v>
      </c>
      <c r="L2835" s="3">
        <f>(tblSales[[#This Row],[Sales]]-tblSales[[#This Row],[Budget]])/tblSales[[#This Row],[Budget]]</f>
        <v>-6.9599736916283003E-2</v>
      </c>
      <c r="M2835" s="2">
        <f>tblSales[[#This Row],[Sales]]/tblSales[[#This Row],[Transactions]]</f>
        <v>243</v>
      </c>
    </row>
    <row r="2836" spans="1:13" x14ac:dyDescent="0.25">
      <c r="A2836" s="1">
        <v>46164</v>
      </c>
      <c r="B2836" t="s">
        <v>25</v>
      </c>
      <c r="C2836" t="s">
        <v>11</v>
      </c>
      <c r="D2836" t="str">
        <f>_xlfn.XLOOKUP(tblSales[[#This Row],[Store ID]],tblStores[Store ID],tblStores[Store Name])</f>
        <v>Paarl</v>
      </c>
      <c r="E2836" t="str">
        <f>_xlfn.XLOOKUP(tblSales[[#This Row],[Store ID]],tblStores[Store ID],tblStores[Province])</f>
        <v>Western Cape</v>
      </c>
      <c r="F2836" t="str">
        <f>_xlfn.XLOOKUP(tblSales[[#This Row],[Store ID]],tblStores[Store ID],tblStores[Manager])</f>
        <v>Andrew Lee</v>
      </c>
      <c r="G2836" t="str">
        <f>_xlfn.XLOOKUP(tblSales[[#This Row],[Category ID]],tblCategories[Category ID],tblCategories[Category])</f>
        <v>Footwear</v>
      </c>
      <c r="H2836">
        <v>54600</v>
      </c>
      <c r="I2836">
        <v>53941</v>
      </c>
      <c r="J2836">
        <v>140</v>
      </c>
      <c r="K2836">
        <f>tblSales[[#This Row],[Sales]]-tblSales[[#This Row],[Budget]]</f>
        <v>659</v>
      </c>
      <c r="L2836" s="3">
        <f>(tblSales[[#This Row],[Sales]]-tblSales[[#This Row],[Budget]])/tblSales[[#This Row],[Budget]]</f>
        <v>1.2217051964183089E-2</v>
      </c>
      <c r="M2836" s="2">
        <f>tblSales[[#This Row],[Sales]]/tblSales[[#This Row],[Transactions]]</f>
        <v>390</v>
      </c>
    </row>
    <row r="2837" spans="1:13" x14ac:dyDescent="0.25">
      <c r="A2837" s="1">
        <v>46164</v>
      </c>
      <c r="B2837" t="s">
        <v>26</v>
      </c>
      <c r="C2837" t="s">
        <v>19</v>
      </c>
      <c r="D2837" t="str">
        <f>_xlfn.XLOOKUP(tblSales[[#This Row],[Store ID]],tblStores[Store ID],tblStores[Store Name])</f>
        <v>Gqeberha</v>
      </c>
      <c r="E2837" t="str">
        <f>_xlfn.XLOOKUP(tblSales[[#This Row],[Store ID]],tblStores[Store ID],tblStores[Province])</f>
        <v>Eastern Cape</v>
      </c>
      <c r="F2837" t="str">
        <f>_xlfn.XLOOKUP(tblSales[[#This Row],[Store ID]],tblStores[Store ID],tblStores[Manager])</f>
        <v>Emma Baker</v>
      </c>
      <c r="G2837" t="str">
        <f>_xlfn.XLOOKUP(tblSales[[#This Row],[Category ID]],tblCategories[Category ID],tblCategories[Category])</f>
        <v>Accessories</v>
      </c>
      <c r="H2837">
        <v>64368</v>
      </c>
      <c r="I2837">
        <v>73605</v>
      </c>
      <c r="J2837">
        <v>144</v>
      </c>
      <c r="K2837">
        <f>tblSales[[#This Row],[Sales]]-tblSales[[#This Row],[Budget]]</f>
        <v>-9237</v>
      </c>
      <c r="L2837" s="3">
        <f>(tblSales[[#This Row],[Sales]]-tblSales[[#This Row],[Budget]])/tblSales[[#This Row],[Budget]]</f>
        <v>-0.12549419197065417</v>
      </c>
      <c r="M2837" s="2">
        <f>tblSales[[#This Row],[Sales]]/tblSales[[#This Row],[Transactions]]</f>
        <v>447</v>
      </c>
    </row>
    <row r="2838" spans="1:13" x14ac:dyDescent="0.25">
      <c r="A2838" s="1">
        <v>46164</v>
      </c>
      <c r="B2838" t="s">
        <v>27</v>
      </c>
      <c r="C2838" t="s">
        <v>22</v>
      </c>
      <c r="D2838" t="str">
        <f>_xlfn.XLOOKUP(tblSales[[#This Row],[Store ID]],tblStores[Store ID],tblStores[Store Name])</f>
        <v>East London</v>
      </c>
      <c r="E2838" t="str">
        <f>_xlfn.XLOOKUP(tblSales[[#This Row],[Store ID]],tblStores[Store ID],tblStores[Province])</f>
        <v>Eastern Cape</v>
      </c>
      <c r="F2838" t="str">
        <f>_xlfn.XLOOKUP(tblSales[[#This Row],[Store ID]],tblStores[Store ID],tblStores[Manager])</f>
        <v>Daniel Evans</v>
      </c>
      <c r="G2838" t="str">
        <f>_xlfn.XLOOKUP(tblSales[[#This Row],[Category ID]],tblCategories[Category ID],tblCategories[Category])</f>
        <v>Kids</v>
      </c>
      <c r="H2838">
        <v>17280</v>
      </c>
      <c r="I2838">
        <v>17534</v>
      </c>
      <c r="J2838">
        <v>64</v>
      </c>
      <c r="K2838">
        <f>tblSales[[#This Row],[Sales]]-tblSales[[#This Row],[Budget]]</f>
        <v>-254</v>
      </c>
      <c r="L2838" s="3">
        <f>(tblSales[[#This Row],[Sales]]-tblSales[[#This Row],[Budget]])/tblSales[[#This Row],[Budget]]</f>
        <v>-1.4486141211360784E-2</v>
      </c>
      <c r="M2838" s="2">
        <f>tblSales[[#This Row],[Sales]]/tblSales[[#This Row],[Transactions]]</f>
        <v>270</v>
      </c>
    </row>
    <row r="2839" spans="1:13" x14ac:dyDescent="0.25">
      <c r="A2839" s="1">
        <v>46164</v>
      </c>
      <c r="B2839" t="s">
        <v>28</v>
      </c>
      <c r="C2839" t="s">
        <v>22</v>
      </c>
      <c r="D2839" t="str">
        <f>_xlfn.XLOOKUP(tblSales[[#This Row],[Store ID]],tblStores[Store ID],tblStores[Store Name])</f>
        <v>Bloemfontein</v>
      </c>
      <c r="E2839" t="str">
        <f>_xlfn.XLOOKUP(tblSales[[#This Row],[Store ID]],tblStores[Store ID],tblStores[Province])</f>
        <v>Free State</v>
      </c>
      <c r="F2839" t="str">
        <f>_xlfn.XLOOKUP(tblSales[[#This Row],[Store ID]],tblStores[Store ID],tblStores[Manager])</f>
        <v>Rachel Moore</v>
      </c>
      <c r="G2839" t="str">
        <f>_xlfn.XLOOKUP(tblSales[[#This Row],[Category ID]],tblCategories[Category ID],tblCategories[Category])</f>
        <v>Kids</v>
      </c>
      <c r="H2839">
        <v>37040</v>
      </c>
      <c r="I2839">
        <v>38844</v>
      </c>
      <c r="J2839">
        <v>80</v>
      </c>
      <c r="K2839">
        <f>tblSales[[#This Row],[Sales]]-tblSales[[#This Row],[Budget]]</f>
        <v>-1804</v>
      </c>
      <c r="L2839" s="3">
        <f>(tblSales[[#This Row],[Sales]]-tblSales[[#This Row],[Budget]])/tblSales[[#This Row],[Budget]]</f>
        <v>-4.6442178972299457E-2</v>
      </c>
      <c r="M2839" s="2">
        <f>tblSales[[#This Row],[Sales]]/tblSales[[#This Row],[Transactions]]</f>
        <v>463</v>
      </c>
    </row>
    <row r="2840" spans="1:13" x14ac:dyDescent="0.25">
      <c r="A2840" s="1">
        <v>46164</v>
      </c>
      <c r="B2840" t="s">
        <v>29</v>
      </c>
      <c r="C2840" t="s">
        <v>19</v>
      </c>
      <c r="D2840" t="str">
        <f>_xlfn.XLOOKUP(tblSales[[#This Row],[Store ID]],tblStores[Store ID],tblStores[Store Name])</f>
        <v>Polokwane</v>
      </c>
      <c r="E2840" t="str">
        <f>_xlfn.XLOOKUP(tblSales[[#This Row],[Store ID]],tblStores[Store ID],tblStores[Province])</f>
        <v>Limpopo</v>
      </c>
      <c r="F2840" t="str">
        <f>_xlfn.XLOOKUP(tblSales[[#This Row],[Store ID]],tblStores[Store ID],tblStores[Manager])</f>
        <v>Kevin Harris</v>
      </c>
      <c r="G2840" t="str">
        <f>_xlfn.XLOOKUP(tblSales[[#This Row],[Category ID]],tblCategories[Category ID],tblCategories[Category])</f>
        <v>Accessories</v>
      </c>
      <c r="H2840">
        <v>54750</v>
      </c>
      <c r="I2840">
        <v>53176</v>
      </c>
      <c r="J2840">
        <v>146</v>
      </c>
      <c r="K2840">
        <f>tblSales[[#This Row],[Sales]]-tblSales[[#This Row],[Budget]]</f>
        <v>1574</v>
      </c>
      <c r="L2840" s="3">
        <f>(tblSales[[#This Row],[Sales]]-tblSales[[#This Row],[Budget]])/tblSales[[#This Row],[Budget]]</f>
        <v>2.9599819467428914E-2</v>
      </c>
      <c r="M2840" s="2">
        <f>tblSales[[#This Row],[Sales]]/tblSales[[#This Row],[Transactions]]</f>
        <v>375</v>
      </c>
    </row>
    <row r="2841" spans="1:13" x14ac:dyDescent="0.25">
      <c r="A2841" s="1">
        <v>46164</v>
      </c>
      <c r="B2841" t="s">
        <v>30</v>
      </c>
      <c r="C2841" t="s">
        <v>11</v>
      </c>
      <c r="D2841" t="str">
        <f>_xlfn.XLOOKUP(tblSales[[#This Row],[Store ID]],tblStores[Store ID],tblStores[Store Name])</f>
        <v>Nelspruit</v>
      </c>
      <c r="E2841" t="str">
        <f>_xlfn.XLOOKUP(tblSales[[#This Row],[Store ID]],tblStores[Store ID],tblStores[Province])</f>
        <v>Mpumalanga</v>
      </c>
      <c r="F2841" t="str">
        <f>_xlfn.XLOOKUP(tblSales[[#This Row],[Store ID]],tblStores[Store ID],tblStores[Manager])</f>
        <v>Olivia Turner</v>
      </c>
      <c r="G2841" t="str">
        <f>_xlfn.XLOOKUP(tblSales[[#This Row],[Category ID]],tblCategories[Category ID],tblCategories[Category])</f>
        <v>Footwear</v>
      </c>
      <c r="H2841">
        <v>64025</v>
      </c>
      <c r="I2841">
        <v>68860</v>
      </c>
      <c r="J2841">
        <v>197</v>
      </c>
      <c r="K2841">
        <f>tblSales[[#This Row],[Sales]]-tblSales[[#This Row],[Budget]]</f>
        <v>-4835</v>
      </c>
      <c r="L2841" s="3">
        <f>(tblSales[[#This Row],[Sales]]-tblSales[[#This Row],[Budget]])/tblSales[[#This Row],[Budget]]</f>
        <v>-7.0214928841126928E-2</v>
      </c>
      <c r="M2841" s="2">
        <f>tblSales[[#This Row],[Sales]]/tblSales[[#This Row],[Transactions]]</f>
        <v>325</v>
      </c>
    </row>
    <row r="2842" spans="1:13" x14ac:dyDescent="0.25">
      <c r="A2842" s="1">
        <v>46165</v>
      </c>
      <c r="B2842" t="s">
        <v>6</v>
      </c>
      <c r="C2842" t="s">
        <v>7</v>
      </c>
      <c r="D2842" t="str">
        <f>_xlfn.XLOOKUP(tblSales[[#This Row],[Store ID]],tblStores[Store ID],tblStores[Store Name])</f>
        <v>Durban CBD</v>
      </c>
      <c r="E2842" t="str">
        <f>_xlfn.XLOOKUP(tblSales[[#This Row],[Store ID]],tblStores[Store ID],tblStores[Province])</f>
        <v>KZN</v>
      </c>
      <c r="F2842" t="str">
        <f>_xlfn.XLOOKUP(tblSales[[#This Row],[Store ID]],tblStores[Store ID],tblStores[Manager])</f>
        <v>Sarah Adams</v>
      </c>
      <c r="G2842" t="str">
        <f>_xlfn.XLOOKUP(tblSales[[#This Row],[Category ID]],tblCategories[Category ID],tblCategories[Category])</f>
        <v>Menswear</v>
      </c>
      <c r="H2842">
        <v>13281</v>
      </c>
      <c r="I2842">
        <v>12250</v>
      </c>
      <c r="J2842">
        <v>57</v>
      </c>
      <c r="K2842">
        <f>tblSales[[#This Row],[Sales]]-tblSales[[#This Row],[Budget]]</f>
        <v>1031</v>
      </c>
      <c r="L2842" s="3">
        <f>(tblSales[[#This Row],[Sales]]-tblSales[[#This Row],[Budget]])/tblSales[[#This Row],[Budget]]</f>
        <v>8.4163265306122448E-2</v>
      </c>
      <c r="M2842" s="2">
        <f>tblSales[[#This Row],[Sales]]/tblSales[[#This Row],[Transactions]]</f>
        <v>233</v>
      </c>
    </row>
    <row r="2843" spans="1:13" x14ac:dyDescent="0.25">
      <c r="A2843" s="1">
        <v>46165</v>
      </c>
      <c r="B2843" t="s">
        <v>8</v>
      </c>
      <c r="C2843" t="s">
        <v>7</v>
      </c>
      <c r="D2843" t="str">
        <f>_xlfn.XLOOKUP(tblSales[[#This Row],[Store ID]],tblStores[Store ID],tblStores[Store Name])</f>
        <v>Gateway</v>
      </c>
      <c r="E2843" t="str">
        <f>_xlfn.XLOOKUP(tblSales[[#This Row],[Store ID]],tblStores[Store ID],tblStores[Province])</f>
        <v>KZN</v>
      </c>
      <c r="F2843" t="str">
        <f>_xlfn.XLOOKUP(tblSales[[#This Row],[Store ID]],tblStores[Store ID],tblStores[Manager])</f>
        <v>Michael Jones</v>
      </c>
      <c r="G2843" t="str">
        <f>_xlfn.XLOOKUP(tblSales[[#This Row],[Category ID]],tblCategories[Category ID],tblCategories[Category])</f>
        <v>Menswear</v>
      </c>
      <c r="H2843">
        <v>74880</v>
      </c>
      <c r="I2843">
        <v>69332</v>
      </c>
      <c r="J2843">
        <v>192</v>
      </c>
      <c r="K2843">
        <f>tblSales[[#This Row],[Sales]]-tblSales[[#This Row],[Budget]]</f>
        <v>5548</v>
      </c>
      <c r="L2843" s="3">
        <f>(tblSales[[#This Row],[Sales]]-tblSales[[#This Row],[Budget]])/tblSales[[#This Row],[Budget]]</f>
        <v>8.0020769630185201E-2</v>
      </c>
      <c r="M2843" s="2">
        <f>tblSales[[#This Row],[Sales]]/tblSales[[#This Row],[Transactions]]</f>
        <v>390</v>
      </c>
    </row>
    <row r="2844" spans="1:13" x14ac:dyDescent="0.25">
      <c r="A2844" s="1">
        <v>46165</v>
      </c>
      <c r="B2844" t="s">
        <v>10</v>
      </c>
      <c r="C2844" t="s">
        <v>19</v>
      </c>
      <c r="D2844" t="str">
        <f>_xlfn.XLOOKUP(tblSales[[#This Row],[Store ID]],tblStores[Store ID],tblStores[Store Name])</f>
        <v>Ballito</v>
      </c>
      <c r="E2844" t="str">
        <f>_xlfn.XLOOKUP(tblSales[[#This Row],[Store ID]],tblStores[Store ID],tblStores[Province])</f>
        <v>KZN</v>
      </c>
      <c r="F2844" t="str">
        <f>_xlfn.XLOOKUP(tblSales[[#This Row],[Store ID]],tblStores[Store ID],tblStores[Manager])</f>
        <v>Linda Smith</v>
      </c>
      <c r="G2844" t="str">
        <f>_xlfn.XLOOKUP(tblSales[[#This Row],[Category ID]],tblCategories[Category ID],tblCategories[Category])</f>
        <v>Accessories</v>
      </c>
      <c r="H2844">
        <v>40194</v>
      </c>
      <c r="I2844">
        <v>42540</v>
      </c>
      <c r="J2844">
        <v>174</v>
      </c>
      <c r="K2844">
        <f>tblSales[[#This Row],[Sales]]-tblSales[[#This Row],[Budget]]</f>
        <v>-2346</v>
      </c>
      <c r="L2844" s="3">
        <f>(tblSales[[#This Row],[Sales]]-tblSales[[#This Row],[Budget]])/tblSales[[#This Row],[Budget]]</f>
        <v>-5.514809590973202E-2</v>
      </c>
      <c r="M2844" s="2">
        <f>tblSales[[#This Row],[Sales]]/tblSales[[#This Row],[Transactions]]</f>
        <v>231</v>
      </c>
    </row>
    <row r="2845" spans="1:13" x14ac:dyDescent="0.25">
      <c r="A2845" s="1">
        <v>46165</v>
      </c>
      <c r="B2845" t="s">
        <v>12</v>
      </c>
      <c r="C2845" t="s">
        <v>19</v>
      </c>
      <c r="D2845" t="str">
        <f>_xlfn.XLOOKUP(tblSales[[#This Row],[Store ID]],tblStores[Store ID],tblStores[Store Name])</f>
        <v>Pietermaritzburg</v>
      </c>
      <c r="E2845" t="str">
        <f>_xlfn.XLOOKUP(tblSales[[#This Row],[Store ID]],tblStores[Store ID],tblStores[Province])</f>
        <v>KZN</v>
      </c>
      <c r="F2845" t="str">
        <f>_xlfn.XLOOKUP(tblSales[[#This Row],[Store ID]],tblStores[Store ID],tblStores[Manager])</f>
        <v>Peter Brown</v>
      </c>
      <c r="G2845" t="str">
        <f>_xlfn.XLOOKUP(tblSales[[#This Row],[Category ID]],tblCategories[Category ID],tblCategories[Category])</f>
        <v>Accessories</v>
      </c>
      <c r="H2845">
        <v>35868</v>
      </c>
      <c r="I2845">
        <v>38268</v>
      </c>
      <c r="J2845">
        <v>183</v>
      </c>
      <c r="K2845">
        <f>tblSales[[#This Row],[Sales]]-tblSales[[#This Row],[Budget]]</f>
        <v>-2400</v>
      </c>
      <c r="L2845" s="3">
        <f>(tblSales[[#This Row],[Sales]]-tblSales[[#This Row],[Budget]])/tblSales[[#This Row],[Budget]]</f>
        <v>-6.2715584822828477E-2</v>
      </c>
      <c r="M2845" s="2">
        <f>tblSales[[#This Row],[Sales]]/tblSales[[#This Row],[Transactions]]</f>
        <v>196</v>
      </c>
    </row>
    <row r="2846" spans="1:13" x14ac:dyDescent="0.25">
      <c r="A2846" s="1">
        <v>46165</v>
      </c>
      <c r="B2846" t="s">
        <v>13</v>
      </c>
      <c r="C2846" t="s">
        <v>11</v>
      </c>
      <c r="D2846" t="str">
        <f>_xlfn.XLOOKUP(tblSales[[#This Row],[Store ID]],tblStores[Store ID],tblStores[Store Name])</f>
        <v>Richards Bay</v>
      </c>
      <c r="E2846" t="str">
        <f>_xlfn.XLOOKUP(tblSales[[#This Row],[Store ID]],tblStores[Store ID],tblStores[Province])</f>
        <v>KZN</v>
      </c>
      <c r="F2846" t="str">
        <f>_xlfn.XLOOKUP(tblSales[[#This Row],[Store ID]],tblStores[Store ID],tblStores[Manager])</f>
        <v>David Green</v>
      </c>
      <c r="G2846" t="str">
        <f>_xlfn.XLOOKUP(tblSales[[#This Row],[Category ID]],tblCategories[Category ID],tblCategories[Category])</f>
        <v>Footwear</v>
      </c>
      <c r="H2846">
        <v>26166</v>
      </c>
      <c r="I2846">
        <v>28631</v>
      </c>
      <c r="J2846">
        <v>89</v>
      </c>
      <c r="K2846">
        <f>tblSales[[#This Row],[Sales]]-tblSales[[#This Row],[Budget]]</f>
        <v>-2465</v>
      </c>
      <c r="L2846" s="3">
        <f>(tblSales[[#This Row],[Sales]]-tblSales[[#This Row],[Budget]])/tblSales[[#This Row],[Budget]]</f>
        <v>-8.6095490901470437E-2</v>
      </c>
      <c r="M2846" s="2">
        <f>tblSales[[#This Row],[Sales]]/tblSales[[#This Row],[Transactions]]</f>
        <v>294</v>
      </c>
    </row>
    <row r="2847" spans="1:13" x14ac:dyDescent="0.25">
      <c r="A2847" s="1">
        <v>46165</v>
      </c>
      <c r="B2847" t="s">
        <v>14</v>
      </c>
      <c r="C2847" t="s">
        <v>19</v>
      </c>
      <c r="D2847" t="str">
        <f>_xlfn.XLOOKUP(tblSales[[#This Row],[Store ID]],tblStores[Store ID],tblStores[Store Name])</f>
        <v>Sandton</v>
      </c>
      <c r="E2847" t="str">
        <f>_xlfn.XLOOKUP(tblSales[[#This Row],[Store ID]],tblStores[Store ID],tblStores[Province])</f>
        <v>Gauteng</v>
      </c>
      <c r="F2847" t="str">
        <f>_xlfn.XLOOKUP(tblSales[[#This Row],[Store ID]],tblStores[Store ID],tblStores[Manager])</f>
        <v>Karen White</v>
      </c>
      <c r="G2847" t="str">
        <f>_xlfn.XLOOKUP(tblSales[[#This Row],[Category ID]],tblCategories[Category ID],tblCategories[Category])</f>
        <v>Accessories</v>
      </c>
      <c r="H2847">
        <v>31416</v>
      </c>
      <c r="I2847">
        <v>29810</v>
      </c>
      <c r="J2847">
        <v>132</v>
      </c>
      <c r="K2847">
        <f>tblSales[[#This Row],[Sales]]-tblSales[[#This Row],[Budget]]</f>
        <v>1606</v>
      </c>
      <c r="L2847" s="3">
        <f>(tblSales[[#This Row],[Sales]]-tblSales[[#This Row],[Budget]])/tblSales[[#This Row],[Budget]]</f>
        <v>5.3874538745387453E-2</v>
      </c>
      <c r="M2847" s="2">
        <f>tblSales[[#This Row],[Sales]]/tblSales[[#This Row],[Transactions]]</f>
        <v>238</v>
      </c>
    </row>
    <row r="2848" spans="1:13" x14ac:dyDescent="0.25">
      <c r="A2848" s="1">
        <v>46165</v>
      </c>
      <c r="B2848" t="s">
        <v>15</v>
      </c>
      <c r="C2848" t="s">
        <v>11</v>
      </c>
      <c r="D2848" t="str">
        <f>_xlfn.XLOOKUP(tblSales[[#This Row],[Store ID]],tblStores[Store ID],tblStores[Store Name])</f>
        <v>Rosebank</v>
      </c>
      <c r="E2848" t="str">
        <f>_xlfn.XLOOKUP(tblSales[[#This Row],[Store ID]],tblStores[Store ID],tblStores[Province])</f>
        <v>Gauteng</v>
      </c>
      <c r="F2848" t="str">
        <f>_xlfn.XLOOKUP(tblSales[[#This Row],[Store ID]],tblStores[Store ID],tblStores[Manager])</f>
        <v>James Taylor</v>
      </c>
      <c r="G2848" t="str">
        <f>_xlfn.XLOOKUP(tblSales[[#This Row],[Category ID]],tblCategories[Category ID],tblCategories[Category])</f>
        <v>Footwear</v>
      </c>
      <c r="H2848">
        <v>23694</v>
      </c>
      <c r="I2848">
        <v>27056</v>
      </c>
      <c r="J2848">
        <v>66</v>
      </c>
      <c r="K2848">
        <f>tblSales[[#This Row],[Sales]]-tblSales[[#This Row],[Budget]]</f>
        <v>-3362</v>
      </c>
      <c r="L2848" s="3">
        <f>(tblSales[[#This Row],[Sales]]-tblSales[[#This Row],[Budget]])/tblSales[[#This Row],[Budget]]</f>
        <v>-0.12426079243051449</v>
      </c>
      <c r="M2848" s="2">
        <f>tblSales[[#This Row],[Sales]]/tblSales[[#This Row],[Transactions]]</f>
        <v>359</v>
      </c>
    </row>
    <row r="2849" spans="1:13" x14ac:dyDescent="0.25">
      <c r="A2849" s="1">
        <v>46165</v>
      </c>
      <c r="B2849" t="s">
        <v>16</v>
      </c>
      <c r="C2849" t="s">
        <v>11</v>
      </c>
      <c r="D2849" t="str">
        <f>_xlfn.XLOOKUP(tblSales[[#This Row],[Store ID]],tblStores[Store ID],tblStores[Store Name])</f>
        <v>Pretoria</v>
      </c>
      <c r="E2849" t="str">
        <f>_xlfn.XLOOKUP(tblSales[[#This Row],[Store ID]],tblStores[Store ID],tblStores[Province])</f>
        <v>Gauteng</v>
      </c>
      <c r="F2849" t="str">
        <f>_xlfn.XLOOKUP(tblSales[[#This Row],[Store ID]],tblStores[Store ID],tblStores[Manager])</f>
        <v>Susan Clark</v>
      </c>
      <c r="G2849" t="str">
        <f>_xlfn.XLOOKUP(tblSales[[#This Row],[Category ID]],tblCategories[Category ID],tblCategories[Category])</f>
        <v>Footwear</v>
      </c>
      <c r="H2849">
        <v>71400</v>
      </c>
      <c r="I2849">
        <v>76823</v>
      </c>
      <c r="J2849">
        <v>140</v>
      </c>
      <c r="K2849">
        <f>tblSales[[#This Row],[Sales]]-tblSales[[#This Row],[Budget]]</f>
        <v>-5423</v>
      </c>
      <c r="L2849" s="3">
        <f>(tblSales[[#This Row],[Sales]]-tblSales[[#This Row],[Budget]])/tblSales[[#This Row],[Budget]]</f>
        <v>-7.0590838681124146E-2</v>
      </c>
      <c r="M2849" s="2">
        <f>tblSales[[#This Row],[Sales]]/tblSales[[#This Row],[Transactions]]</f>
        <v>510</v>
      </c>
    </row>
    <row r="2850" spans="1:13" x14ac:dyDescent="0.25">
      <c r="A2850" s="1">
        <v>46165</v>
      </c>
      <c r="B2850" t="s">
        <v>17</v>
      </c>
      <c r="C2850" t="s">
        <v>11</v>
      </c>
      <c r="D2850" t="str">
        <f>_xlfn.XLOOKUP(tblSales[[#This Row],[Store ID]],tblStores[Store ID],tblStores[Store Name])</f>
        <v>Centurion</v>
      </c>
      <c r="E2850" t="str">
        <f>_xlfn.XLOOKUP(tblSales[[#This Row],[Store ID]],tblStores[Store ID],tblStores[Province])</f>
        <v>Gauteng</v>
      </c>
      <c r="F2850" t="str">
        <f>_xlfn.XLOOKUP(tblSales[[#This Row],[Store ID]],tblStores[Store ID],tblStores[Manager])</f>
        <v>Mark Wilson</v>
      </c>
      <c r="G2850" t="str">
        <f>_xlfn.XLOOKUP(tblSales[[#This Row],[Category ID]],tblCategories[Category ID],tblCategories[Category])</f>
        <v>Footwear</v>
      </c>
      <c r="H2850">
        <v>13356</v>
      </c>
      <c r="I2850">
        <v>14632</v>
      </c>
      <c r="J2850">
        <v>36</v>
      </c>
      <c r="K2850">
        <f>tblSales[[#This Row],[Sales]]-tblSales[[#This Row],[Budget]]</f>
        <v>-1276</v>
      </c>
      <c r="L2850" s="3">
        <f>(tblSales[[#This Row],[Sales]]-tblSales[[#This Row],[Budget]])/tblSales[[#This Row],[Budget]]</f>
        <v>-8.7206123564789503E-2</v>
      </c>
      <c r="M2850" s="2">
        <f>tblSales[[#This Row],[Sales]]/tblSales[[#This Row],[Transactions]]</f>
        <v>371</v>
      </c>
    </row>
    <row r="2851" spans="1:13" x14ac:dyDescent="0.25">
      <c r="A2851" s="1">
        <v>46165</v>
      </c>
      <c r="B2851" t="s">
        <v>18</v>
      </c>
      <c r="C2851" t="s">
        <v>19</v>
      </c>
      <c r="D2851" t="str">
        <f>_xlfn.XLOOKUP(tblSales[[#This Row],[Store ID]],tblStores[Store ID],tblStores[Store Name])</f>
        <v>East Rand</v>
      </c>
      <c r="E2851" t="str">
        <f>_xlfn.XLOOKUP(tblSales[[#This Row],[Store ID]],tblStores[Store ID],tblStores[Province])</f>
        <v>Gauteng</v>
      </c>
      <c r="F2851" t="str">
        <f>_xlfn.XLOOKUP(tblSales[[#This Row],[Store ID]],tblStores[Store ID],tblStores[Manager])</f>
        <v>Lisa Young</v>
      </c>
      <c r="G2851" t="str">
        <f>_xlfn.XLOOKUP(tblSales[[#This Row],[Category ID]],tblCategories[Category ID],tblCategories[Category])</f>
        <v>Accessories</v>
      </c>
      <c r="H2851">
        <v>33919</v>
      </c>
      <c r="I2851">
        <v>37985</v>
      </c>
      <c r="J2851">
        <v>107</v>
      </c>
      <c r="K2851">
        <f>tblSales[[#This Row],[Sales]]-tblSales[[#This Row],[Budget]]</f>
        <v>-4066</v>
      </c>
      <c r="L2851" s="3">
        <f>(tblSales[[#This Row],[Sales]]-tblSales[[#This Row],[Budget]])/tblSales[[#This Row],[Budget]]</f>
        <v>-0.10704225352112676</v>
      </c>
      <c r="M2851" s="2">
        <f>tblSales[[#This Row],[Sales]]/tblSales[[#This Row],[Transactions]]</f>
        <v>317</v>
      </c>
    </row>
    <row r="2852" spans="1:13" x14ac:dyDescent="0.25">
      <c r="A2852" s="1">
        <v>46165</v>
      </c>
      <c r="B2852" t="s">
        <v>20</v>
      </c>
      <c r="C2852" t="s">
        <v>22</v>
      </c>
      <c r="D2852" t="str">
        <f>_xlfn.XLOOKUP(tblSales[[#This Row],[Store ID]],tblStores[Store ID],tblStores[Store Name])</f>
        <v>Cape Town CBD</v>
      </c>
      <c r="E2852" t="str">
        <f>_xlfn.XLOOKUP(tblSales[[#This Row],[Store ID]],tblStores[Store ID],tblStores[Province])</f>
        <v>Western Cape</v>
      </c>
      <c r="F2852" t="str">
        <f>_xlfn.XLOOKUP(tblSales[[#This Row],[Store ID]],tblStores[Store ID],tblStores[Manager])</f>
        <v>Brian Hall</v>
      </c>
      <c r="G2852" t="str">
        <f>_xlfn.XLOOKUP(tblSales[[#This Row],[Category ID]],tblCategories[Category ID],tblCategories[Category])</f>
        <v>Kids</v>
      </c>
      <c r="H2852">
        <v>44296</v>
      </c>
      <c r="I2852">
        <v>47322</v>
      </c>
      <c r="J2852">
        <v>113</v>
      </c>
      <c r="K2852">
        <f>tblSales[[#This Row],[Sales]]-tblSales[[#This Row],[Budget]]</f>
        <v>-3026</v>
      </c>
      <c r="L2852" s="3">
        <f>(tblSales[[#This Row],[Sales]]-tblSales[[#This Row],[Budget]])/tblSales[[#This Row],[Budget]]</f>
        <v>-6.3944888212670636E-2</v>
      </c>
      <c r="M2852" s="2">
        <f>tblSales[[#This Row],[Sales]]/tblSales[[#This Row],[Transactions]]</f>
        <v>392</v>
      </c>
    </row>
    <row r="2853" spans="1:13" x14ac:dyDescent="0.25">
      <c r="A2853" s="1">
        <v>46165</v>
      </c>
      <c r="B2853" t="s">
        <v>21</v>
      </c>
      <c r="C2853" t="s">
        <v>7</v>
      </c>
      <c r="D2853" t="str">
        <f>_xlfn.XLOOKUP(tblSales[[#This Row],[Store ID]],tblStores[Store ID],tblStores[Store Name])</f>
        <v>Canal Walk</v>
      </c>
      <c r="E2853" t="str">
        <f>_xlfn.XLOOKUP(tblSales[[#This Row],[Store ID]],tblStores[Store ID],tblStores[Province])</f>
        <v>Western Cape</v>
      </c>
      <c r="F2853" t="str">
        <f>_xlfn.XLOOKUP(tblSales[[#This Row],[Store ID]],tblStores[Store ID],tblStores[Manager])</f>
        <v>Megan Scott</v>
      </c>
      <c r="G2853" t="str">
        <f>_xlfn.XLOOKUP(tblSales[[#This Row],[Category ID]],tblCategories[Category ID],tblCategories[Category])</f>
        <v>Menswear</v>
      </c>
      <c r="H2853">
        <v>27636</v>
      </c>
      <c r="I2853">
        <v>24979</v>
      </c>
      <c r="J2853">
        <v>141</v>
      </c>
      <c r="K2853">
        <f>tblSales[[#This Row],[Sales]]-tblSales[[#This Row],[Budget]]</f>
        <v>2657</v>
      </c>
      <c r="L2853" s="3">
        <f>(tblSales[[#This Row],[Sales]]-tblSales[[#This Row],[Budget]])/tblSales[[#This Row],[Budget]]</f>
        <v>0.10636935025421354</v>
      </c>
      <c r="M2853" s="2">
        <f>tblSales[[#This Row],[Sales]]/tblSales[[#This Row],[Transactions]]</f>
        <v>196</v>
      </c>
    </row>
    <row r="2854" spans="1:13" x14ac:dyDescent="0.25">
      <c r="A2854" s="1">
        <v>46165</v>
      </c>
      <c r="B2854" t="s">
        <v>23</v>
      </c>
      <c r="C2854" t="s">
        <v>9</v>
      </c>
      <c r="D2854" t="str">
        <f>_xlfn.XLOOKUP(tblSales[[#This Row],[Store ID]],tblStores[Store ID],tblStores[Store Name])</f>
        <v>Stellenbosch</v>
      </c>
      <c r="E2854" t="str">
        <f>_xlfn.XLOOKUP(tblSales[[#This Row],[Store ID]],tblStores[Store ID],tblStores[Province])</f>
        <v>Western Cape</v>
      </c>
      <c r="F2854" t="str">
        <f>_xlfn.XLOOKUP(tblSales[[#This Row],[Store ID]],tblStores[Store ID],tblStores[Manager])</f>
        <v>Jason King</v>
      </c>
      <c r="G2854" t="str">
        <f>_xlfn.XLOOKUP(tblSales[[#This Row],[Category ID]],tblCategories[Category ID],tblCategories[Category])</f>
        <v>Ladieswear</v>
      </c>
      <c r="H2854">
        <v>57850</v>
      </c>
      <c r="I2854">
        <v>63924</v>
      </c>
      <c r="J2854">
        <v>130</v>
      </c>
      <c r="K2854">
        <f>tblSales[[#This Row],[Sales]]-tblSales[[#This Row],[Budget]]</f>
        <v>-6074</v>
      </c>
      <c r="L2854" s="3">
        <f>(tblSales[[#This Row],[Sales]]-tblSales[[#This Row],[Budget]])/tblSales[[#This Row],[Budget]]</f>
        <v>-9.501908516363182E-2</v>
      </c>
      <c r="M2854" s="2">
        <f>tblSales[[#This Row],[Sales]]/tblSales[[#This Row],[Transactions]]</f>
        <v>445</v>
      </c>
    </row>
    <row r="2855" spans="1:13" x14ac:dyDescent="0.25">
      <c r="A2855" s="1">
        <v>46165</v>
      </c>
      <c r="B2855" t="s">
        <v>24</v>
      </c>
      <c r="C2855" t="s">
        <v>19</v>
      </c>
      <c r="D2855" t="str">
        <f>_xlfn.XLOOKUP(tblSales[[#This Row],[Store ID]],tblStores[Store ID],tblStores[Store Name])</f>
        <v>George</v>
      </c>
      <c r="E2855" t="str">
        <f>_xlfn.XLOOKUP(tblSales[[#This Row],[Store ID]],tblStores[Store ID],tblStores[Province])</f>
        <v>Western Cape</v>
      </c>
      <c r="F2855" t="str">
        <f>_xlfn.XLOOKUP(tblSales[[#This Row],[Store ID]],tblStores[Store ID],tblStores[Manager])</f>
        <v>Chloe Hill</v>
      </c>
      <c r="G2855" t="str">
        <f>_xlfn.XLOOKUP(tblSales[[#This Row],[Category ID]],tblCategories[Category ID],tblCategories[Category])</f>
        <v>Accessories</v>
      </c>
      <c r="H2855">
        <v>40716</v>
      </c>
      <c r="I2855">
        <v>38379</v>
      </c>
      <c r="J2855">
        <v>116</v>
      </c>
      <c r="K2855">
        <f>tblSales[[#This Row],[Sales]]-tblSales[[#This Row],[Budget]]</f>
        <v>2337</v>
      </c>
      <c r="L2855" s="3">
        <f>(tblSales[[#This Row],[Sales]]-tblSales[[#This Row],[Budget]])/tblSales[[#This Row],[Budget]]</f>
        <v>6.0892675682013599E-2</v>
      </c>
      <c r="M2855" s="2">
        <f>tblSales[[#This Row],[Sales]]/tblSales[[#This Row],[Transactions]]</f>
        <v>351</v>
      </c>
    </row>
    <row r="2856" spans="1:13" x14ac:dyDescent="0.25">
      <c r="A2856" s="1">
        <v>46165</v>
      </c>
      <c r="B2856" t="s">
        <v>25</v>
      </c>
      <c r="C2856" t="s">
        <v>19</v>
      </c>
      <c r="D2856" t="str">
        <f>_xlfn.XLOOKUP(tblSales[[#This Row],[Store ID]],tblStores[Store ID],tblStores[Store Name])</f>
        <v>Paarl</v>
      </c>
      <c r="E2856" t="str">
        <f>_xlfn.XLOOKUP(tblSales[[#This Row],[Store ID]],tblStores[Store ID],tblStores[Province])</f>
        <v>Western Cape</v>
      </c>
      <c r="F2856" t="str">
        <f>_xlfn.XLOOKUP(tblSales[[#This Row],[Store ID]],tblStores[Store ID],tblStores[Manager])</f>
        <v>Andrew Lee</v>
      </c>
      <c r="G2856" t="str">
        <f>_xlfn.XLOOKUP(tblSales[[#This Row],[Category ID]],tblCategories[Category ID],tblCategories[Category])</f>
        <v>Accessories</v>
      </c>
      <c r="H2856">
        <v>43935</v>
      </c>
      <c r="I2856">
        <v>45645</v>
      </c>
      <c r="J2856">
        <v>145</v>
      </c>
      <c r="K2856">
        <f>tblSales[[#This Row],[Sales]]-tblSales[[#This Row],[Budget]]</f>
        <v>-1710</v>
      </c>
      <c r="L2856" s="3">
        <f>(tblSales[[#This Row],[Sales]]-tblSales[[#This Row],[Budget]])/tblSales[[#This Row],[Budget]]</f>
        <v>-3.746302990469931E-2</v>
      </c>
      <c r="M2856" s="2">
        <f>tblSales[[#This Row],[Sales]]/tblSales[[#This Row],[Transactions]]</f>
        <v>303</v>
      </c>
    </row>
    <row r="2857" spans="1:13" x14ac:dyDescent="0.25">
      <c r="A2857" s="1">
        <v>46165</v>
      </c>
      <c r="B2857" t="s">
        <v>26</v>
      </c>
      <c r="C2857" t="s">
        <v>11</v>
      </c>
      <c r="D2857" t="str">
        <f>_xlfn.XLOOKUP(tblSales[[#This Row],[Store ID]],tblStores[Store ID],tblStores[Store Name])</f>
        <v>Gqeberha</v>
      </c>
      <c r="E2857" t="str">
        <f>_xlfn.XLOOKUP(tblSales[[#This Row],[Store ID]],tblStores[Store ID],tblStores[Province])</f>
        <v>Eastern Cape</v>
      </c>
      <c r="F2857" t="str">
        <f>_xlfn.XLOOKUP(tblSales[[#This Row],[Store ID]],tblStores[Store ID],tblStores[Manager])</f>
        <v>Emma Baker</v>
      </c>
      <c r="G2857" t="str">
        <f>_xlfn.XLOOKUP(tblSales[[#This Row],[Category ID]],tblCategories[Category ID],tblCategories[Category])</f>
        <v>Footwear</v>
      </c>
      <c r="H2857">
        <v>41580</v>
      </c>
      <c r="I2857">
        <v>44120</v>
      </c>
      <c r="J2857">
        <v>84</v>
      </c>
      <c r="K2857">
        <f>tblSales[[#This Row],[Sales]]-tblSales[[#This Row],[Budget]]</f>
        <v>-2540</v>
      </c>
      <c r="L2857" s="3">
        <f>(tblSales[[#This Row],[Sales]]-tblSales[[#This Row],[Budget]])/tblSales[[#This Row],[Budget]]</f>
        <v>-5.7570262919310972E-2</v>
      </c>
      <c r="M2857" s="2">
        <f>tblSales[[#This Row],[Sales]]/tblSales[[#This Row],[Transactions]]</f>
        <v>495</v>
      </c>
    </row>
    <row r="2858" spans="1:13" x14ac:dyDescent="0.25">
      <c r="A2858" s="1">
        <v>46165</v>
      </c>
      <c r="B2858" t="s">
        <v>27</v>
      </c>
      <c r="C2858" t="s">
        <v>7</v>
      </c>
      <c r="D2858" t="str">
        <f>_xlfn.XLOOKUP(tblSales[[#This Row],[Store ID]],tblStores[Store ID],tblStores[Store Name])</f>
        <v>East London</v>
      </c>
      <c r="E2858" t="str">
        <f>_xlfn.XLOOKUP(tblSales[[#This Row],[Store ID]],tblStores[Store ID],tblStores[Province])</f>
        <v>Eastern Cape</v>
      </c>
      <c r="F2858" t="str">
        <f>_xlfn.XLOOKUP(tblSales[[#This Row],[Store ID]],tblStores[Store ID],tblStores[Manager])</f>
        <v>Daniel Evans</v>
      </c>
      <c r="G2858" t="str">
        <f>_xlfn.XLOOKUP(tblSales[[#This Row],[Category ID]],tblCategories[Category ID],tblCategories[Category])</f>
        <v>Menswear</v>
      </c>
      <c r="H2858">
        <v>72618</v>
      </c>
      <c r="I2858">
        <v>67695</v>
      </c>
      <c r="J2858">
        <v>182</v>
      </c>
      <c r="K2858">
        <f>tblSales[[#This Row],[Sales]]-tblSales[[#This Row],[Budget]]</f>
        <v>4923</v>
      </c>
      <c r="L2858" s="3">
        <f>(tblSales[[#This Row],[Sales]]-tblSales[[#This Row],[Budget]])/tblSales[[#This Row],[Budget]]</f>
        <v>7.2723243961887882E-2</v>
      </c>
      <c r="M2858" s="2">
        <f>tblSales[[#This Row],[Sales]]/tblSales[[#This Row],[Transactions]]</f>
        <v>399</v>
      </c>
    </row>
    <row r="2859" spans="1:13" x14ac:dyDescent="0.25">
      <c r="A2859" s="1">
        <v>46165</v>
      </c>
      <c r="B2859" t="s">
        <v>28</v>
      </c>
      <c r="C2859" t="s">
        <v>11</v>
      </c>
      <c r="D2859" t="str">
        <f>_xlfn.XLOOKUP(tblSales[[#This Row],[Store ID]],tblStores[Store ID],tblStores[Store Name])</f>
        <v>Bloemfontein</v>
      </c>
      <c r="E2859" t="str">
        <f>_xlfn.XLOOKUP(tblSales[[#This Row],[Store ID]],tblStores[Store ID],tblStores[Province])</f>
        <v>Free State</v>
      </c>
      <c r="F2859" t="str">
        <f>_xlfn.XLOOKUP(tblSales[[#This Row],[Store ID]],tblStores[Store ID],tblStores[Manager])</f>
        <v>Rachel Moore</v>
      </c>
      <c r="G2859" t="str">
        <f>_xlfn.XLOOKUP(tblSales[[#This Row],[Category ID]],tblCategories[Category ID],tblCategories[Category])</f>
        <v>Footwear</v>
      </c>
      <c r="H2859">
        <v>30494</v>
      </c>
      <c r="I2859">
        <v>34337</v>
      </c>
      <c r="J2859">
        <v>79</v>
      </c>
      <c r="K2859">
        <f>tblSales[[#This Row],[Sales]]-tblSales[[#This Row],[Budget]]</f>
        <v>-3843</v>
      </c>
      <c r="L2859" s="3">
        <f>(tblSales[[#This Row],[Sales]]-tblSales[[#This Row],[Budget]])/tblSales[[#This Row],[Budget]]</f>
        <v>-0.11192008620438594</v>
      </c>
      <c r="M2859" s="2">
        <f>tblSales[[#This Row],[Sales]]/tblSales[[#This Row],[Transactions]]</f>
        <v>386</v>
      </c>
    </row>
    <row r="2860" spans="1:13" x14ac:dyDescent="0.25">
      <c r="A2860" s="1">
        <v>46165</v>
      </c>
      <c r="B2860" t="s">
        <v>29</v>
      </c>
      <c r="C2860" t="s">
        <v>19</v>
      </c>
      <c r="D2860" t="str">
        <f>_xlfn.XLOOKUP(tblSales[[#This Row],[Store ID]],tblStores[Store ID],tblStores[Store Name])</f>
        <v>Polokwane</v>
      </c>
      <c r="E2860" t="str">
        <f>_xlfn.XLOOKUP(tblSales[[#This Row],[Store ID]],tblStores[Store ID],tblStores[Province])</f>
        <v>Limpopo</v>
      </c>
      <c r="F2860" t="str">
        <f>_xlfn.XLOOKUP(tblSales[[#This Row],[Store ID]],tblStores[Store ID],tblStores[Manager])</f>
        <v>Kevin Harris</v>
      </c>
      <c r="G2860" t="str">
        <f>_xlfn.XLOOKUP(tblSales[[#This Row],[Category ID]],tblCategories[Category ID],tblCategories[Category])</f>
        <v>Accessories</v>
      </c>
      <c r="H2860">
        <v>30225</v>
      </c>
      <c r="I2860">
        <v>28947</v>
      </c>
      <c r="J2860">
        <v>75</v>
      </c>
      <c r="K2860">
        <f>tblSales[[#This Row],[Sales]]-tblSales[[#This Row],[Budget]]</f>
        <v>1278</v>
      </c>
      <c r="L2860" s="3">
        <f>(tblSales[[#This Row],[Sales]]-tblSales[[#This Row],[Budget]])/tblSales[[#This Row],[Budget]]</f>
        <v>4.4149652813763082E-2</v>
      </c>
      <c r="M2860" s="2">
        <f>tblSales[[#This Row],[Sales]]/tblSales[[#This Row],[Transactions]]</f>
        <v>403</v>
      </c>
    </row>
    <row r="2861" spans="1:13" x14ac:dyDescent="0.25">
      <c r="A2861" s="1">
        <v>46165</v>
      </c>
      <c r="B2861" t="s">
        <v>30</v>
      </c>
      <c r="C2861" t="s">
        <v>9</v>
      </c>
      <c r="D2861" t="str">
        <f>_xlfn.XLOOKUP(tblSales[[#This Row],[Store ID]],tblStores[Store ID],tblStores[Store Name])</f>
        <v>Nelspruit</v>
      </c>
      <c r="E2861" t="str">
        <f>_xlfn.XLOOKUP(tblSales[[#This Row],[Store ID]],tblStores[Store ID],tblStores[Province])</f>
        <v>Mpumalanga</v>
      </c>
      <c r="F2861" t="str">
        <f>_xlfn.XLOOKUP(tblSales[[#This Row],[Store ID]],tblStores[Store ID],tblStores[Manager])</f>
        <v>Olivia Turner</v>
      </c>
      <c r="G2861" t="str">
        <f>_xlfn.XLOOKUP(tblSales[[#This Row],[Category ID]],tblCategories[Category ID],tblCategories[Category])</f>
        <v>Ladieswear</v>
      </c>
      <c r="H2861">
        <v>39360</v>
      </c>
      <c r="I2861">
        <v>41637</v>
      </c>
      <c r="J2861">
        <v>164</v>
      </c>
      <c r="K2861">
        <f>tblSales[[#This Row],[Sales]]-tblSales[[#This Row],[Budget]]</f>
        <v>-2277</v>
      </c>
      <c r="L2861" s="3">
        <f>(tblSales[[#This Row],[Sales]]-tblSales[[#This Row],[Budget]])/tblSales[[#This Row],[Budget]]</f>
        <v>-5.4686937099214641E-2</v>
      </c>
      <c r="M2861" s="2">
        <f>tblSales[[#This Row],[Sales]]/tblSales[[#This Row],[Transactions]]</f>
        <v>240</v>
      </c>
    </row>
    <row r="2862" spans="1:13" x14ac:dyDescent="0.25">
      <c r="A2862" s="1">
        <v>46166</v>
      </c>
      <c r="B2862" t="s">
        <v>6</v>
      </c>
      <c r="C2862" t="s">
        <v>11</v>
      </c>
      <c r="D2862" t="str">
        <f>_xlfn.XLOOKUP(tblSales[[#This Row],[Store ID]],tblStores[Store ID],tblStores[Store Name])</f>
        <v>Durban CBD</v>
      </c>
      <c r="E2862" t="str">
        <f>_xlfn.XLOOKUP(tblSales[[#This Row],[Store ID]],tblStores[Store ID],tblStores[Province])</f>
        <v>KZN</v>
      </c>
      <c r="F2862" t="str">
        <f>_xlfn.XLOOKUP(tblSales[[#This Row],[Store ID]],tblStores[Store ID],tblStores[Manager])</f>
        <v>Sarah Adams</v>
      </c>
      <c r="G2862" t="str">
        <f>_xlfn.XLOOKUP(tblSales[[#This Row],[Category ID]],tblCategories[Category ID],tblCategories[Category])</f>
        <v>Footwear</v>
      </c>
      <c r="H2862">
        <v>61035</v>
      </c>
      <c r="I2862">
        <v>67708</v>
      </c>
      <c r="J2862">
        <v>195</v>
      </c>
      <c r="K2862">
        <f>tblSales[[#This Row],[Sales]]-tblSales[[#This Row],[Budget]]</f>
        <v>-6673</v>
      </c>
      <c r="L2862" s="3">
        <f>(tblSales[[#This Row],[Sales]]-tblSales[[#This Row],[Budget]])/tblSales[[#This Row],[Budget]]</f>
        <v>-9.8555562119690437E-2</v>
      </c>
      <c r="M2862" s="2">
        <f>tblSales[[#This Row],[Sales]]/tblSales[[#This Row],[Transactions]]</f>
        <v>313</v>
      </c>
    </row>
    <row r="2863" spans="1:13" x14ac:dyDescent="0.25">
      <c r="A2863" s="1">
        <v>46166</v>
      </c>
      <c r="B2863" t="s">
        <v>8</v>
      </c>
      <c r="C2863" t="s">
        <v>9</v>
      </c>
      <c r="D2863" t="str">
        <f>_xlfn.XLOOKUP(tblSales[[#This Row],[Store ID]],tblStores[Store ID],tblStores[Store Name])</f>
        <v>Gateway</v>
      </c>
      <c r="E2863" t="str">
        <f>_xlfn.XLOOKUP(tblSales[[#This Row],[Store ID]],tblStores[Store ID],tblStores[Province])</f>
        <v>KZN</v>
      </c>
      <c r="F2863" t="str">
        <f>_xlfn.XLOOKUP(tblSales[[#This Row],[Store ID]],tblStores[Store ID],tblStores[Manager])</f>
        <v>Michael Jones</v>
      </c>
      <c r="G2863" t="str">
        <f>_xlfn.XLOOKUP(tblSales[[#This Row],[Category ID]],tblCategories[Category ID],tblCategories[Category])</f>
        <v>Ladieswear</v>
      </c>
      <c r="H2863">
        <v>33228</v>
      </c>
      <c r="I2863">
        <v>30679</v>
      </c>
      <c r="J2863">
        <v>117</v>
      </c>
      <c r="K2863">
        <f>tblSales[[#This Row],[Sales]]-tblSales[[#This Row],[Budget]]</f>
        <v>2549</v>
      </c>
      <c r="L2863" s="3">
        <f>(tblSales[[#This Row],[Sales]]-tblSales[[#This Row],[Budget]])/tblSales[[#This Row],[Budget]]</f>
        <v>8.308615013527168E-2</v>
      </c>
      <c r="M2863" s="2">
        <f>tblSales[[#This Row],[Sales]]/tblSales[[#This Row],[Transactions]]</f>
        <v>284</v>
      </c>
    </row>
    <row r="2864" spans="1:13" x14ac:dyDescent="0.25">
      <c r="A2864" s="1">
        <v>46166</v>
      </c>
      <c r="B2864" t="s">
        <v>10</v>
      </c>
      <c r="C2864" t="s">
        <v>7</v>
      </c>
      <c r="D2864" t="str">
        <f>_xlfn.XLOOKUP(tblSales[[#This Row],[Store ID]],tblStores[Store ID],tblStores[Store Name])</f>
        <v>Ballito</v>
      </c>
      <c r="E2864" t="str">
        <f>_xlfn.XLOOKUP(tblSales[[#This Row],[Store ID]],tblStores[Store ID],tblStores[Province])</f>
        <v>KZN</v>
      </c>
      <c r="F2864" t="str">
        <f>_xlfn.XLOOKUP(tblSales[[#This Row],[Store ID]],tblStores[Store ID],tblStores[Manager])</f>
        <v>Linda Smith</v>
      </c>
      <c r="G2864" t="str">
        <f>_xlfn.XLOOKUP(tblSales[[#This Row],[Category ID]],tblCategories[Category ID],tblCategories[Category])</f>
        <v>Menswear</v>
      </c>
      <c r="H2864">
        <v>27010</v>
      </c>
      <c r="I2864">
        <v>28555</v>
      </c>
      <c r="J2864">
        <v>146</v>
      </c>
      <c r="K2864">
        <f>tblSales[[#This Row],[Sales]]-tblSales[[#This Row],[Budget]]</f>
        <v>-1545</v>
      </c>
      <c r="L2864" s="3">
        <f>(tblSales[[#This Row],[Sales]]-tblSales[[#This Row],[Budget]])/tblSales[[#This Row],[Budget]]</f>
        <v>-5.4106111013832954E-2</v>
      </c>
      <c r="M2864" s="2">
        <f>tblSales[[#This Row],[Sales]]/tblSales[[#This Row],[Transactions]]</f>
        <v>185</v>
      </c>
    </row>
    <row r="2865" spans="1:13" x14ac:dyDescent="0.25">
      <c r="A2865" s="1">
        <v>46166</v>
      </c>
      <c r="B2865" t="s">
        <v>12</v>
      </c>
      <c r="C2865" t="s">
        <v>19</v>
      </c>
      <c r="D2865" t="str">
        <f>_xlfn.XLOOKUP(tblSales[[#This Row],[Store ID]],tblStores[Store ID],tblStores[Store Name])</f>
        <v>Pietermaritzburg</v>
      </c>
      <c r="E2865" t="str">
        <f>_xlfn.XLOOKUP(tblSales[[#This Row],[Store ID]],tblStores[Store ID],tblStores[Province])</f>
        <v>KZN</v>
      </c>
      <c r="F2865" t="str">
        <f>_xlfn.XLOOKUP(tblSales[[#This Row],[Store ID]],tblStores[Store ID],tblStores[Manager])</f>
        <v>Peter Brown</v>
      </c>
      <c r="G2865" t="str">
        <f>_xlfn.XLOOKUP(tblSales[[#This Row],[Category ID]],tblCategories[Category ID],tblCategories[Category])</f>
        <v>Accessories</v>
      </c>
      <c r="H2865">
        <v>14356</v>
      </c>
      <c r="I2865">
        <v>15138</v>
      </c>
      <c r="J2865">
        <v>74</v>
      </c>
      <c r="K2865">
        <f>tblSales[[#This Row],[Sales]]-tblSales[[#This Row],[Budget]]</f>
        <v>-782</v>
      </c>
      <c r="L2865" s="3">
        <f>(tblSales[[#This Row],[Sales]]-tblSales[[#This Row],[Budget]])/tblSales[[#This Row],[Budget]]</f>
        <v>-5.1658079006473775E-2</v>
      </c>
      <c r="M2865" s="2">
        <f>tblSales[[#This Row],[Sales]]/tblSales[[#This Row],[Transactions]]</f>
        <v>194</v>
      </c>
    </row>
    <row r="2866" spans="1:13" x14ac:dyDescent="0.25">
      <c r="A2866" s="1">
        <v>46166</v>
      </c>
      <c r="B2866" t="s">
        <v>13</v>
      </c>
      <c r="C2866" t="s">
        <v>19</v>
      </c>
      <c r="D2866" t="str">
        <f>_xlfn.XLOOKUP(tblSales[[#This Row],[Store ID]],tblStores[Store ID],tblStores[Store Name])</f>
        <v>Richards Bay</v>
      </c>
      <c r="E2866" t="str">
        <f>_xlfn.XLOOKUP(tblSales[[#This Row],[Store ID]],tblStores[Store ID],tblStores[Province])</f>
        <v>KZN</v>
      </c>
      <c r="F2866" t="str">
        <f>_xlfn.XLOOKUP(tblSales[[#This Row],[Store ID]],tblStores[Store ID],tblStores[Manager])</f>
        <v>David Green</v>
      </c>
      <c r="G2866" t="str">
        <f>_xlfn.XLOOKUP(tblSales[[#This Row],[Category ID]],tblCategories[Category ID],tblCategories[Category])</f>
        <v>Accessories</v>
      </c>
      <c r="H2866">
        <v>25960</v>
      </c>
      <c r="I2866">
        <v>25845</v>
      </c>
      <c r="J2866">
        <v>55</v>
      </c>
      <c r="K2866">
        <f>tblSales[[#This Row],[Sales]]-tblSales[[#This Row],[Budget]]</f>
        <v>115</v>
      </c>
      <c r="L2866" s="3">
        <f>(tblSales[[#This Row],[Sales]]-tblSales[[#This Row],[Budget]])/tblSales[[#This Row],[Budget]]</f>
        <v>4.4496034049139096E-3</v>
      </c>
      <c r="M2866" s="2">
        <f>tblSales[[#This Row],[Sales]]/tblSales[[#This Row],[Transactions]]</f>
        <v>472</v>
      </c>
    </row>
    <row r="2867" spans="1:13" x14ac:dyDescent="0.25">
      <c r="A2867" s="1">
        <v>46166</v>
      </c>
      <c r="B2867" t="s">
        <v>14</v>
      </c>
      <c r="C2867" t="s">
        <v>9</v>
      </c>
      <c r="D2867" t="str">
        <f>_xlfn.XLOOKUP(tblSales[[#This Row],[Store ID]],tblStores[Store ID],tblStores[Store Name])</f>
        <v>Sandton</v>
      </c>
      <c r="E2867" t="str">
        <f>_xlfn.XLOOKUP(tblSales[[#This Row],[Store ID]],tblStores[Store ID],tblStores[Province])</f>
        <v>Gauteng</v>
      </c>
      <c r="F2867" t="str">
        <f>_xlfn.XLOOKUP(tblSales[[#This Row],[Store ID]],tblStores[Store ID],tblStores[Manager])</f>
        <v>Karen White</v>
      </c>
      <c r="G2867" t="str">
        <f>_xlfn.XLOOKUP(tblSales[[#This Row],[Category ID]],tblCategories[Category ID],tblCategories[Category])</f>
        <v>Ladieswear</v>
      </c>
      <c r="H2867">
        <v>76104</v>
      </c>
      <c r="I2867">
        <v>80508</v>
      </c>
      <c r="J2867">
        <v>151</v>
      </c>
      <c r="K2867">
        <f>tblSales[[#This Row],[Sales]]-tblSales[[#This Row],[Budget]]</f>
        <v>-4404</v>
      </c>
      <c r="L2867" s="3">
        <f>(tblSales[[#This Row],[Sales]]-tblSales[[#This Row],[Budget]])/tblSales[[#This Row],[Budget]]</f>
        <v>-5.4702638247130717E-2</v>
      </c>
      <c r="M2867" s="2">
        <f>tblSales[[#This Row],[Sales]]/tblSales[[#This Row],[Transactions]]</f>
        <v>504</v>
      </c>
    </row>
    <row r="2868" spans="1:13" x14ac:dyDescent="0.25">
      <c r="A2868" s="1">
        <v>46166</v>
      </c>
      <c r="B2868" t="s">
        <v>15</v>
      </c>
      <c r="C2868" t="s">
        <v>22</v>
      </c>
      <c r="D2868" t="str">
        <f>_xlfn.XLOOKUP(tblSales[[#This Row],[Store ID]],tblStores[Store ID],tblStores[Store Name])</f>
        <v>Rosebank</v>
      </c>
      <c r="E2868" t="str">
        <f>_xlfn.XLOOKUP(tblSales[[#This Row],[Store ID]],tblStores[Store ID],tblStores[Province])</f>
        <v>Gauteng</v>
      </c>
      <c r="F2868" t="str">
        <f>_xlfn.XLOOKUP(tblSales[[#This Row],[Store ID]],tblStores[Store ID],tblStores[Manager])</f>
        <v>James Taylor</v>
      </c>
      <c r="G2868" t="str">
        <f>_xlfn.XLOOKUP(tblSales[[#This Row],[Category ID]],tblCategories[Category ID],tblCategories[Category])</f>
        <v>Kids</v>
      </c>
      <c r="H2868">
        <v>24764</v>
      </c>
      <c r="I2868">
        <v>26327</v>
      </c>
      <c r="J2868">
        <v>82</v>
      </c>
      <c r="K2868">
        <f>tblSales[[#This Row],[Sales]]-tblSales[[#This Row],[Budget]]</f>
        <v>-1563</v>
      </c>
      <c r="L2868" s="3">
        <f>(tblSales[[#This Row],[Sales]]-tblSales[[#This Row],[Budget]])/tblSales[[#This Row],[Budget]]</f>
        <v>-5.9368708929995823E-2</v>
      </c>
      <c r="M2868" s="2">
        <f>tblSales[[#This Row],[Sales]]/tblSales[[#This Row],[Transactions]]</f>
        <v>302</v>
      </c>
    </row>
    <row r="2869" spans="1:13" x14ac:dyDescent="0.25">
      <c r="A2869" s="1">
        <v>46166</v>
      </c>
      <c r="B2869" t="s">
        <v>16</v>
      </c>
      <c r="C2869" t="s">
        <v>9</v>
      </c>
      <c r="D2869" t="str">
        <f>_xlfn.XLOOKUP(tblSales[[#This Row],[Store ID]],tblStores[Store ID],tblStores[Store Name])</f>
        <v>Pretoria</v>
      </c>
      <c r="E2869" t="str">
        <f>_xlfn.XLOOKUP(tblSales[[#This Row],[Store ID]],tblStores[Store ID],tblStores[Province])</f>
        <v>Gauteng</v>
      </c>
      <c r="F2869" t="str">
        <f>_xlfn.XLOOKUP(tblSales[[#This Row],[Store ID]],tblStores[Store ID],tblStores[Manager])</f>
        <v>Susan Clark</v>
      </c>
      <c r="G2869" t="str">
        <f>_xlfn.XLOOKUP(tblSales[[#This Row],[Category ID]],tblCategories[Category ID],tblCategories[Category])</f>
        <v>Ladieswear</v>
      </c>
      <c r="H2869">
        <v>30969</v>
      </c>
      <c r="I2869">
        <v>32017</v>
      </c>
      <c r="J2869">
        <v>111</v>
      </c>
      <c r="K2869">
        <f>tblSales[[#This Row],[Sales]]-tblSales[[#This Row],[Budget]]</f>
        <v>-1048</v>
      </c>
      <c r="L2869" s="3">
        <f>(tblSales[[#This Row],[Sales]]-tblSales[[#This Row],[Budget]])/tblSales[[#This Row],[Budget]]</f>
        <v>-3.2732610800512228E-2</v>
      </c>
      <c r="M2869" s="2">
        <f>tblSales[[#This Row],[Sales]]/tblSales[[#This Row],[Transactions]]</f>
        <v>279</v>
      </c>
    </row>
    <row r="2870" spans="1:13" x14ac:dyDescent="0.25">
      <c r="A2870" s="1">
        <v>46166</v>
      </c>
      <c r="B2870" t="s">
        <v>17</v>
      </c>
      <c r="C2870" t="s">
        <v>9</v>
      </c>
      <c r="D2870" t="str">
        <f>_xlfn.XLOOKUP(tblSales[[#This Row],[Store ID]],tblStores[Store ID],tblStores[Store Name])</f>
        <v>Centurion</v>
      </c>
      <c r="E2870" t="str">
        <f>_xlfn.XLOOKUP(tblSales[[#This Row],[Store ID]],tblStores[Store ID],tblStores[Province])</f>
        <v>Gauteng</v>
      </c>
      <c r="F2870" t="str">
        <f>_xlfn.XLOOKUP(tblSales[[#This Row],[Store ID]],tblStores[Store ID],tblStores[Manager])</f>
        <v>Mark Wilson</v>
      </c>
      <c r="G2870" t="str">
        <f>_xlfn.XLOOKUP(tblSales[[#This Row],[Category ID]],tblCategories[Category ID],tblCategories[Category])</f>
        <v>Ladieswear</v>
      </c>
      <c r="H2870">
        <v>82060</v>
      </c>
      <c r="I2870">
        <v>89658</v>
      </c>
      <c r="J2870">
        <v>220</v>
      </c>
      <c r="K2870">
        <f>tblSales[[#This Row],[Sales]]-tblSales[[#This Row],[Budget]]</f>
        <v>-7598</v>
      </c>
      <c r="L2870" s="3">
        <f>(tblSales[[#This Row],[Sales]]-tblSales[[#This Row],[Budget]])/tblSales[[#This Row],[Budget]]</f>
        <v>-8.4744250373642069E-2</v>
      </c>
      <c r="M2870" s="2">
        <f>tblSales[[#This Row],[Sales]]/tblSales[[#This Row],[Transactions]]</f>
        <v>373</v>
      </c>
    </row>
    <row r="2871" spans="1:13" x14ac:dyDescent="0.25">
      <c r="A2871" s="1">
        <v>46166</v>
      </c>
      <c r="B2871" t="s">
        <v>18</v>
      </c>
      <c r="C2871" t="s">
        <v>7</v>
      </c>
      <c r="D2871" t="str">
        <f>_xlfn.XLOOKUP(tblSales[[#This Row],[Store ID]],tblStores[Store ID],tblStores[Store Name])</f>
        <v>East Rand</v>
      </c>
      <c r="E2871" t="str">
        <f>_xlfn.XLOOKUP(tblSales[[#This Row],[Store ID]],tblStores[Store ID],tblStores[Province])</f>
        <v>Gauteng</v>
      </c>
      <c r="F2871" t="str">
        <f>_xlfn.XLOOKUP(tblSales[[#This Row],[Store ID]],tblStores[Store ID],tblStores[Manager])</f>
        <v>Lisa Young</v>
      </c>
      <c r="G2871" t="str">
        <f>_xlfn.XLOOKUP(tblSales[[#This Row],[Category ID]],tblCategories[Category ID],tblCategories[Category])</f>
        <v>Menswear</v>
      </c>
      <c r="H2871">
        <v>23310</v>
      </c>
      <c r="I2871">
        <v>26427</v>
      </c>
      <c r="J2871">
        <v>105</v>
      </c>
      <c r="K2871">
        <f>tblSales[[#This Row],[Sales]]-tblSales[[#This Row],[Budget]]</f>
        <v>-3117</v>
      </c>
      <c r="L2871" s="3">
        <f>(tblSales[[#This Row],[Sales]]-tblSales[[#This Row],[Budget]])/tblSales[[#This Row],[Budget]]</f>
        <v>-0.11794755363832445</v>
      </c>
      <c r="M2871" s="2">
        <f>tblSales[[#This Row],[Sales]]/tblSales[[#This Row],[Transactions]]</f>
        <v>222</v>
      </c>
    </row>
    <row r="2872" spans="1:13" x14ac:dyDescent="0.25">
      <c r="A2872" s="1">
        <v>46166</v>
      </c>
      <c r="B2872" t="s">
        <v>20</v>
      </c>
      <c r="C2872" t="s">
        <v>7</v>
      </c>
      <c r="D2872" t="str">
        <f>_xlfn.XLOOKUP(tblSales[[#This Row],[Store ID]],tblStores[Store ID],tblStores[Store Name])</f>
        <v>Cape Town CBD</v>
      </c>
      <c r="E2872" t="str">
        <f>_xlfn.XLOOKUP(tblSales[[#This Row],[Store ID]],tblStores[Store ID],tblStores[Province])</f>
        <v>Western Cape</v>
      </c>
      <c r="F2872" t="str">
        <f>_xlfn.XLOOKUP(tblSales[[#This Row],[Store ID]],tblStores[Store ID],tblStores[Manager])</f>
        <v>Brian Hall</v>
      </c>
      <c r="G2872" t="str">
        <f>_xlfn.XLOOKUP(tblSales[[#This Row],[Category ID]],tblCategories[Category ID],tblCategories[Category])</f>
        <v>Menswear</v>
      </c>
      <c r="H2872">
        <v>94248</v>
      </c>
      <c r="I2872">
        <v>105250</v>
      </c>
      <c r="J2872">
        <v>198</v>
      </c>
      <c r="K2872">
        <f>tblSales[[#This Row],[Sales]]-tblSales[[#This Row],[Budget]]</f>
        <v>-11002</v>
      </c>
      <c r="L2872" s="3">
        <f>(tblSales[[#This Row],[Sales]]-tblSales[[#This Row],[Budget]])/tblSales[[#This Row],[Budget]]</f>
        <v>-0.10453206650831354</v>
      </c>
      <c r="M2872" s="2">
        <f>tblSales[[#This Row],[Sales]]/tblSales[[#This Row],[Transactions]]</f>
        <v>476</v>
      </c>
    </row>
    <row r="2873" spans="1:13" x14ac:dyDescent="0.25">
      <c r="A2873" s="1">
        <v>46166</v>
      </c>
      <c r="B2873" t="s">
        <v>21</v>
      </c>
      <c r="C2873" t="s">
        <v>7</v>
      </c>
      <c r="D2873" t="str">
        <f>_xlfn.XLOOKUP(tblSales[[#This Row],[Store ID]],tblStores[Store ID],tblStores[Store Name])</f>
        <v>Canal Walk</v>
      </c>
      <c r="E2873" t="str">
        <f>_xlfn.XLOOKUP(tblSales[[#This Row],[Store ID]],tblStores[Store ID],tblStores[Province])</f>
        <v>Western Cape</v>
      </c>
      <c r="F2873" t="str">
        <f>_xlfn.XLOOKUP(tblSales[[#This Row],[Store ID]],tblStores[Store ID],tblStores[Manager])</f>
        <v>Megan Scott</v>
      </c>
      <c r="G2873" t="str">
        <f>_xlfn.XLOOKUP(tblSales[[#This Row],[Category ID]],tblCategories[Category ID],tblCategories[Category])</f>
        <v>Menswear</v>
      </c>
      <c r="H2873">
        <v>73720</v>
      </c>
      <c r="I2873">
        <v>68609</v>
      </c>
      <c r="J2873">
        <v>152</v>
      </c>
      <c r="K2873">
        <f>tblSales[[#This Row],[Sales]]-tblSales[[#This Row],[Budget]]</f>
        <v>5111</v>
      </c>
      <c r="L2873" s="3">
        <f>(tblSales[[#This Row],[Sales]]-tblSales[[#This Row],[Budget]])/tblSales[[#This Row],[Budget]]</f>
        <v>7.4494599833841046E-2</v>
      </c>
      <c r="M2873" s="2">
        <f>tblSales[[#This Row],[Sales]]/tblSales[[#This Row],[Transactions]]</f>
        <v>485</v>
      </c>
    </row>
    <row r="2874" spans="1:13" x14ac:dyDescent="0.25">
      <c r="A2874" s="1">
        <v>46166</v>
      </c>
      <c r="B2874" t="s">
        <v>23</v>
      </c>
      <c r="C2874" t="s">
        <v>9</v>
      </c>
      <c r="D2874" t="str">
        <f>_xlfn.XLOOKUP(tblSales[[#This Row],[Store ID]],tblStores[Store ID],tblStores[Store Name])</f>
        <v>Stellenbosch</v>
      </c>
      <c r="E2874" t="str">
        <f>_xlfn.XLOOKUP(tblSales[[#This Row],[Store ID]],tblStores[Store ID],tblStores[Province])</f>
        <v>Western Cape</v>
      </c>
      <c r="F2874" t="str">
        <f>_xlfn.XLOOKUP(tblSales[[#This Row],[Store ID]],tblStores[Store ID],tblStores[Manager])</f>
        <v>Jason King</v>
      </c>
      <c r="G2874" t="str">
        <f>_xlfn.XLOOKUP(tblSales[[#This Row],[Category ID]],tblCategories[Category ID],tblCategories[Category])</f>
        <v>Ladieswear</v>
      </c>
      <c r="H2874">
        <v>33598</v>
      </c>
      <c r="I2874">
        <v>37752</v>
      </c>
      <c r="J2874">
        <v>107</v>
      </c>
      <c r="K2874">
        <f>tblSales[[#This Row],[Sales]]-tblSales[[#This Row],[Budget]]</f>
        <v>-4154</v>
      </c>
      <c r="L2874" s="3">
        <f>(tblSales[[#This Row],[Sales]]-tblSales[[#This Row],[Budget]])/tblSales[[#This Row],[Budget]]</f>
        <v>-0.11003390548845095</v>
      </c>
      <c r="M2874" s="2">
        <f>tblSales[[#This Row],[Sales]]/tblSales[[#This Row],[Transactions]]</f>
        <v>314</v>
      </c>
    </row>
    <row r="2875" spans="1:13" x14ac:dyDescent="0.25">
      <c r="A2875" s="1">
        <v>46166</v>
      </c>
      <c r="B2875" t="s">
        <v>24</v>
      </c>
      <c r="C2875" t="s">
        <v>7</v>
      </c>
      <c r="D2875" t="str">
        <f>_xlfn.XLOOKUP(tblSales[[#This Row],[Store ID]],tblStores[Store ID],tblStores[Store Name])</f>
        <v>George</v>
      </c>
      <c r="E2875" t="str">
        <f>_xlfn.XLOOKUP(tblSales[[#This Row],[Store ID]],tblStores[Store ID],tblStores[Province])</f>
        <v>Western Cape</v>
      </c>
      <c r="F2875" t="str">
        <f>_xlfn.XLOOKUP(tblSales[[#This Row],[Store ID]],tblStores[Store ID],tblStores[Manager])</f>
        <v>Chloe Hill</v>
      </c>
      <c r="G2875" t="str">
        <f>_xlfn.XLOOKUP(tblSales[[#This Row],[Category ID]],tblCategories[Category ID],tblCategories[Category])</f>
        <v>Menswear</v>
      </c>
      <c r="H2875">
        <v>23382</v>
      </c>
      <c r="I2875">
        <v>25981</v>
      </c>
      <c r="J2875">
        <v>54</v>
      </c>
      <c r="K2875">
        <f>tblSales[[#This Row],[Sales]]-tblSales[[#This Row],[Budget]]</f>
        <v>-2599</v>
      </c>
      <c r="L2875" s="3">
        <f>(tblSales[[#This Row],[Sales]]-tblSales[[#This Row],[Budget]])/tblSales[[#This Row],[Budget]]</f>
        <v>-0.10003464069897233</v>
      </c>
      <c r="M2875" s="2">
        <f>tblSales[[#This Row],[Sales]]/tblSales[[#This Row],[Transactions]]</f>
        <v>433</v>
      </c>
    </row>
    <row r="2876" spans="1:13" x14ac:dyDescent="0.25">
      <c r="A2876" s="1">
        <v>46166</v>
      </c>
      <c r="B2876" t="s">
        <v>25</v>
      </c>
      <c r="C2876" t="s">
        <v>9</v>
      </c>
      <c r="D2876" t="str">
        <f>_xlfn.XLOOKUP(tblSales[[#This Row],[Store ID]],tblStores[Store ID],tblStores[Store Name])</f>
        <v>Paarl</v>
      </c>
      <c r="E2876" t="str">
        <f>_xlfn.XLOOKUP(tblSales[[#This Row],[Store ID]],tblStores[Store ID],tblStores[Province])</f>
        <v>Western Cape</v>
      </c>
      <c r="F2876" t="str">
        <f>_xlfn.XLOOKUP(tblSales[[#This Row],[Store ID]],tblStores[Store ID],tblStores[Manager])</f>
        <v>Andrew Lee</v>
      </c>
      <c r="G2876" t="str">
        <f>_xlfn.XLOOKUP(tblSales[[#This Row],[Category ID]],tblCategories[Category ID],tblCategories[Category])</f>
        <v>Ladieswear</v>
      </c>
      <c r="H2876">
        <v>31185</v>
      </c>
      <c r="I2876">
        <v>31894</v>
      </c>
      <c r="J2876">
        <v>135</v>
      </c>
      <c r="K2876">
        <f>tblSales[[#This Row],[Sales]]-tblSales[[#This Row],[Budget]]</f>
        <v>-709</v>
      </c>
      <c r="L2876" s="3">
        <f>(tblSales[[#This Row],[Sales]]-tblSales[[#This Row],[Budget]])/tblSales[[#This Row],[Budget]]</f>
        <v>-2.2229886499028031E-2</v>
      </c>
      <c r="M2876" s="2">
        <f>tblSales[[#This Row],[Sales]]/tblSales[[#This Row],[Transactions]]</f>
        <v>231</v>
      </c>
    </row>
    <row r="2877" spans="1:13" x14ac:dyDescent="0.25">
      <c r="A2877" s="1">
        <v>46166</v>
      </c>
      <c r="B2877" t="s">
        <v>26</v>
      </c>
      <c r="C2877" t="s">
        <v>7</v>
      </c>
      <c r="D2877" t="str">
        <f>_xlfn.XLOOKUP(tblSales[[#This Row],[Store ID]],tblStores[Store ID],tblStores[Store Name])</f>
        <v>Gqeberha</v>
      </c>
      <c r="E2877" t="str">
        <f>_xlfn.XLOOKUP(tblSales[[#This Row],[Store ID]],tblStores[Store ID],tblStores[Province])</f>
        <v>Eastern Cape</v>
      </c>
      <c r="F2877" t="str">
        <f>_xlfn.XLOOKUP(tblSales[[#This Row],[Store ID]],tblStores[Store ID],tblStores[Manager])</f>
        <v>Emma Baker</v>
      </c>
      <c r="G2877" t="str">
        <f>_xlfn.XLOOKUP(tblSales[[#This Row],[Category ID]],tblCategories[Category ID],tblCategories[Category])</f>
        <v>Menswear</v>
      </c>
      <c r="H2877">
        <v>30380</v>
      </c>
      <c r="I2877">
        <v>31037</v>
      </c>
      <c r="J2877">
        <v>140</v>
      </c>
      <c r="K2877">
        <f>tblSales[[#This Row],[Sales]]-tblSales[[#This Row],[Budget]]</f>
        <v>-657</v>
      </c>
      <c r="L2877" s="3">
        <f>(tblSales[[#This Row],[Sales]]-tblSales[[#This Row],[Budget]])/tblSales[[#This Row],[Budget]]</f>
        <v>-2.1168283017044175E-2</v>
      </c>
      <c r="M2877" s="2">
        <f>tblSales[[#This Row],[Sales]]/tblSales[[#This Row],[Transactions]]</f>
        <v>217</v>
      </c>
    </row>
    <row r="2878" spans="1:13" x14ac:dyDescent="0.25">
      <c r="A2878" s="1">
        <v>46166</v>
      </c>
      <c r="B2878" t="s">
        <v>27</v>
      </c>
      <c r="C2878" t="s">
        <v>7</v>
      </c>
      <c r="D2878" t="str">
        <f>_xlfn.XLOOKUP(tblSales[[#This Row],[Store ID]],tblStores[Store ID],tblStores[Store Name])</f>
        <v>East London</v>
      </c>
      <c r="E2878" t="str">
        <f>_xlfn.XLOOKUP(tblSales[[#This Row],[Store ID]],tblStores[Store ID],tblStores[Province])</f>
        <v>Eastern Cape</v>
      </c>
      <c r="F2878" t="str">
        <f>_xlfn.XLOOKUP(tblSales[[#This Row],[Store ID]],tblStores[Store ID],tblStores[Manager])</f>
        <v>Daniel Evans</v>
      </c>
      <c r="G2878" t="str">
        <f>_xlfn.XLOOKUP(tblSales[[#This Row],[Category ID]],tblCategories[Category ID],tblCategories[Category])</f>
        <v>Menswear</v>
      </c>
      <c r="H2878">
        <v>34672</v>
      </c>
      <c r="I2878">
        <v>34457</v>
      </c>
      <c r="J2878">
        <v>88</v>
      </c>
      <c r="K2878">
        <f>tblSales[[#This Row],[Sales]]-tblSales[[#This Row],[Budget]]</f>
        <v>215</v>
      </c>
      <c r="L2878" s="3">
        <f>(tblSales[[#This Row],[Sales]]-tblSales[[#This Row],[Budget]])/tblSales[[#This Row],[Budget]]</f>
        <v>6.2396610267870098E-3</v>
      </c>
      <c r="M2878" s="2">
        <f>tblSales[[#This Row],[Sales]]/tblSales[[#This Row],[Transactions]]</f>
        <v>394</v>
      </c>
    </row>
    <row r="2879" spans="1:13" x14ac:dyDescent="0.25">
      <c r="A2879" s="1">
        <v>46166</v>
      </c>
      <c r="B2879" t="s">
        <v>28</v>
      </c>
      <c r="C2879" t="s">
        <v>22</v>
      </c>
      <c r="D2879" t="str">
        <f>_xlfn.XLOOKUP(tblSales[[#This Row],[Store ID]],tblStores[Store ID],tblStores[Store Name])</f>
        <v>Bloemfontein</v>
      </c>
      <c r="E2879" t="str">
        <f>_xlfn.XLOOKUP(tblSales[[#This Row],[Store ID]],tblStores[Store ID],tblStores[Province])</f>
        <v>Free State</v>
      </c>
      <c r="F2879" t="str">
        <f>_xlfn.XLOOKUP(tblSales[[#This Row],[Store ID]],tblStores[Store ID],tblStores[Manager])</f>
        <v>Rachel Moore</v>
      </c>
      <c r="G2879" t="str">
        <f>_xlfn.XLOOKUP(tblSales[[#This Row],[Category ID]],tblCategories[Category ID],tblCategories[Category])</f>
        <v>Kids</v>
      </c>
      <c r="H2879">
        <v>80770</v>
      </c>
      <c r="I2879">
        <v>89019</v>
      </c>
      <c r="J2879">
        <v>197</v>
      </c>
      <c r="K2879">
        <f>tblSales[[#This Row],[Sales]]-tblSales[[#This Row],[Budget]]</f>
        <v>-8249</v>
      </c>
      <c r="L2879" s="3">
        <f>(tblSales[[#This Row],[Sales]]-tblSales[[#This Row],[Budget]])/tblSales[[#This Row],[Budget]]</f>
        <v>-9.2665610712319837E-2</v>
      </c>
      <c r="M2879" s="2">
        <f>tblSales[[#This Row],[Sales]]/tblSales[[#This Row],[Transactions]]</f>
        <v>410</v>
      </c>
    </row>
    <row r="2880" spans="1:13" x14ac:dyDescent="0.25">
      <c r="A2880" s="1">
        <v>46166</v>
      </c>
      <c r="B2880" t="s">
        <v>29</v>
      </c>
      <c r="C2880" t="s">
        <v>9</v>
      </c>
      <c r="D2880" t="str">
        <f>_xlfn.XLOOKUP(tblSales[[#This Row],[Store ID]],tblStores[Store ID],tblStores[Store Name])</f>
        <v>Polokwane</v>
      </c>
      <c r="E2880" t="str">
        <f>_xlfn.XLOOKUP(tblSales[[#This Row],[Store ID]],tblStores[Store ID],tblStores[Province])</f>
        <v>Limpopo</v>
      </c>
      <c r="F2880" t="str">
        <f>_xlfn.XLOOKUP(tblSales[[#This Row],[Store ID]],tblStores[Store ID],tblStores[Manager])</f>
        <v>Kevin Harris</v>
      </c>
      <c r="G2880" t="str">
        <f>_xlfn.XLOOKUP(tblSales[[#This Row],[Category ID]],tblCategories[Category ID],tblCategories[Category])</f>
        <v>Ladieswear</v>
      </c>
      <c r="H2880">
        <v>20535</v>
      </c>
      <c r="I2880">
        <v>23120</v>
      </c>
      <c r="J2880">
        <v>111</v>
      </c>
      <c r="K2880">
        <f>tblSales[[#This Row],[Sales]]-tblSales[[#This Row],[Budget]]</f>
        <v>-2585</v>
      </c>
      <c r="L2880" s="3">
        <f>(tblSales[[#This Row],[Sales]]-tblSales[[#This Row],[Budget]])/tblSales[[#This Row],[Budget]]</f>
        <v>-0.11180795847750866</v>
      </c>
      <c r="M2880" s="2">
        <f>tblSales[[#This Row],[Sales]]/tblSales[[#This Row],[Transactions]]</f>
        <v>185</v>
      </c>
    </row>
    <row r="2881" spans="1:13" x14ac:dyDescent="0.25">
      <c r="A2881" s="1">
        <v>46166</v>
      </c>
      <c r="B2881" t="s">
        <v>30</v>
      </c>
      <c r="C2881" t="s">
        <v>19</v>
      </c>
      <c r="D2881" t="str">
        <f>_xlfn.XLOOKUP(tblSales[[#This Row],[Store ID]],tblStores[Store ID],tblStores[Store Name])</f>
        <v>Nelspruit</v>
      </c>
      <c r="E2881" t="str">
        <f>_xlfn.XLOOKUP(tblSales[[#This Row],[Store ID]],tblStores[Store ID],tblStores[Province])</f>
        <v>Mpumalanga</v>
      </c>
      <c r="F2881" t="str">
        <f>_xlfn.XLOOKUP(tblSales[[#This Row],[Store ID]],tblStores[Store ID],tblStores[Manager])</f>
        <v>Olivia Turner</v>
      </c>
      <c r="G2881" t="str">
        <f>_xlfn.XLOOKUP(tblSales[[#This Row],[Category ID]],tblCategories[Category ID],tblCategories[Category])</f>
        <v>Accessories</v>
      </c>
      <c r="H2881">
        <v>96040</v>
      </c>
      <c r="I2881">
        <v>106959</v>
      </c>
      <c r="J2881">
        <v>196</v>
      </c>
      <c r="K2881">
        <f>tblSales[[#This Row],[Sales]]-tblSales[[#This Row],[Budget]]</f>
        <v>-10919</v>
      </c>
      <c r="L2881" s="3">
        <f>(tblSales[[#This Row],[Sales]]-tblSales[[#This Row],[Budget]])/tblSales[[#This Row],[Budget]]</f>
        <v>-0.10208584597836554</v>
      </c>
      <c r="M2881" s="2">
        <f>tblSales[[#This Row],[Sales]]/tblSales[[#This Row],[Transactions]]</f>
        <v>490</v>
      </c>
    </row>
    <row r="2882" spans="1:13" x14ac:dyDescent="0.25">
      <c r="A2882" s="1">
        <v>46167</v>
      </c>
      <c r="B2882" t="s">
        <v>6</v>
      </c>
      <c r="C2882" t="s">
        <v>7</v>
      </c>
      <c r="D2882" t="str">
        <f>_xlfn.XLOOKUP(tblSales[[#This Row],[Store ID]],tblStores[Store ID],tblStores[Store Name])</f>
        <v>Durban CBD</v>
      </c>
      <c r="E2882" t="str">
        <f>_xlfn.XLOOKUP(tblSales[[#This Row],[Store ID]],tblStores[Store ID],tblStores[Province])</f>
        <v>KZN</v>
      </c>
      <c r="F2882" t="str">
        <f>_xlfn.XLOOKUP(tblSales[[#This Row],[Store ID]],tblStores[Store ID],tblStores[Manager])</f>
        <v>Sarah Adams</v>
      </c>
      <c r="G2882" t="str">
        <f>_xlfn.XLOOKUP(tblSales[[#This Row],[Category ID]],tblCategories[Category ID],tblCategories[Category])</f>
        <v>Menswear</v>
      </c>
      <c r="H2882">
        <v>43554</v>
      </c>
      <c r="I2882">
        <v>44467</v>
      </c>
      <c r="J2882">
        <v>122</v>
      </c>
      <c r="K2882">
        <f>tblSales[[#This Row],[Sales]]-tblSales[[#This Row],[Budget]]</f>
        <v>-913</v>
      </c>
      <c r="L2882" s="3">
        <f>(tblSales[[#This Row],[Sales]]-tblSales[[#This Row],[Budget]])/tblSales[[#This Row],[Budget]]</f>
        <v>-2.0532079969415522E-2</v>
      </c>
      <c r="M2882" s="2">
        <f>tblSales[[#This Row],[Sales]]/tblSales[[#This Row],[Transactions]]</f>
        <v>357</v>
      </c>
    </row>
    <row r="2883" spans="1:13" x14ac:dyDescent="0.25">
      <c r="A2883" s="1">
        <v>46167</v>
      </c>
      <c r="B2883" t="s">
        <v>8</v>
      </c>
      <c r="C2883" t="s">
        <v>19</v>
      </c>
      <c r="D2883" t="str">
        <f>_xlfn.XLOOKUP(tblSales[[#This Row],[Store ID]],tblStores[Store ID],tblStores[Store Name])</f>
        <v>Gateway</v>
      </c>
      <c r="E2883" t="str">
        <f>_xlfn.XLOOKUP(tblSales[[#This Row],[Store ID]],tblStores[Store ID],tblStores[Province])</f>
        <v>KZN</v>
      </c>
      <c r="F2883" t="str">
        <f>_xlfn.XLOOKUP(tblSales[[#This Row],[Store ID]],tblStores[Store ID],tblStores[Manager])</f>
        <v>Michael Jones</v>
      </c>
      <c r="G2883" t="str">
        <f>_xlfn.XLOOKUP(tblSales[[#This Row],[Category ID]],tblCategories[Category ID],tblCategories[Category])</f>
        <v>Accessories</v>
      </c>
      <c r="H2883">
        <v>86292</v>
      </c>
      <c r="I2883">
        <v>77770</v>
      </c>
      <c r="J2883">
        <v>188</v>
      </c>
      <c r="K2883">
        <f>tblSales[[#This Row],[Sales]]-tblSales[[#This Row],[Budget]]</f>
        <v>8522</v>
      </c>
      <c r="L2883" s="3">
        <f>(tblSales[[#This Row],[Sales]]-tblSales[[#This Row],[Budget]])/tblSales[[#This Row],[Budget]]</f>
        <v>0.10957952938150958</v>
      </c>
      <c r="M2883" s="2">
        <f>tblSales[[#This Row],[Sales]]/tblSales[[#This Row],[Transactions]]</f>
        <v>459</v>
      </c>
    </row>
    <row r="2884" spans="1:13" x14ac:dyDescent="0.25">
      <c r="A2884" s="1">
        <v>46167</v>
      </c>
      <c r="B2884" t="s">
        <v>10</v>
      </c>
      <c r="C2884" t="s">
        <v>19</v>
      </c>
      <c r="D2884" t="str">
        <f>_xlfn.XLOOKUP(tblSales[[#This Row],[Store ID]],tblStores[Store ID],tblStores[Store Name])</f>
        <v>Ballito</v>
      </c>
      <c r="E2884" t="str">
        <f>_xlfn.XLOOKUP(tblSales[[#This Row],[Store ID]],tblStores[Store ID],tblStores[Province])</f>
        <v>KZN</v>
      </c>
      <c r="F2884" t="str">
        <f>_xlfn.XLOOKUP(tblSales[[#This Row],[Store ID]],tblStores[Store ID],tblStores[Manager])</f>
        <v>Linda Smith</v>
      </c>
      <c r="G2884" t="str">
        <f>_xlfn.XLOOKUP(tblSales[[#This Row],[Category ID]],tblCategories[Category ID],tblCategories[Category])</f>
        <v>Accessories</v>
      </c>
      <c r="H2884">
        <v>24200</v>
      </c>
      <c r="I2884">
        <v>22946</v>
      </c>
      <c r="J2884">
        <v>100</v>
      </c>
      <c r="K2884">
        <f>tblSales[[#This Row],[Sales]]-tblSales[[#This Row],[Budget]]</f>
        <v>1254</v>
      </c>
      <c r="L2884" s="3">
        <f>(tblSales[[#This Row],[Sales]]-tblSales[[#This Row],[Budget]])/tblSales[[#This Row],[Budget]]</f>
        <v>5.4650047938638542E-2</v>
      </c>
      <c r="M2884" s="2">
        <f>tblSales[[#This Row],[Sales]]/tblSales[[#This Row],[Transactions]]</f>
        <v>242</v>
      </c>
    </row>
    <row r="2885" spans="1:13" x14ac:dyDescent="0.25">
      <c r="A2885" s="1">
        <v>46167</v>
      </c>
      <c r="B2885" t="s">
        <v>12</v>
      </c>
      <c r="C2885" t="s">
        <v>7</v>
      </c>
      <c r="D2885" t="str">
        <f>_xlfn.XLOOKUP(tblSales[[#This Row],[Store ID]],tblStores[Store ID],tblStores[Store Name])</f>
        <v>Pietermaritzburg</v>
      </c>
      <c r="E2885" t="str">
        <f>_xlfn.XLOOKUP(tblSales[[#This Row],[Store ID]],tblStores[Store ID],tblStores[Province])</f>
        <v>KZN</v>
      </c>
      <c r="F2885" t="str">
        <f>_xlfn.XLOOKUP(tblSales[[#This Row],[Store ID]],tblStores[Store ID],tblStores[Manager])</f>
        <v>Peter Brown</v>
      </c>
      <c r="G2885" t="str">
        <f>_xlfn.XLOOKUP(tblSales[[#This Row],[Category ID]],tblCategories[Category ID],tblCategories[Category])</f>
        <v>Menswear</v>
      </c>
      <c r="H2885">
        <v>32852</v>
      </c>
      <c r="I2885">
        <v>33821</v>
      </c>
      <c r="J2885">
        <v>172</v>
      </c>
      <c r="K2885">
        <f>tblSales[[#This Row],[Sales]]-tblSales[[#This Row],[Budget]]</f>
        <v>-969</v>
      </c>
      <c r="L2885" s="3">
        <f>(tblSales[[#This Row],[Sales]]-tblSales[[#This Row],[Budget]])/tblSales[[#This Row],[Budget]]</f>
        <v>-2.8650838236598562E-2</v>
      </c>
      <c r="M2885" s="2">
        <f>tblSales[[#This Row],[Sales]]/tblSales[[#This Row],[Transactions]]</f>
        <v>191</v>
      </c>
    </row>
    <row r="2886" spans="1:13" x14ac:dyDescent="0.25">
      <c r="A2886" s="1">
        <v>46167</v>
      </c>
      <c r="B2886" t="s">
        <v>13</v>
      </c>
      <c r="C2886" t="s">
        <v>9</v>
      </c>
      <c r="D2886" t="str">
        <f>_xlfn.XLOOKUP(tblSales[[#This Row],[Store ID]],tblStores[Store ID],tblStores[Store Name])</f>
        <v>Richards Bay</v>
      </c>
      <c r="E2886" t="str">
        <f>_xlfn.XLOOKUP(tblSales[[#This Row],[Store ID]],tblStores[Store ID],tblStores[Province])</f>
        <v>KZN</v>
      </c>
      <c r="F2886" t="str">
        <f>_xlfn.XLOOKUP(tblSales[[#This Row],[Store ID]],tblStores[Store ID],tblStores[Manager])</f>
        <v>David Green</v>
      </c>
      <c r="G2886" t="str">
        <f>_xlfn.XLOOKUP(tblSales[[#This Row],[Category ID]],tblCategories[Category ID],tblCategories[Category])</f>
        <v>Ladieswear</v>
      </c>
      <c r="H2886">
        <v>32940</v>
      </c>
      <c r="I2886">
        <v>30591</v>
      </c>
      <c r="J2886">
        <v>90</v>
      </c>
      <c r="K2886">
        <f>tblSales[[#This Row],[Sales]]-tblSales[[#This Row],[Budget]]</f>
        <v>2349</v>
      </c>
      <c r="L2886" s="3">
        <f>(tblSales[[#This Row],[Sales]]-tblSales[[#This Row],[Budget]])/tblSales[[#This Row],[Budget]]</f>
        <v>7.6787290379523393E-2</v>
      </c>
      <c r="M2886" s="2">
        <f>tblSales[[#This Row],[Sales]]/tblSales[[#This Row],[Transactions]]</f>
        <v>366</v>
      </c>
    </row>
    <row r="2887" spans="1:13" x14ac:dyDescent="0.25">
      <c r="A2887" s="1">
        <v>46167</v>
      </c>
      <c r="B2887" t="s">
        <v>14</v>
      </c>
      <c r="C2887" t="s">
        <v>9</v>
      </c>
      <c r="D2887" t="str">
        <f>_xlfn.XLOOKUP(tblSales[[#This Row],[Store ID]],tblStores[Store ID],tblStores[Store Name])</f>
        <v>Sandton</v>
      </c>
      <c r="E2887" t="str">
        <f>_xlfn.XLOOKUP(tblSales[[#This Row],[Store ID]],tblStores[Store ID],tblStores[Province])</f>
        <v>Gauteng</v>
      </c>
      <c r="F2887" t="str">
        <f>_xlfn.XLOOKUP(tblSales[[#This Row],[Store ID]],tblStores[Store ID],tblStores[Manager])</f>
        <v>Karen White</v>
      </c>
      <c r="G2887" t="str">
        <f>_xlfn.XLOOKUP(tblSales[[#This Row],[Category ID]],tblCategories[Category ID],tblCategories[Category])</f>
        <v>Ladieswear</v>
      </c>
      <c r="H2887">
        <v>14574</v>
      </c>
      <c r="I2887">
        <v>13621</v>
      </c>
      <c r="J2887">
        <v>42</v>
      </c>
      <c r="K2887">
        <f>tblSales[[#This Row],[Sales]]-tblSales[[#This Row],[Budget]]</f>
        <v>953</v>
      </c>
      <c r="L2887" s="3">
        <f>(tblSales[[#This Row],[Sales]]-tblSales[[#This Row],[Budget]])/tblSales[[#This Row],[Budget]]</f>
        <v>6.9965494457088315E-2</v>
      </c>
      <c r="M2887" s="2">
        <f>tblSales[[#This Row],[Sales]]/tblSales[[#This Row],[Transactions]]</f>
        <v>347</v>
      </c>
    </row>
    <row r="2888" spans="1:13" x14ac:dyDescent="0.25">
      <c r="A2888" s="1">
        <v>46167</v>
      </c>
      <c r="B2888" t="s">
        <v>15</v>
      </c>
      <c r="C2888" t="s">
        <v>7</v>
      </c>
      <c r="D2888" t="str">
        <f>_xlfn.XLOOKUP(tblSales[[#This Row],[Store ID]],tblStores[Store ID],tblStores[Store Name])</f>
        <v>Rosebank</v>
      </c>
      <c r="E2888" t="str">
        <f>_xlfn.XLOOKUP(tblSales[[#This Row],[Store ID]],tblStores[Store ID],tblStores[Province])</f>
        <v>Gauteng</v>
      </c>
      <c r="F2888" t="str">
        <f>_xlfn.XLOOKUP(tblSales[[#This Row],[Store ID]],tblStores[Store ID],tblStores[Manager])</f>
        <v>James Taylor</v>
      </c>
      <c r="G2888" t="str">
        <f>_xlfn.XLOOKUP(tblSales[[#This Row],[Category ID]],tblCategories[Category ID],tblCategories[Category])</f>
        <v>Menswear</v>
      </c>
      <c r="H2888">
        <v>51728</v>
      </c>
      <c r="I2888">
        <v>50015</v>
      </c>
      <c r="J2888">
        <v>212</v>
      </c>
      <c r="K2888">
        <f>tblSales[[#This Row],[Sales]]-tblSales[[#This Row],[Budget]]</f>
        <v>1713</v>
      </c>
      <c r="L2888" s="3">
        <f>(tblSales[[#This Row],[Sales]]-tblSales[[#This Row],[Budget]])/tblSales[[#This Row],[Budget]]</f>
        <v>3.4249725082475257E-2</v>
      </c>
      <c r="M2888" s="2">
        <f>tblSales[[#This Row],[Sales]]/tblSales[[#This Row],[Transactions]]</f>
        <v>244</v>
      </c>
    </row>
    <row r="2889" spans="1:13" x14ac:dyDescent="0.25">
      <c r="A2889" s="1">
        <v>46167</v>
      </c>
      <c r="B2889" t="s">
        <v>16</v>
      </c>
      <c r="C2889" t="s">
        <v>11</v>
      </c>
      <c r="D2889" t="str">
        <f>_xlfn.XLOOKUP(tblSales[[#This Row],[Store ID]],tblStores[Store ID],tblStores[Store Name])</f>
        <v>Pretoria</v>
      </c>
      <c r="E2889" t="str">
        <f>_xlfn.XLOOKUP(tblSales[[#This Row],[Store ID]],tblStores[Store ID],tblStores[Province])</f>
        <v>Gauteng</v>
      </c>
      <c r="F2889" t="str">
        <f>_xlfn.XLOOKUP(tblSales[[#This Row],[Store ID]],tblStores[Store ID],tblStores[Manager])</f>
        <v>Susan Clark</v>
      </c>
      <c r="G2889" t="str">
        <f>_xlfn.XLOOKUP(tblSales[[#This Row],[Category ID]],tblCategories[Category ID],tblCategories[Category])</f>
        <v>Footwear</v>
      </c>
      <c r="H2889">
        <v>19522</v>
      </c>
      <c r="I2889">
        <v>19270</v>
      </c>
      <c r="J2889">
        <v>86</v>
      </c>
      <c r="K2889">
        <f>tblSales[[#This Row],[Sales]]-tblSales[[#This Row],[Budget]]</f>
        <v>252</v>
      </c>
      <c r="L2889" s="3">
        <f>(tblSales[[#This Row],[Sales]]-tblSales[[#This Row],[Budget]])/tblSales[[#This Row],[Budget]]</f>
        <v>1.3077322262584328E-2</v>
      </c>
      <c r="M2889" s="2">
        <f>tblSales[[#This Row],[Sales]]/tblSales[[#This Row],[Transactions]]</f>
        <v>227</v>
      </c>
    </row>
    <row r="2890" spans="1:13" x14ac:dyDescent="0.25">
      <c r="A2890" s="1">
        <v>46167</v>
      </c>
      <c r="B2890" t="s">
        <v>17</v>
      </c>
      <c r="C2890" t="s">
        <v>19</v>
      </c>
      <c r="D2890" t="str">
        <f>_xlfn.XLOOKUP(tblSales[[#This Row],[Store ID]],tblStores[Store ID],tblStores[Store Name])</f>
        <v>Centurion</v>
      </c>
      <c r="E2890" t="str">
        <f>_xlfn.XLOOKUP(tblSales[[#This Row],[Store ID]],tblStores[Store ID],tblStores[Province])</f>
        <v>Gauteng</v>
      </c>
      <c r="F2890" t="str">
        <f>_xlfn.XLOOKUP(tblSales[[#This Row],[Store ID]],tblStores[Store ID],tblStores[Manager])</f>
        <v>Mark Wilson</v>
      </c>
      <c r="G2890" t="str">
        <f>_xlfn.XLOOKUP(tblSales[[#This Row],[Category ID]],tblCategories[Category ID],tblCategories[Category])</f>
        <v>Accessories</v>
      </c>
      <c r="H2890">
        <v>66330</v>
      </c>
      <c r="I2890">
        <v>67441</v>
      </c>
      <c r="J2890">
        <v>201</v>
      </c>
      <c r="K2890">
        <f>tblSales[[#This Row],[Sales]]-tblSales[[#This Row],[Budget]]</f>
        <v>-1111</v>
      </c>
      <c r="L2890" s="3">
        <f>(tblSales[[#This Row],[Sales]]-tblSales[[#This Row],[Budget]])/tblSales[[#This Row],[Budget]]</f>
        <v>-1.6473658457021693E-2</v>
      </c>
      <c r="M2890" s="2">
        <f>tblSales[[#This Row],[Sales]]/tblSales[[#This Row],[Transactions]]</f>
        <v>330</v>
      </c>
    </row>
    <row r="2891" spans="1:13" x14ac:dyDescent="0.25">
      <c r="A2891" s="1">
        <v>46167</v>
      </c>
      <c r="B2891" t="s">
        <v>18</v>
      </c>
      <c r="C2891" t="s">
        <v>11</v>
      </c>
      <c r="D2891" t="str">
        <f>_xlfn.XLOOKUP(tblSales[[#This Row],[Store ID]],tblStores[Store ID],tblStores[Store Name])</f>
        <v>East Rand</v>
      </c>
      <c r="E2891" t="str">
        <f>_xlfn.XLOOKUP(tblSales[[#This Row],[Store ID]],tblStores[Store ID],tblStores[Province])</f>
        <v>Gauteng</v>
      </c>
      <c r="F2891" t="str">
        <f>_xlfn.XLOOKUP(tblSales[[#This Row],[Store ID]],tblStores[Store ID],tblStores[Manager])</f>
        <v>Lisa Young</v>
      </c>
      <c r="G2891" t="str">
        <f>_xlfn.XLOOKUP(tblSales[[#This Row],[Category ID]],tblCategories[Category ID],tblCategories[Category])</f>
        <v>Footwear</v>
      </c>
      <c r="H2891">
        <v>64532</v>
      </c>
      <c r="I2891">
        <v>73346</v>
      </c>
      <c r="J2891">
        <v>146</v>
      </c>
      <c r="K2891">
        <f>tblSales[[#This Row],[Sales]]-tblSales[[#This Row],[Budget]]</f>
        <v>-8814</v>
      </c>
      <c r="L2891" s="3">
        <f>(tblSales[[#This Row],[Sales]]-tblSales[[#This Row],[Budget]])/tblSales[[#This Row],[Budget]]</f>
        <v>-0.12017015242821695</v>
      </c>
      <c r="M2891" s="2">
        <f>tblSales[[#This Row],[Sales]]/tblSales[[#This Row],[Transactions]]</f>
        <v>442</v>
      </c>
    </row>
    <row r="2892" spans="1:13" x14ac:dyDescent="0.25">
      <c r="A2892" s="1">
        <v>46167</v>
      </c>
      <c r="B2892" t="s">
        <v>20</v>
      </c>
      <c r="C2892" t="s">
        <v>9</v>
      </c>
      <c r="D2892" t="str">
        <f>_xlfn.XLOOKUP(tblSales[[#This Row],[Store ID]],tblStores[Store ID],tblStores[Store Name])</f>
        <v>Cape Town CBD</v>
      </c>
      <c r="E2892" t="str">
        <f>_xlfn.XLOOKUP(tblSales[[#This Row],[Store ID]],tblStores[Store ID],tblStores[Province])</f>
        <v>Western Cape</v>
      </c>
      <c r="F2892" t="str">
        <f>_xlfn.XLOOKUP(tblSales[[#This Row],[Store ID]],tblStores[Store ID],tblStores[Manager])</f>
        <v>Brian Hall</v>
      </c>
      <c r="G2892" t="str">
        <f>_xlfn.XLOOKUP(tblSales[[#This Row],[Category ID]],tblCategories[Category ID],tblCategories[Category])</f>
        <v>Ladieswear</v>
      </c>
      <c r="H2892">
        <v>26532</v>
      </c>
      <c r="I2892">
        <v>25191</v>
      </c>
      <c r="J2892">
        <v>99</v>
      </c>
      <c r="K2892">
        <f>tblSales[[#This Row],[Sales]]-tblSales[[#This Row],[Budget]]</f>
        <v>1341</v>
      </c>
      <c r="L2892" s="3">
        <f>(tblSales[[#This Row],[Sales]]-tblSales[[#This Row],[Budget]])/tblSales[[#This Row],[Budget]]</f>
        <v>5.3233297606287963E-2</v>
      </c>
      <c r="M2892" s="2">
        <f>tblSales[[#This Row],[Sales]]/tblSales[[#This Row],[Transactions]]</f>
        <v>268</v>
      </c>
    </row>
    <row r="2893" spans="1:13" x14ac:dyDescent="0.25">
      <c r="A2893" s="1">
        <v>46167</v>
      </c>
      <c r="B2893" t="s">
        <v>21</v>
      </c>
      <c r="C2893" t="s">
        <v>22</v>
      </c>
      <c r="D2893" t="str">
        <f>_xlfn.XLOOKUP(tblSales[[#This Row],[Store ID]],tblStores[Store ID],tblStores[Store Name])</f>
        <v>Canal Walk</v>
      </c>
      <c r="E2893" t="str">
        <f>_xlfn.XLOOKUP(tblSales[[#This Row],[Store ID]],tblStores[Store ID],tblStores[Province])</f>
        <v>Western Cape</v>
      </c>
      <c r="F2893" t="str">
        <f>_xlfn.XLOOKUP(tblSales[[#This Row],[Store ID]],tblStores[Store ID],tblStores[Manager])</f>
        <v>Megan Scott</v>
      </c>
      <c r="G2893" t="str">
        <f>_xlfn.XLOOKUP(tblSales[[#This Row],[Category ID]],tblCategories[Category ID],tblCategories[Category])</f>
        <v>Kids</v>
      </c>
      <c r="H2893">
        <v>31320</v>
      </c>
      <c r="I2893">
        <v>32757</v>
      </c>
      <c r="J2893">
        <v>135</v>
      </c>
      <c r="K2893">
        <f>tblSales[[#This Row],[Sales]]-tblSales[[#This Row],[Budget]]</f>
        <v>-1437</v>
      </c>
      <c r="L2893" s="3">
        <f>(tblSales[[#This Row],[Sales]]-tblSales[[#This Row],[Budget]])/tblSales[[#This Row],[Budget]]</f>
        <v>-4.386848612510303E-2</v>
      </c>
      <c r="M2893" s="2">
        <f>tblSales[[#This Row],[Sales]]/tblSales[[#This Row],[Transactions]]</f>
        <v>232</v>
      </c>
    </row>
    <row r="2894" spans="1:13" x14ac:dyDescent="0.25">
      <c r="A2894" s="1">
        <v>46167</v>
      </c>
      <c r="B2894" t="s">
        <v>23</v>
      </c>
      <c r="C2894" t="s">
        <v>19</v>
      </c>
      <c r="D2894" t="str">
        <f>_xlfn.XLOOKUP(tblSales[[#This Row],[Store ID]],tblStores[Store ID],tblStores[Store Name])</f>
        <v>Stellenbosch</v>
      </c>
      <c r="E2894" t="str">
        <f>_xlfn.XLOOKUP(tblSales[[#This Row],[Store ID]],tblStores[Store ID],tblStores[Province])</f>
        <v>Western Cape</v>
      </c>
      <c r="F2894" t="str">
        <f>_xlfn.XLOOKUP(tblSales[[#This Row],[Store ID]],tblStores[Store ID],tblStores[Manager])</f>
        <v>Jason King</v>
      </c>
      <c r="G2894" t="str">
        <f>_xlfn.XLOOKUP(tblSales[[#This Row],[Category ID]],tblCategories[Category ID],tblCategories[Category])</f>
        <v>Accessories</v>
      </c>
      <c r="H2894">
        <v>30096</v>
      </c>
      <c r="I2894">
        <v>33061</v>
      </c>
      <c r="J2894">
        <v>114</v>
      </c>
      <c r="K2894">
        <f>tblSales[[#This Row],[Sales]]-tblSales[[#This Row],[Budget]]</f>
        <v>-2965</v>
      </c>
      <c r="L2894" s="3">
        <f>(tblSales[[#This Row],[Sales]]-tblSales[[#This Row],[Budget]])/tblSales[[#This Row],[Budget]]</f>
        <v>-8.9682707722089472E-2</v>
      </c>
      <c r="M2894" s="2">
        <f>tblSales[[#This Row],[Sales]]/tblSales[[#This Row],[Transactions]]</f>
        <v>264</v>
      </c>
    </row>
    <row r="2895" spans="1:13" x14ac:dyDescent="0.25">
      <c r="A2895" s="1">
        <v>46167</v>
      </c>
      <c r="B2895" t="s">
        <v>24</v>
      </c>
      <c r="C2895" t="s">
        <v>11</v>
      </c>
      <c r="D2895" t="str">
        <f>_xlfn.XLOOKUP(tblSales[[#This Row],[Store ID]],tblStores[Store ID],tblStores[Store Name])</f>
        <v>George</v>
      </c>
      <c r="E2895" t="str">
        <f>_xlfn.XLOOKUP(tblSales[[#This Row],[Store ID]],tblStores[Store ID],tblStores[Province])</f>
        <v>Western Cape</v>
      </c>
      <c r="F2895" t="str">
        <f>_xlfn.XLOOKUP(tblSales[[#This Row],[Store ID]],tblStores[Store ID],tblStores[Manager])</f>
        <v>Chloe Hill</v>
      </c>
      <c r="G2895" t="str">
        <f>_xlfn.XLOOKUP(tblSales[[#This Row],[Category ID]],tblCategories[Category ID],tblCategories[Category])</f>
        <v>Footwear</v>
      </c>
      <c r="H2895">
        <v>59160</v>
      </c>
      <c r="I2895">
        <v>59511</v>
      </c>
      <c r="J2895">
        <v>145</v>
      </c>
      <c r="K2895">
        <f>tblSales[[#This Row],[Sales]]-tblSales[[#This Row],[Budget]]</f>
        <v>-351</v>
      </c>
      <c r="L2895" s="3">
        <f>(tblSales[[#This Row],[Sales]]-tblSales[[#This Row],[Budget]])/tblSales[[#This Row],[Budget]]</f>
        <v>-5.8980692645057217E-3</v>
      </c>
      <c r="M2895" s="2">
        <f>tblSales[[#This Row],[Sales]]/tblSales[[#This Row],[Transactions]]</f>
        <v>408</v>
      </c>
    </row>
    <row r="2896" spans="1:13" x14ac:dyDescent="0.25">
      <c r="A2896" s="1">
        <v>46167</v>
      </c>
      <c r="B2896" t="s">
        <v>25</v>
      </c>
      <c r="C2896" t="s">
        <v>22</v>
      </c>
      <c r="D2896" t="str">
        <f>_xlfn.XLOOKUP(tblSales[[#This Row],[Store ID]],tblStores[Store ID],tblStores[Store Name])</f>
        <v>Paarl</v>
      </c>
      <c r="E2896" t="str">
        <f>_xlfn.XLOOKUP(tblSales[[#This Row],[Store ID]],tblStores[Store ID],tblStores[Province])</f>
        <v>Western Cape</v>
      </c>
      <c r="F2896" t="str">
        <f>_xlfn.XLOOKUP(tblSales[[#This Row],[Store ID]],tblStores[Store ID],tblStores[Manager])</f>
        <v>Andrew Lee</v>
      </c>
      <c r="G2896" t="str">
        <f>_xlfn.XLOOKUP(tblSales[[#This Row],[Category ID]],tblCategories[Category ID],tblCategories[Category])</f>
        <v>Kids</v>
      </c>
      <c r="H2896">
        <v>57768</v>
      </c>
      <c r="I2896">
        <v>53544</v>
      </c>
      <c r="J2896">
        <v>116</v>
      </c>
      <c r="K2896">
        <f>tblSales[[#This Row],[Sales]]-tblSales[[#This Row],[Budget]]</f>
        <v>4224</v>
      </c>
      <c r="L2896" s="3">
        <f>(tblSales[[#This Row],[Sales]]-tblSales[[#This Row],[Budget]])/tblSales[[#This Row],[Budget]]</f>
        <v>7.8888390856118332E-2</v>
      </c>
      <c r="M2896" s="2">
        <f>tblSales[[#This Row],[Sales]]/tblSales[[#This Row],[Transactions]]</f>
        <v>498</v>
      </c>
    </row>
    <row r="2897" spans="1:13" x14ac:dyDescent="0.25">
      <c r="A2897" s="1">
        <v>46167</v>
      </c>
      <c r="B2897" t="s">
        <v>26</v>
      </c>
      <c r="C2897" t="s">
        <v>11</v>
      </c>
      <c r="D2897" t="str">
        <f>_xlfn.XLOOKUP(tblSales[[#This Row],[Store ID]],tblStores[Store ID],tblStores[Store Name])</f>
        <v>Gqeberha</v>
      </c>
      <c r="E2897" t="str">
        <f>_xlfn.XLOOKUP(tblSales[[#This Row],[Store ID]],tblStores[Store ID],tblStores[Province])</f>
        <v>Eastern Cape</v>
      </c>
      <c r="F2897" t="str">
        <f>_xlfn.XLOOKUP(tblSales[[#This Row],[Store ID]],tblStores[Store ID],tblStores[Manager])</f>
        <v>Emma Baker</v>
      </c>
      <c r="G2897" t="str">
        <f>_xlfn.XLOOKUP(tblSales[[#This Row],[Category ID]],tblCategories[Category ID],tblCategories[Category])</f>
        <v>Footwear</v>
      </c>
      <c r="H2897">
        <v>40608</v>
      </c>
      <c r="I2897">
        <v>42304</v>
      </c>
      <c r="J2897">
        <v>144</v>
      </c>
      <c r="K2897">
        <f>tblSales[[#This Row],[Sales]]-tblSales[[#This Row],[Budget]]</f>
        <v>-1696</v>
      </c>
      <c r="L2897" s="3">
        <f>(tblSales[[#This Row],[Sales]]-tblSales[[#This Row],[Budget]])/tblSales[[#This Row],[Budget]]</f>
        <v>-4.0090771558245086E-2</v>
      </c>
      <c r="M2897" s="2">
        <f>tblSales[[#This Row],[Sales]]/tblSales[[#This Row],[Transactions]]</f>
        <v>282</v>
      </c>
    </row>
    <row r="2898" spans="1:13" x14ac:dyDescent="0.25">
      <c r="A2898" s="1">
        <v>46167</v>
      </c>
      <c r="B2898" t="s">
        <v>27</v>
      </c>
      <c r="C2898" t="s">
        <v>22</v>
      </c>
      <c r="D2898" t="str">
        <f>_xlfn.XLOOKUP(tblSales[[#This Row],[Store ID]],tblStores[Store ID],tblStores[Store Name])</f>
        <v>East London</v>
      </c>
      <c r="E2898" t="str">
        <f>_xlfn.XLOOKUP(tblSales[[#This Row],[Store ID]],tblStores[Store ID],tblStores[Province])</f>
        <v>Eastern Cape</v>
      </c>
      <c r="F2898" t="str">
        <f>_xlfn.XLOOKUP(tblSales[[#This Row],[Store ID]],tblStores[Store ID],tblStores[Manager])</f>
        <v>Daniel Evans</v>
      </c>
      <c r="G2898" t="str">
        <f>_xlfn.XLOOKUP(tblSales[[#This Row],[Category ID]],tblCategories[Category ID],tblCategories[Category])</f>
        <v>Kids</v>
      </c>
      <c r="H2898">
        <v>41552</v>
      </c>
      <c r="I2898">
        <v>42065</v>
      </c>
      <c r="J2898">
        <v>196</v>
      </c>
      <c r="K2898">
        <f>tblSales[[#This Row],[Sales]]-tblSales[[#This Row],[Budget]]</f>
        <v>-513</v>
      </c>
      <c r="L2898" s="3">
        <f>(tblSales[[#This Row],[Sales]]-tblSales[[#This Row],[Budget]])/tblSales[[#This Row],[Budget]]</f>
        <v>-1.2195411862593606E-2</v>
      </c>
      <c r="M2898" s="2">
        <f>tblSales[[#This Row],[Sales]]/tblSales[[#This Row],[Transactions]]</f>
        <v>212</v>
      </c>
    </row>
    <row r="2899" spans="1:13" x14ac:dyDescent="0.25">
      <c r="A2899" s="1">
        <v>46167</v>
      </c>
      <c r="B2899" t="s">
        <v>28</v>
      </c>
      <c r="C2899" t="s">
        <v>7</v>
      </c>
      <c r="D2899" t="str">
        <f>_xlfn.XLOOKUP(tblSales[[#This Row],[Store ID]],tblStores[Store ID],tblStores[Store Name])</f>
        <v>Bloemfontein</v>
      </c>
      <c r="E2899" t="str">
        <f>_xlfn.XLOOKUP(tblSales[[#This Row],[Store ID]],tblStores[Store ID],tblStores[Province])</f>
        <v>Free State</v>
      </c>
      <c r="F2899" t="str">
        <f>_xlfn.XLOOKUP(tblSales[[#This Row],[Store ID]],tblStores[Store ID],tblStores[Manager])</f>
        <v>Rachel Moore</v>
      </c>
      <c r="G2899" t="str">
        <f>_xlfn.XLOOKUP(tblSales[[#This Row],[Category ID]],tblCategories[Category ID],tblCategories[Category])</f>
        <v>Menswear</v>
      </c>
      <c r="H2899">
        <v>50985</v>
      </c>
      <c r="I2899">
        <v>53366</v>
      </c>
      <c r="J2899">
        <v>165</v>
      </c>
      <c r="K2899">
        <f>tblSales[[#This Row],[Sales]]-tblSales[[#This Row],[Budget]]</f>
        <v>-2381</v>
      </c>
      <c r="L2899" s="3">
        <f>(tblSales[[#This Row],[Sales]]-tblSales[[#This Row],[Budget]])/tblSales[[#This Row],[Budget]]</f>
        <v>-4.461642244125473E-2</v>
      </c>
      <c r="M2899" s="2">
        <f>tblSales[[#This Row],[Sales]]/tblSales[[#This Row],[Transactions]]</f>
        <v>309</v>
      </c>
    </row>
    <row r="2900" spans="1:13" x14ac:dyDescent="0.25">
      <c r="A2900" s="1">
        <v>46167</v>
      </c>
      <c r="B2900" t="s">
        <v>29</v>
      </c>
      <c r="C2900" t="s">
        <v>22</v>
      </c>
      <c r="D2900" t="str">
        <f>_xlfn.XLOOKUP(tblSales[[#This Row],[Store ID]],tblStores[Store ID],tblStores[Store Name])</f>
        <v>Polokwane</v>
      </c>
      <c r="E2900" t="str">
        <f>_xlfn.XLOOKUP(tblSales[[#This Row],[Store ID]],tblStores[Store ID],tblStores[Province])</f>
        <v>Limpopo</v>
      </c>
      <c r="F2900" t="str">
        <f>_xlfn.XLOOKUP(tblSales[[#This Row],[Store ID]],tblStores[Store ID],tblStores[Manager])</f>
        <v>Kevin Harris</v>
      </c>
      <c r="G2900" t="str">
        <f>_xlfn.XLOOKUP(tblSales[[#This Row],[Category ID]],tblCategories[Category ID],tblCategories[Category])</f>
        <v>Kids</v>
      </c>
      <c r="H2900">
        <v>96390</v>
      </c>
      <c r="I2900">
        <v>109652</v>
      </c>
      <c r="J2900">
        <v>189</v>
      </c>
      <c r="K2900">
        <f>tblSales[[#This Row],[Sales]]-tblSales[[#This Row],[Budget]]</f>
        <v>-13262</v>
      </c>
      <c r="L2900" s="3">
        <f>(tblSales[[#This Row],[Sales]]-tblSales[[#This Row],[Budget]])/tblSales[[#This Row],[Budget]]</f>
        <v>-0.12094626636997045</v>
      </c>
      <c r="M2900" s="2">
        <f>tblSales[[#This Row],[Sales]]/tblSales[[#This Row],[Transactions]]</f>
        <v>510</v>
      </c>
    </row>
    <row r="2901" spans="1:13" x14ac:dyDescent="0.25">
      <c r="A2901" s="1">
        <v>46167</v>
      </c>
      <c r="B2901" t="s">
        <v>30</v>
      </c>
      <c r="C2901" t="s">
        <v>19</v>
      </c>
      <c r="D2901" t="str">
        <f>_xlfn.XLOOKUP(tblSales[[#This Row],[Store ID]],tblStores[Store ID],tblStores[Store Name])</f>
        <v>Nelspruit</v>
      </c>
      <c r="E2901" t="str">
        <f>_xlfn.XLOOKUP(tblSales[[#This Row],[Store ID]],tblStores[Store ID],tblStores[Province])</f>
        <v>Mpumalanga</v>
      </c>
      <c r="F2901" t="str">
        <f>_xlfn.XLOOKUP(tblSales[[#This Row],[Store ID]],tblStores[Store ID],tblStores[Manager])</f>
        <v>Olivia Turner</v>
      </c>
      <c r="G2901" t="str">
        <f>_xlfn.XLOOKUP(tblSales[[#This Row],[Category ID]],tblCategories[Category ID],tblCategories[Category])</f>
        <v>Accessories</v>
      </c>
      <c r="H2901">
        <v>47875</v>
      </c>
      <c r="I2901">
        <v>43445</v>
      </c>
      <c r="J2901">
        <v>125</v>
      </c>
      <c r="K2901">
        <f>tblSales[[#This Row],[Sales]]-tblSales[[#This Row],[Budget]]</f>
        <v>4430</v>
      </c>
      <c r="L2901" s="3">
        <f>(tblSales[[#This Row],[Sales]]-tblSales[[#This Row],[Budget]])/tblSales[[#This Row],[Budget]]</f>
        <v>0.10196800552422604</v>
      </c>
      <c r="M2901" s="2">
        <f>tblSales[[#This Row],[Sales]]/tblSales[[#This Row],[Transactions]]</f>
        <v>383</v>
      </c>
    </row>
    <row r="2902" spans="1:13" x14ac:dyDescent="0.25">
      <c r="A2902" s="1">
        <v>46168</v>
      </c>
      <c r="B2902" t="s">
        <v>6</v>
      </c>
      <c r="C2902" t="s">
        <v>9</v>
      </c>
      <c r="D2902" t="str">
        <f>_xlfn.XLOOKUP(tblSales[[#This Row],[Store ID]],tblStores[Store ID],tblStores[Store Name])</f>
        <v>Durban CBD</v>
      </c>
      <c r="E2902" t="str">
        <f>_xlfn.XLOOKUP(tblSales[[#This Row],[Store ID]],tblStores[Store ID],tblStores[Province])</f>
        <v>KZN</v>
      </c>
      <c r="F2902" t="str">
        <f>_xlfn.XLOOKUP(tblSales[[#This Row],[Store ID]],tblStores[Store ID],tblStores[Manager])</f>
        <v>Sarah Adams</v>
      </c>
      <c r="G2902" t="str">
        <f>_xlfn.XLOOKUP(tblSales[[#This Row],[Category ID]],tblCategories[Category ID],tblCategories[Category])</f>
        <v>Ladieswear</v>
      </c>
      <c r="H2902">
        <v>46683</v>
      </c>
      <c r="I2902">
        <v>51245</v>
      </c>
      <c r="J2902">
        <v>117</v>
      </c>
      <c r="K2902">
        <f>tblSales[[#This Row],[Sales]]-tblSales[[#This Row],[Budget]]</f>
        <v>-4562</v>
      </c>
      <c r="L2902" s="3">
        <f>(tblSales[[#This Row],[Sales]]-tblSales[[#This Row],[Budget]])/tblSales[[#This Row],[Budget]]</f>
        <v>-8.9023319348229102E-2</v>
      </c>
      <c r="M2902" s="2">
        <f>tblSales[[#This Row],[Sales]]/tblSales[[#This Row],[Transactions]]</f>
        <v>399</v>
      </c>
    </row>
    <row r="2903" spans="1:13" x14ac:dyDescent="0.25">
      <c r="A2903" s="1">
        <v>46168</v>
      </c>
      <c r="B2903" t="s">
        <v>8</v>
      </c>
      <c r="C2903" t="s">
        <v>22</v>
      </c>
      <c r="D2903" t="str">
        <f>_xlfn.XLOOKUP(tblSales[[#This Row],[Store ID]],tblStores[Store ID],tblStores[Store Name])</f>
        <v>Gateway</v>
      </c>
      <c r="E2903" t="str">
        <f>_xlfn.XLOOKUP(tblSales[[#This Row],[Store ID]],tblStores[Store ID],tblStores[Province])</f>
        <v>KZN</v>
      </c>
      <c r="F2903" t="str">
        <f>_xlfn.XLOOKUP(tblSales[[#This Row],[Store ID]],tblStores[Store ID],tblStores[Manager])</f>
        <v>Michael Jones</v>
      </c>
      <c r="G2903" t="str">
        <f>_xlfn.XLOOKUP(tblSales[[#This Row],[Category ID]],tblCategories[Category ID],tblCategories[Category])</f>
        <v>Kids</v>
      </c>
      <c r="H2903">
        <v>21049</v>
      </c>
      <c r="I2903">
        <v>20076</v>
      </c>
      <c r="J2903">
        <v>97</v>
      </c>
      <c r="K2903">
        <f>tblSales[[#This Row],[Sales]]-tblSales[[#This Row],[Budget]]</f>
        <v>973</v>
      </c>
      <c r="L2903" s="3">
        <f>(tblSales[[#This Row],[Sales]]-tblSales[[#This Row],[Budget]])/tblSales[[#This Row],[Budget]]</f>
        <v>4.8465829846582986E-2</v>
      </c>
      <c r="M2903" s="2">
        <f>tblSales[[#This Row],[Sales]]/tblSales[[#This Row],[Transactions]]</f>
        <v>217</v>
      </c>
    </row>
    <row r="2904" spans="1:13" x14ac:dyDescent="0.25">
      <c r="A2904" s="1">
        <v>46168</v>
      </c>
      <c r="B2904" t="s">
        <v>10</v>
      </c>
      <c r="C2904" t="s">
        <v>22</v>
      </c>
      <c r="D2904" t="str">
        <f>_xlfn.XLOOKUP(tblSales[[#This Row],[Store ID]],tblStores[Store ID],tblStores[Store Name])</f>
        <v>Ballito</v>
      </c>
      <c r="E2904" t="str">
        <f>_xlfn.XLOOKUP(tblSales[[#This Row],[Store ID]],tblStores[Store ID],tblStores[Province])</f>
        <v>KZN</v>
      </c>
      <c r="F2904" t="str">
        <f>_xlfn.XLOOKUP(tblSales[[#This Row],[Store ID]],tblStores[Store ID],tblStores[Manager])</f>
        <v>Linda Smith</v>
      </c>
      <c r="G2904" t="str">
        <f>_xlfn.XLOOKUP(tblSales[[#This Row],[Category ID]],tblCategories[Category ID],tblCategories[Category])</f>
        <v>Kids</v>
      </c>
      <c r="H2904">
        <v>33020</v>
      </c>
      <c r="I2904">
        <v>36152</v>
      </c>
      <c r="J2904">
        <v>130</v>
      </c>
      <c r="K2904">
        <f>tblSales[[#This Row],[Sales]]-tblSales[[#This Row],[Budget]]</f>
        <v>-3132</v>
      </c>
      <c r="L2904" s="3">
        <f>(tblSales[[#This Row],[Sales]]-tblSales[[#This Row],[Budget]])/tblSales[[#This Row],[Budget]]</f>
        <v>-8.6634211108652354E-2</v>
      </c>
      <c r="M2904" s="2">
        <f>tblSales[[#This Row],[Sales]]/tblSales[[#This Row],[Transactions]]</f>
        <v>254</v>
      </c>
    </row>
    <row r="2905" spans="1:13" x14ac:dyDescent="0.25">
      <c r="A2905" s="1">
        <v>46168</v>
      </c>
      <c r="B2905" t="s">
        <v>12</v>
      </c>
      <c r="C2905" t="s">
        <v>7</v>
      </c>
      <c r="D2905" t="str">
        <f>_xlfn.XLOOKUP(tblSales[[#This Row],[Store ID]],tblStores[Store ID],tblStores[Store Name])</f>
        <v>Pietermaritzburg</v>
      </c>
      <c r="E2905" t="str">
        <f>_xlfn.XLOOKUP(tblSales[[#This Row],[Store ID]],tblStores[Store ID],tblStores[Province])</f>
        <v>KZN</v>
      </c>
      <c r="F2905" t="str">
        <f>_xlfn.XLOOKUP(tblSales[[#This Row],[Store ID]],tblStores[Store ID],tblStores[Manager])</f>
        <v>Peter Brown</v>
      </c>
      <c r="G2905" t="str">
        <f>_xlfn.XLOOKUP(tblSales[[#This Row],[Category ID]],tblCategories[Category ID],tblCategories[Category])</f>
        <v>Menswear</v>
      </c>
      <c r="H2905">
        <v>12691</v>
      </c>
      <c r="I2905">
        <v>13605</v>
      </c>
      <c r="J2905">
        <v>37</v>
      </c>
      <c r="K2905">
        <f>tblSales[[#This Row],[Sales]]-tblSales[[#This Row],[Budget]]</f>
        <v>-914</v>
      </c>
      <c r="L2905" s="3">
        <f>(tblSales[[#This Row],[Sales]]-tblSales[[#This Row],[Budget]])/tblSales[[#This Row],[Budget]]</f>
        <v>-6.7181183388460131E-2</v>
      </c>
      <c r="M2905" s="2">
        <f>tblSales[[#This Row],[Sales]]/tblSales[[#This Row],[Transactions]]</f>
        <v>343</v>
      </c>
    </row>
    <row r="2906" spans="1:13" x14ac:dyDescent="0.25">
      <c r="A2906" s="1">
        <v>46168</v>
      </c>
      <c r="B2906" t="s">
        <v>13</v>
      </c>
      <c r="C2906" t="s">
        <v>22</v>
      </c>
      <c r="D2906" t="str">
        <f>_xlfn.XLOOKUP(tblSales[[#This Row],[Store ID]],tblStores[Store ID],tblStores[Store Name])</f>
        <v>Richards Bay</v>
      </c>
      <c r="E2906" t="str">
        <f>_xlfn.XLOOKUP(tblSales[[#This Row],[Store ID]],tblStores[Store ID],tblStores[Province])</f>
        <v>KZN</v>
      </c>
      <c r="F2906" t="str">
        <f>_xlfn.XLOOKUP(tblSales[[#This Row],[Store ID]],tblStores[Store ID],tblStores[Manager])</f>
        <v>David Green</v>
      </c>
      <c r="G2906" t="str">
        <f>_xlfn.XLOOKUP(tblSales[[#This Row],[Category ID]],tblCategories[Category ID],tblCategories[Category])</f>
        <v>Kids</v>
      </c>
      <c r="H2906">
        <v>37202</v>
      </c>
      <c r="I2906">
        <v>38759</v>
      </c>
      <c r="J2906">
        <v>89</v>
      </c>
      <c r="K2906">
        <f>tblSales[[#This Row],[Sales]]-tblSales[[#This Row],[Budget]]</f>
        <v>-1557</v>
      </c>
      <c r="L2906" s="3">
        <f>(tblSales[[#This Row],[Sales]]-tblSales[[#This Row],[Budget]])/tblSales[[#This Row],[Budget]]</f>
        <v>-4.017131504940788E-2</v>
      </c>
      <c r="M2906" s="2">
        <f>tblSales[[#This Row],[Sales]]/tblSales[[#This Row],[Transactions]]</f>
        <v>418</v>
      </c>
    </row>
    <row r="2907" spans="1:13" x14ac:dyDescent="0.25">
      <c r="A2907" s="1">
        <v>46168</v>
      </c>
      <c r="B2907" t="s">
        <v>14</v>
      </c>
      <c r="C2907" t="s">
        <v>22</v>
      </c>
      <c r="D2907" t="str">
        <f>_xlfn.XLOOKUP(tblSales[[#This Row],[Store ID]],tblStores[Store ID],tblStores[Store Name])</f>
        <v>Sandton</v>
      </c>
      <c r="E2907" t="str">
        <f>_xlfn.XLOOKUP(tblSales[[#This Row],[Store ID]],tblStores[Store ID],tblStores[Province])</f>
        <v>Gauteng</v>
      </c>
      <c r="F2907" t="str">
        <f>_xlfn.XLOOKUP(tblSales[[#This Row],[Store ID]],tblStores[Store ID],tblStores[Manager])</f>
        <v>Karen White</v>
      </c>
      <c r="G2907" t="str">
        <f>_xlfn.XLOOKUP(tblSales[[#This Row],[Category ID]],tblCategories[Category ID],tblCategories[Category])</f>
        <v>Kids</v>
      </c>
      <c r="H2907">
        <v>43898</v>
      </c>
      <c r="I2907">
        <v>40235</v>
      </c>
      <c r="J2907">
        <v>94</v>
      </c>
      <c r="K2907">
        <f>tblSales[[#This Row],[Sales]]-tblSales[[#This Row],[Budget]]</f>
        <v>3663</v>
      </c>
      <c r="L2907" s="3">
        <f>(tblSales[[#This Row],[Sales]]-tblSales[[#This Row],[Budget]])/tblSales[[#This Row],[Budget]]</f>
        <v>9.104013918230397E-2</v>
      </c>
      <c r="M2907" s="2">
        <f>tblSales[[#This Row],[Sales]]/tblSales[[#This Row],[Transactions]]</f>
        <v>467</v>
      </c>
    </row>
    <row r="2908" spans="1:13" x14ac:dyDescent="0.25">
      <c r="A2908" s="1">
        <v>46168</v>
      </c>
      <c r="B2908" t="s">
        <v>15</v>
      </c>
      <c r="C2908" t="s">
        <v>22</v>
      </c>
      <c r="D2908" t="str">
        <f>_xlfn.XLOOKUP(tblSales[[#This Row],[Store ID]],tblStores[Store ID],tblStores[Store Name])</f>
        <v>Rosebank</v>
      </c>
      <c r="E2908" t="str">
        <f>_xlfn.XLOOKUP(tblSales[[#This Row],[Store ID]],tblStores[Store ID],tblStores[Province])</f>
        <v>Gauteng</v>
      </c>
      <c r="F2908" t="str">
        <f>_xlfn.XLOOKUP(tblSales[[#This Row],[Store ID]],tblStores[Store ID],tblStores[Manager])</f>
        <v>James Taylor</v>
      </c>
      <c r="G2908" t="str">
        <f>_xlfn.XLOOKUP(tblSales[[#This Row],[Category ID]],tblCategories[Category ID],tblCategories[Category])</f>
        <v>Kids</v>
      </c>
      <c r="H2908">
        <v>54432</v>
      </c>
      <c r="I2908">
        <v>56163</v>
      </c>
      <c r="J2908">
        <v>189</v>
      </c>
      <c r="K2908">
        <f>tblSales[[#This Row],[Sales]]-tblSales[[#This Row],[Budget]]</f>
        <v>-1731</v>
      </c>
      <c r="L2908" s="3">
        <f>(tblSales[[#This Row],[Sales]]-tblSales[[#This Row],[Budget]])/tblSales[[#This Row],[Budget]]</f>
        <v>-3.082100315154105E-2</v>
      </c>
      <c r="M2908" s="2">
        <f>tblSales[[#This Row],[Sales]]/tblSales[[#This Row],[Transactions]]</f>
        <v>288</v>
      </c>
    </row>
    <row r="2909" spans="1:13" x14ac:dyDescent="0.25">
      <c r="A2909" s="1">
        <v>46168</v>
      </c>
      <c r="B2909" t="s">
        <v>16</v>
      </c>
      <c r="C2909" t="s">
        <v>7</v>
      </c>
      <c r="D2909" t="str">
        <f>_xlfn.XLOOKUP(tblSales[[#This Row],[Store ID]],tblStores[Store ID],tblStores[Store Name])</f>
        <v>Pretoria</v>
      </c>
      <c r="E2909" t="str">
        <f>_xlfn.XLOOKUP(tblSales[[#This Row],[Store ID]],tblStores[Store ID],tblStores[Province])</f>
        <v>Gauteng</v>
      </c>
      <c r="F2909" t="str">
        <f>_xlfn.XLOOKUP(tblSales[[#This Row],[Store ID]],tblStores[Store ID],tblStores[Manager])</f>
        <v>Susan Clark</v>
      </c>
      <c r="G2909" t="str">
        <f>_xlfn.XLOOKUP(tblSales[[#This Row],[Category ID]],tblCategories[Category ID],tblCategories[Category])</f>
        <v>Menswear</v>
      </c>
      <c r="H2909">
        <v>57316</v>
      </c>
      <c r="I2909">
        <v>61847</v>
      </c>
      <c r="J2909">
        <v>178</v>
      </c>
      <c r="K2909">
        <f>tblSales[[#This Row],[Sales]]-tblSales[[#This Row],[Budget]]</f>
        <v>-4531</v>
      </c>
      <c r="L2909" s="3">
        <f>(tblSales[[#This Row],[Sales]]-tblSales[[#This Row],[Budget]])/tblSales[[#This Row],[Budget]]</f>
        <v>-7.3261435477872811E-2</v>
      </c>
      <c r="M2909" s="2">
        <f>tblSales[[#This Row],[Sales]]/tblSales[[#This Row],[Transactions]]</f>
        <v>322</v>
      </c>
    </row>
    <row r="2910" spans="1:13" x14ac:dyDescent="0.25">
      <c r="A2910" s="1">
        <v>46168</v>
      </c>
      <c r="B2910" t="s">
        <v>17</v>
      </c>
      <c r="C2910" t="s">
        <v>7</v>
      </c>
      <c r="D2910" t="str">
        <f>_xlfn.XLOOKUP(tblSales[[#This Row],[Store ID]],tblStores[Store ID],tblStores[Store Name])</f>
        <v>Centurion</v>
      </c>
      <c r="E2910" t="str">
        <f>_xlfn.XLOOKUP(tblSales[[#This Row],[Store ID]],tblStores[Store ID],tblStores[Province])</f>
        <v>Gauteng</v>
      </c>
      <c r="F2910" t="str">
        <f>_xlfn.XLOOKUP(tblSales[[#This Row],[Store ID]],tblStores[Store ID],tblStores[Manager])</f>
        <v>Mark Wilson</v>
      </c>
      <c r="G2910" t="str">
        <f>_xlfn.XLOOKUP(tblSales[[#This Row],[Category ID]],tblCategories[Category ID],tblCategories[Category])</f>
        <v>Menswear</v>
      </c>
      <c r="H2910">
        <v>92310</v>
      </c>
      <c r="I2910">
        <v>92811</v>
      </c>
      <c r="J2910">
        <v>181</v>
      </c>
      <c r="K2910">
        <f>tblSales[[#This Row],[Sales]]-tblSales[[#This Row],[Budget]]</f>
        <v>-501</v>
      </c>
      <c r="L2910" s="3">
        <f>(tblSales[[#This Row],[Sales]]-tblSales[[#This Row],[Budget]])/tblSales[[#This Row],[Budget]]</f>
        <v>-5.3980670394673047E-3</v>
      </c>
      <c r="M2910" s="2">
        <f>tblSales[[#This Row],[Sales]]/tblSales[[#This Row],[Transactions]]</f>
        <v>510</v>
      </c>
    </row>
    <row r="2911" spans="1:13" x14ac:dyDescent="0.25">
      <c r="A2911" s="1">
        <v>46168</v>
      </c>
      <c r="B2911" t="s">
        <v>18</v>
      </c>
      <c r="C2911" t="s">
        <v>11</v>
      </c>
      <c r="D2911" t="str">
        <f>_xlfn.XLOOKUP(tblSales[[#This Row],[Store ID]],tblStores[Store ID],tblStores[Store Name])</f>
        <v>East Rand</v>
      </c>
      <c r="E2911" t="str">
        <f>_xlfn.XLOOKUP(tblSales[[#This Row],[Store ID]],tblStores[Store ID],tblStores[Province])</f>
        <v>Gauteng</v>
      </c>
      <c r="F2911" t="str">
        <f>_xlfn.XLOOKUP(tblSales[[#This Row],[Store ID]],tblStores[Store ID],tblStores[Manager])</f>
        <v>Lisa Young</v>
      </c>
      <c r="G2911" t="str">
        <f>_xlfn.XLOOKUP(tblSales[[#This Row],[Category ID]],tblCategories[Category ID],tblCategories[Category])</f>
        <v>Footwear</v>
      </c>
      <c r="H2911">
        <v>39788</v>
      </c>
      <c r="I2911">
        <v>37780</v>
      </c>
      <c r="J2911">
        <v>116</v>
      </c>
      <c r="K2911">
        <f>tblSales[[#This Row],[Sales]]-tblSales[[#This Row],[Budget]]</f>
        <v>2008</v>
      </c>
      <c r="L2911" s="3">
        <f>(tblSales[[#This Row],[Sales]]-tblSales[[#This Row],[Budget]])/tblSales[[#This Row],[Budget]]</f>
        <v>5.3149814716781367E-2</v>
      </c>
      <c r="M2911" s="2">
        <f>tblSales[[#This Row],[Sales]]/tblSales[[#This Row],[Transactions]]</f>
        <v>343</v>
      </c>
    </row>
    <row r="2912" spans="1:13" x14ac:dyDescent="0.25">
      <c r="A2912" s="1">
        <v>46168</v>
      </c>
      <c r="B2912" t="s">
        <v>20</v>
      </c>
      <c r="C2912" t="s">
        <v>7</v>
      </c>
      <c r="D2912" t="str">
        <f>_xlfn.XLOOKUP(tblSales[[#This Row],[Store ID]],tblStores[Store ID],tblStores[Store Name])</f>
        <v>Cape Town CBD</v>
      </c>
      <c r="E2912" t="str">
        <f>_xlfn.XLOOKUP(tblSales[[#This Row],[Store ID]],tblStores[Store ID],tblStores[Province])</f>
        <v>Western Cape</v>
      </c>
      <c r="F2912" t="str">
        <f>_xlfn.XLOOKUP(tblSales[[#This Row],[Store ID]],tblStores[Store ID],tblStores[Manager])</f>
        <v>Brian Hall</v>
      </c>
      <c r="G2912" t="str">
        <f>_xlfn.XLOOKUP(tblSales[[#This Row],[Category ID]],tblCategories[Category ID],tblCategories[Category])</f>
        <v>Menswear</v>
      </c>
      <c r="H2912">
        <v>70035</v>
      </c>
      <c r="I2912">
        <v>63850</v>
      </c>
      <c r="J2912">
        <v>161</v>
      </c>
      <c r="K2912">
        <f>tblSales[[#This Row],[Sales]]-tblSales[[#This Row],[Budget]]</f>
        <v>6185</v>
      </c>
      <c r="L2912" s="3">
        <f>(tblSales[[#This Row],[Sales]]-tblSales[[#This Row],[Budget]])/tblSales[[#This Row],[Budget]]</f>
        <v>9.6867658574784646E-2</v>
      </c>
      <c r="M2912" s="2">
        <f>tblSales[[#This Row],[Sales]]/tblSales[[#This Row],[Transactions]]</f>
        <v>435</v>
      </c>
    </row>
    <row r="2913" spans="1:13" x14ac:dyDescent="0.25">
      <c r="A2913" s="1">
        <v>46168</v>
      </c>
      <c r="B2913" t="s">
        <v>21</v>
      </c>
      <c r="C2913" t="s">
        <v>22</v>
      </c>
      <c r="D2913" t="str">
        <f>_xlfn.XLOOKUP(tblSales[[#This Row],[Store ID]],tblStores[Store ID],tblStores[Store Name])</f>
        <v>Canal Walk</v>
      </c>
      <c r="E2913" t="str">
        <f>_xlfn.XLOOKUP(tblSales[[#This Row],[Store ID]],tblStores[Store ID],tblStores[Province])</f>
        <v>Western Cape</v>
      </c>
      <c r="F2913" t="str">
        <f>_xlfn.XLOOKUP(tblSales[[#This Row],[Store ID]],tblStores[Store ID],tblStores[Manager])</f>
        <v>Megan Scott</v>
      </c>
      <c r="G2913" t="str">
        <f>_xlfn.XLOOKUP(tblSales[[#This Row],[Category ID]],tblCategories[Category ID],tblCategories[Category])</f>
        <v>Kids</v>
      </c>
      <c r="H2913">
        <v>34222</v>
      </c>
      <c r="I2913">
        <v>31861</v>
      </c>
      <c r="J2913">
        <v>142</v>
      </c>
      <c r="K2913">
        <f>tblSales[[#This Row],[Sales]]-tblSales[[#This Row],[Budget]]</f>
        <v>2361</v>
      </c>
      <c r="L2913" s="3">
        <f>(tblSales[[#This Row],[Sales]]-tblSales[[#This Row],[Budget]])/tblSales[[#This Row],[Budget]]</f>
        <v>7.4103135494805558E-2</v>
      </c>
      <c r="M2913" s="2">
        <f>tblSales[[#This Row],[Sales]]/tblSales[[#This Row],[Transactions]]</f>
        <v>241</v>
      </c>
    </row>
    <row r="2914" spans="1:13" x14ac:dyDescent="0.25">
      <c r="A2914" s="1">
        <v>46168</v>
      </c>
      <c r="B2914" t="s">
        <v>23</v>
      </c>
      <c r="C2914" t="s">
        <v>9</v>
      </c>
      <c r="D2914" t="str">
        <f>_xlfn.XLOOKUP(tblSales[[#This Row],[Store ID]],tblStores[Store ID],tblStores[Store Name])</f>
        <v>Stellenbosch</v>
      </c>
      <c r="E2914" t="str">
        <f>_xlfn.XLOOKUP(tblSales[[#This Row],[Store ID]],tblStores[Store ID],tblStores[Province])</f>
        <v>Western Cape</v>
      </c>
      <c r="F2914" t="str">
        <f>_xlfn.XLOOKUP(tblSales[[#This Row],[Store ID]],tblStores[Store ID],tblStores[Manager])</f>
        <v>Jason King</v>
      </c>
      <c r="G2914" t="str">
        <f>_xlfn.XLOOKUP(tblSales[[#This Row],[Category ID]],tblCategories[Category ID],tblCategories[Category])</f>
        <v>Ladieswear</v>
      </c>
      <c r="H2914">
        <v>65236</v>
      </c>
      <c r="I2914">
        <v>68353</v>
      </c>
      <c r="J2914">
        <v>188</v>
      </c>
      <c r="K2914">
        <f>tblSales[[#This Row],[Sales]]-tblSales[[#This Row],[Budget]]</f>
        <v>-3117</v>
      </c>
      <c r="L2914" s="3">
        <f>(tblSales[[#This Row],[Sales]]-tblSales[[#This Row],[Budget]])/tblSales[[#This Row],[Budget]]</f>
        <v>-4.5601509809371936E-2</v>
      </c>
      <c r="M2914" s="2">
        <f>tblSales[[#This Row],[Sales]]/tblSales[[#This Row],[Transactions]]</f>
        <v>347</v>
      </c>
    </row>
    <row r="2915" spans="1:13" x14ac:dyDescent="0.25">
      <c r="A2915" s="1">
        <v>46168</v>
      </c>
      <c r="B2915" t="s">
        <v>24</v>
      </c>
      <c r="C2915" t="s">
        <v>9</v>
      </c>
      <c r="D2915" t="str">
        <f>_xlfn.XLOOKUP(tblSales[[#This Row],[Store ID]],tblStores[Store ID],tblStores[Store Name])</f>
        <v>George</v>
      </c>
      <c r="E2915" t="str">
        <f>_xlfn.XLOOKUP(tblSales[[#This Row],[Store ID]],tblStores[Store ID],tblStores[Province])</f>
        <v>Western Cape</v>
      </c>
      <c r="F2915" t="str">
        <f>_xlfn.XLOOKUP(tblSales[[#This Row],[Store ID]],tblStores[Store ID],tblStores[Manager])</f>
        <v>Chloe Hill</v>
      </c>
      <c r="G2915" t="str">
        <f>_xlfn.XLOOKUP(tblSales[[#This Row],[Category ID]],tblCategories[Category ID],tblCategories[Category])</f>
        <v>Ladieswear</v>
      </c>
      <c r="H2915">
        <v>34580</v>
      </c>
      <c r="I2915">
        <v>33586</v>
      </c>
      <c r="J2915">
        <v>182</v>
      </c>
      <c r="K2915">
        <f>tblSales[[#This Row],[Sales]]-tblSales[[#This Row],[Budget]]</f>
        <v>994</v>
      </c>
      <c r="L2915" s="3">
        <f>(tblSales[[#This Row],[Sales]]-tblSales[[#This Row],[Budget]])/tblSales[[#This Row],[Budget]]</f>
        <v>2.9595664860358483E-2</v>
      </c>
      <c r="M2915" s="2">
        <f>tblSales[[#This Row],[Sales]]/tblSales[[#This Row],[Transactions]]</f>
        <v>190</v>
      </c>
    </row>
    <row r="2916" spans="1:13" x14ac:dyDescent="0.25">
      <c r="A2916" s="1">
        <v>46168</v>
      </c>
      <c r="B2916" t="s">
        <v>25</v>
      </c>
      <c r="C2916" t="s">
        <v>19</v>
      </c>
      <c r="D2916" t="str">
        <f>_xlfn.XLOOKUP(tblSales[[#This Row],[Store ID]],tblStores[Store ID],tblStores[Store Name])</f>
        <v>Paarl</v>
      </c>
      <c r="E2916" t="str">
        <f>_xlfn.XLOOKUP(tblSales[[#This Row],[Store ID]],tblStores[Store ID],tblStores[Province])</f>
        <v>Western Cape</v>
      </c>
      <c r="F2916" t="str">
        <f>_xlfn.XLOOKUP(tblSales[[#This Row],[Store ID]],tblStores[Store ID],tblStores[Manager])</f>
        <v>Andrew Lee</v>
      </c>
      <c r="G2916" t="str">
        <f>_xlfn.XLOOKUP(tblSales[[#This Row],[Category ID]],tblCategories[Category ID],tblCategories[Category])</f>
        <v>Accessories</v>
      </c>
      <c r="H2916">
        <v>14976</v>
      </c>
      <c r="I2916">
        <v>14543</v>
      </c>
      <c r="J2916">
        <v>36</v>
      </c>
      <c r="K2916">
        <f>tblSales[[#This Row],[Sales]]-tblSales[[#This Row],[Budget]]</f>
        <v>433</v>
      </c>
      <c r="L2916" s="3">
        <f>(tblSales[[#This Row],[Sales]]-tblSales[[#This Row],[Budget]])/tblSales[[#This Row],[Budget]]</f>
        <v>2.9773774324417246E-2</v>
      </c>
      <c r="M2916" s="2">
        <f>tblSales[[#This Row],[Sales]]/tblSales[[#This Row],[Transactions]]</f>
        <v>416</v>
      </c>
    </row>
    <row r="2917" spans="1:13" x14ac:dyDescent="0.25">
      <c r="A2917" s="1">
        <v>46168</v>
      </c>
      <c r="B2917" t="s">
        <v>26</v>
      </c>
      <c r="C2917" t="s">
        <v>11</v>
      </c>
      <c r="D2917" t="str">
        <f>_xlfn.XLOOKUP(tblSales[[#This Row],[Store ID]],tblStores[Store ID],tblStores[Store Name])</f>
        <v>Gqeberha</v>
      </c>
      <c r="E2917" t="str">
        <f>_xlfn.XLOOKUP(tblSales[[#This Row],[Store ID]],tblStores[Store ID],tblStores[Province])</f>
        <v>Eastern Cape</v>
      </c>
      <c r="F2917" t="str">
        <f>_xlfn.XLOOKUP(tblSales[[#This Row],[Store ID]],tblStores[Store ID],tblStores[Manager])</f>
        <v>Emma Baker</v>
      </c>
      <c r="G2917" t="str">
        <f>_xlfn.XLOOKUP(tblSales[[#This Row],[Category ID]],tblCategories[Category ID],tblCategories[Category])</f>
        <v>Footwear</v>
      </c>
      <c r="H2917">
        <v>19932</v>
      </c>
      <c r="I2917">
        <v>22513</v>
      </c>
      <c r="J2917">
        <v>44</v>
      </c>
      <c r="K2917">
        <f>tblSales[[#This Row],[Sales]]-tblSales[[#This Row],[Budget]]</f>
        <v>-2581</v>
      </c>
      <c r="L2917" s="3">
        <f>(tblSales[[#This Row],[Sales]]-tblSales[[#This Row],[Budget]])/tblSales[[#This Row],[Budget]]</f>
        <v>-0.11464487185181894</v>
      </c>
      <c r="M2917" s="2">
        <f>tblSales[[#This Row],[Sales]]/tblSales[[#This Row],[Transactions]]</f>
        <v>453</v>
      </c>
    </row>
    <row r="2918" spans="1:13" x14ac:dyDescent="0.25">
      <c r="A2918" s="1">
        <v>46168</v>
      </c>
      <c r="B2918" t="s">
        <v>27</v>
      </c>
      <c r="C2918" t="s">
        <v>7</v>
      </c>
      <c r="D2918" t="str">
        <f>_xlfn.XLOOKUP(tblSales[[#This Row],[Store ID]],tblStores[Store ID],tblStores[Store Name])</f>
        <v>East London</v>
      </c>
      <c r="E2918" t="str">
        <f>_xlfn.XLOOKUP(tblSales[[#This Row],[Store ID]],tblStores[Store ID],tblStores[Province])</f>
        <v>Eastern Cape</v>
      </c>
      <c r="F2918" t="str">
        <f>_xlfn.XLOOKUP(tblSales[[#This Row],[Store ID]],tblStores[Store ID],tblStores[Manager])</f>
        <v>Daniel Evans</v>
      </c>
      <c r="G2918" t="str">
        <f>_xlfn.XLOOKUP(tblSales[[#This Row],[Category ID]],tblCategories[Category ID],tblCategories[Category])</f>
        <v>Menswear</v>
      </c>
      <c r="H2918">
        <v>61710</v>
      </c>
      <c r="I2918">
        <v>55790</v>
      </c>
      <c r="J2918">
        <v>121</v>
      </c>
      <c r="K2918">
        <f>tblSales[[#This Row],[Sales]]-tblSales[[#This Row],[Budget]]</f>
        <v>5920</v>
      </c>
      <c r="L2918" s="3">
        <f>(tblSales[[#This Row],[Sales]]-tblSales[[#This Row],[Budget]])/tblSales[[#This Row],[Budget]]</f>
        <v>0.10611220648861804</v>
      </c>
      <c r="M2918" s="2">
        <f>tblSales[[#This Row],[Sales]]/tblSales[[#This Row],[Transactions]]</f>
        <v>510</v>
      </c>
    </row>
    <row r="2919" spans="1:13" x14ac:dyDescent="0.25">
      <c r="A2919" s="1">
        <v>46168</v>
      </c>
      <c r="B2919" t="s">
        <v>28</v>
      </c>
      <c r="C2919" t="s">
        <v>11</v>
      </c>
      <c r="D2919" t="str">
        <f>_xlfn.XLOOKUP(tblSales[[#This Row],[Store ID]],tblStores[Store ID],tblStores[Store Name])</f>
        <v>Bloemfontein</v>
      </c>
      <c r="E2919" t="str">
        <f>_xlfn.XLOOKUP(tblSales[[#This Row],[Store ID]],tblStores[Store ID],tblStores[Province])</f>
        <v>Free State</v>
      </c>
      <c r="F2919" t="str">
        <f>_xlfn.XLOOKUP(tblSales[[#This Row],[Store ID]],tblStores[Store ID],tblStores[Manager])</f>
        <v>Rachel Moore</v>
      </c>
      <c r="G2919" t="str">
        <f>_xlfn.XLOOKUP(tblSales[[#This Row],[Category ID]],tblCategories[Category ID],tblCategories[Category])</f>
        <v>Footwear</v>
      </c>
      <c r="H2919">
        <v>23128</v>
      </c>
      <c r="I2919">
        <v>24997</v>
      </c>
      <c r="J2919">
        <v>59</v>
      </c>
      <c r="K2919">
        <f>tblSales[[#This Row],[Sales]]-tblSales[[#This Row],[Budget]]</f>
        <v>-1869</v>
      </c>
      <c r="L2919" s="3">
        <f>(tblSales[[#This Row],[Sales]]-tblSales[[#This Row],[Budget]])/tblSales[[#This Row],[Budget]]</f>
        <v>-7.4768972276673201E-2</v>
      </c>
      <c r="M2919" s="2">
        <f>tblSales[[#This Row],[Sales]]/tblSales[[#This Row],[Transactions]]</f>
        <v>392</v>
      </c>
    </row>
    <row r="2920" spans="1:13" x14ac:dyDescent="0.25">
      <c r="A2920" s="1">
        <v>46168</v>
      </c>
      <c r="B2920" t="s">
        <v>29</v>
      </c>
      <c r="C2920" t="s">
        <v>22</v>
      </c>
      <c r="D2920" t="str">
        <f>_xlfn.XLOOKUP(tblSales[[#This Row],[Store ID]],tblStores[Store ID],tblStores[Store Name])</f>
        <v>Polokwane</v>
      </c>
      <c r="E2920" t="str">
        <f>_xlfn.XLOOKUP(tblSales[[#This Row],[Store ID]],tblStores[Store ID],tblStores[Province])</f>
        <v>Limpopo</v>
      </c>
      <c r="F2920" t="str">
        <f>_xlfn.XLOOKUP(tblSales[[#This Row],[Store ID]],tblStores[Store ID],tblStores[Manager])</f>
        <v>Kevin Harris</v>
      </c>
      <c r="G2920" t="str">
        <f>_xlfn.XLOOKUP(tblSales[[#This Row],[Category ID]],tblCategories[Category ID],tblCategories[Category])</f>
        <v>Kids</v>
      </c>
      <c r="H2920">
        <v>41412</v>
      </c>
      <c r="I2920">
        <v>41415</v>
      </c>
      <c r="J2920">
        <v>116</v>
      </c>
      <c r="K2920">
        <f>tblSales[[#This Row],[Sales]]-tblSales[[#This Row],[Budget]]</f>
        <v>-3</v>
      </c>
      <c r="L2920" s="3">
        <f>(tblSales[[#This Row],[Sales]]-tblSales[[#This Row],[Budget]])/tblSales[[#This Row],[Budget]]</f>
        <v>-7.2437522636725819E-5</v>
      </c>
      <c r="M2920" s="2">
        <f>tblSales[[#This Row],[Sales]]/tblSales[[#This Row],[Transactions]]</f>
        <v>357</v>
      </c>
    </row>
    <row r="2921" spans="1:13" x14ac:dyDescent="0.25">
      <c r="A2921" s="1">
        <v>46168</v>
      </c>
      <c r="B2921" t="s">
        <v>30</v>
      </c>
      <c r="C2921" t="s">
        <v>19</v>
      </c>
      <c r="D2921" t="str">
        <f>_xlfn.XLOOKUP(tblSales[[#This Row],[Store ID]],tblStores[Store ID],tblStores[Store Name])</f>
        <v>Nelspruit</v>
      </c>
      <c r="E2921" t="str">
        <f>_xlfn.XLOOKUP(tblSales[[#This Row],[Store ID]],tblStores[Store ID],tblStores[Province])</f>
        <v>Mpumalanga</v>
      </c>
      <c r="F2921" t="str">
        <f>_xlfn.XLOOKUP(tblSales[[#This Row],[Store ID]],tblStores[Store ID],tblStores[Manager])</f>
        <v>Olivia Turner</v>
      </c>
      <c r="G2921" t="str">
        <f>_xlfn.XLOOKUP(tblSales[[#This Row],[Category ID]],tblCategories[Category ID],tblCategories[Category])</f>
        <v>Accessories</v>
      </c>
      <c r="H2921">
        <v>49680</v>
      </c>
      <c r="I2921">
        <v>52317</v>
      </c>
      <c r="J2921">
        <v>115</v>
      </c>
      <c r="K2921">
        <f>tblSales[[#This Row],[Sales]]-tblSales[[#This Row],[Budget]]</f>
        <v>-2637</v>
      </c>
      <c r="L2921" s="3">
        <f>(tblSales[[#This Row],[Sales]]-tblSales[[#This Row],[Budget]])/tblSales[[#This Row],[Budget]]</f>
        <v>-5.0404266299673144E-2</v>
      </c>
      <c r="M2921" s="2">
        <f>tblSales[[#This Row],[Sales]]/tblSales[[#This Row],[Transactions]]</f>
        <v>432</v>
      </c>
    </row>
    <row r="2922" spans="1:13" x14ac:dyDescent="0.25">
      <c r="A2922" s="1">
        <v>46169</v>
      </c>
      <c r="B2922" t="s">
        <v>6</v>
      </c>
      <c r="C2922" t="s">
        <v>11</v>
      </c>
      <c r="D2922" t="str">
        <f>_xlfn.XLOOKUP(tblSales[[#This Row],[Store ID]],tblStores[Store ID],tblStores[Store Name])</f>
        <v>Durban CBD</v>
      </c>
      <c r="E2922" t="str">
        <f>_xlfn.XLOOKUP(tblSales[[#This Row],[Store ID]],tblStores[Store ID],tblStores[Province])</f>
        <v>KZN</v>
      </c>
      <c r="F2922" t="str">
        <f>_xlfn.XLOOKUP(tblSales[[#This Row],[Store ID]],tblStores[Store ID],tblStores[Manager])</f>
        <v>Sarah Adams</v>
      </c>
      <c r="G2922" t="str">
        <f>_xlfn.XLOOKUP(tblSales[[#This Row],[Category ID]],tblCategories[Category ID],tblCategories[Category])</f>
        <v>Footwear</v>
      </c>
      <c r="H2922">
        <v>45732</v>
      </c>
      <c r="I2922">
        <v>46799</v>
      </c>
      <c r="J2922">
        <v>111</v>
      </c>
      <c r="K2922">
        <f>tblSales[[#This Row],[Sales]]-tblSales[[#This Row],[Budget]]</f>
        <v>-1067</v>
      </c>
      <c r="L2922" s="3">
        <f>(tblSales[[#This Row],[Sales]]-tblSales[[#This Row],[Budget]])/tblSales[[#This Row],[Budget]]</f>
        <v>-2.2799632470779291E-2</v>
      </c>
      <c r="M2922" s="2">
        <f>tblSales[[#This Row],[Sales]]/tblSales[[#This Row],[Transactions]]</f>
        <v>412</v>
      </c>
    </row>
    <row r="2923" spans="1:13" x14ac:dyDescent="0.25">
      <c r="A2923" s="1">
        <v>46169</v>
      </c>
      <c r="B2923" t="s">
        <v>8</v>
      </c>
      <c r="C2923" t="s">
        <v>7</v>
      </c>
      <c r="D2923" t="str">
        <f>_xlfn.XLOOKUP(tblSales[[#This Row],[Store ID]],tblStores[Store ID],tblStores[Store Name])</f>
        <v>Gateway</v>
      </c>
      <c r="E2923" t="str">
        <f>_xlfn.XLOOKUP(tblSales[[#This Row],[Store ID]],tblStores[Store ID],tblStores[Province])</f>
        <v>KZN</v>
      </c>
      <c r="F2923" t="str">
        <f>_xlfn.XLOOKUP(tblSales[[#This Row],[Store ID]],tblStores[Store ID],tblStores[Manager])</f>
        <v>Michael Jones</v>
      </c>
      <c r="G2923" t="str">
        <f>_xlfn.XLOOKUP(tblSales[[#This Row],[Category ID]],tblCategories[Category ID],tblCategories[Category])</f>
        <v>Menswear</v>
      </c>
      <c r="H2923">
        <v>64480</v>
      </c>
      <c r="I2923">
        <v>59688</v>
      </c>
      <c r="J2923">
        <v>130</v>
      </c>
      <c r="K2923">
        <f>tblSales[[#This Row],[Sales]]-tblSales[[#This Row],[Budget]]</f>
        <v>4792</v>
      </c>
      <c r="L2923" s="3">
        <f>(tblSales[[#This Row],[Sales]]-tblSales[[#This Row],[Budget]])/tblSales[[#This Row],[Budget]]</f>
        <v>8.0284144216592954E-2</v>
      </c>
      <c r="M2923" s="2">
        <f>tblSales[[#This Row],[Sales]]/tblSales[[#This Row],[Transactions]]</f>
        <v>496</v>
      </c>
    </row>
    <row r="2924" spans="1:13" x14ac:dyDescent="0.25">
      <c r="A2924" s="1">
        <v>46169</v>
      </c>
      <c r="B2924" t="s">
        <v>10</v>
      </c>
      <c r="C2924" t="s">
        <v>9</v>
      </c>
      <c r="D2924" t="str">
        <f>_xlfn.XLOOKUP(tblSales[[#This Row],[Store ID]],tblStores[Store ID],tblStores[Store Name])</f>
        <v>Ballito</v>
      </c>
      <c r="E2924" t="str">
        <f>_xlfn.XLOOKUP(tblSales[[#This Row],[Store ID]],tblStores[Store ID],tblStores[Province])</f>
        <v>KZN</v>
      </c>
      <c r="F2924" t="str">
        <f>_xlfn.XLOOKUP(tblSales[[#This Row],[Store ID]],tblStores[Store ID],tblStores[Manager])</f>
        <v>Linda Smith</v>
      </c>
      <c r="G2924" t="str">
        <f>_xlfn.XLOOKUP(tblSales[[#This Row],[Category ID]],tblCategories[Category ID],tblCategories[Category])</f>
        <v>Ladieswear</v>
      </c>
      <c r="H2924">
        <v>8695</v>
      </c>
      <c r="I2924">
        <v>8127</v>
      </c>
      <c r="J2924">
        <v>47</v>
      </c>
      <c r="K2924">
        <f>tblSales[[#This Row],[Sales]]-tblSales[[#This Row],[Budget]]</f>
        <v>568</v>
      </c>
      <c r="L2924" s="3">
        <f>(tblSales[[#This Row],[Sales]]-tblSales[[#This Row],[Budget]])/tblSales[[#This Row],[Budget]]</f>
        <v>6.9890488495139652E-2</v>
      </c>
      <c r="M2924" s="2">
        <f>tblSales[[#This Row],[Sales]]/tblSales[[#This Row],[Transactions]]</f>
        <v>185</v>
      </c>
    </row>
    <row r="2925" spans="1:13" x14ac:dyDescent="0.25">
      <c r="A2925" s="1">
        <v>46169</v>
      </c>
      <c r="B2925" t="s">
        <v>12</v>
      </c>
      <c r="C2925" t="s">
        <v>22</v>
      </c>
      <c r="D2925" t="str">
        <f>_xlfn.XLOOKUP(tblSales[[#This Row],[Store ID]],tblStores[Store ID],tblStores[Store Name])</f>
        <v>Pietermaritzburg</v>
      </c>
      <c r="E2925" t="str">
        <f>_xlfn.XLOOKUP(tblSales[[#This Row],[Store ID]],tblStores[Store ID],tblStores[Province])</f>
        <v>KZN</v>
      </c>
      <c r="F2925" t="str">
        <f>_xlfn.XLOOKUP(tblSales[[#This Row],[Store ID]],tblStores[Store ID],tblStores[Manager])</f>
        <v>Peter Brown</v>
      </c>
      <c r="G2925" t="str">
        <f>_xlfn.XLOOKUP(tblSales[[#This Row],[Category ID]],tblCategories[Category ID],tblCategories[Category])</f>
        <v>Kids</v>
      </c>
      <c r="H2925">
        <v>85033</v>
      </c>
      <c r="I2925">
        <v>81341</v>
      </c>
      <c r="J2925">
        <v>211</v>
      </c>
      <c r="K2925">
        <f>tblSales[[#This Row],[Sales]]-tblSales[[#This Row],[Budget]]</f>
        <v>3692</v>
      </c>
      <c r="L2925" s="3">
        <f>(tblSales[[#This Row],[Sales]]-tblSales[[#This Row],[Budget]])/tblSales[[#This Row],[Budget]]</f>
        <v>4.538916413616749E-2</v>
      </c>
      <c r="M2925" s="2">
        <f>tblSales[[#This Row],[Sales]]/tblSales[[#This Row],[Transactions]]</f>
        <v>403</v>
      </c>
    </row>
    <row r="2926" spans="1:13" x14ac:dyDescent="0.25">
      <c r="A2926" s="1">
        <v>46169</v>
      </c>
      <c r="B2926" t="s">
        <v>13</v>
      </c>
      <c r="C2926" t="s">
        <v>7</v>
      </c>
      <c r="D2926" t="str">
        <f>_xlfn.XLOOKUP(tblSales[[#This Row],[Store ID]],tblStores[Store ID],tblStores[Store Name])</f>
        <v>Richards Bay</v>
      </c>
      <c r="E2926" t="str">
        <f>_xlfn.XLOOKUP(tblSales[[#This Row],[Store ID]],tblStores[Store ID],tblStores[Province])</f>
        <v>KZN</v>
      </c>
      <c r="F2926" t="str">
        <f>_xlfn.XLOOKUP(tblSales[[#This Row],[Store ID]],tblStores[Store ID],tblStores[Manager])</f>
        <v>David Green</v>
      </c>
      <c r="G2926" t="str">
        <f>_xlfn.XLOOKUP(tblSales[[#This Row],[Category ID]],tblCategories[Category ID],tblCategories[Category])</f>
        <v>Menswear</v>
      </c>
      <c r="H2926">
        <v>30544</v>
      </c>
      <c r="I2926">
        <v>33721</v>
      </c>
      <c r="J2926">
        <v>83</v>
      </c>
      <c r="K2926">
        <f>tblSales[[#This Row],[Sales]]-tblSales[[#This Row],[Budget]]</f>
        <v>-3177</v>
      </c>
      <c r="L2926" s="3">
        <f>(tblSales[[#This Row],[Sales]]-tblSales[[#This Row],[Budget]])/tblSales[[#This Row],[Budget]]</f>
        <v>-9.4214287832507931E-2</v>
      </c>
      <c r="M2926" s="2">
        <f>tblSales[[#This Row],[Sales]]/tblSales[[#This Row],[Transactions]]</f>
        <v>368</v>
      </c>
    </row>
    <row r="2927" spans="1:13" x14ac:dyDescent="0.25">
      <c r="A2927" s="1">
        <v>46169</v>
      </c>
      <c r="B2927" t="s">
        <v>14</v>
      </c>
      <c r="C2927" t="s">
        <v>19</v>
      </c>
      <c r="D2927" t="str">
        <f>_xlfn.XLOOKUP(tblSales[[#This Row],[Store ID]],tblStores[Store ID],tblStores[Store Name])</f>
        <v>Sandton</v>
      </c>
      <c r="E2927" t="str">
        <f>_xlfn.XLOOKUP(tblSales[[#This Row],[Store ID]],tblStores[Store ID],tblStores[Province])</f>
        <v>Gauteng</v>
      </c>
      <c r="F2927" t="str">
        <f>_xlfn.XLOOKUP(tblSales[[#This Row],[Store ID]],tblStores[Store ID],tblStores[Manager])</f>
        <v>Karen White</v>
      </c>
      <c r="G2927" t="str">
        <f>_xlfn.XLOOKUP(tblSales[[#This Row],[Category ID]],tblCategories[Category ID],tblCategories[Category])</f>
        <v>Accessories</v>
      </c>
      <c r="H2927">
        <v>7416</v>
      </c>
      <c r="I2927">
        <v>7155</v>
      </c>
      <c r="J2927">
        <v>36</v>
      </c>
      <c r="K2927">
        <f>tblSales[[#This Row],[Sales]]-tblSales[[#This Row],[Budget]]</f>
        <v>261</v>
      </c>
      <c r="L2927" s="3">
        <f>(tblSales[[#This Row],[Sales]]-tblSales[[#This Row],[Budget]])/tblSales[[#This Row],[Budget]]</f>
        <v>3.6477987421383647E-2</v>
      </c>
      <c r="M2927" s="2">
        <f>tblSales[[#This Row],[Sales]]/tblSales[[#This Row],[Transactions]]</f>
        <v>206</v>
      </c>
    </row>
    <row r="2928" spans="1:13" x14ac:dyDescent="0.25">
      <c r="A2928" s="1">
        <v>46169</v>
      </c>
      <c r="B2928" t="s">
        <v>15</v>
      </c>
      <c r="C2928" t="s">
        <v>7</v>
      </c>
      <c r="D2928" t="str">
        <f>_xlfn.XLOOKUP(tblSales[[#This Row],[Store ID]],tblStores[Store ID],tblStores[Store Name])</f>
        <v>Rosebank</v>
      </c>
      <c r="E2928" t="str">
        <f>_xlfn.XLOOKUP(tblSales[[#This Row],[Store ID]],tblStores[Store ID],tblStores[Province])</f>
        <v>Gauteng</v>
      </c>
      <c r="F2928" t="str">
        <f>_xlfn.XLOOKUP(tblSales[[#This Row],[Store ID]],tblStores[Store ID],tblStores[Manager])</f>
        <v>James Taylor</v>
      </c>
      <c r="G2928" t="str">
        <f>_xlfn.XLOOKUP(tblSales[[#This Row],[Category ID]],tblCategories[Category ID],tblCategories[Category])</f>
        <v>Menswear</v>
      </c>
      <c r="H2928">
        <v>12852</v>
      </c>
      <c r="I2928">
        <v>14609</v>
      </c>
      <c r="J2928">
        <v>63</v>
      </c>
      <c r="K2928">
        <f>tblSales[[#This Row],[Sales]]-tblSales[[#This Row],[Budget]]</f>
        <v>-1757</v>
      </c>
      <c r="L2928" s="3">
        <f>(tblSales[[#This Row],[Sales]]-tblSales[[#This Row],[Budget]])/tblSales[[#This Row],[Budget]]</f>
        <v>-0.12026832774317202</v>
      </c>
      <c r="M2928" s="2">
        <f>tblSales[[#This Row],[Sales]]/tblSales[[#This Row],[Transactions]]</f>
        <v>204</v>
      </c>
    </row>
    <row r="2929" spans="1:13" x14ac:dyDescent="0.25">
      <c r="A2929" s="1">
        <v>46169</v>
      </c>
      <c r="B2929" t="s">
        <v>16</v>
      </c>
      <c r="C2929" t="s">
        <v>7</v>
      </c>
      <c r="D2929" t="str">
        <f>_xlfn.XLOOKUP(tblSales[[#This Row],[Store ID]],tblStores[Store ID],tblStores[Store Name])</f>
        <v>Pretoria</v>
      </c>
      <c r="E2929" t="str">
        <f>_xlfn.XLOOKUP(tblSales[[#This Row],[Store ID]],tblStores[Store ID],tblStores[Province])</f>
        <v>Gauteng</v>
      </c>
      <c r="F2929" t="str">
        <f>_xlfn.XLOOKUP(tblSales[[#This Row],[Store ID]],tblStores[Store ID],tblStores[Manager])</f>
        <v>Susan Clark</v>
      </c>
      <c r="G2929" t="str">
        <f>_xlfn.XLOOKUP(tblSales[[#This Row],[Category ID]],tblCategories[Category ID],tblCategories[Category])</f>
        <v>Menswear</v>
      </c>
      <c r="H2929">
        <v>35496</v>
      </c>
      <c r="I2929">
        <v>38051</v>
      </c>
      <c r="J2929">
        <v>102</v>
      </c>
      <c r="K2929">
        <f>tblSales[[#This Row],[Sales]]-tblSales[[#This Row],[Budget]]</f>
        <v>-2555</v>
      </c>
      <c r="L2929" s="3">
        <f>(tblSales[[#This Row],[Sales]]-tblSales[[#This Row],[Budget]])/tblSales[[#This Row],[Budget]]</f>
        <v>-6.7146724133399907E-2</v>
      </c>
      <c r="M2929" s="2">
        <f>tblSales[[#This Row],[Sales]]/tblSales[[#This Row],[Transactions]]</f>
        <v>348</v>
      </c>
    </row>
    <row r="2930" spans="1:13" x14ac:dyDescent="0.25">
      <c r="A2930" s="1">
        <v>46169</v>
      </c>
      <c r="B2930" t="s">
        <v>17</v>
      </c>
      <c r="C2930" t="s">
        <v>11</v>
      </c>
      <c r="D2930" t="str">
        <f>_xlfn.XLOOKUP(tblSales[[#This Row],[Store ID]],tblStores[Store ID],tblStores[Store Name])</f>
        <v>Centurion</v>
      </c>
      <c r="E2930" t="str">
        <f>_xlfn.XLOOKUP(tblSales[[#This Row],[Store ID]],tblStores[Store ID],tblStores[Province])</f>
        <v>Gauteng</v>
      </c>
      <c r="F2930" t="str">
        <f>_xlfn.XLOOKUP(tblSales[[#This Row],[Store ID]],tblStores[Store ID],tblStores[Manager])</f>
        <v>Mark Wilson</v>
      </c>
      <c r="G2930" t="str">
        <f>_xlfn.XLOOKUP(tblSales[[#This Row],[Category ID]],tblCategories[Category ID],tblCategories[Category])</f>
        <v>Footwear</v>
      </c>
      <c r="H2930">
        <v>27768</v>
      </c>
      <c r="I2930">
        <v>31411</v>
      </c>
      <c r="J2930">
        <v>104</v>
      </c>
      <c r="K2930">
        <f>tblSales[[#This Row],[Sales]]-tblSales[[#This Row],[Budget]]</f>
        <v>-3643</v>
      </c>
      <c r="L2930" s="3">
        <f>(tblSales[[#This Row],[Sales]]-tblSales[[#This Row],[Budget]])/tblSales[[#This Row],[Budget]]</f>
        <v>-0.11597847887682659</v>
      </c>
      <c r="M2930" s="2">
        <f>tblSales[[#This Row],[Sales]]/tblSales[[#This Row],[Transactions]]</f>
        <v>267</v>
      </c>
    </row>
    <row r="2931" spans="1:13" x14ac:dyDescent="0.25">
      <c r="A2931" s="1">
        <v>46169</v>
      </c>
      <c r="B2931" t="s">
        <v>18</v>
      </c>
      <c r="C2931" t="s">
        <v>19</v>
      </c>
      <c r="D2931" t="str">
        <f>_xlfn.XLOOKUP(tblSales[[#This Row],[Store ID]],tblStores[Store ID],tblStores[Store Name])</f>
        <v>East Rand</v>
      </c>
      <c r="E2931" t="str">
        <f>_xlfn.XLOOKUP(tblSales[[#This Row],[Store ID]],tblStores[Store ID],tblStores[Province])</f>
        <v>Gauteng</v>
      </c>
      <c r="F2931" t="str">
        <f>_xlfn.XLOOKUP(tblSales[[#This Row],[Store ID]],tblStores[Store ID],tblStores[Manager])</f>
        <v>Lisa Young</v>
      </c>
      <c r="G2931" t="str">
        <f>_xlfn.XLOOKUP(tblSales[[#This Row],[Category ID]],tblCategories[Category ID],tblCategories[Category])</f>
        <v>Accessories</v>
      </c>
      <c r="H2931">
        <v>36632</v>
      </c>
      <c r="I2931">
        <v>34125</v>
      </c>
      <c r="J2931">
        <v>152</v>
      </c>
      <c r="K2931">
        <f>tblSales[[#This Row],[Sales]]-tblSales[[#This Row],[Budget]]</f>
        <v>2507</v>
      </c>
      <c r="L2931" s="3">
        <f>(tblSales[[#This Row],[Sales]]-tblSales[[#This Row],[Budget]])/tblSales[[#This Row],[Budget]]</f>
        <v>7.3465201465201468E-2</v>
      </c>
      <c r="M2931" s="2">
        <f>tblSales[[#This Row],[Sales]]/tblSales[[#This Row],[Transactions]]</f>
        <v>241</v>
      </c>
    </row>
    <row r="2932" spans="1:13" x14ac:dyDescent="0.25">
      <c r="A2932" s="1">
        <v>46169</v>
      </c>
      <c r="B2932" t="s">
        <v>20</v>
      </c>
      <c r="C2932" t="s">
        <v>9</v>
      </c>
      <c r="D2932" t="str">
        <f>_xlfn.XLOOKUP(tblSales[[#This Row],[Store ID]],tblStores[Store ID],tblStores[Store Name])</f>
        <v>Cape Town CBD</v>
      </c>
      <c r="E2932" t="str">
        <f>_xlfn.XLOOKUP(tblSales[[#This Row],[Store ID]],tblStores[Store ID],tblStores[Province])</f>
        <v>Western Cape</v>
      </c>
      <c r="F2932" t="str">
        <f>_xlfn.XLOOKUP(tblSales[[#This Row],[Store ID]],tblStores[Store ID],tblStores[Manager])</f>
        <v>Brian Hall</v>
      </c>
      <c r="G2932" t="str">
        <f>_xlfn.XLOOKUP(tblSales[[#This Row],[Category ID]],tblCategories[Category ID],tblCategories[Category])</f>
        <v>Ladieswear</v>
      </c>
      <c r="H2932">
        <v>71944</v>
      </c>
      <c r="I2932">
        <v>76204</v>
      </c>
      <c r="J2932">
        <v>184</v>
      </c>
      <c r="K2932">
        <f>tblSales[[#This Row],[Sales]]-tblSales[[#This Row],[Budget]]</f>
        <v>-4260</v>
      </c>
      <c r="L2932" s="3">
        <f>(tblSales[[#This Row],[Sales]]-tblSales[[#This Row],[Budget]])/tblSales[[#This Row],[Budget]]</f>
        <v>-5.5902577292530578E-2</v>
      </c>
      <c r="M2932" s="2">
        <f>tblSales[[#This Row],[Sales]]/tblSales[[#This Row],[Transactions]]</f>
        <v>391</v>
      </c>
    </row>
    <row r="2933" spans="1:13" x14ac:dyDescent="0.25">
      <c r="A2933" s="1">
        <v>46169</v>
      </c>
      <c r="B2933" t="s">
        <v>21</v>
      </c>
      <c r="C2933" t="s">
        <v>7</v>
      </c>
      <c r="D2933" t="str">
        <f>_xlfn.XLOOKUP(tblSales[[#This Row],[Store ID]],tblStores[Store ID],tblStores[Store Name])</f>
        <v>Canal Walk</v>
      </c>
      <c r="E2933" t="str">
        <f>_xlfn.XLOOKUP(tblSales[[#This Row],[Store ID]],tblStores[Store ID],tblStores[Province])</f>
        <v>Western Cape</v>
      </c>
      <c r="F2933" t="str">
        <f>_xlfn.XLOOKUP(tblSales[[#This Row],[Store ID]],tblStores[Store ID],tblStores[Manager])</f>
        <v>Megan Scott</v>
      </c>
      <c r="G2933" t="str">
        <f>_xlfn.XLOOKUP(tblSales[[#This Row],[Category ID]],tblCategories[Category ID],tblCategories[Category])</f>
        <v>Menswear</v>
      </c>
      <c r="H2933">
        <v>75600</v>
      </c>
      <c r="I2933">
        <v>72585</v>
      </c>
      <c r="J2933">
        <v>168</v>
      </c>
      <c r="K2933">
        <f>tblSales[[#This Row],[Sales]]-tblSales[[#This Row],[Budget]]</f>
        <v>3015</v>
      </c>
      <c r="L2933" s="3">
        <f>(tblSales[[#This Row],[Sales]]-tblSales[[#This Row],[Budget]])/tblSales[[#This Row],[Budget]]</f>
        <v>4.1537507749535026E-2</v>
      </c>
      <c r="M2933" s="2">
        <f>tblSales[[#This Row],[Sales]]/tblSales[[#This Row],[Transactions]]</f>
        <v>450</v>
      </c>
    </row>
    <row r="2934" spans="1:13" x14ac:dyDescent="0.25">
      <c r="A2934" s="1">
        <v>46169</v>
      </c>
      <c r="B2934" t="s">
        <v>23</v>
      </c>
      <c r="C2934" t="s">
        <v>11</v>
      </c>
      <c r="D2934" t="str">
        <f>_xlfn.XLOOKUP(tblSales[[#This Row],[Store ID]],tblStores[Store ID],tblStores[Store Name])</f>
        <v>Stellenbosch</v>
      </c>
      <c r="E2934" t="str">
        <f>_xlfn.XLOOKUP(tblSales[[#This Row],[Store ID]],tblStores[Store ID],tblStores[Province])</f>
        <v>Western Cape</v>
      </c>
      <c r="F2934" t="str">
        <f>_xlfn.XLOOKUP(tblSales[[#This Row],[Store ID]],tblStores[Store ID],tblStores[Manager])</f>
        <v>Jason King</v>
      </c>
      <c r="G2934" t="str">
        <f>_xlfn.XLOOKUP(tblSales[[#This Row],[Category ID]],tblCategories[Category ID],tblCategories[Category])</f>
        <v>Footwear</v>
      </c>
      <c r="H2934">
        <v>87720</v>
      </c>
      <c r="I2934">
        <v>100359</v>
      </c>
      <c r="J2934">
        <v>204</v>
      </c>
      <c r="K2934">
        <f>tblSales[[#This Row],[Sales]]-tblSales[[#This Row],[Budget]]</f>
        <v>-12639</v>
      </c>
      <c r="L2934" s="3">
        <f>(tblSales[[#This Row],[Sales]]-tblSales[[#This Row],[Budget]])/tblSales[[#This Row],[Budget]]</f>
        <v>-0.12593788300002989</v>
      </c>
      <c r="M2934" s="2">
        <f>tblSales[[#This Row],[Sales]]/tblSales[[#This Row],[Transactions]]</f>
        <v>430</v>
      </c>
    </row>
    <row r="2935" spans="1:13" x14ac:dyDescent="0.25">
      <c r="A2935" s="1">
        <v>46169</v>
      </c>
      <c r="B2935" t="s">
        <v>24</v>
      </c>
      <c r="C2935" t="s">
        <v>22</v>
      </c>
      <c r="D2935" t="str">
        <f>_xlfn.XLOOKUP(tblSales[[#This Row],[Store ID]],tblStores[Store ID],tblStores[Store Name])</f>
        <v>George</v>
      </c>
      <c r="E2935" t="str">
        <f>_xlfn.XLOOKUP(tblSales[[#This Row],[Store ID]],tblStores[Store ID],tblStores[Province])</f>
        <v>Western Cape</v>
      </c>
      <c r="F2935" t="str">
        <f>_xlfn.XLOOKUP(tblSales[[#This Row],[Store ID]],tblStores[Store ID],tblStores[Manager])</f>
        <v>Chloe Hill</v>
      </c>
      <c r="G2935" t="str">
        <f>_xlfn.XLOOKUP(tblSales[[#This Row],[Category ID]],tblCategories[Category ID],tblCategories[Category])</f>
        <v>Kids</v>
      </c>
      <c r="H2935">
        <v>46610</v>
      </c>
      <c r="I2935">
        <v>43018</v>
      </c>
      <c r="J2935">
        <v>158</v>
      </c>
      <c r="K2935">
        <f>tblSales[[#This Row],[Sales]]-tblSales[[#This Row],[Budget]]</f>
        <v>3592</v>
      </c>
      <c r="L2935" s="3">
        <f>(tblSales[[#This Row],[Sales]]-tblSales[[#This Row],[Budget]])/tblSales[[#This Row],[Budget]]</f>
        <v>8.3499930261750899E-2</v>
      </c>
      <c r="M2935" s="2">
        <f>tblSales[[#This Row],[Sales]]/tblSales[[#This Row],[Transactions]]</f>
        <v>295</v>
      </c>
    </row>
    <row r="2936" spans="1:13" x14ac:dyDescent="0.25">
      <c r="A2936" s="1">
        <v>46169</v>
      </c>
      <c r="B2936" t="s">
        <v>25</v>
      </c>
      <c r="C2936" t="s">
        <v>22</v>
      </c>
      <c r="D2936" t="str">
        <f>_xlfn.XLOOKUP(tblSales[[#This Row],[Store ID]],tblStores[Store ID],tblStores[Store Name])</f>
        <v>Paarl</v>
      </c>
      <c r="E2936" t="str">
        <f>_xlfn.XLOOKUP(tblSales[[#This Row],[Store ID]],tblStores[Store ID],tblStores[Province])</f>
        <v>Western Cape</v>
      </c>
      <c r="F2936" t="str">
        <f>_xlfn.XLOOKUP(tblSales[[#This Row],[Store ID]],tblStores[Store ID],tblStores[Manager])</f>
        <v>Andrew Lee</v>
      </c>
      <c r="G2936" t="str">
        <f>_xlfn.XLOOKUP(tblSales[[#This Row],[Category ID]],tblCategories[Category ID],tblCategories[Category])</f>
        <v>Kids</v>
      </c>
      <c r="H2936">
        <v>48174</v>
      </c>
      <c r="I2936">
        <v>47608</v>
      </c>
      <c r="J2936">
        <v>217</v>
      </c>
      <c r="K2936">
        <f>tblSales[[#This Row],[Sales]]-tblSales[[#This Row],[Budget]]</f>
        <v>566</v>
      </c>
      <c r="L2936" s="3">
        <f>(tblSales[[#This Row],[Sales]]-tblSales[[#This Row],[Budget]])/tblSales[[#This Row],[Budget]]</f>
        <v>1.1888758191900521E-2</v>
      </c>
      <c r="M2936" s="2">
        <f>tblSales[[#This Row],[Sales]]/tblSales[[#This Row],[Transactions]]</f>
        <v>222</v>
      </c>
    </row>
    <row r="2937" spans="1:13" x14ac:dyDescent="0.25">
      <c r="A2937" s="1">
        <v>46169</v>
      </c>
      <c r="B2937" t="s">
        <v>26</v>
      </c>
      <c r="C2937" t="s">
        <v>9</v>
      </c>
      <c r="D2937" t="str">
        <f>_xlfn.XLOOKUP(tblSales[[#This Row],[Store ID]],tblStores[Store ID],tblStores[Store Name])</f>
        <v>Gqeberha</v>
      </c>
      <c r="E2937" t="str">
        <f>_xlfn.XLOOKUP(tblSales[[#This Row],[Store ID]],tblStores[Store ID],tblStores[Province])</f>
        <v>Eastern Cape</v>
      </c>
      <c r="F2937" t="str">
        <f>_xlfn.XLOOKUP(tblSales[[#This Row],[Store ID]],tblStores[Store ID],tblStores[Manager])</f>
        <v>Emma Baker</v>
      </c>
      <c r="G2937" t="str">
        <f>_xlfn.XLOOKUP(tblSales[[#This Row],[Category ID]],tblCategories[Category ID],tblCategories[Category])</f>
        <v>Ladieswear</v>
      </c>
      <c r="H2937">
        <v>103733</v>
      </c>
      <c r="I2937">
        <v>112427</v>
      </c>
      <c r="J2937">
        <v>203</v>
      </c>
      <c r="K2937">
        <f>tblSales[[#This Row],[Sales]]-tblSales[[#This Row],[Budget]]</f>
        <v>-8694</v>
      </c>
      <c r="L2937" s="3">
        <f>(tblSales[[#This Row],[Sales]]-tblSales[[#This Row],[Budget]])/tblSales[[#This Row],[Budget]]</f>
        <v>-7.7330178693730156E-2</v>
      </c>
      <c r="M2937" s="2">
        <f>tblSales[[#This Row],[Sales]]/tblSales[[#This Row],[Transactions]]</f>
        <v>511</v>
      </c>
    </row>
    <row r="2938" spans="1:13" x14ac:dyDescent="0.25">
      <c r="A2938" s="1">
        <v>46169</v>
      </c>
      <c r="B2938" t="s">
        <v>27</v>
      </c>
      <c r="C2938" t="s">
        <v>9</v>
      </c>
      <c r="D2938" t="str">
        <f>_xlfn.XLOOKUP(tblSales[[#This Row],[Store ID]],tblStores[Store ID],tblStores[Store Name])</f>
        <v>East London</v>
      </c>
      <c r="E2938" t="str">
        <f>_xlfn.XLOOKUP(tblSales[[#This Row],[Store ID]],tblStores[Store ID],tblStores[Province])</f>
        <v>Eastern Cape</v>
      </c>
      <c r="F2938" t="str">
        <f>_xlfn.XLOOKUP(tblSales[[#This Row],[Store ID]],tblStores[Store ID],tblStores[Manager])</f>
        <v>Daniel Evans</v>
      </c>
      <c r="G2938" t="str">
        <f>_xlfn.XLOOKUP(tblSales[[#This Row],[Category ID]],tblCategories[Category ID],tblCategories[Category])</f>
        <v>Ladieswear</v>
      </c>
      <c r="H2938">
        <v>46428</v>
      </c>
      <c r="I2938">
        <v>42657</v>
      </c>
      <c r="J2938">
        <v>212</v>
      </c>
      <c r="K2938">
        <f>tblSales[[#This Row],[Sales]]-tblSales[[#This Row],[Budget]]</f>
        <v>3771</v>
      </c>
      <c r="L2938" s="3">
        <f>(tblSales[[#This Row],[Sales]]-tblSales[[#This Row],[Budget]])/tblSales[[#This Row],[Budget]]</f>
        <v>8.8402841268724941E-2</v>
      </c>
      <c r="M2938" s="2">
        <f>tblSales[[#This Row],[Sales]]/tblSales[[#This Row],[Transactions]]</f>
        <v>219</v>
      </c>
    </row>
    <row r="2939" spans="1:13" x14ac:dyDescent="0.25">
      <c r="A2939" s="1">
        <v>46169</v>
      </c>
      <c r="B2939" t="s">
        <v>28</v>
      </c>
      <c r="C2939" t="s">
        <v>11</v>
      </c>
      <c r="D2939" t="str">
        <f>_xlfn.XLOOKUP(tblSales[[#This Row],[Store ID]],tblStores[Store ID],tblStores[Store Name])</f>
        <v>Bloemfontein</v>
      </c>
      <c r="E2939" t="str">
        <f>_xlfn.XLOOKUP(tblSales[[#This Row],[Store ID]],tblStores[Store ID],tblStores[Province])</f>
        <v>Free State</v>
      </c>
      <c r="F2939" t="str">
        <f>_xlfn.XLOOKUP(tblSales[[#This Row],[Store ID]],tblStores[Store ID],tblStores[Manager])</f>
        <v>Rachel Moore</v>
      </c>
      <c r="G2939" t="str">
        <f>_xlfn.XLOOKUP(tblSales[[#This Row],[Category ID]],tblCategories[Category ID],tblCategories[Category])</f>
        <v>Footwear</v>
      </c>
      <c r="H2939">
        <v>14400</v>
      </c>
      <c r="I2939">
        <v>13007</v>
      </c>
      <c r="J2939">
        <v>50</v>
      </c>
      <c r="K2939">
        <f>tblSales[[#This Row],[Sales]]-tblSales[[#This Row],[Budget]]</f>
        <v>1393</v>
      </c>
      <c r="L2939" s="3">
        <f>(tblSales[[#This Row],[Sales]]-tblSales[[#This Row],[Budget]])/tblSales[[#This Row],[Budget]]</f>
        <v>0.10709617898054893</v>
      </c>
      <c r="M2939" s="2">
        <f>tblSales[[#This Row],[Sales]]/tblSales[[#This Row],[Transactions]]</f>
        <v>288</v>
      </c>
    </row>
    <row r="2940" spans="1:13" x14ac:dyDescent="0.25">
      <c r="A2940" s="1">
        <v>46169</v>
      </c>
      <c r="B2940" t="s">
        <v>29</v>
      </c>
      <c r="C2940" t="s">
        <v>9</v>
      </c>
      <c r="D2940" t="str">
        <f>_xlfn.XLOOKUP(tblSales[[#This Row],[Store ID]],tblStores[Store ID],tblStores[Store Name])</f>
        <v>Polokwane</v>
      </c>
      <c r="E2940" t="str">
        <f>_xlfn.XLOOKUP(tblSales[[#This Row],[Store ID]],tblStores[Store ID],tblStores[Province])</f>
        <v>Limpopo</v>
      </c>
      <c r="F2940" t="str">
        <f>_xlfn.XLOOKUP(tblSales[[#This Row],[Store ID]],tblStores[Store ID],tblStores[Manager])</f>
        <v>Kevin Harris</v>
      </c>
      <c r="G2940" t="str">
        <f>_xlfn.XLOOKUP(tblSales[[#This Row],[Category ID]],tblCategories[Category ID],tblCategories[Category])</f>
        <v>Ladieswear</v>
      </c>
      <c r="H2940">
        <v>58058</v>
      </c>
      <c r="I2940">
        <v>54979</v>
      </c>
      <c r="J2940">
        <v>154</v>
      </c>
      <c r="K2940">
        <f>tblSales[[#This Row],[Sales]]-tblSales[[#This Row],[Budget]]</f>
        <v>3079</v>
      </c>
      <c r="L2940" s="3">
        <f>(tblSales[[#This Row],[Sales]]-tblSales[[#This Row],[Budget]])/tblSales[[#This Row],[Budget]]</f>
        <v>5.6003201222284874E-2</v>
      </c>
      <c r="M2940" s="2">
        <f>tblSales[[#This Row],[Sales]]/tblSales[[#This Row],[Transactions]]</f>
        <v>377</v>
      </c>
    </row>
    <row r="2941" spans="1:13" x14ac:dyDescent="0.25">
      <c r="A2941" s="1">
        <v>46169</v>
      </c>
      <c r="B2941" t="s">
        <v>30</v>
      </c>
      <c r="C2941" t="s">
        <v>7</v>
      </c>
      <c r="D2941" t="str">
        <f>_xlfn.XLOOKUP(tblSales[[#This Row],[Store ID]],tblStores[Store ID],tblStores[Store Name])</f>
        <v>Nelspruit</v>
      </c>
      <c r="E2941" t="str">
        <f>_xlfn.XLOOKUP(tblSales[[#This Row],[Store ID]],tblStores[Store ID],tblStores[Province])</f>
        <v>Mpumalanga</v>
      </c>
      <c r="F2941" t="str">
        <f>_xlfn.XLOOKUP(tblSales[[#This Row],[Store ID]],tblStores[Store ID],tblStores[Manager])</f>
        <v>Olivia Turner</v>
      </c>
      <c r="G2941" t="str">
        <f>_xlfn.XLOOKUP(tblSales[[#This Row],[Category ID]],tblCategories[Category ID],tblCategories[Category])</f>
        <v>Menswear</v>
      </c>
      <c r="H2941">
        <v>34892</v>
      </c>
      <c r="I2941">
        <v>38503</v>
      </c>
      <c r="J2941">
        <v>122</v>
      </c>
      <c r="K2941">
        <f>tblSales[[#This Row],[Sales]]-tblSales[[#This Row],[Budget]]</f>
        <v>-3611</v>
      </c>
      <c r="L2941" s="3">
        <f>(tblSales[[#This Row],[Sales]]-tblSales[[#This Row],[Budget]])/tblSales[[#This Row],[Budget]]</f>
        <v>-9.3784899877931593E-2</v>
      </c>
      <c r="M2941" s="2">
        <f>tblSales[[#This Row],[Sales]]/tblSales[[#This Row],[Transactions]]</f>
        <v>286</v>
      </c>
    </row>
    <row r="2942" spans="1:13" x14ac:dyDescent="0.25">
      <c r="A2942" s="1">
        <v>46170</v>
      </c>
      <c r="B2942" t="s">
        <v>6</v>
      </c>
      <c r="C2942" t="s">
        <v>19</v>
      </c>
      <c r="D2942" t="str">
        <f>_xlfn.XLOOKUP(tblSales[[#This Row],[Store ID]],tblStores[Store ID],tblStores[Store Name])</f>
        <v>Durban CBD</v>
      </c>
      <c r="E2942" t="str">
        <f>_xlfn.XLOOKUP(tblSales[[#This Row],[Store ID]],tblStores[Store ID],tblStores[Province])</f>
        <v>KZN</v>
      </c>
      <c r="F2942" t="str">
        <f>_xlfn.XLOOKUP(tblSales[[#This Row],[Store ID]],tblStores[Store ID],tblStores[Manager])</f>
        <v>Sarah Adams</v>
      </c>
      <c r="G2942" t="str">
        <f>_xlfn.XLOOKUP(tblSales[[#This Row],[Category ID]],tblCategories[Category ID],tblCategories[Category])</f>
        <v>Accessories</v>
      </c>
      <c r="H2942">
        <v>56440</v>
      </c>
      <c r="I2942">
        <v>61526</v>
      </c>
      <c r="J2942">
        <v>166</v>
      </c>
      <c r="K2942">
        <f>tblSales[[#This Row],[Sales]]-tblSales[[#This Row],[Budget]]</f>
        <v>-5086</v>
      </c>
      <c r="L2942" s="3">
        <f>(tblSales[[#This Row],[Sales]]-tblSales[[#This Row],[Budget]])/tblSales[[#This Row],[Budget]]</f>
        <v>-8.2664239508500464E-2</v>
      </c>
      <c r="M2942" s="2">
        <f>tblSales[[#This Row],[Sales]]/tblSales[[#This Row],[Transactions]]</f>
        <v>340</v>
      </c>
    </row>
    <row r="2943" spans="1:13" x14ac:dyDescent="0.25">
      <c r="A2943" s="1">
        <v>46170</v>
      </c>
      <c r="B2943" t="s">
        <v>8</v>
      </c>
      <c r="C2943" t="s">
        <v>22</v>
      </c>
      <c r="D2943" t="str">
        <f>_xlfn.XLOOKUP(tblSales[[#This Row],[Store ID]],tblStores[Store ID],tblStores[Store Name])</f>
        <v>Gateway</v>
      </c>
      <c r="E2943" t="str">
        <f>_xlfn.XLOOKUP(tblSales[[#This Row],[Store ID]],tblStores[Store ID],tblStores[Province])</f>
        <v>KZN</v>
      </c>
      <c r="F2943" t="str">
        <f>_xlfn.XLOOKUP(tblSales[[#This Row],[Store ID]],tblStores[Store ID],tblStores[Manager])</f>
        <v>Michael Jones</v>
      </c>
      <c r="G2943" t="str">
        <f>_xlfn.XLOOKUP(tblSales[[#This Row],[Category ID]],tblCategories[Category ID],tblCategories[Category])</f>
        <v>Kids</v>
      </c>
      <c r="H2943">
        <v>88992</v>
      </c>
      <c r="I2943">
        <v>94671</v>
      </c>
      <c r="J2943">
        <v>216</v>
      </c>
      <c r="K2943">
        <f>tblSales[[#This Row],[Sales]]-tblSales[[#This Row],[Budget]]</f>
        <v>-5679</v>
      </c>
      <c r="L2943" s="3">
        <f>(tblSales[[#This Row],[Sales]]-tblSales[[#This Row],[Budget]])/tblSales[[#This Row],[Budget]]</f>
        <v>-5.9986690750071299E-2</v>
      </c>
      <c r="M2943" s="2">
        <f>tblSales[[#This Row],[Sales]]/tblSales[[#This Row],[Transactions]]</f>
        <v>412</v>
      </c>
    </row>
    <row r="2944" spans="1:13" x14ac:dyDescent="0.25">
      <c r="A2944" s="1">
        <v>46170</v>
      </c>
      <c r="B2944" t="s">
        <v>10</v>
      </c>
      <c r="C2944" t="s">
        <v>19</v>
      </c>
      <c r="D2944" t="str">
        <f>_xlfn.XLOOKUP(tblSales[[#This Row],[Store ID]],tblStores[Store ID],tblStores[Store Name])</f>
        <v>Ballito</v>
      </c>
      <c r="E2944" t="str">
        <f>_xlfn.XLOOKUP(tblSales[[#This Row],[Store ID]],tblStores[Store ID],tblStores[Province])</f>
        <v>KZN</v>
      </c>
      <c r="F2944" t="str">
        <f>_xlfn.XLOOKUP(tblSales[[#This Row],[Store ID]],tblStores[Store ID],tblStores[Manager])</f>
        <v>Linda Smith</v>
      </c>
      <c r="G2944" t="str">
        <f>_xlfn.XLOOKUP(tblSales[[#This Row],[Category ID]],tblCategories[Category ID],tblCategories[Category])</f>
        <v>Accessories</v>
      </c>
      <c r="H2944">
        <v>15252</v>
      </c>
      <c r="I2944">
        <v>14561</v>
      </c>
      <c r="J2944">
        <v>62</v>
      </c>
      <c r="K2944">
        <f>tblSales[[#This Row],[Sales]]-tblSales[[#This Row],[Budget]]</f>
        <v>691</v>
      </c>
      <c r="L2944" s="3">
        <f>(tblSales[[#This Row],[Sales]]-tblSales[[#This Row],[Budget]])/tblSales[[#This Row],[Budget]]</f>
        <v>4.7455531900281574E-2</v>
      </c>
      <c r="M2944" s="2">
        <f>tblSales[[#This Row],[Sales]]/tblSales[[#This Row],[Transactions]]</f>
        <v>246</v>
      </c>
    </row>
    <row r="2945" spans="1:13" x14ac:dyDescent="0.25">
      <c r="A2945" s="1">
        <v>46170</v>
      </c>
      <c r="B2945" t="s">
        <v>12</v>
      </c>
      <c r="C2945" t="s">
        <v>22</v>
      </c>
      <c r="D2945" t="str">
        <f>_xlfn.XLOOKUP(tblSales[[#This Row],[Store ID]],tblStores[Store ID],tblStores[Store Name])</f>
        <v>Pietermaritzburg</v>
      </c>
      <c r="E2945" t="str">
        <f>_xlfn.XLOOKUP(tblSales[[#This Row],[Store ID]],tblStores[Store ID],tblStores[Province])</f>
        <v>KZN</v>
      </c>
      <c r="F2945" t="str">
        <f>_xlfn.XLOOKUP(tblSales[[#This Row],[Store ID]],tblStores[Store ID],tblStores[Manager])</f>
        <v>Peter Brown</v>
      </c>
      <c r="G2945" t="str">
        <f>_xlfn.XLOOKUP(tblSales[[#This Row],[Category ID]],tblCategories[Category ID],tblCategories[Category])</f>
        <v>Kids</v>
      </c>
      <c r="H2945">
        <v>54663</v>
      </c>
      <c r="I2945">
        <v>61056</v>
      </c>
      <c r="J2945">
        <v>133</v>
      </c>
      <c r="K2945">
        <f>tblSales[[#This Row],[Sales]]-tblSales[[#This Row],[Budget]]</f>
        <v>-6393</v>
      </c>
      <c r="L2945" s="3">
        <f>(tblSales[[#This Row],[Sales]]-tblSales[[#This Row],[Budget]])/tblSales[[#This Row],[Budget]]</f>
        <v>-0.10470715408805031</v>
      </c>
      <c r="M2945" s="2">
        <f>tblSales[[#This Row],[Sales]]/tblSales[[#This Row],[Transactions]]</f>
        <v>411</v>
      </c>
    </row>
    <row r="2946" spans="1:13" x14ac:dyDescent="0.25">
      <c r="A2946" s="1">
        <v>46170</v>
      </c>
      <c r="B2946" t="s">
        <v>13</v>
      </c>
      <c r="C2946" t="s">
        <v>19</v>
      </c>
      <c r="D2946" t="str">
        <f>_xlfn.XLOOKUP(tblSales[[#This Row],[Store ID]],tblStores[Store ID],tblStores[Store Name])</f>
        <v>Richards Bay</v>
      </c>
      <c r="E2946" t="str">
        <f>_xlfn.XLOOKUP(tblSales[[#This Row],[Store ID]],tblStores[Store ID],tblStores[Province])</f>
        <v>KZN</v>
      </c>
      <c r="F2946" t="str">
        <f>_xlfn.XLOOKUP(tblSales[[#This Row],[Store ID]],tblStores[Store ID],tblStores[Manager])</f>
        <v>David Green</v>
      </c>
      <c r="G2946" t="str">
        <f>_xlfn.XLOOKUP(tblSales[[#This Row],[Category ID]],tblCategories[Category ID],tblCategories[Category])</f>
        <v>Accessories</v>
      </c>
      <c r="H2946">
        <v>33024</v>
      </c>
      <c r="I2946">
        <v>31273</v>
      </c>
      <c r="J2946">
        <v>86</v>
      </c>
      <c r="K2946">
        <f>tblSales[[#This Row],[Sales]]-tblSales[[#This Row],[Budget]]</f>
        <v>1751</v>
      </c>
      <c r="L2946" s="3">
        <f>(tblSales[[#This Row],[Sales]]-tblSales[[#This Row],[Budget]])/tblSales[[#This Row],[Budget]]</f>
        <v>5.5990790777987402E-2</v>
      </c>
      <c r="M2946" s="2">
        <f>tblSales[[#This Row],[Sales]]/tblSales[[#This Row],[Transactions]]</f>
        <v>384</v>
      </c>
    </row>
    <row r="2947" spans="1:13" x14ac:dyDescent="0.25">
      <c r="A2947" s="1">
        <v>46170</v>
      </c>
      <c r="B2947" t="s">
        <v>14</v>
      </c>
      <c r="C2947" t="s">
        <v>22</v>
      </c>
      <c r="D2947" t="str">
        <f>_xlfn.XLOOKUP(tblSales[[#This Row],[Store ID]],tblStores[Store ID],tblStores[Store Name])</f>
        <v>Sandton</v>
      </c>
      <c r="E2947" t="str">
        <f>_xlfn.XLOOKUP(tblSales[[#This Row],[Store ID]],tblStores[Store ID],tblStores[Province])</f>
        <v>Gauteng</v>
      </c>
      <c r="F2947" t="str">
        <f>_xlfn.XLOOKUP(tblSales[[#This Row],[Store ID]],tblStores[Store ID],tblStores[Manager])</f>
        <v>Karen White</v>
      </c>
      <c r="G2947" t="str">
        <f>_xlfn.XLOOKUP(tblSales[[#This Row],[Category ID]],tblCategories[Category ID],tblCategories[Category])</f>
        <v>Kids</v>
      </c>
      <c r="H2947">
        <v>37752</v>
      </c>
      <c r="I2947">
        <v>40453</v>
      </c>
      <c r="J2947">
        <v>143</v>
      </c>
      <c r="K2947">
        <f>tblSales[[#This Row],[Sales]]-tblSales[[#This Row],[Budget]]</f>
        <v>-2701</v>
      </c>
      <c r="L2947" s="3">
        <f>(tblSales[[#This Row],[Sales]]-tblSales[[#This Row],[Budget]])/tblSales[[#This Row],[Budget]]</f>
        <v>-6.6768842854670857E-2</v>
      </c>
      <c r="M2947" s="2">
        <f>tblSales[[#This Row],[Sales]]/tblSales[[#This Row],[Transactions]]</f>
        <v>264</v>
      </c>
    </row>
    <row r="2948" spans="1:13" x14ac:dyDescent="0.25">
      <c r="A2948" s="1">
        <v>46170</v>
      </c>
      <c r="B2948" t="s">
        <v>15</v>
      </c>
      <c r="C2948" t="s">
        <v>19</v>
      </c>
      <c r="D2948" t="str">
        <f>_xlfn.XLOOKUP(tblSales[[#This Row],[Store ID]],tblStores[Store ID],tblStores[Store Name])</f>
        <v>Rosebank</v>
      </c>
      <c r="E2948" t="str">
        <f>_xlfn.XLOOKUP(tblSales[[#This Row],[Store ID]],tblStores[Store ID],tblStores[Province])</f>
        <v>Gauteng</v>
      </c>
      <c r="F2948" t="str">
        <f>_xlfn.XLOOKUP(tblSales[[#This Row],[Store ID]],tblStores[Store ID],tblStores[Manager])</f>
        <v>James Taylor</v>
      </c>
      <c r="G2948" t="str">
        <f>_xlfn.XLOOKUP(tblSales[[#This Row],[Category ID]],tblCategories[Category ID],tblCategories[Category])</f>
        <v>Accessories</v>
      </c>
      <c r="H2948">
        <v>46400</v>
      </c>
      <c r="I2948">
        <v>43468</v>
      </c>
      <c r="J2948">
        <v>200</v>
      </c>
      <c r="K2948">
        <f>tblSales[[#This Row],[Sales]]-tblSales[[#This Row],[Budget]]</f>
        <v>2932</v>
      </c>
      <c r="L2948" s="3">
        <f>(tblSales[[#This Row],[Sales]]-tblSales[[#This Row],[Budget]])/tblSales[[#This Row],[Budget]]</f>
        <v>6.7451918652802062E-2</v>
      </c>
      <c r="M2948" s="2">
        <f>tblSales[[#This Row],[Sales]]/tblSales[[#This Row],[Transactions]]</f>
        <v>232</v>
      </c>
    </row>
    <row r="2949" spans="1:13" x14ac:dyDescent="0.25">
      <c r="A2949" s="1">
        <v>46170</v>
      </c>
      <c r="B2949" t="s">
        <v>16</v>
      </c>
      <c r="C2949" t="s">
        <v>7</v>
      </c>
      <c r="D2949" t="str">
        <f>_xlfn.XLOOKUP(tblSales[[#This Row],[Store ID]],tblStores[Store ID],tblStores[Store Name])</f>
        <v>Pretoria</v>
      </c>
      <c r="E2949" t="str">
        <f>_xlfn.XLOOKUP(tblSales[[#This Row],[Store ID]],tblStores[Store ID],tblStores[Province])</f>
        <v>Gauteng</v>
      </c>
      <c r="F2949" t="str">
        <f>_xlfn.XLOOKUP(tblSales[[#This Row],[Store ID]],tblStores[Store ID],tblStores[Manager])</f>
        <v>Susan Clark</v>
      </c>
      <c r="G2949" t="str">
        <f>_xlfn.XLOOKUP(tblSales[[#This Row],[Category ID]],tblCategories[Category ID],tblCategories[Category])</f>
        <v>Menswear</v>
      </c>
      <c r="H2949">
        <v>19089</v>
      </c>
      <c r="I2949">
        <v>17259</v>
      </c>
      <c r="J2949">
        <v>63</v>
      </c>
      <c r="K2949">
        <f>tblSales[[#This Row],[Sales]]-tblSales[[#This Row],[Budget]]</f>
        <v>1830</v>
      </c>
      <c r="L2949" s="3">
        <f>(tblSales[[#This Row],[Sales]]-tblSales[[#This Row],[Budget]])/tblSales[[#This Row],[Budget]]</f>
        <v>0.10603163566834695</v>
      </c>
      <c r="M2949" s="2">
        <f>tblSales[[#This Row],[Sales]]/tblSales[[#This Row],[Transactions]]</f>
        <v>303</v>
      </c>
    </row>
    <row r="2950" spans="1:13" x14ac:dyDescent="0.25">
      <c r="A2950" s="1">
        <v>46170</v>
      </c>
      <c r="B2950" t="s">
        <v>17</v>
      </c>
      <c r="C2950" t="s">
        <v>11</v>
      </c>
      <c r="D2950" t="str">
        <f>_xlfn.XLOOKUP(tblSales[[#This Row],[Store ID]],tblStores[Store ID],tblStores[Store Name])</f>
        <v>Centurion</v>
      </c>
      <c r="E2950" t="str">
        <f>_xlfn.XLOOKUP(tblSales[[#This Row],[Store ID]],tblStores[Store ID],tblStores[Province])</f>
        <v>Gauteng</v>
      </c>
      <c r="F2950" t="str">
        <f>_xlfn.XLOOKUP(tblSales[[#This Row],[Store ID]],tblStores[Store ID],tblStores[Manager])</f>
        <v>Mark Wilson</v>
      </c>
      <c r="G2950" t="str">
        <f>_xlfn.XLOOKUP(tblSales[[#This Row],[Category ID]],tblCategories[Category ID],tblCategories[Category])</f>
        <v>Footwear</v>
      </c>
      <c r="H2950">
        <v>25912</v>
      </c>
      <c r="I2950">
        <v>23505</v>
      </c>
      <c r="J2950">
        <v>82</v>
      </c>
      <c r="K2950">
        <f>tblSales[[#This Row],[Sales]]-tblSales[[#This Row],[Budget]]</f>
        <v>2407</v>
      </c>
      <c r="L2950" s="3">
        <f>(tblSales[[#This Row],[Sales]]-tblSales[[#This Row],[Budget]])/tblSales[[#This Row],[Budget]]</f>
        <v>0.10240374388427995</v>
      </c>
      <c r="M2950" s="2">
        <f>tblSales[[#This Row],[Sales]]/tblSales[[#This Row],[Transactions]]</f>
        <v>316</v>
      </c>
    </row>
    <row r="2951" spans="1:13" x14ac:dyDescent="0.25">
      <c r="A2951" s="1">
        <v>46170</v>
      </c>
      <c r="B2951" t="s">
        <v>18</v>
      </c>
      <c r="C2951" t="s">
        <v>19</v>
      </c>
      <c r="D2951" t="str">
        <f>_xlfn.XLOOKUP(tblSales[[#This Row],[Store ID]],tblStores[Store ID],tblStores[Store Name])</f>
        <v>East Rand</v>
      </c>
      <c r="E2951" t="str">
        <f>_xlfn.XLOOKUP(tblSales[[#This Row],[Store ID]],tblStores[Store ID],tblStores[Province])</f>
        <v>Gauteng</v>
      </c>
      <c r="F2951" t="str">
        <f>_xlfn.XLOOKUP(tblSales[[#This Row],[Store ID]],tblStores[Store ID],tblStores[Manager])</f>
        <v>Lisa Young</v>
      </c>
      <c r="G2951" t="str">
        <f>_xlfn.XLOOKUP(tblSales[[#This Row],[Category ID]],tblCategories[Category ID],tblCategories[Category])</f>
        <v>Accessories</v>
      </c>
      <c r="H2951">
        <v>54000</v>
      </c>
      <c r="I2951">
        <v>52185</v>
      </c>
      <c r="J2951">
        <v>150</v>
      </c>
      <c r="K2951">
        <f>tblSales[[#This Row],[Sales]]-tblSales[[#This Row],[Budget]]</f>
        <v>1815</v>
      </c>
      <c r="L2951" s="3">
        <f>(tblSales[[#This Row],[Sales]]-tblSales[[#This Row],[Budget]])/tblSales[[#This Row],[Budget]]</f>
        <v>3.4780109226789306E-2</v>
      </c>
      <c r="M2951" s="2">
        <f>tblSales[[#This Row],[Sales]]/tblSales[[#This Row],[Transactions]]</f>
        <v>360</v>
      </c>
    </row>
    <row r="2952" spans="1:13" x14ac:dyDescent="0.25">
      <c r="A2952" s="1">
        <v>46170</v>
      </c>
      <c r="B2952" t="s">
        <v>20</v>
      </c>
      <c r="C2952" t="s">
        <v>19</v>
      </c>
      <c r="D2952" t="str">
        <f>_xlfn.XLOOKUP(tblSales[[#This Row],[Store ID]],tblStores[Store ID],tblStores[Store Name])</f>
        <v>Cape Town CBD</v>
      </c>
      <c r="E2952" t="str">
        <f>_xlfn.XLOOKUP(tblSales[[#This Row],[Store ID]],tblStores[Store ID],tblStores[Province])</f>
        <v>Western Cape</v>
      </c>
      <c r="F2952" t="str">
        <f>_xlfn.XLOOKUP(tblSales[[#This Row],[Store ID]],tblStores[Store ID],tblStores[Manager])</f>
        <v>Brian Hall</v>
      </c>
      <c r="G2952" t="str">
        <f>_xlfn.XLOOKUP(tblSales[[#This Row],[Category ID]],tblCategories[Category ID],tblCategories[Category])</f>
        <v>Accessories</v>
      </c>
      <c r="H2952">
        <v>20216</v>
      </c>
      <c r="I2952">
        <v>20375</v>
      </c>
      <c r="J2952">
        <v>56</v>
      </c>
      <c r="K2952">
        <f>tblSales[[#This Row],[Sales]]-tblSales[[#This Row],[Budget]]</f>
        <v>-159</v>
      </c>
      <c r="L2952" s="3">
        <f>(tblSales[[#This Row],[Sales]]-tblSales[[#This Row],[Budget]])/tblSales[[#This Row],[Budget]]</f>
        <v>-7.803680981595092E-3</v>
      </c>
      <c r="M2952" s="2">
        <f>tblSales[[#This Row],[Sales]]/tblSales[[#This Row],[Transactions]]</f>
        <v>361</v>
      </c>
    </row>
    <row r="2953" spans="1:13" x14ac:dyDescent="0.25">
      <c r="A2953" s="1">
        <v>46170</v>
      </c>
      <c r="B2953" t="s">
        <v>21</v>
      </c>
      <c r="C2953" t="s">
        <v>9</v>
      </c>
      <c r="D2953" t="str">
        <f>_xlfn.XLOOKUP(tblSales[[#This Row],[Store ID]],tblStores[Store ID],tblStores[Store Name])</f>
        <v>Canal Walk</v>
      </c>
      <c r="E2953" t="str">
        <f>_xlfn.XLOOKUP(tblSales[[#This Row],[Store ID]],tblStores[Store ID],tblStores[Province])</f>
        <v>Western Cape</v>
      </c>
      <c r="F2953" t="str">
        <f>_xlfn.XLOOKUP(tblSales[[#This Row],[Store ID]],tblStores[Store ID],tblStores[Manager])</f>
        <v>Megan Scott</v>
      </c>
      <c r="G2953" t="str">
        <f>_xlfn.XLOOKUP(tblSales[[#This Row],[Category ID]],tblCategories[Category ID],tblCategories[Category])</f>
        <v>Ladieswear</v>
      </c>
      <c r="H2953">
        <v>59432</v>
      </c>
      <c r="I2953">
        <v>59890</v>
      </c>
      <c r="J2953">
        <v>136</v>
      </c>
      <c r="K2953">
        <f>tblSales[[#This Row],[Sales]]-tblSales[[#This Row],[Budget]]</f>
        <v>-458</v>
      </c>
      <c r="L2953" s="3">
        <f>(tblSales[[#This Row],[Sales]]-tblSales[[#This Row],[Budget]])/tblSales[[#This Row],[Budget]]</f>
        <v>-7.6473534813825345E-3</v>
      </c>
      <c r="M2953" s="2">
        <f>tblSales[[#This Row],[Sales]]/tblSales[[#This Row],[Transactions]]</f>
        <v>437</v>
      </c>
    </row>
    <row r="2954" spans="1:13" x14ac:dyDescent="0.25">
      <c r="A2954" s="1">
        <v>46170</v>
      </c>
      <c r="B2954" t="s">
        <v>23</v>
      </c>
      <c r="C2954" t="s">
        <v>22</v>
      </c>
      <c r="D2954" t="str">
        <f>_xlfn.XLOOKUP(tblSales[[#This Row],[Store ID]],tblStores[Store ID],tblStores[Store Name])</f>
        <v>Stellenbosch</v>
      </c>
      <c r="E2954" t="str">
        <f>_xlfn.XLOOKUP(tblSales[[#This Row],[Store ID]],tblStores[Store ID],tblStores[Province])</f>
        <v>Western Cape</v>
      </c>
      <c r="F2954" t="str">
        <f>_xlfn.XLOOKUP(tblSales[[#This Row],[Store ID]],tblStores[Store ID],tblStores[Manager])</f>
        <v>Jason King</v>
      </c>
      <c r="G2954" t="str">
        <f>_xlfn.XLOOKUP(tblSales[[#This Row],[Category ID]],tblCategories[Category ID],tblCategories[Category])</f>
        <v>Kids</v>
      </c>
      <c r="H2954">
        <v>19440</v>
      </c>
      <c r="I2954">
        <v>18820</v>
      </c>
      <c r="J2954">
        <v>48</v>
      </c>
      <c r="K2954">
        <f>tblSales[[#This Row],[Sales]]-tblSales[[#This Row],[Budget]]</f>
        <v>620</v>
      </c>
      <c r="L2954" s="3">
        <f>(tblSales[[#This Row],[Sales]]-tblSales[[#This Row],[Budget]])/tblSales[[#This Row],[Budget]]</f>
        <v>3.2943676939426139E-2</v>
      </c>
      <c r="M2954" s="2">
        <f>tblSales[[#This Row],[Sales]]/tblSales[[#This Row],[Transactions]]</f>
        <v>405</v>
      </c>
    </row>
    <row r="2955" spans="1:13" x14ac:dyDescent="0.25">
      <c r="A2955" s="1">
        <v>46170</v>
      </c>
      <c r="B2955" t="s">
        <v>24</v>
      </c>
      <c r="C2955" t="s">
        <v>7</v>
      </c>
      <c r="D2955" t="str">
        <f>_xlfn.XLOOKUP(tblSales[[#This Row],[Store ID]],tblStores[Store ID],tblStores[Store Name])</f>
        <v>George</v>
      </c>
      <c r="E2955" t="str">
        <f>_xlfn.XLOOKUP(tblSales[[#This Row],[Store ID]],tblStores[Store ID],tblStores[Province])</f>
        <v>Western Cape</v>
      </c>
      <c r="F2955" t="str">
        <f>_xlfn.XLOOKUP(tblSales[[#This Row],[Store ID]],tblStores[Store ID],tblStores[Manager])</f>
        <v>Chloe Hill</v>
      </c>
      <c r="G2955" t="str">
        <f>_xlfn.XLOOKUP(tblSales[[#This Row],[Category ID]],tblCategories[Category ID],tblCategories[Category])</f>
        <v>Menswear</v>
      </c>
      <c r="H2955">
        <v>24064</v>
      </c>
      <c r="I2955">
        <v>23958</v>
      </c>
      <c r="J2955">
        <v>47</v>
      </c>
      <c r="K2955">
        <f>tblSales[[#This Row],[Sales]]-tblSales[[#This Row],[Budget]]</f>
        <v>106</v>
      </c>
      <c r="L2955" s="3">
        <f>(tblSales[[#This Row],[Sales]]-tblSales[[#This Row],[Budget]])/tblSales[[#This Row],[Budget]]</f>
        <v>4.4244093830870688E-3</v>
      </c>
      <c r="M2955" s="2">
        <f>tblSales[[#This Row],[Sales]]/tblSales[[#This Row],[Transactions]]</f>
        <v>512</v>
      </c>
    </row>
    <row r="2956" spans="1:13" x14ac:dyDescent="0.25">
      <c r="A2956" s="1">
        <v>46170</v>
      </c>
      <c r="B2956" t="s">
        <v>25</v>
      </c>
      <c r="C2956" t="s">
        <v>11</v>
      </c>
      <c r="D2956" t="str">
        <f>_xlfn.XLOOKUP(tblSales[[#This Row],[Store ID]],tblStores[Store ID],tblStores[Store Name])</f>
        <v>Paarl</v>
      </c>
      <c r="E2956" t="str">
        <f>_xlfn.XLOOKUP(tblSales[[#This Row],[Store ID]],tblStores[Store ID],tblStores[Province])</f>
        <v>Western Cape</v>
      </c>
      <c r="F2956" t="str">
        <f>_xlfn.XLOOKUP(tblSales[[#This Row],[Store ID]],tblStores[Store ID],tblStores[Manager])</f>
        <v>Andrew Lee</v>
      </c>
      <c r="G2956" t="str">
        <f>_xlfn.XLOOKUP(tblSales[[#This Row],[Category ID]],tblCategories[Category ID],tblCategories[Category])</f>
        <v>Footwear</v>
      </c>
      <c r="H2956">
        <v>27720</v>
      </c>
      <c r="I2956">
        <v>26260</v>
      </c>
      <c r="J2956">
        <v>84</v>
      </c>
      <c r="K2956">
        <f>tblSales[[#This Row],[Sales]]-tblSales[[#This Row],[Budget]]</f>
        <v>1460</v>
      </c>
      <c r="L2956" s="3">
        <f>(tblSales[[#This Row],[Sales]]-tblSales[[#This Row],[Budget]])/tblSales[[#This Row],[Budget]]</f>
        <v>5.5597867479055596E-2</v>
      </c>
      <c r="M2956" s="2">
        <f>tblSales[[#This Row],[Sales]]/tblSales[[#This Row],[Transactions]]</f>
        <v>330</v>
      </c>
    </row>
    <row r="2957" spans="1:13" x14ac:dyDescent="0.25">
      <c r="A2957" s="1">
        <v>46170</v>
      </c>
      <c r="B2957" t="s">
        <v>26</v>
      </c>
      <c r="C2957" t="s">
        <v>9</v>
      </c>
      <c r="D2957" t="str">
        <f>_xlfn.XLOOKUP(tblSales[[#This Row],[Store ID]],tblStores[Store ID],tblStores[Store Name])</f>
        <v>Gqeberha</v>
      </c>
      <c r="E2957" t="str">
        <f>_xlfn.XLOOKUP(tblSales[[#This Row],[Store ID]],tblStores[Store ID],tblStores[Province])</f>
        <v>Eastern Cape</v>
      </c>
      <c r="F2957" t="str">
        <f>_xlfn.XLOOKUP(tblSales[[#This Row],[Store ID]],tblStores[Store ID],tblStores[Manager])</f>
        <v>Emma Baker</v>
      </c>
      <c r="G2957" t="str">
        <f>_xlfn.XLOOKUP(tblSales[[#This Row],[Category ID]],tblCategories[Category ID],tblCategories[Category])</f>
        <v>Ladieswear</v>
      </c>
      <c r="H2957">
        <v>60027</v>
      </c>
      <c r="I2957">
        <v>61971</v>
      </c>
      <c r="J2957">
        <v>187</v>
      </c>
      <c r="K2957">
        <f>tblSales[[#This Row],[Sales]]-tblSales[[#This Row],[Budget]]</f>
        <v>-1944</v>
      </c>
      <c r="L2957" s="3">
        <f>(tblSales[[#This Row],[Sales]]-tblSales[[#This Row],[Budget]])/tblSales[[#This Row],[Budget]]</f>
        <v>-3.1369511545722997E-2</v>
      </c>
      <c r="M2957" s="2">
        <f>tblSales[[#This Row],[Sales]]/tblSales[[#This Row],[Transactions]]</f>
        <v>321</v>
      </c>
    </row>
    <row r="2958" spans="1:13" x14ac:dyDescent="0.25">
      <c r="A2958" s="1">
        <v>46170</v>
      </c>
      <c r="B2958" t="s">
        <v>27</v>
      </c>
      <c r="C2958" t="s">
        <v>11</v>
      </c>
      <c r="D2958" t="str">
        <f>_xlfn.XLOOKUP(tblSales[[#This Row],[Store ID]],tblStores[Store ID],tblStores[Store Name])</f>
        <v>East London</v>
      </c>
      <c r="E2958" t="str">
        <f>_xlfn.XLOOKUP(tblSales[[#This Row],[Store ID]],tblStores[Store ID],tblStores[Province])</f>
        <v>Eastern Cape</v>
      </c>
      <c r="F2958" t="str">
        <f>_xlfn.XLOOKUP(tblSales[[#This Row],[Store ID]],tblStores[Store ID],tblStores[Manager])</f>
        <v>Daniel Evans</v>
      </c>
      <c r="G2958" t="str">
        <f>_xlfn.XLOOKUP(tblSales[[#This Row],[Category ID]],tblCategories[Category ID],tblCategories[Category])</f>
        <v>Footwear</v>
      </c>
      <c r="H2958">
        <v>66967</v>
      </c>
      <c r="I2958">
        <v>62098</v>
      </c>
      <c r="J2958">
        <v>167</v>
      </c>
      <c r="K2958">
        <f>tblSales[[#This Row],[Sales]]-tblSales[[#This Row],[Budget]]</f>
        <v>4869</v>
      </c>
      <c r="L2958" s="3">
        <f>(tblSales[[#This Row],[Sales]]-tblSales[[#This Row],[Budget]])/tblSales[[#This Row],[Budget]]</f>
        <v>7.8408322329221555E-2</v>
      </c>
      <c r="M2958" s="2">
        <f>tblSales[[#This Row],[Sales]]/tblSales[[#This Row],[Transactions]]</f>
        <v>401</v>
      </c>
    </row>
    <row r="2959" spans="1:13" x14ac:dyDescent="0.25">
      <c r="A2959" s="1">
        <v>46170</v>
      </c>
      <c r="B2959" t="s">
        <v>28</v>
      </c>
      <c r="C2959" t="s">
        <v>7</v>
      </c>
      <c r="D2959" t="str">
        <f>_xlfn.XLOOKUP(tblSales[[#This Row],[Store ID]],tblStores[Store ID],tblStores[Store Name])</f>
        <v>Bloemfontein</v>
      </c>
      <c r="E2959" t="str">
        <f>_xlfn.XLOOKUP(tblSales[[#This Row],[Store ID]],tblStores[Store ID],tblStores[Province])</f>
        <v>Free State</v>
      </c>
      <c r="F2959" t="str">
        <f>_xlfn.XLOOKUP(tblSales[[#This Row],[Store ID]],tblStores[Store ID],tblStores[Manager])</f>
        <v>Rachel Moore</v>
      </c>
      <c r="G2959" t="str">
        <f>_xlfn.XLOOKUP(tblSales[[#This Row],[Category ID]],tblCategories[Category ID],tblCategories[Category])</f>
        <v>Menswear</v>
      </c>
      <c r="H2959">
        <v>61400</v>
      </c>
      <c r="I2959">
        <v>69980</v>
      </c>
      <c r="J2959">
        <v>200</v>
      </c>
      <c r="K2959">
        <f>tblSales[[#This Row],[Sales]]-tblSales[[#This Row],[Budget]]</f>
        <v>-8580</v>
      </c>
      <c r="L2959" s="3">
        <f>(tblSales[[#This Row],[Sales]]-tblSales[[#This Row],[Budget]])/tblSales[[#This Row],[Budget]]</f>
        <v>-0.12260645898828236</v>
      </c>
      <c r="M2959" s="2">
        <f>tblSales[[#This Row],[Sales]]/tblSales[[#This Row],[Transactions]]</f>
        <v>307</v>
      </c>
    </row>
    <row r="2960" spans="1:13" x14ac:dyDescent="0.25">
      <c r="A2960" s="1">
        <v>46170</v>
      </c>
      <c r="B2960" t="s">
        <v>29</v>
      </c>
      <c r="C2960" t="s">
        <v>9</v>
      </c>
      <c r="D2960" t="str">
        <f>_xlfn.XLOOKUP(tblSales[[#This Row],[Store ID]],tblStores[Store ID],tblStores[Store Name])</f>
        <v>Polokwane</v>
      </c>
      <c r="E2960" t="str">
        <f>_xlfn.XLOOKUP(tblSales[[#This Row],[Store ID]],tblStores[Store ID],tblStores[Province])</f>
        <v>Limpopo</v>
      </c>
      <c r="F2960" t="str">
        <f>_xlfn.XLOOKUP(tblSales[[#This Row],[Store ID]],tblStores[Store ID],tblStores[Manager])</f>
        <v>Kevin Harris</v>
      </c>
      <c r="G2960" t="str">
        <f>_xlfn.XLOOKUP(tblSales[[#This Row],[Category ID]],tblCategories[Category ID],tblCategories[Category])</f>
        <v>Ladieswear</v>
      </c>
      <c r="H2960">
        <v>13248</v>
      </c>
      <c r="I2960">
        <v>14887</v>
      </c>
      <c r="J2960">
        <v>64</v>
      </c>
      <c r="K2960">
        <f>tblSales[[#This Row],[Sales]]-tblSales[[#This Row],[Budget]]</f>
        <v>-1639</v>
      </c>
      <c r="L2960" s="3">
        <f>(tblSales[[#This Row],[Sales]]-tblSales[[#This Row],[Budget]])/tblSales[[#This Row],[Budget]]</f>
        <v>-0.11009605696245046</v>
      </c>
      <c r="M2960" s="2">
        <f>tblSales[[#This Row],[Sales]]/tblSales[[#This Row],[Transactions]]</f>
        <v>207</v>
      </c>
    </row>
    <row r="2961" spans="1:13" x14ac:dyDescent="0.25">
      <c r="A2961" s="1">
        <v>46170</v>
      </c>
      <c r="B2961" t="s">
        <v>30</v>
      </c>
      <c r="C2961" t="s">
        <v>19</v>
      </c>
      <c r="D2961" t="str">
        <f>_xlfn.XLOOKUP(tblSales[[#This Row],[Store ID]],tblStores[Store ID],tblStores[Store Name])</f>
        <v>Nelspruit</v>
      </c>
      <c r="E2961" t="str">
        <f>_xlfn.XLOOKUP(tblSales[[#This Row],[Store ID]],tblStores[Store ID],tblStores[Province])</f>
        <v>Mpumalanga</v>
      </c>
      <c r="F2961" t="str">
        <f>_xlfn.XLOOKUP(tblSales[[#This Row],[Store ID]],tblStores[Store ID],tblStores[Manager])</f>
        <v>Olivia Turner</v>
      </c>
      <c r="G2961" t="str">
        <f>_xlfn.XLOOKUP(tblSales[[#This Row],[Category ID]],tblCategories[Category ID],tblCategories[Category])</f>
        <v>Accessories</v>
      </c>
      <c r="H2961">
        <v>31106</v>
      </c>
      <c r="I2961">
        <v>28507</v>
      </c>
      <c r="J2961">
        <v>103</v>
      </c>
      <c r="K2961">
        <f>tblSales[[#This Row],[Sales]]-tblSales[[#This Row],[Budget]]</f>
        <v>2599</v>
      </c>
      <c r="L2961" s="3">
        <f>(tblSales[[#This Row],[Sales]]-tblSales[[#This Row],[Budget]])/tblSales[[#This Row],[Budget]]</f>
        <v>9.1170589679727784E-2</v>
      </c>
      <c r="M2961" s="2">
        <f>tblSales[[#This Row],[Sales]]/tblSales[[#This Row],[Transactions]]</f>
        <v>302</v>
      </c>
    </row>
    <row r="2962" spans="1:13" x14ac:dyDescent="0.25">
      <c r="A2962" s="1">
        <v>46171</v>
      </c>
      <c r="B2962" t="s">
        <v>6</v>
      </c>
      <c r="C2962" t="s">
        <v>7</v>
      </c>
      <c r="D2962" t="str">
        <f>_xlfn.XLOOKUP(tblSales[[#This Row],[Store ID]],tblStores[Store ID],tblStores[Store Name])</f>
        <v>Durban CBD</v>
      </c>
      <c r="E2962" t="str">
        <f>_xlfn.XLOOKUP(tblSales[[#This Row],[Store ID]],tblStores[Store ID],tblStores[Province])</f>
        <v>KZN</v>
      </c>
      <c r="F2962" t="str">
        <f>_xlfn.XLOOKUP(tblSales[[#This Row],[Store ID]],tblStores[Store ID],tblStores[Manager])</f>
        <v>Sarah Adams</v>
      </c>
      <c r="G2962" t="str">
        <f>_xlfn.XLOOKUP(tblSales[[#This Row],[Category ID]],tblCategories[Category ID],tblCategories[Category])</f>
        <v>Menswear</v>
      </c>
      <c r="H2962">
        <v>30975</v>
      </c>
      <c r="I2962">
        <v>34712</v>
      </c>
      <c r="J2962">
        <v>105</v>
      </c>
      <c r="K2962">
        <f>tblSales[[#This Row],[Sales]]-tblSales[[#This Row],[Budget]]</f>
        <v>-3737</v>
      </c>
      <c r="L2962" s="3">
        <f>(tblSales[[#This Row],[Sales]]-tblSales[[#This Row],[Budget]])/tblSales[[#This Row],[Budget]]</f>
        <v>-0.10765729430744411</v>
      </c>
      <c r="M2962" s="2">
        <f>tblSales[[#This Row],[Sales]]/tblSales[[#This Row],[Transactions]]</f>
        <v>295</v>
      </c>
    </row>
    <row r="2963" spans="1:13" x14ac:dyDescent="0.25">
      <c r="A2963" s="1">
        <v>46171</v>
      </c>
      <c r="B2963" t="s">
        <v>8</v>
      </c>
      <c r="C2963" t="s">
        <v>11</v>
      </c>
      <c r="D2963" t="str">
        <f>_xlfn.XLOOKUP(tblSales[[#This Row],[Store ID]],tblStores[Store ID],tblStores[Store Name])</f>
        <v>Gateway</v>
      </c>
      <c r="E2963" t="str">
        <f>_xlfn.XLOOKUP(tblSales[[#This Row],[Store ID]],tblStores[Store ID],tblStores[Province])</f>
        <v>KZN</v>
      </c>
      <c r="F2963" t="str">
        <f>_xlfn.XLOOKUP(tblSales[[#This Row],[Store ID]],tblStores[Store ID],tblStores[Manager])</f>
        <v>Michael Jones</v>
      </c>
      <c r="G2963" t="str">
        <f>_xlfn.XLOOKUP(tblSales[[#This Row],[Category ID]],tblCategories[Category ID],tblCategories[Category])</f>
        <v>Footwear</v>
      </c>
      <c r="H2963">
        <v>51435</v>
      </c>
      <c r="I2963">
        <v>47594</v>
      </c>
      <c r="J2963">
        <v>135</v>
      </c>
      <c r="K2963">
        <f>tblSales[[#This Row],[Sales]]-tblSales[[#This Row],[Budget]]</f>
        <v>3841</v>
      </c>
      <c r="L2963" s="3">
        <f>(tblSales[[#This Row],[Sales]]-tblSales[[#This Row],[Budget]])/tblSales[[#This Row],[Budget]]</f>
        <v>8.0703450014707731E-2</v>
      </c>
      <c r="M2963" s="2">
        <f>tblSales[[#This Row],[Sales]]/tblSales[[#This Row],[Transactions]]</f>
        <v>381</v>
      </c>
    </row>
    <row r="2964" spans="1:13" x14ac:dyDescent="0.25">
      <c r="A2964" s="1">
        <v>46171</v>
      </c>
      <c r="B2964" t="s">
        <v>10</v>
      </c>
      <c r="C2964" t="s">
        <v>22</v>
      </c>
      <c r="D2964" t="str">
        <f>_xlfn.XLOOKUP(tblSales[[#This Row],[Store ID]],tblStores[Store ID],tblStores[Store Name])</f>
        <v>Ballito</v>
      </c>
      <c r="E2964" t="str">
        <f>_xlfn.XLOOKUP(tblSales[[#This Row],[Store ID]],tblStores[Store ID],tblStores[Province])</f>
        <v>KZN</v>
      </c>
      <c r="F2964" t="str">
        <f>_xlfn.XLOOKUP(tblSales[[#This Row],[Store ID]],tblStores[Store ID],tblStores[Manager])</f>
        <v>Linda Smith</v>
      </c>
      <c r="G2964" t="str">
        <f>_xlfn.XLOOKUP(tblSales[[#This Row],[Category ID]],tblCategories[Category ID],tblCategories[Category])</f>
        <v>Kids</v>
      </c>
      <c r="H2964">
        <v>45885</v>
      </c>
      <c r="I2964">
        <v>43258</v>
      </c>
      <c r="J2964">
        <v>161</v>
      </c>
      <c r="K2964">
        <f>tblSales[[#This Row],[Sales]]-tblSales[[#This Row],[Budget]]</f>
        <v>2627</v>
      </c>
      <c r="L2964" s="3">
        <f>(tblSales[[#This Row],[Sales]]-tblSales[[#This Row],[Budget]])/tblSales[[#This Row],[Budget]]</f>
        <v>6.0728651347727591E-2</v>
      </c>
      <c r="M2964" s="2">
        <f>tblSales[[#This Row],[Sales]]/tblSales[[#This Row],[Transactions]]</f>
        <v>285</v>
      </c>
    </row>
    <row r="2965" spans="1:13" x14ac:dyDescent="0.25">
      <c r="A2965" s="1">
        <v>46171</v>
      </c>
      <c r="B2965" t="s">
        <v>12</v>
      </c>
      <c r="C2965" t="s">
        <v>9</v>
      </c>
      <c r="D2965" t="str">
        <f>_xlfn.XLOOKUP(tblSales[[#This Row],[Store ID]],tblStores[Store ID],tblStores[Store Name])</f>
        <v>Pietermaritzburg</v>
      </c>
      <c r="E2965" t="str">
        <f>_xlfn.XLOOKUP(tblSales[[#This Row],[Store ID]],tblStores[Store ID],tblStores[Province])</f>
        <v>KZN</v>
      </c>
      <c r="F2965" t="str">
        <f>_xlfn.XLOOKUP(tblSales[[#This Row],[Store ID]],tblStores[Store ID],tblStores[Manager])</f>
        <v>Peter Brown</v>
      </c>
      <c r="G2965" t="str">
        <f>_xlfn.XLOOKUP(tblSales[[#This Row],[Category ID]],tblCategories[Category ID],tblCategories[Category])</f>
        <v>Ladieswear</v>
      </c>
      <c r="H2965">
        <v>62238</v>
      </c>
      <c r="I2965">
        <v>60495</v>
      </c>
      <c r="J2965">
        <v>123</v>
      </c>
      <c r="K2965">
        <f>tblSales[[#This Row],[Sales]]-tblSales[[#This Row],[Budget]]</f>
        <v>1743</v>
      </c>
      <c r="L2965" s="3">
        <f>(tblSales[[#This Row],[Sales]]-tblSales[[#This Row],[Budget]])/tblSales[[#This Row],[Budget]]</f>
        <v>2.8812298537069181E-2</v>
      </c>
      <c r="M2965" s="2">
        <f>tblSales[[#This Row],[Sales]]/tblSales[[#This Row],[Transactions]]</f>
        <v>506</v>
      </c>
    </row>
    <row r="2966" spans="1:13" x14ac:dyDescent="0.25">
      <c r="A2966" s="1">
        <v>46171</v>
      </c>
      <c r="B2966" t="s">
        <v>13</v>
      </c>
      <c r="C2966" t="s">
        <v>19</v>
      </c>
      <c r="D2966" t="str">
        <f>_xlfn.XLOOKUP(tblSales[[#This Row],[Store ID]],tblStores[Store ID],tblStores[Store Name])</f>
        <v>Richards Bay</v>
      </c>
      <c r="E2966" t="str">
        <f>_xlfn.XLOOKUP(tblSales[[#This Row],[Store ID]],tblStores[Store ID],tblStores[Province])</f>
        <v>KZN</v>
      </c>
      <c r="F2966" t="str">
        <f>_xlfn.XLOOKUP(tblSales[[#This Row],[Store ID]],tblStores[Store ID],tblStores[Manager])</f>
        <v>David Green</v>
      </c>
      <c r="G2966" t="str">
        <f>_xlfn.XLOOKUP(tblSales[[#This Row],[Category ID]],tblCategories[Category ID],tblCategories[Category])</f>
        <v>Accessories</v>
      </c>
      <c r="H2966">
        <v>19548</v>
      </c>
      <c r="I2966">
        <v>18053</v>
      </c>
      <c r="J2966">
        <v>108</v>
      </c>
      <c r="K2966">
        <f>tblSales[[#This Row],[Sales]]-tblSales[[#This Row],[Budget]]</f>
        <v>1495</v>
      </c>
      <c r="L2966" s="3">
        <f>(tblSales[[#This Row],[Sales]]-tblSales[[#This Row],[Budget]])/tblSales[[#This Row],[Budget]]</f>
        <v>8.2811721043593869E-2</v>
      </c>
      <c r="M2966" s="2">
        <f>tblSales[[#This Row],[Sales]]/tblSales[[#This Row],[Transactions]]</f>
        <v>181</v>
      </c>
    </row>
    <row r="2967" spans="1:13" x14ac:dyDescent="0.25">
      <c r="A2967" s="1">
        <v>46171</v>
      </c>
      <c r="B2967" t="s">
        <v>14</v>
      </c>
      <c r="C2967" t="s">
        <v>19</v>
      </c>
      <c r="D2967" t="str">
        <f>_xlfn.XLOOKUP(tblSales[[#This Row],[Store ID]],tblStores[Store ID],tblStores[Store Name])</f>
        <v>Sandton</v>
      </c>
      <c r="E2967" t="str">
        <f>_xlfn.XLOOKUP(tblSales[[#This Row],[Store ID]],tblStores[Store ID],tblStores[Province])</f>
        <v>Gauteng</v>
      </c>
      <c r="F2967" t="str">
        <f>_xlfn.XLOOKUP(tblSales[[#This Row],[Store ID]],tblStores[Store ID],tblStores[Manager])</f>
        <v>Karen White</v>
      </c>
      <c r="G2967" t="str">
        <f>_xlfn.XLOOKUP(tblSales[[#This Row],[Category ID]],tblCategories[Category ID],tblCategories[Category])</f>
        <v>Accessories</v>
      </c>
      <c r="H2967">
        <v>106572</v>
      </c>
      <c r="I2967">
        <v>108617</v>
      </c>
      <c r="J2967">
        <v>214</v>
      </c>
      <c r="K2967">
        <f>tblSales[[#This Row],[Sales]]-tblSales[[#This Row],[Budget]]</f>
        <v>-2045</v>
      </c>
      <c r="L2967" s="3">
        <f>(tblSales[[#This Row],[Sales]]-tblSales[[#This Row],[Budget]])/tblSales[[#This Row],[Budget]]</f>
        <v>-1.8827623668486518E-2</v>
      </c>
      <c r="M2967" s="2">
        <f>tblSales[[#This Row],[Sales]]/tblSales[[#This Row],[Transactions]]</f>
        <v>498</v>
      </c>
    </row>
    <row r="2968" spans="1:13" x14ac:dyDescent="0.25">
      <c r="A2968" s="1">
        <v>46171</v>
      </c>
      <c r="B2968" t="s">
        <v>15</v>
      </c>
      <c r="C2968" t="s">
        <v>22</v>
      </c>
      <c r="D2968" t="str">
        <f>_xlfn.XLOOKUP(tblSales[[#This Row],[Store ID]],tblStores[Store ID],tblStores[Store Name])</f>
        <v>Rosebank</v>
      </c>
      <c r="E2968" t="str">
        <f>_xlfn.XLOOKUP(tblSales[[#This Row],[Store ID]],tblStores[Store ID],tblStores[Province])</f>
        <v>Gauteng</v>
      </c>
      <c r="F2968" t="str">
        <f>_xlfn.XLOOKUP(tblSales[[#This Row],[Store ID]],tblStores[Store ID],tblStores[Manager])</f>
        <v>James Taylor</v>
      </c>
      <c r="G2968" t="str">
        <f>_xlfn.XLOOKUP(tblSales[[#This Row],[Category ID]],tblCategories[Category ID],tblCategories[Category])</f>
        <v>Kids</v>
      </c>
      <c r="H2968">
        <v>63722</v>
      </c>
      <c r="I2968">
        <v>60061</v>
      </c>
      <c r="J2968">
        <v>211</v>
      </c>
      <c r="K2968">
        <f>tblSales[[#This Row],[Sales]]-tblSales[[#This Row],[Budget]]</f>
        <v>3661</v>
      </c>
      <c r="L2968" s="3">
        <f>(tblSales[[#This Row],[Sales]]-tblSales[[#This Row],[Budget]])/tblSales[[#This Row],[Budget]]</f>
        <v>6.0954696059006677E-2</v>
      </c>
      <c r="M2968" s="2">
        <f>tblSales[[#This Row],[Sales]]/tblSales[[#This Row],[Transactions]]</f>
        <v>302</v>
      </c>
    </row>
    <row r="2969" spans="1:13" x14ac:dyDescent="0.25">
      <c r="A2969" s="1">
        <v>46171</v>
      </c>
      <c r="B2969" t="s">
        <v>16</v>
      </c>
      <c r="C2969" t="s">
        <v>7</v>
      </c>
      <c r="D2969" t="str">
        <f>_xlfn.XLOOKUP(tblSales[[#This Row],[Store ID]],tblStores[Store ID],tblStores[Store Name])</f>
        <v>Pretoria</v>
      </c>
      <c r="E2969" t="str">
        <f>_xlfn.XLOOKUP(tblSales[[#This Row],[Store ID]],tblStores[Store ID],tblStores[Province])</f>
        <v>Gauteng</v>
      </c>
      <c r="F2969" t="str">
        <f>_xlfn.XLOOKUP(tblSales[[#This Row],[Store ID]],tblStores[Store ID],tblStores[Manager])</f>
        <v>Susan Clark</v>
      </c>
      <c r="G2969" t="str">
        <f>_xlfn.XLOOKUP(tblSales[[#This Row],[Category ID]],tblCategories[Category ID],tblCategories[Category])</f>
        <v>Menswear</v>
      </c>
      <c r="H2969">
        <v>21175</v>
      </c>
      <c r="I2969">
        <v>20815</v>
      </c>
      <c r="J2969">
        <v>77</v>
      </c>
      <c r="K2969">
        <f>tblSales[[#This Row],[Sales]]-tblSales[[#This Row],[Budget]]</f>
        <v>360</v>
      </c>
      <c r="L2969" s="3">
        <f>(tblSales[[#This Row],[Sales]]-tblSales[[#This Row],[Budget]])/tblSales[[#This Row],[Budget]]</f>
        <v>1.7295219793418207E-2</v>
      </c>
      <c r="M2969" s="2">
        <f>tblSales[[#This Row],[Sales]]/tblSales[[#This Row],[Transactions]]</f>
        <v>275</v>
      </c>
    </row>
    <row r="2970" spans="1:13" x14ac:dyDescent="0.25">
      <c r="A2970" s="1">
        <v>46171</v>
      </c>
      <c r="B2970" t="s">
        <v>17</v>
      </c>
      <c r="C2970" t="s">
        <v>11</v>
      </c>
      <c r="D2970" t="str">
        <f>_xlfn.XLOOKUP(tblSales[[#This Row],[Store ID]],tblStores[Store ID],tblStores[Store Name])</f>
        <v>Centurion</v>
      </c>
      <c r="E2970" t="str">
        <f>_xlfn.XLOOKUP(tblSales[[#This Row],[Store ID]],tblStores[Store ID],tblStores[Province])</f>
        <v>Gauteng</v>
      </c>
      <c r="F2970" t="str">
        <f>_xlfn.XLOOKUP(tblSales[[#This Row],[Store ID]],tblStores[Store ID],tblStores[Manager])</f>
        <v>Mark Wilson</v>
      </c>
      <c r="G2970" t="str">
        <f>_xlfn.XLOOKUP(tblSales[[#This Row],[Category ID]],tblCategories[Category ID],tblCategories[Category])</f>
        <v>Footwear</v>
      </c>
      <c r="H2970">
        <v>13206</v>
      </c>
      <c r="I2970">
        <v>14084</v>
      </c>
      <c r="J2970">
        <v>71</v>
      </c>
      <c r="K2970">
        <f>tblSales[[#This Row],[Sales]]-tblSales[[#This Row],[Budget]]</f>
        <v>-878</v>
      </c>
      <c r="L2970" s="3">
        <f>(tblSales[[#This Row],[Sales]]-tblSales[[#This Row],[Budget]])/tblSales[[#This Row],[Budget]]</f>
        <v>-6.2340244248792955E-2</v>
      </c>
      <c r="M2970" s="2">
        <f>tblSales[[#This Row],[Sales]]/tblSales[[#This Row],[Transactions]]</f>
        <v>186</v>
      </c>
    </row>
    <row r="2971" spans="1:13" x14ac:dyDescent="0.25">
      <c r="A2971" s="1">
        <v>46171</v>
      </c>
      <c r="B2971" t="s">
        <v>18</v>
      </c>
      <c r="C2971" t="s">
        <v>11</v>
      </c>
      <c r="D2971" t="str">
        <f>_xlfn.XLOOKUP(tblSales[[#This Row],[Store ID]],tblStores[Store ID],tblStores[Store Name])</f>
        <v>East Rand</v>
      </c>
      <c r="E2971" t="str">
        <f>_xlfn.XLOOKUP(tblSales[[#This Row],[Store ID]],tblStores[Store ID],tblStores[Province])</f>
        <v>Gauteng</v>
      </c>
      <c r="F2971" t="str">
        <f>_xlfn.XLOOKUP(tblSales[[#This Row],[Store ID]],tblStores[Store ID],tblStores[Manager])</f>
        <v>Lisa Young</v>
      </c>
      <c r="G2971" t="str">
        <f>_xlfn.XLOOKUP(tblSales[[#This Row],[Category ID]],tblCategories[Category ID],tblCategories[Category])</f>
        <v>Footwear</v>
      </c>
      <c r="H2971">
        <v>22800</v>
      </c>
      <c r="I2971">
        <v>21531</v>
      </c>
      <c r="J2971">
        <v>120</v>
      </c>
      <c r="K2971">
        <f>tblSales[[#This Row],[Sales]]-tblSales[[#This Row],[Budget]]</f>
        <v>1269</v>
      </c>
      <c r="L2971" s="3">
        <f>(tblSales[[#This Row],[Sales]]-tblSales[[#This Row],[Budget]])/tblSales[[#This Row],[Budget]]</f>
        <v>5.8938275045283546E-2</v>
      </c>
      <c r="M2971" s="2">
        <f>tblSales[[#This Row],[Sales]]/tblSales[[#This Row],[Transactions]]</f>
        <v>190</v>
      </c>
    </row>
    <row r="2972" spans="1:13" x14ac:dyDescent="0.25">
      <c r="A2972" s="1">
        <v>46171</v>
      </c>
      <c r="B2972" t="s">
        <v>20</v>
      </c>
      <c r="C2972" t="s">
        <v>22</v>
      </c>
      <c r="D2972" t="str">
        <f>_xlfn.XLOOKUP(tblSales[[#This Row],[Store ID]],tblStores[Store ID],tblStores[Store Name])</f>
        <v>Cape Town CBD</v>
      </c>
      <c r="E2972" t="str">
        <f>_xlfn.XLOOKUP(tblSales[[#This Row],[Store ID]],tblStores[Store ID],tblStores[Province])</f>
        <v>Western Cape</v>
      </c>
      <c r="F2972" t="str">
        <f>_xlfn.XLOOKUP(tblSales[[#This Row],[Store ID]],tblStores[Store ID],tblStores[Manager])</f>
        <v>Brian Hall</v>
      </c>
      <c r="G2972" t="str">
        <f>_xlfn.XLOOKUP(tblSales[[#This Row],[Category ID]],tblCategories[Category ID],tblCategories[Category])</f>
        <v>Kids</v>
      </c>
      <c r="H2972">
        <v>14418</v>
      </c>
      <c r="I2972">
        <v>15424</v>
      </c>
      <c r="J2972">
        <v>54</v>
      </c>
      <c r="K2972">
        <f>tblSales[[#This Row],[Sales]]-tblSales[[#This Row],[Budget]]</f>
        <v>-1006</v>
      </c>
      <c r="L2972" s="3">
        <f>(tblSales[[#This Row],[Sales]]-tblSales[[#This Row],[Budget]])/tblSales[[#This Row],[Budget]]</f>
        <v>-6.5223029045643158E-2</v>
      </c>
      <c r="M2972" s="2">
        <f>tblSales[[#This Row],[Sales]]/tblSales[[#This Row],[Transactions]]</f>
        <v>267</v>
      </c>
    </row>
    <row r="2973" spans="1:13" x14ac:dyDescent="0.25">
      <c r="A2973" s="1">
        <v>46171</v>
      </c>
      <c r="B2973" t="s">
        <v>21</v>
      </c>
      <c r="C2973" t="s">
        <v>7</v>
      </c>
      <c r="D2973" t="str">
        <f>_xlfn.XLOOKUP(tblSales[[#This Row],[Store ID]],tblStores[Store ID],tblStores[Store Name])</f>
        <v>Canal Walk</v>
      </c>
      <c r="E2973" t="str">
        <f>_xlfn.XLOOKUP(tblSales[[#This Row],[Store ID]],tblStores[Store ID],tblStores[Province])</f>
        <v>Western Cape</v>
      </c>
      <c r="F2973" t="str">
        <f>_xlfn.XLOOKUP(tblSales[[#This Row],[Store ID]],tblStores[Store ID],tblStores[Manager])</f>
        <v>Megan Scott</v>
      </c>
      <c r="G2973" t="str">
        <f>_xlfn.XLOOKUP(tblSales[[#This Row],[Category ID]],tblCategories[Category ID],tblCategories[Category])</f>
        <v>Menswear</v>
      </c>
      <c r="H2973">
        <v>67320</v>
      </c>
      <c r="I2973">
        <v>76905</v>
      </c>
      <c r="J2973">
        <v>187</v>
      </c>
      <c r="K2973">
        <f>tblSales[[#This Row],[Sales]]-tblSales[[#This Row],[Budget]]</f>
        <v>-9585</v>
      </c>
      <c r="L2973" s="3">
        <f>(tblSales[[#This Row],[Sales]]-tblSales[[#This Row],[Budget]])/tblSales[[#This Row],[Budget]]</f>
        <v>-0.12463428905792862</v>
      </c>
      <c r="M2973" s="2">
        <f>tblSales[[#This Row],[Sales]]/tblSales[[#This Row],[Transactions]]</f>
        <v>360</v>
      </c>
    </row>
    <row r="2974" spans="1:13" x14ac:dyDescent="0.25">
      <c r="A2974" s="1">
        <v>46171</v>
      </c>
      <c r="B2974" t="s">
        <v>23</v>
      </c>
      <c r="C2974" t="s">
        <v>19</v>
      </c>
      <c r="D2974" t="str">
        <f>_xlfn.XLOOKUP(tblSales[[#This Row],[Store ID]],tblStores[Store ID],tblStores[Store Name])</f>
        <v>Stellenbosch</v>
      </c>
      <c r="E2974" t="str">
        <f>_xlfn.XLOOKUP(tblSales[[#This Row],[Store ID]],tblStores[Store ID],tblStores[Province])</f>
        <v>Western Cape</v>
      </c>
      <c r="F2974" t="str">
        <f>_xlfn.XLOOKUP(tblSales[[#This Row],[Store ID]],tblStores[Store ID],tblStores[Manager])</f>
        <v>Jason King</v>
      </c>
      <c r="G2974" t="str">
        <f>_xlfn.XLOOKUP(tblSales[[#This Row],[Category ID]],tblCategories[Category ID],tblCategories[Category])</f>
        <v>Accessories</v>
      </c>
      <c r="H2974">
        <v>15050</v>
      </c>
      <c r="I2974">
        <v>16830</v>
      </c>
      <c r="J2974">
        <v>35</v>
      </c>
      <c r="K2974">
        <f>tblSales[[#This Row],[Sales]]-tblSales[[#This Row],[Budget]]</f>
        <v>-1780</v>
      </c>
      <c r="L2974" s="3">
        <f>(tblSales[[#This Row],[Sales]]-tblSales[[#This Row],[Budget]])/tblSales[[#This Row],[Budget]]</f>
        <v>-0.10576351752822341</v>
      </c>
      <c r="M2974" s="2">
        <f>tblSales[[#This Row],[Sales]]/tblSales[[#This Row],[Transactions]]</f>
        <v>430</v>
      </c>
    </row>
    <row r="2975" spans="1:13" x14ac:dyDescent="0.25">
      <c r="A2975" s="1">
        <v>46171</v>
      </c>
      <c r="B2975" t="s">
        <v>24</v>
      </c>
      <c r="C2975" t="s">
        <v>11</v>
      </c>
      <c r="D2975" t="str">
        <f>_xlfn.XLOOKUP(tblSales[[#This Row],[Store ID]],tblStores[Store ID],tblStores[Store Name])</f>
        <v>George</v>
      </c>
      <c r="E2975" t="str">
        <f>_xlfn.XLOOKUP(tblSales[[#This Row],[Store ID]],tblStores[Store ID],tblStores[Province])</f>
        <v>Western Cape</v>
      </c>
      <c r="F2975" t="str">
        <f>_xlfn.XLOOKUP(tblSales[[#This Row],[Store ID]],tblStores[Store ID],tblStores[Manager])</f>
        <v>Chloe Hill</v>
      </c>
      <c r="G2975" t="str">
        <f>_xlfn.XLOOKUP(tblSales[[#This Row],[Category ID]],tblCategories[Category ID],tblCategories[Category])</f>
        <v>Footwear</v>
      </c>
      <c r="H2975">
        <v>12789</v>
      </c>
      <c r="I2975">
        <v>14128</v>
      </c>
      <c r="J2975">
        <v>63</v>
      </c>
      <c r="K2975">
        <f>tblSales[[#This Row],[Sales]]-tblSales[[#This Row],[Budget]]</f>
        <v>-1339</v>
      </c>
      <c r="L2975" s="3">
        <f>(tblSales[[#This Row],[Sales]]-tblSales[[#This Row],[Budget]])/tblSales[[#This Row],[Budget]]</f>
        <v>-9.4776330690826721E-2</v>
      </c>
      <c r="M2975" s="2">
        <f>tblSales[[#This Row],[Sales]]/tblSales[[#This Row],[Transactions]]</f>
        <v>203</v>
      </c>
    </row>
    <row r="2976" spans="1:13" x14ac:dyDescent="0.25">
      <c r="A2976" s="1">
        <v>46171</v>
      </c>
      <c r="B2976" t="s">
        <v>25</v>
      </c>
      <c r="C2976" t="s">
        <v>19</v>
      </c>
      <c r="D2976" t="str">
        <f>_xlfn.XLOOKUP(tblSales[[#This Row],[Store ID]],tblStores[Store ID],tblStores[Store Name])</f>
        <v>Paarl</v>
      </c>
      <c r="E2976" t="str">
        <f>_xlfn.XLOOKUP(tblSales[[#This Row],[Store ID]],tblStores[Store ID],tblStores[Province])</f>
        <v>Western Cape</v>
      </c>
      <c r="F2976" t="str">
        <f>_xlfn.XLOOKUP(tblSales[[#This Row],[Store ID]],tblStores[Store ID],tblStores[Manager])</f>
        <v>Andrew Lee</v>
      </c>
      <c r="G2976" t="str">
        <f>_xlfn.XLOOKUP(tblSales[[#This Row],[Category ID]],tblCategories[Category ID],tblCategories[Category])</f>
        <v>Accessories</v>
      </c>
      <c r="H2976">
        <v>68552</v>
      </c>
      <c r="I2976">
        <v>76013</v>
      </c>
      <c r="J2976">
        <v>209</v>
      </c>
      <c r="K2976">
        <f>tblSales[[#This Row],[Sales]]-tblSales[[#This Row],[Budget]]</f>
        <v>-7461</v>
      </c>
      <c r="L2976" s="3">
        <f>(tblSales[[#This Row],[Sales]]-tblSales[[#This Row],[Budget]])/tblSales[[#This Row],[Budget]]</f>
        <v>-9.8154263086577292E-2</v>
      </c>
      <c r="M2976" s="2">
        <f>tblSales[[#This Row],[Sales]]/tblSales[[#This Row],[Transactions]]</f>
        <v>328</v>
      </c>
    </row>
    <row r="2977" spans="1:13" x14ac:dyDescent="0.25">
      <c r="A2977" s="1">
        <v>46171</v>
      </c>
      <c r="B2977" t="s">
        <v>26</v>
      </c>
      <c r="C2977" t="s">
        <v>19</v>
      </c>
      <c r="D2977" t="str">
        <f>_xlfn.XLOOKUP(tblSales[[#This Row],[Store ID]],tblStores[Store ID],tblStores[Store Name])</f>
        <v>Gqeberha</v>
      </c>
      <c r="E2977" t="str">
        <f>_xlfn.XLOOKUP(tblSales[[#This Row],[Store ID]],tblStores[Store ID],tblStores[Province])</f>
        <v>Eastern Cape</v>
      </c>
      <c r="F2977" t="str">
        <f>_xlfn.XLOOKUP(tblSales[[#This Row],[Store ID]],tblStores[Store ID],tblStores[Manager])</f>
        <v>Emma Baker</v>
      </c>
      <c r="G2977" t="str">
        <f>_xlfn.XLOOKUP(tblSales[[#This Row],[Category ID]],tblCategories[Category ID],tblCategories[Category])</f>
        <v>Accessories</v>
      </c>
      <c r="H2977">
        <v>43195</v>
      </c>
      <c r="I2977">
        <v>47028</v>
      </c>
      <c r="J2977">
        <v>163</v>
      </c>
      <c r="K2977">
        <f>tblSales[[#This Row],[Sales]]-tblSales[[#This Row],[Budget]]</f>
        <v>-3833</v>
      </c>
      <c r="L2977" s="3">
        <f>(tblSales[[#This Row],[Sales]]-tblSales[[#This Row],[Budget]])/tblSales[[#This Row],[Budget]]</f>
        <v>-8.1504635536276265E-2</v>
      </c>
      <c r="M2977" s="2">
        <f>tblSales[[#This Row],[Sales]]/tblSales[[#This Row],[Transactions]]</f>
        <v>265</v>
      </c>
    </row>
    <row r="2978" spans="1:13" x14ac:dyDescent="0.25">
      <c r="A2978" s="1">
        <v>46171</v>
      </c>
      <c r="B2978" t="s">
        <v>27</v>
      </c>
      <c r="C2978" t="s">
        <v>7</v>
      </c>
      <c r="D2978" t="str">
        <f>_xlfn.XLOOKUP(tblSales[[#This Row],[Store ID]],tblStores[Store ID],tblStores[Store Name])</f>
        <v>East London</v>
      </c>
      <c r="E2978" t="str">
        <f>_xlfn.XLOOKUP(tblSales[[#This Row],[Store ID]],tblStores[Store ID],tblStores[Province])</f>
        <v>Eastern Cape</v>
      </c>
      <c r="F2978" t="str">
        <f>_xlfn.XLOOKUP(tblSales[[#This Row],[Store ID]],tblStores[Store ID],tblStores[Manager])</f>
        <v>Daniel Evans</v>
      </c>
      <c r="G2978" t="str">
        <f>_xlfn.XLOOKUP(tblSales[[#This Row],[Category ID]],tblCategories[Category ID],tblCategories[Category])</f>
        <v>Menswear</v>
      </c>
      <c r="H2978">
        <v>20100</v>
      </c>
      <c r="I2978">
        <v>22129</v>
      </c>
      <c r="J2978">
        <v>60</v>
      </c>
      <c r="K2978">
        <f>tblSales[[#This Row],[Sales]]-tblSales[[#This Row],[Budget]]</f>
        <v>-2029</v>
      </c>
      <c r="L2978" s="3">
        <f>(tblSales[[#This Row],[Sales]]-tblSales[[#This Row],[Budget]])/tblSales[[#This Row],[Budget]]</f>
        <v>-9.1689638031542314E-2</v>
      </c>
      <c r="M2978" s="2">
        <f>tblSales[[#This Row],[Sales]]/tblSales[[#This Row],[Transactions]]</f>
        <v>335</v>
      </c>
    </row>
    <row r="2979" spans="1:13" x14ac:dyDescent="0.25">
      <c r="A2979" s="1">
        <v>46171</v>
      </c>
      <c r="B2979" t="s">
        <v>28</v>
      </c>
      <c r="C2979" t="s">
        <v>22</v>
      </c>
      <c r="D2979" t="str">
        <f>_xlfn.XLOOKUP(tblSales[[#This Row],[Store ID]],tblStores[Store ID],tblStores[Store Name])</f>
        <v>Bloemfontein</v>
      </c>
      <c r="E2979" t="str">
        <f>_xlfn.XLOOKUP(tblSales[[#This Row],[Store ID]],tblStores[Store ID],tblStores[Province])</f>
        <v>Free State</v>
      </c>
      <c r="F2979" t="str">
        <f>_xlfn.XLOOKUP(tblSales[[#This Row],[Store ID]],tblStores[Store ID],tblStores[Manager])</f>
        <v>Rachel Moore</v>
      </c>
      <c r="G2979" t="str">
        <f>_xlfn.XLOOKUP(tblSales[[#This Row],[Category ID]],tblCategories[Category ID],tblCategories[Category])</f>
        <v>Kids</v>
      </c>
      <c r="H2979">
        <v>64650</v>
      </c>
      <c r="I2979">
        <v>70061</v>
      </c>
      <c r="J2979">
        <v>150</v>
      </c>
      <c r="K2979">
        <f>tblSales[[#This Row],[Sales]]-tblSales[[#This Row],[Budget]]</f>
        <v>-5411</v>
      </c>
      <c r="L2979" s="3">
        <f>(tblSales[[#This Row],[Sales]]-tblSales[[#This Row],[Budget]])/tblSales[[#This Row],[Budget]]</f>
        <v>-7.723269722099313E-2</v>
      </c>
      <c r="M2979" s="2">
        <f>tblSales[[#This Row],[Sales]]/tblSales[[#This Row],[Transactions]]</f>
        <v>431</v>
      </c>
    </row>
    <row r="2980" spans="1:13" x14ac:dyDescent="0.25">
      <c r="A2980" s="1">
        <v>46171</v>
      </c>
      <c r="B2980" t="s">
        <v>29</v>
      </c>
      <c r="C2980" t="s">
        <v>19</v>
      </c>
      <c r="D2980" t="str">
        <f>_xlfn.XLOOKUP(tblSales[[#This Row],[Store ID]],tblStores[Store ID],tblStores[Store Name])</f>
        <v>Polokwane</v>
      </c>
      <c r="E2980" t="str">
        <f>_xlfn.XLOOKUP(tblSales[[#This Row],[Store ID]],tblStores[Store ID],tblStores[Province])</f>
        <v>Limpopo</v>
      </c>
      <c r="F2980" t="str">
        <f>_xlfn.XLOOKUP(tblSales[[#This Row],[Store ID]],tblStores[Store ID],tblStores[Manager])</f>
        <v>Kevin Harris</v>
      </c>
      <c r="G2980" t="str">
        <f>_xlfn.XLOOKUP(tblSales[[#This Row],[Category ID]],tblCategories[Category ID],tblCategories[Category])</f>
        <v>Accessories</v>
      </c>
      <c r="H2980">
        <v>51900</v>
      </c>
      <c r="I2980">
        <v>53022</v>
      </c>
      <c r="J2980">
        <v>100</v>
      </c>
      <c r="K2980">
        <f>tblSales[[#This Row],[Sales]]-tblSales[[#This Row],[Budget]]</f>
        <v>-1122</v>
      </c>
      <c r="L2980" s="3">
        <f>(tblSales[[#This Row],[Sales]]-tblSales[[#This Row],[Budget]])/tblSales[[#This Row],[Budget]]</f>
        <v>-2.116102749801969E-2</v>
      </c>
      <c r="M2980" s="2">
        <f>tblSales[[#This Row],[Sales]]/tblSales[[#This Row],[Transactions]]</f>
        <v>519</v>
      </c>
    </row>
    <row r="2981" spans="1:13" x14ac:dyDescent="0.25">
      <c r="A2981" s="1">
        <v>46171</v>
      </c>
      <c r="B2981" t="s">
        <v>30</v>
      </c>
      <c r="C2981" t="s">
        <v>22</v>
      </c>
      <c r="D2981" t="str">
        <f>_xlfn.XLOOKUP(tblSales[[#This Row],[Store ID]],tblStores[Store ID],tblStores[Store Name])</f>
        <v>Nelspruit</v>
      </c>
      <c r="E2981" t="str">
        <f>_xlfn.XLOOKUP(tblSales[[#This Row],[Store ID]],tblStores[Store ID],tblStores[Province])</f>
        <v>Mpumalanga</v>
      </c>
      <c r="F2981" t="str">
        <f>_xlfn.XLOOKUP(tblSales[[#This Row],[Store ID]],tblStores[Store ID],tblStores[Manager])</f>
        <v>Olivia Turner</v>
      </c>
      <c r="G2981" t="str">
        <f>_xlfn.XLOOKUP(tblSales[[#This Row],[Category ID]],tblCategories[Category ID],tblCategories[Category])</f>
        <v>Kids</v>
      </c>
      <c r="H2981">
        <v>28272</v>
      </c>
      <c r="I2981">
        <v>31295</v>
      </c>
      <c r="J2981">
        <v>152</v>
      </c>
      <c r="K2981">
        <f>tblSales[[#This Row],[Sales]]-tblSales[[#This Row],[Budget]]</f>
        <v>-3023</v>
      </c>
      <c r="L2981" s="3">
        <f>(tblSales[[#This Row],[Sales]]-tblSales[[#This Row],[Budget]])/tblSales[[#This Row],[Budget]]</f>
        <v>-9.6596900463332802E-2</v>
      </c>
      <c r="M2981" s="2">
        <f>tblSales[[#This Row],[Sales]]/tblSales[[#This Row],[Transactions]]</f>
        <v>186</v>
      </c>
    </row>
    <row r="2982" spans="1:13" x14ac:dyDescent="0.25">
      <c r="A2982" s="1">
        <v>46172</v>
      </c>
      <c r="B2982" t="s">
        <v>6</v>
      </c>
      <c r="C2982" t="s">
        <v>22</v>
      </c>
      <c r="D2982" t="str">
        <f>_xlfn.XLOOKUP(tblSales[[#This Row],[Store ID]],tblStores[Store ID],tblStores[Store Name])</f>
        <v>Durban CBD</v>
      </c>
      <c r="E2982" t="str">
        <f>_xlfn.XLOOKUP(tblSales[[#This Row],[Store ID]],tblStores[Store ID],tblStores[Province])</f>
        <v>KZN</v>
      </c>
      <c r="F2982" t="str">
        <f>_xlfn.XLOOKUP(tblSales[[#This Row],[Store ID]],tblStores[Store ID],tblStores[Manager])</f>
        <v>Sarah Adams</v>
      </c>
      <c r="G2982" t="str">
        <f>_xlfn.XLOOKUP(tblSales[[#This Row],[Category ID]],tblCategories[Category ID],tblCategories[Category])</f>
        <v>Kids</v>
      </c>
      <c r="H2982">
        <v>75600</v>
      </c>
      <c r="I2982">
        <v>84886</v>
      </c>
      <c r="J2982">
        <v>216</v>
      </c>
      <c r="K2982">
        <f>tblSales[[#This Row],[Sales]]-tblSales[[#This Row],[Budget]]</f>
        <v>-9286</v>
      </c>
      <c r="L2982" s="3">
        <f>(tblSales[[#This Row],[Sales]]-tblSales[[#This Row],[Budget]])/tblSales[[#This Row],[Budget]]</f>
        <v>-0.10939377518083077</v>
      </c>
      <c r="M2982" s="2">
        <f>tblSales[[#This Row],[Sales]]/tblSales[[#This Row],[Transactions]]</f>
        <v>350</v>
      </c>
    </row>
    <row r="2983" spans="1:13" x14ac:dyDescent="0.25">
      <c r="A2983" s="1">
        <v>46172</v>
      </c>
      <c r="B2983" t="s">
        <v>8</v>
      </c>
      <c r="C2983" t="s">
        <v>19</v>
      </c>
      <c r="D2983" t="str">
        <f>_xlfn.XLOOKUP(tblSales[[#This Row],[Store ID]],tblStores[Store ID],tblStores[Store Name])</f>
        <v>Gateway</v>
      </c>
      <c r="E2983" t="str">
        <f>_xlfn.XLOOKUP(tblSales[[#This Row],[Store ID]],tblStores[Store ID],tblStores[Province])</f>
        <v>KZN</v>
      </c>
      <c r="F2983" t="str">
        <f>_xlfn.XLOOKUP(tblSales[[#This Row],[Store ID]],tblStores[Store ID],tblStores[Manager])</f>
        <v>Michael Jones</v>
      </c>
      <c r="G2983" t="str">
        <f>_xlfn.XLOOKUP(tblSales[[#This Row],[Category ID]],tblCategories[Category ID],tblCategories[Category])</f>
        <v>Accessories</v>
      </c>
      <c r="H2983">
        <v>37446</v>
      </c>
      <c r="I2983">
        <v>36228</v>
      </c>
      <c r="J2983">
        <v>158</v>
      </c>
      <c r="K2983">
        <f>tblSales[[#This Row],[Sales]]-tblSales[[#This Row],[Budget]]</f>
        <v>1218</v>
      </c>
      <c r="L2983" s="3">
        <f>(tblSales[[#This Row],[Sales]]-tblSales[[#This Row],[Budget]])/tblSales[[#This Row],[Budget]]</f>
        <v>3.3620404107320305E-2</v>
      </c>
      <c r="M2983" s="2">
        <f>tblSales[[#This Row],[Sales]]/tblSales[[#This Row],[Transactions]]</f>
        <v>237</v>
      </c>
    </row>
    <row r="2984" spans="1:13" x14ac:dyDescent="0.25">
      <c r="A2984" s="1">
        <v>46172</v>
      </c>
      <c r="B2984" t="s">
        <v>10</v>
      </c>
      <c r="C2984" t="s">
        <v>19</v>
      </c>
      <c r="D2984" t="str">
        <f>_xlfn.XLOOKUP(tblSales[[#This Row],[Store ID]],tblStores[Store ID],tblStores[Store Name])</f>
        <v>Ballito</v>
      </c>
      <c r="E2984" t="str">
        <f>_xlfn.XLOOKUP(tblSales[[#This Row],[Store ID]],tblStores[Store ID],tblStores[Province])</f>
        <v>KZN</v>
      </c>
      <c r="F2984" t="str">
        <f>_xlfn.XLOOKUP(tblSales[[#This Row],[Store ID]],tblStores[Store ID],tblStores[Manager])</f>
        <v>Linda Smith</v>
      </c>
      <c r="G2984" t="str">
        <f>_xlfn.XLOOKUP(tblSales[[#This Row],[Category ID]],tblCategories[Category ID],tblCategories[Category])</f>
        <v>Accessories</v>
      </c>
      <c r="H2984">
        <v>37620</v>
      </c>
      <c r="I2984">
        <v>35249</v>
      </c>
      <c r="J2984">
        <v>198</v>
      </c>
      <c r="K2984">
        <f>tblSales[[#This Row],[Sales]]-tblSales[[#This Row],[Budget]]</f>
        <v>2371</v>
      </c>
      <c r="L2984" s="3">
        <f>(tblSales[[#This Row],[Sales]]-tblSales[[#This Row],[Budget]])/tblSales[[#This Row],[Budget]]</f>
        <v>6.7264319555164681E-2</v>
      </c>
      <c r="M2984" s="2">
        <f>tblSales[[#This Row],[Sales]]/tblSales[[#This Row],[Transactions]]</f>
        <v>190</v>
      </c>
    </row>
    <row r="2985" spans="1:13" x14ac:dyDescent="0.25">
      <c r="A2985" s="1">
        <v>46172</v>
      </c>
      <c r="B2985" t="s">
        <v>12</v>
      </c>
      <c r="C2985" t="s">
        <v>11</v>
      </c>
      <c r="D2985" t="str">
        <f>_xlfn.XLOOKUP(tblSales[[#This Row],[Store ID]],tblStores[Store ID],tblStores[Store Name])</f>
        <v>Pietermaritzburg</v>
      </c>
      <c r="E2985" t="str">
        <f>_xlfn.XLOOKUP(tblSales[[#This Row],[Store ID]],tblStores[Store ID],tblStores[Province])</f>
        <v>KZN</v>
      </c>
      <c r="F2985" t="str">
        <f>_xlfn.XLOOKUP(tblSales[[#This Row],[Store ID]],tblStores[Store ID],tblStores[Manager])</f>
        <v>Peter Brown</v>
      </c>
      <c r="G2985" t="str">
        <f>_xlfn.XLOOKUP(tblSales[[#This Row],[Category ID]],tblCategories[Category ID],tblCategories[Category])</f>
        <v>Footwear</v>
      </c>
      <c r="H2985">
        <v>47047</v>
      </c>
      <c r="I2985">
        <v>54034</v>
      </c>
      <c r="J2985">
        <v>91</v>
      </c>
      <c r="K2985">
        <f>tblSales[[#This Row],[Sales]]-tblSales[[#This Row],[Budget]]</f>
        <v>-6987</v>
      </c>
      <c r="L2985" s="3">
        <f>(tblSales[[#This Row],[Sales]]-tblSales[[#This Row],[Budget]])/tblSales[[#This Row],[Budget]]</f>
        <v>-0.12930747307250989</v>
      </c>
      <c r="M2985" s="2">
        <f>tblSales[[#This Row],[Sales]]/tblSales[[#This Row],[Transactions]]</f>
        <v>517</v>
      </c>
    </row>
    <row r="2986" spans="1:13" x14ac:dyDescent="0.25">
      <c r="A2986" s="1">
        <v>46172</v>
      </c>
      <c r="B2986" t="s">
        <v>13</v>
      </c>
      <c r="C2986" t="s">
        <v>22</v>
      </c>
      <c r="D2986" t="str">
        <f>_xlfn.XLOOKUP(tblSales[[#This Row],[Store ID]],tblStores[Store ID],tblStores[Store Name])</f>
        <v>Richards Bay</v>
      </c>
      <c r="E2986" t="str">
        <f>_xlfn.XLOOKUP(tblSales[[#This Row],[Store ID]],tblStores[Store ID],tblStores[Province])</f>
        <v>KZN</v>
      </c>
      <c r="F2986" t="str">
        <f>_xlfn.XLOOKUP(tblSales[[#This Row],[Store ID]],tblStores[Store ID],tblStores[Manager])</f>
        <v>David Green</v>
      </c>
      <c r="G2986" t="str">
        <f>_xlfn.XLOOKUP(tblSales[[#This Row],[Category ID]],tblCategories[Category ID],tblCategories[Category])</f>
        <v>Kids</v>
      </c>
      <c r="H2986">
        <v>31590</v>
      </c>
      <c r="I2986">
        <v>30360</v>
      </c>
      <c r="J2986">
        <v>162</v>
      </c>
      <c r="K2986">
        <f>tblSales[[#This Row],[Sales]]-tblSales[[#This Row],[Budget]]</f>
        <v>1230</v>
      </c>
      <c r="L2986" s="3">
        <f>(tblSales[[#This Row],[Sales]]-tblSales[[#This Row],[Budget]])/tblSales[[#This Row],[Budget]]</f>
        <v>4.0513833992094864E-2</v>
      </c>
      <c r="M2986" s="2">
        <f>tblSales[[#This Row],[Sales]]/tblSales[[#This Row],[Transactions]]</f>
        <v>195</v>
      </c>
    </row>
    <row r="2987" spans="1:13" x14ac:dyDescent="0.25">
      <c r="A2987" s="1">
        <v>46172</v>
      </c>
      <c r="B2987" t="s">
        <v>14</v>
      </c>
      <c r="C2987" t="s">
        <v>11</v>
      </c>
      <c r="D2987" t="str">
        <f>_xlfn.XLOOKUP(tblSales[[#This Row],[Store ID]],tblStores[Store ID],tblStores[Store Name])</f>
        <v>Sandton</v>
      </c>
      <c r="E2987" t="str">
        <f>_xlfn.XLOOKUP(tblSales[[#This Row],[Store ID]],tblStores[Store ID],tblStores[Province])</f>
        <v>Gauteng</v>
      </c>
      <c r="F2987" t="str">
        <f>_xlfn.XLOOKUP(tblSales[[#This Row],[Store ID]],tblStores[Store ID],tblStores[Manager])</f>
        <v>Karen White</v>
      </c>
      <c r="G2987" t="str">
        <f>_xlfn.XLOOKUP(tblSales[[#This Row],[Category ID]],tblCategories[Category ID],tblCategories[Category])</f>
        <v>Footwear</v>
      </c>
      <c r="H2987">
        <v>36195</v>
      </c>
      <c r="I2987">
        <v>39311</v>
      </c>
      <c r="J2987">
        <v>127</v>
      </c>
      <c r="K2987">
        <f>tblSales[[#This Row],[Sales]]-tblSales[[#This Row],[Budget]]</f>
        <v>-3116</v>
      </c>
      <c r="L2987" s="3">
        <f>(tblSales[[#This Row],[Sales]]-tblSales[[#This Row],[Budget]])/tblSales[[#This Row],[Budget]]</f>
        <v>-7.9265345577573712E-2</v>
      </c>
      <c r="M2987" s="2">
        <f>tblSales[[#This Row],[Sales]]/tblSales[[#This Row],[Transactions]]</f>
        <v>285</v>
      </c>
    </row>
    <row r="2988" spans="1:13" x14ac:dyDescent="0.25">
      <c r="A2988" s="1">
        <v>46172</v>
      </c>
      <c r="B2988" t="s">
        <v>15</v>
      </c>
      <c r="C2988" t="s">
        <v>9</v>
      </c>
      <c r="D2988" t="str">
        <f>_xlfn.XLOOKUP(tblSales[[#This Row],[Store ID]],tblStores[Store ID],tblStores[Store Name])</f>
        <v>Rosebank</v>
      </c>
      <c r="E2988" t="str">
        <f>_xlfn.XLOOKUP(tblSales[[#This Row],[Store ID]],tblStores[Store ID],tblStores[Province])</f>
        <v>Gauteng</v>
      </c>
      <c r="F2988" t="str">
        <f>_xlfn.XLOOKUP(tblSales[[#This Row],[Store ID]],tblStores[Store ID],tblStores[Manager])</f>
        <v>James Taylor</v>
      </c>
      <c r="G2988" t="str">
        <f>_xlfn.XLOOKUP(tblSales[[#This Row],[Category ID]],tblCategories[Category ID],tblCategories[Category])</f>
        <v>Ladieswear</v>
      </c>
      <c r="H2988">
        <v>66417</v>
      </c>
      <c r="I2988">
        <v>61567</v>
      </c>
      <c r="J2988">
        <v>131</v>
      </c>
      <c r="K2988">
        <f>tblSales[[#This Row],[Sales]]-tblSales[[#This Row],[Budget]]</f>
        <v>4850</v>
      </c>
      <c r="L2988" s="3">
        <f>(tblSales[[#This Row],[Sales]]-tblSales[[#This Row],[Budget]])/tblSales[[#This Row],[Budget]]</f>
        <v>7.8775967645004635E-2</v>
      </c>
      <c r="M2988" s="2">
        <f>tblSales[[#This Row],[Sales]]/tblSales[[#This Row],[Transactions]]</f>
        <v>507</v>
      </c>
    </row>
    <row r="2989" spans="1:13" x14ac:dyDescent="0.25">
      <c r="A2989" s="1">
        <v>46172</v>
      </c>
      <c r="B2989" t="s">
        <v>16</v>
      </c>
      <c r="C2989" t="s">
        <v>22</v>
      </c>
      <c r="D2989" t="str">
        <f>_xlfn.XLOOKUP(tblSales[[#This Row],[Store ID]],tblStores[Store ID],tblStores[Store Name])</f>
        <v>Pretoria</v>
      </c>
      <c r="E2989" t="str">
        <f>_xlfn.XLOOKUP(tblSales[[#This Row],[Store ID]],tblStores[Store ID],tblStores[Province])</f>
        <v>Gauteng</v>
      </c>
      <c r="F2989" t="str">
        <f>_xlfn.XLOOKUP(tblSales[[#This Row],[Store ID]],tblStores[Store ID],tblStores[Manager])</f>
        <v>Susan Clark</v>
      </c>
      <c r="G2989" t="str">
        <f>_xlfn.XLOOKUP(tblSales[[#This Row],[Category ID]],tblCategories[Category ID],tblCategories[Category])</f>
        <v>Kids</v>
      </c>
      <c r="H2989">
        <v>89310</v>
      </c>
      <c r="I2989">
        <v>100456</v>
      </c>
      <c r="J2989">
        <v>195</v>
      </c>
      <c r="K2989">
        <f>tblSales[[#This Row],[Sales]]-tblSales[[#This Row],[Budget]]</f>
        <v>-11146</v>
      </c>
      <c r="L2989" s="3">
        <f>(tblSales[[#This Row],[Sales]]-tblSales[[#This Row],[Budget]])/tblSales[[#This Row],[Budget]]</f>
        <v>-0.1109540495341244</v>
      </c>
      <c r="M2989" s="2">
        <f>tblSales[[#This Row],[Sales]]/tblSales[[#This Row],[Transactions]]</f>
        <v>458</v>
      </c>
    </row>
    <row r="2990" spans="1:13" x14ac:dyDescent="0.25">
      <c r="A2990" s="1">
        <v>46172</v>
      </c>
      <c r="B2990" t="s">
        <v>17</v>
      </c>
      <c r="C2990" t="s">
        <v>11</v>
      </c>
      <c r="D2990" t="str">
        <f>_xlfn.XLOOKUP(tblSales[[#This Row],[Store ID]],tblStores[Store ID],tblStores[Store Name])</f>
        <v>Centurion</v>
      </c>
      <c r="E2990" t="str">
        <f>_xlfn.XLOOKUP(tblSales[[#This Row],[Store ID]],tblStores[Store ID],tblStores[Province])</f>
        <v>Gauteng</v>
      </c>
      <c r="F2990" t="str">
        <f>_xlfn.XLOOKUP(tblSales[[#This Row],[Store ID]],tblStores[Store ID],tblStores[Manager])</f>
        <v>Mark Wilson</v>
      </c>
      <c r="G2990" t="str">
        <f>_xlfn.XLOOKUP(tblSales[[#This Row],[Category ID]],tblCategories[Category ID],tblCategories[Category])</f>
        <v>Footwear</v>
      </c>
      <c r="H2990">
        <v>45461</v>
      </c>
      <c r="I2990">
        <v>43930</v>
      </c>
      <c r="J2990">
        <v>169</v>
      </c>
      <c r="K2990">
        <f>tblSales[[#This Row],[Sales]]-tblSales[[#This Row],[Budget]]</f>
        <v>1531</v>
      </c>
      <c r="L2990" s="3">
        <f>(tblSales[[#This Row],[Sales]]-tblSales[[#This Row],[Budget]])/tblSales[[#This Row],[Budget]]</f>
        <v>3.485089915775097E-2</v>
      </c>
      <c r="M2990" s="2">
        <f>tblSales[[#This Row],[Sales]]/tblSales[[#This Row],[Transactions]]</f>
        <v>269</v>
      </c>
    </row>
    <row r="2991" spans="1:13" x14ac:dyDescent="0.25">
      <c r="A2991" s="1">
        <v>46172</v>
      </c>
      <c r="B2991" t="s">
        <v>18</v>
      </c>
      <c r="C2991" t="s">
        <v>22</v>
      </c>
      <c r="D2991" t="str">
        <f>_xlfn.XLOOKUP(tblSales[[#This Row],[Store ID]],tblStores[Store ID],tblStores[Store Name])</f>
        <v>East Rand</v>
      </c>
      <c r="E2991" t="str">
        <f>_xlfn.XLOOKUP(tblSales[[#This Row],[Store ID]],tblStores[Store ID],tblStores[Province])</f>
        <v>Gauteng</v>
      </c>
      <c r="F2991" t="str">
        <f>_xlfn.XLOOKUP(tblSales[[#This Row],[Store ID]],tblStores[Store ID],tblStores[Manager])</f>
        <v>Lisa Young</v>
      </c>
      <c r="G2991" t="str">
        <f>_xlfn.XLOOKUP(tblSales[[#This Row],[Category ID]],tblCategories[Category ID],tblCategories[Category])</f>
        <v>Kids</v>
      </c>
      <c r="H2991">
        <v>45220</v>
      </c>
      <c r="I2991">
        <v>47358</v>
      </c>
      <c r="J2991">
        <v>119</v>
      </c>
      <c r="K2991">
        <f>tblSales[[#This Row],[Sales]]-tblSales[[#This Row],[Budget]]</f>
        <v>-2138</v>
      </c>
      <c r="L2991" s="3">
        <f>(tblSales[[#This Row],[Sales]]-tblSales[[#This Row],[Budget]])/tblSales[[#This Row],[Budget]]</f>
        <v>-4.5145487562819372E-2</v>
      </c>
      <c r="M2991" s="2">
        <f>tblSales[[#This Row],[Sales]]/tblSales[[#This Row],[Transactions]]</f>
        <v>380</v>
      </c>
    </row>
    <row r="2992" spans="1:13" x14ac:dyDescent="0.25">
      <c r="A2992" s="1">
        <v>46172</v>
      </c>
      <c r="B2992" t="s">
        <v>20</v>
      </c>
      <c r="C2992" t="s">
        <v>22</v>
      </c>
      <c r="D2992" t="str">
        <f>_xlfn.XLOOKUP(tblSales[[#This Row],[Store ID]],tblStores[Store ID],tblStores[Store Name])</f>
        <v>Cape Town CBD</v>
      </c>
      <c r="E2992" t="str">
        <f>_xlfn.XLOOKUP(tblSales[[#This Row],[Store ID]],tblStores[Store ID],tblStores[Province])</f>
        <v>Western Cape</v>
      </c>
      <c r="F2992" t="str">
        <f>_xlfn.XLOOKUP(tblSales[[#This Row],[Store ID]],tblStores[Store ID],tblStores[Manager])</f>
        <v>Brian Hall</v>
      </c>
      <c r="G2992" t="str">
        <f>_xlfn.XLOOKUP(tblSales[[#This Row],[Category ID]],tblCategories[Category ID],tblCategories[Category])</f>
        <v>Kids</v>
      </c>
      <c r="H2992">
        <v>31578</v>
      </c>
      <c r="I2992">
        <v>28744</v>
      </c>
      <c r="J2992">
        <v>114</v>
      </c>
      <c r="K2992">
        <f>tblSales[[#This Row],[Sales]]-tblSales[[#This Row],[Budget]]</f>
        <v>2834</v>
      </c>
      <c r="L2992" s="3">
        <f>(tblSales[[#This Row],[Sales]]-tblSales[[#This Row],[Budget]])/tblSales[[#This Row],[Budget]]</f>
        <v>9.8594489284720296E-2</v>
      </c>
      <c r="M2992" s="2">
        <f>tblSales[[#This Row],[Sales]]/tblSales[[#This Row],[Transactions]]</f>
        <v>277</v>
      </c>
    </row>
    <row r="2993" spans="1:13" x14ac:dyDescent="0.25">
      <c r="A2993" s="1">
        <v>46172</v>
      </c>
      <c r="B2993" t="s">
        <v>21</v>
      </c>
      <c r="C2993" t="s">
        <v>19</v>
      </c>
      <c r="D2993" t="str">
        <f>_xlfn.XLOOKUP(tblSales[[#This Row],[Store ID]],tblStores[Store ID],tblStores[Store Name])</f>
        <v>Canal Walk</v>
      </c>
      <c r="E2993" t="str">
        <f>_xlfn.XLOOKUP(tblSales[[#This Row],[Store ID]],tblStores[Store ID],tblStores[Province])</f>
        <v>Western Cape</v>
      </c>
      <c r="F2993" t="str">
        <f>_xlfn.XLOOKUP(tblSales[[#This Row],[Store ID]],tblStores[Store ID],tblStores[Manager])</f>
        <v>Megan Scott</v>
      </c>
      <c r="G2993" t="str">
        <f>_xlfn.XLOOKUP(tblSales[[#This Row],[Category ID]],tblCategories[Category ID],tblCategories[Category])</f>
        <v>Accessories</v>
      </c>
      <c r="H2993">
        <v>75970</v>
      </c>
      <c r="I2993">
        <v>84216</v>
      </c>
      <c r="J2993">
        <v>214</v>
      </c>
      <c r="K2993">
        <f>tblSales[[#This Row],[Sales]]-tblSales[[#This Row],[Budget]]</f>
        <v>-8246</v>
      </c>
      <c r="L2993" s="3">
        <f>(tblSales[[#This Row],[Sales]]-tblSales[[#This Row],[Budget]])/tblSales[[#This Row],[Budget]]</f>
        <v>-9.7914885532440391E-2</v>
      </c>
      <c r="M2993" s="2">
        <f>tblSales[[#This Row],[Sales]]/tblSales[[#This Row],[Transactions]]</f>
        <v>355</v>
      </c>
    </row>
    <row r="2994" spans="1:13" x14ac:dyDescent="0.25">
      <c r="A2994" s="1">
        <v>46172</v>
      </c>
      <c r="B2994" t="s">
        <v>23</v>
      </c>
      <c r="C2994" t="s">
        <v>7</v>
      </c>
      <c r="D2994" t="str">
        <f>_xlfn.XLOOKUP(tblSales[[#This Row],[Store ID]],tblStores[Store ID],tblStores[Store Name])</f>
        <v>Stellenbosch</v>
      </c>
      <c r="E2994" t="str">
        <f>_xlfn.XLOOKUP(tblSales[[#This Row],[Store ID]],tblStores[Store ID],tblStores[Province])</f>
        <v>Western Cape</v>
      </c>
      <c r="F2994" t="str">
        <f>_xlfn.XLOOKUP(tblSales[[#This Row],[Store ID]],tblStores[Store ID],tblStores[Manager])</f>
        <v>Jason King</v>
      </c>
      <c r="G2994" t="str">
        <f>_xlfn.XLOOKUP(tblSales[[#This Row],[Category ID]],tblCategories[Category ID],tblCategories[Category])</f>
        <v>Menswear</v>
      </c>
      <c r="H2994">
        <v>59740</v>
      </c>
      <c r="I2994">
        <v>62229</v>
      </c>
      <c r="J2994">
        <v>145</v>
      </c>
      <c r="K2994">
        <f>tblSales[[#This Row],[Sales]]-tblSales[[#This Row],[Budget]]</f>
        <v>-2489</v>
      </c>
      <c r="L2994" s="3">
        <f>(tblSales[[#This Row],[Sales]]-tblSales[[#This Row],[Budget]])/tblSales[[#This Row],[Budget]]</f>
        <v>-3.9997428851500101E-2</v>
      </c>
      <c r="M2994" s="2">
        <f>tblSales[[#This Row],[Sales]]/tblSales[[#This Row],[Transactions]]</f>
        <v>412</v>
      </c>
    </row>
    <row r="2995" spans="1:13" x14ac:dyDescent="0.25">
      <c r="A2995" s="1">
        <v>46172</v>
      </c>
      <c r="B2995" t="s">
        <v>24</v>
      </c>
      <c r="C2995" t="s">
        <v>22</v>
      </c>
      <c r="D2995" t="str">
        <f>_xlfn.XLOOKUP(tblSales[[#This Row],[Store ID]],tblStores[Store ID],tblStores[Store Name])</f>
        <v>George</v>
      </c>
      <c r="E2995" t="str">
        <f>_xlfn.XLOOKUP(tblSales[[#This Row],[Store ID]],tblStores[Store ID],tblStores[Province])</f>
        <v>Western Cape</v>
      </c>
      <c r="F2995" t="str">
        <f>_xlfn.XLOOKUP(tblSales[[#This Row],[Store ID]],tblStores[Store ID],tblStores[Manager])</f>
        <v>Chloe Hill</v>
      </c>
      <c r="G2995" t="str">
        <f>_xlfn.XLOOKUP(tblSales[[#This Row],[Category ID]],tblCategories[Category ID],tblCategories[Category])</f>
        <v>Kids</v>
      </c>
      <c r="H2995">
        <v>25488</v>
      </c>
      <c r="I2995">
        <v>29116</v>
      </c>
      <c r="J2995">
        <v>108</v>
      </c>
      <c r="K2995">
        <f>tblSales[[#This Row],[Sales]]-tblSales[[#This Row],[Budget]]</f>
        <v>-3628</v>
      </c>
      <c r="L2995" s="3">
        <f>(tblSales[[#This Row],[Sales]]-tblSales[[#This Row],[Budget]])/tblSales[[#This Row],[Budget]]</f>
        <v>-0.12460502816320923</v>
      </c>
      <c r="M2995" s="2">
        <f>tblSales[[#This Row],[Sales]]/tblSales[[#This Row],[Transactions]]</f>
        <v>236</v>
      </c>
    </row>
    <row r="2996" spans="1:13" x14ac:dyDescent="0.25">
      <c r="A2996" s="1">
        <v>46172</v>
      </c>
      <c r="B2996" t="s">
        <v>25</v>
      </c>
      <c r="C2996" t="s">
        <v>11</v>
      </c>
      <c r="D2996" t="str">
        <f>_xlfn.XLOOKUP(tblSales[[#This Row],[Store ID]],tblStores[Store ID],tblStores[Store Name])</f>
        <v>Paarl</v>
      </c>
      <c r="E2996" t="str">
        <f>_xlfn.XLOOKUP(tblSales[[#This Row],[Store ID]],tblStores[Store ID],tblStores[Province])</f>
        <v>Western Cape</v>
      </c>
      <c r="F2996" t="str">
        <f>_xlfn.XLOOKUP(tblSales[[#This Row],[Store ID]],tblStores[Store ID],tblStores[Manager])</f>
        <v>Andrew Lee</v>
      </c>
      <c r="G2996" t="str">
        <f>_xlfn.XLOOKUP(tblSales[[#This Row],[Category ID]],tblCategories[Category ID],tblCategories[Category])</f>
        <v>Footwear</v>
      </c>
      <c r="H2996">
        <v>53550</v>
      </c>
      <c r="I2996">
        <v>54437</v>
      </c>
      <c r="J2996">
        <v>210</v>
      </c>
      <c r="K2996">
        <f>tblSales[[#This Row],[Sales]]-tblSales[[#This Row],[Budget]]</f>
        <v>-887</v>
      </c>
      <c r="L2996" s="3">
        <f>(tblSales[[#This Row],[Sales]]-tblSales[[#This Row],[Budget]])/tblSales[[#This Row],[Budget]]</f>
        <v>-1.6294064698642467E-2</v>
      </c>
      <c r="M2996" s="2">
        <f>tblSales[[#This Row],[Sales]]/tblSales[[#This Row],[Transactions]]</f>
        <v>255</v>
      </c>
    </row>
    <row r="2997" spans="1:13" x14ac:dyDescent="0.25">
      <c r="A2997" s="1">
        <v>46172</v>
      </c>
      <c r="B2997" t="s">
        <v>26</v>
      </c>
      <c r="C2997" t="s">
        <v>9</v>
      </c>
      <c r="D2997" t="str">
        <f>_xlfn.XLOOKUP(tblSales[[#This Row],[Store ID]],tblStores[Store ID],tblStores[Store Name])</f>
        <v>Gqeberha</v>
      </c>
      <c r="E2997" t="str">
        <f>_xlfn.XLOOKUP(tblSales[[#This Row],[Store ID]],tblStores[Store ID],tblStores[Province])</f>
        <v>Eastern Cape</v>
      </c>
      <c r="F2997" t="str">
        <f>_xlfn.XLOOKUP(tblSales[[#This Row],[Store ID]],tblStores[Store ID],tblStores[Manager])</f>
        <v>Emma Baker</v>
      </c>
      <c r="G2997" t="str">
        <f>_xlfn.XLOOKUP(tblSales[[#This Row],[Category ID]],tblCategories[Category ID],tblCategories[Category])</f>
        <v>Ladieswear</v>
      </c>
      <c r="H2997">
        <v>55104</v>
      </c>
      <c r="I2997">
        <v>58187</v>
      </c>
      <c r="J2997">
        <v>168</v>
      </c>
      <c r="K2997">
        <f>tblSales[[#This Row],[Sales]]-tblSales[[#This Row],[Budget]]</f>
        <v>-3083</v>
      </c>
      <c r="L2997" s="3">
        <f>(tblSales[[#This Row],[Sales]]-tblSales[[#This Row],[Budget]])/tblSales[[#This Row],[Budget]]</f>
        <v>-5.298434358189974E-2</v>
      </c>
      <c r="M2997" s="2">
        <f>tblSales[[#This Row],[Sales]]/tblSales[[#This Row],[Transactions]]</f>
        <v>328</v>
      </c>
    </row>
    <row r="2998" spans="1:13" x14ac:dyDescent="0.25">
      <c r="A2998" s="1">
        <v>46172</v>
      </c>
      <c r="B2998" t="s">
        <v>27</v>
      </c>
      <c r="C2998" t="s">
        <v>9</v>
      </c>
      <c r="D2998" t="str">
        <f>_xlfn.XLOOKUP(tblSales[[#This Row],[Store ID]],tblStores[Store ID],tblStores[Store Name])</f>
        <v>East London</v>
      </c>
      <c r="E2998" t="str">
        <f>_xlfn.XLOOKUP(tblSales[[#This Row],[Store ID]],tblStores[Store ID],tblStores[Province])</f>
        <v>Eastern Cape</v>
      </c>
      <c r="F2998" t="str">
        <f>_xlfn.XLOOKUP(tblSales[[#This Row],[Store ID]],tblStores[Store ID],tblStores[Manager])</f>
        <v>Daniel Evans</v>
      </c>
      <c r="G2998" t="str">
        <f>_xlfn.XLOOKUP(tblSales[[#This Row],[Category ID]],tblCategories[Category ID],tblCategories[Category])</f>
        <v>Ladieswear</v>
      </c>
      <c r="H2998">
        <v>48048</v>
      </c>
      <c r="I2998">
        <v>46705</v>
      </c>
      <c r="J2998">
        <v>112</v>
      </c>
      <c r="K2998">
        <f>tblSales[[#This Row],[Sales]]-tblSales[[#This Row],[Budget]]</f>
        <v>1343</v>
      </c>
      <c r="L2998" s="3">
        <f>(tblSales[[#This Row],[Sales]]-tblSales[[#This Row],[Budget]])/tblSales[[#This Row],[Budget]]</f>
        <v>2.8754951290011776E-2</v>
      </c>
      <c r="M2998" s="2">
        <f>tblSales[[#This Row],[Sales]]/tblSales[[#This Row],[Transactions]]</f>
        <v>429</v>
      </c>
    </row>
    <row r="2999" spans="1:13" x14ac:dyDescent="0.25">
      <c r="A2999" s="1">
        <v>46172</v>
      </c>
      <c r="B2999" t="s">
        <v>28</v>
      </c>
      <c r="C2999" t="s">
        <v>22</v>
      </c>
      <c r="D2999" t="str">
        <f>_xlfn.XLOOKUP(tblSales[[#This Row],[Store ID]],tblStores[Store ID],tblStores[Store Name])</f>
        <v>Bloemfontein</v>
      </c>
      <c r="E2999" t="str">
        <f>_xlfn.XLOOKUP(tblSales[[#This Row],[Store ID]],tblStores[Store ID],tblStores[Province])</f>
        <v>Free State</v>
      </c>
      <c r="F2999" t="str">
        <f>_xlfn.XLOOKUP(tblSales[[#This Row],[Store ID]],tblStores[Store ID],tblStores[Manager])</f>
        <v>Rachel Moore</v>
      </c>
      <c r="G2999" t="str">
        <f>_xlfn.XLOOKUP(tblSales[[#This Row],[Category ID]],tblCategories[Category ID],tblCategories[Category])</f>
        <v>Kids</v>
      </c>
      <c r="H2999">
        <v>15656</v>
      </c>
      <c r="I2999">
        <v>14250</v>
      </c>
      <c r="J2999">
        <v>38</v>
      </c>
      <c r="K2999">
        <f>tblSales[[#This Row],[Sales]]-tblSales[[#This Row],[Budget]]</f>
        <v>1406</v>
      </c>
      <c r="L2999" s="3">
        <f>(tblSales[[#This Row],[Sales]]-tblSales[[#This Row],[Budget]])/tblSales[[#This Row],[Budget]]</f>
        <v>9.8666666666666666E-2</v>
      </c>
      <c r="M2999" s="2">
        <f>tblSales[[#This Row],[Sales]]/tblSales[[#This Row],[Transactions]]</f>
        <v>412</v>
      </c>
    </row>
    <row r="3000" spans="1:13" x14ac:dyDescent="0.25">
      <c r="A3000" s="1">
        <v>46172</v>
      </c>
      <c r="B3000" t="s">
        <v>29</v>
      </c>
      <c r="C3000" t="s">
        <v>22</v>
      </c>
      <c r="D3000" t="str">
        <f>_xlfn.XLOOKUP(tblSales[[#This Row],[Store ID]],tblStores[Store ID],tblStores[Store Name])</f>
        <v>Polokwane</v>
      </c>
      <c r="E3000" t="str">
        <f>_xlfn.XLOOKUP(tblSales[[#This Row],[Store ID]],tblStores[Store ID],tblStores[Province])</f>
        <v>Limpopo</v>
      </c>
      <c r="F3000" t="str">
        <f>_xlfn.XLOOKUP(tblSales[[#This Row],[Store ID]],tblStores[Store ID],tblStores[Manager])</f>
        <v>Kevin Harris</v>
      </c>
      <c r="G3000" t="str">
        <f>_xlfn.XLOOKUP(tblSales[[#This Row],[Category ID]],tblCategories[Category ID],tblCategories[Category])</f>
        <v>Kids</v>
      </c>
      <c r="H3000">
        <v>45198</v>
      </c>
      <c r="I3000">
        <v>41279</v>
      </c>
      <c r="J3000">
        <v>186</v>
      </c>
      <c r="K3000">
        <f>tblSales[[#This Row],[Sales]]-tblSales[[#This Row],[Budget]]</f>
        <v>3919</v>
      </c>
      <c r="L3000" s="3">
        <f>(tblSales[[#This Row],[Sales]]-tblSales[[#This Row],[Budget]])/tblSales[[#This Row],[Budget]]</f>
        <v>9.4939315390392215E-2</v>
      </c>
      <c r="M3000" s="2">
        <f>tblSales[[#This Row],[Sales]]/tblSales[[#This Row],[Transactions]]</f>
        <v>243</v>
      </c>
    </row>
    <row r="3001" spans="1:13" x14ac:dyDescent="0.25">
      <c r="A3001" s="1">
        <v>46172</v>
      </c>
      <c r="B3001" t="s">
        <v>30</v>
      </c>
      <c r="C3001" t="s">
        <v>22</v>
      </c>
      <c r="D3001" t="str">
        <f>_xlfn.XLOOKUP(tblSales[[#This Row],[Store ID]],tblStores[Store ID],tblStores[Store Name])</f>
        <v>Nelspruit</v>
      </c>
      <c r="E3001" t="str">
        <f>_xlfn.XLOOKUP(tblSales[[#This Row],[Store ID]],tblStores[Store ID],tblStores[Province])</f>
        <v>Mpumalanga</v>
      </c>
      <c r="F3001" t="str">
        <f>_xlfn.XLOOKUP(tblSales[[#This Row],[Store ID]],tblStores[Store ID],tblStores[Manager])</f>
        <v>Olivia Turner</v>
      </c>
      <c r="G3001" t="str">
        <f>_xlfn.XLOOKUP(tblSales[[#This Row],[Category ID]],tblCategories[Category ID],tblCategories[Category])</f>
        <v>Kids</v>
      </c>
      <c r="H3001">
        <v>14400</v>
      </c>
      <c r="I3001">
        <v>14228</v>
      </c>
      <c r="J3001">
        <v>36</v>
      </c>
      <c r="K3001">
        <f>tblSales[[#This Row],[Sales]]-tblSales[[#This Row],[Budget]]</f>
        <v>172</v>
      </c>
      <c r="L3001" s="3">
        <f>(tblSales[[#This Row],[Sales]]-tblSales[[#This Row],[Budget]])/tblSales[[#This Row],[Budget]]</f>
        <v>1.208883890919314E-2</v>
      </c>
      <c r="M3001" s="2">
        <f>tblSales[[#This Row],[Sales]]/tblSales[[#This Row],[Transactions]]</f>
        <v>400</v>
      </c>
    </row>
    <row r="3002" spans="1:13" x14ac:dyDescent="0.25">
      <c r="A3002" s="1">
        <v>46173</v>
      </c>
      <c r="B3002" t="s">
        <v>6</v>
      </c>
      <c r="C3002" t="s">
        <v>7</v>
      </c>
      <c r="D3002" t="str">
        <f>_xlfn.XLOOKUP(tblSales[[#This Row],[Store ID]],tblStores[Store ID],tblStores[Store Name])</f>
        <v>Durban CBD</v>
      </c>
      <c r="E3002" t="str">
        <f>_xlfn.XLOOKUP(tblSales[[#This Row],[Store ID]],tblStores[Store ID],tblStores[Province])</f>
        <v>KZN</v>
      </c>
      <c r="F3002" t="str">
        <f>_xlfn.XLOOKUP(tblSales[[#This Row],[Store ID]],tblStores[Store ID],tblStores[Manager])</f>
        <v>Sarah Adams</v>
      </c>
      <c r="G3002" t="str">
        <f>_xlfn.XLOOKUP(tblSales[[#This Row],[Category ID]],tblCategories[Category ID],tblCategories[Category])</f>
        <v>Menswear</v>
      </c>
      <c r="H3002">
        <v>14476</v>
      </c>
      <c r="I3002">
        <v>13526</v>
      </c>
      <c r="J3002">
        <v>47</v>
      </c>
      <c r="K3002">
        <f>tblSales[[#This Row],[Sales]]-tblSales[[#This Row],[Budget]]</f>
        <v>950</v>
      </c>
      <c r="L3002" s="3">
        <f>(tblSales[[#This Row],[Sales]]-tblSales[[#This Row],[Budget]])/tblSales[[#This Row],[Budget]]</f>
        <v>7.0235102765045104E-2</v>
      </c>
      <c r="M3002" s="2">
        <f>tblSales[[#This Row],[Sales]]/tblSales[[#This Row],[Transactions]]</f>
        <v>308</v>
      </c>
    </row>
    <row r="3003" spans="1:13" x14ac:dyDescent="0.25">
      <c r="A3003" s="1">
        <v>46173</v>
      </c>
      <c r="B3003" t="s">
        <v>8</v>
      </c>
      <c r="C3003" t="s">
        <v>22</v>
      </c>
      <c r="D3003" t="str">
        <f>_xlfn.XLOOKUP(tblSales[[#This Row],[Store ID]],tblStores[Store ID],tblStores[Store Name])</f>
        <v>Gateway</v>
      </c>
      <c r="E3003" t="str">
        <f>_xlfn.XLOOKUP(tblSales[[#This Row],[Store ID]],tblStores[Store ID],tblStores[Province])</f>
        <v>KZN</v>
      </c>
      <c r="F3003" t="str">
        <f>_xlfn.XLOOKUP(tblSales[[#This Row],[Store ID]],tblStores[Store ID],tblStores[Manager])</f>
        <v>Michael Jones</v>
      </c>
      <c r="G3003" t="str">
        <f>_xlfn.XLOOKUP(tblSales[[#This Row],[Category ID]],tblCategories[Category ID],tblCategories[Category])</f>
        <v>Kids</v>
      </c>
      <c r="H3003">
        <v>84760</v>
      </c>
      <c r="I3003">
        <v>96595</v>
      </c>
      <c r="J3003">
        <v>163</v>
      </c>
      <c r="K3003">
        <f>tblSales[[#This Row],[Sales]]-tblSales[[#This Row],[Budget]]</f>
        <v>-11835</v>
      </c>
      <c r="L3003" s="3">
        <f>(tblSales[[#This Row],[Sales]]-tblSales[[#This Row],[Budget]])/tblSales[[#This Row],[Budget]]</f>
        <v>-0.12252186966199079</v>
      </c>
      <c r="M3003" s="2">
        <f>tblSales[[#This Row],[Sales]]/tblSales[[#This Row],[Transactions]]</f>
        <v>520</v>
      </c>
    </row>
    <row r="3004" spans="1:13" x14ac:dyDescent="0.25">
      <c r="A3004" s="1">
        <v>46173</v>
      </c>
      <c r="B3004" t="s">
        <v>10</v>
      </c>
      <c r="C3004" t="s">
        <v>19</v>
      </c>
      <c r="D3004" t="str">
        <f>_xlfn.XLOOKUP(tblSales[[#This Row],[Store ID]],tblStores[Store ID],tblStores[Store Name])</f>
        <v>Ballito</v>
      </c>
      <c r="E3004" t="str">
        <f>_xlfn.XLOOKUP(tblSales[[#This Row],[Store ID]],tblStores[Store ID],tblStores[Province])</f>
        <v>KZN</v>
      </c>
      <c r="F3004" t="str">
        <f>_xlfn.XLOOKUP(tblSales[[#This Row],[Store ID]],tblStores[Store ID],tblStores[Manager])</f>
        <v>Linda Smith</v>
      </c>
      <c r="G3004" t="str">
        <f>_xlfn.XLOOKUP(tblSales[[#This Row],[Category ID]],tblCategories[Category ID],tblCategories[Category])</f>
        <v>Accessories</v>
      </c>
      <c r="H3004">
        <v>16576</v>
      </c>
      <c r="I3004">
        <v>17873</v>
      </c>
      <c r="J3004">
        <v>74</v>
      </c>
      <c r="K3004">
        <f>tblSales[[#This Row],[Sales]]-tblSales[[#This Row],[Budget]]</f>
        <v>-1297</v>
      </c>
      <c r="L3004" s="3">
        <f>(tblSales[[#This Row],[Sales]]-tblSales[[#This Row],[Budget]])/tblSales[[#This Row],[Budget]]</f>
        <v>-7.2567560006714035E-2</v>
      </c>
      <c r="M3004" s="2">
        <f>tblSales[[#This Row],[Sales]]/tblSales[[#This Row],[Transactions]]</f>
        <v>224</v>
      </c>
    </row>
    <row r="3005" spans="1:13" x14ac:dyDescent="0.25">
      <c r="A3005" s="1">
        <v>46173</v>
      </c>
      <c r="B3005" t="s">
        <v>12</v>
      </c>
      <c r="C3005" t="s">
        <v>9</v>
      </c>
      <c r="D3005" t="str">
        <f>_xlfn.XLOOKUP(tblSales[[#This Row],[Store ID]],tblStores[Store ID],tblStores[Store Name])</f>
        <v>Pietermaritzburg</v>
      </c>
      <c r="E3005" t="str">
        <f>_xlfn.XLOOKUP(tblSales[[#This Row],[Store ID]],tblStores[Store ID],tblStores[Province])</f>
        <v>KZN</v>
      </c>
      <c r="F3005" t="str">
        <f>_xlfn.XLOOKUP(tblSales[[#This Row],[Store ID]],tblStores[Store ID],tblStores[Manager])</f>
        <v>Peter Brown</v>
      </c>
      <c r="G3005" t="str">
        <f>_xlfn.XLOOKUP(tblSales[[#This Row],[Category ID]],tblCategories[Category ID],tblCategories[Category])</f>
        <v>Ladieswear</v>
      </c>
      <c r="H3005">
        <v>34085</v>
      </c>
      <c r="I3005">
        <v>35663</v>
      </c>
      <c r="J3005">
        <v>85</v>
      </c>
      <c r="K3005">
        <f>tblSales[[#This Row],[Sales]]-tblSales[[#This Row],[Budget]]</f>
        <v>-1578</v>
      </c>
      <c r="L3005" s="3">
        <f>(tblSales[[#This Row],[Sales]]-tblSales[[#This Row],[Budget]])/tblSales[[#This Row],[Budget]]</f>
        <v>-4.4247539466674146E-2</v>
      </c>
      <c r="M3005" s="2">
        <f>tblSales[[#This Row],[Sales]]/tblSales[[#This Row],[Transactions]]</f>
        <v>401</v>
      </c>
    </row>
    <row r="3006" spans="1:13" x14ac:dyDescent="0.25">
      <c r="A3006" s="1">
        <v>46173</v>
      </c>
      <c r="B3006" t="s">
        <v>13</v>
      </c>
      <c r="C3006" t="s">
        <v>7</v>
      </c>
      <c r="D3006" t="str">
        <f>_xlfn.XLOOKUP(tblSales[[#This Row],[Store ID]],tblStores[Store ID],tblStores[Store Name])</f>
        <v>Richards Bay</v>
      </c>
      <c r="E3006" t="str">
        <f>_xlfn.XLOOKUP(tblSales[[#This Row],[Store ID]],tblStores[Store ID],tblStores[Province])</f>
        <v>KZN</v>
      </c>
      <c r="F3006" t="str">
        <f>_xlfn.XLOOKUP(tblSales[[#This Row],[Store ID]],tblStores[Store ID],tblStores[Manager])</f>
        <v>David Green</v>
      </c>
      <c r="G3006" t="str">
        <f>_xlfn.XLOOKUP(tblSales[[#This Row],[Category ID]],tblCategories[Category ID],tblCategories[Category])</f>
        <v>Menswear</v>
      </c>
      <c r="H3006">
        <v>31828</v>
      </c>
      <c r="I3006">
        <v>28900</v>
      </c>
      <c r="J3006">
        <v>109</v>
      </c>
      <c r="K3006">
        <f>tblSales[[#This Row],[Sales]]-tblSales[[#This Row],[Budget]]</f>
        <v>2928</v>
      </c>
      <c r="L3006" s="3">
        <f>(tblSales[[#This Row],[Sales]]-tblSales[[#This Row],[Budget]])/tblSales[[#This Row],[Budget]]</f>
        <v>0.10131487889273356</v>
      </c>
      <c r="M3006" s="2">
        <f>tblSales[[#This Row],[Sales]]/tblSales[[#This Row],[Transactions]]</f>
        <v>292</v>
      </c>
    </row>
    <row r="3007" spans="1:13" x14ac:dyDescent="0.25">
      <c r="A3007" s="1">
        <v>46173</v>
      </c>
      <c r="B3007" t="s">
        <v>14</v>
      </c>
      <c r="C3007" t="s">
        <v>22</v>
      </c>
      <c r="D3007" t="str">
        <f>_xlfn.XLOOKUP(tblSales[[#This Row],[Store ID]],tblStores[Store ID],tblStores[Store Name])</f>
        <v>Sandton</v>
      </c>
      <c r="E3007" t="str">
        <f>_xlfn.XLOOKUP(tblSales[[#This Row],[Store ID]],tblStores[Store ID],tblStores[Province])</f>
        <v>Gauteng</v>
      </c>
      <c r="F3007" t="str">
        <f>_xlfn.XLOOKUP(tblSales[[#This Row],[Store ID]],tblStores[Store ID],tblStores[Manager])</f>
        <v>Karen White</v>
      </c>
      <c r="G3007" t="str">
        <f>_xlfn.XLOOKUP(tblSales[[#This Row],[Category ID]],tblCategories[Category ID],tblCategories[Category])</f>
        <v>Kids</v>
      </c>
      <c r="H3007">
        <v>49588</v>
      </c>
      <c r="I3007">
        <v>49417</v>
      </c>
      <c r="J3007">
        <v>98</v>
      </c>
      <c r="K3007">
        <f>tblSales[[#This Row],[Sales]]-tblSales[[#This Row],[Budget]]</f>
        <v>171</v>
      </c>
      <c r="L3007" s="3">
        <f>(tblSales[[#This Row],[Sales]]-tblSales[[#This Row],[Budget]])/tblSales[[#This Row],[Budget]]</f>
        <v>3.4603476536414594E-3</v>
      </c>
      <c r="M3007" s="2">
        <f>tblSales[[#This Row],[Sales]]/tblSales[[#This Row],[Transactions]]</f>
        <v>506</v>
      </c>
    </row>
    <row r="3008" spans="1:13" x14ac:dyDescent="0.25">
      <c r="A3008" s="1">
        <v>46173</v>
      </c>
      <c r="B3008" t="s">
        <v>15</v>
      </c>
      <c r="C3008" t="s">
        <v>11</v>
      </c>
      <c r="D3008" t="str">
        <f>_xlfn.XLOOKUP(tblSales[[#This Row],[Store ID]],tblStores[Store ID],tblStores[Store Name])</f>
        <v>Rosebank</v>
      </c>
      <c r="E3008" t="str">
        <f>_xlfn.XLOOKUP(tblSales[[#This Row],[Store ID]],tblStores[Store ID],tblStores[Province])</f>
        <v>Gauteng</v>
      </c>
      <c r="F3008" t="str">
        <f>_xlfn.XLOOKUP(tblSales[[#This Row],[Store ID]],tblStores[Store ID],tblStores[Manager])</f>
        <v>James Taylor</v>
      </c>
      <c r="G3008" t="str">
        <f>_xlfn.XLOOKUP(tblSales[[#This Row],[Category ID]],tblCategories[Category ID],tblCategories[Category])</f>
        <v>Footwear</v>
      </c>
      <c r="H3008">
        <v>18780</v>
      </c>
      <c r="I3008">
        <v>21222</v>
      </c>
      <c r="J3008">
        <v>60</v>
      </c>
      <c r="K3008">
        <f>tblSales[[#This Row],[Sales]]-tblSales[[#This Row],[Budget]]</f>
        <v>-2442</v>
      </c>
      <c r="L3008" s="3">
        <f>(tblSales[[#This Row],[Sales]]-tblSales[[#This Row],[Budget]])/tblSales[[#This Row],[Budget]]</f>
        <v>-0.11506926774102347</v>
      </c>
      <c r="M3008" s="2">
        <f>tblSales[[#This Row],[Sales]]/tblSales[[#This Row],[Transactions]]</f>
        <v>313</v>
      </c>
    </row>
    <row r="3009" spans="1:13" x14ac:dyDescent="0.25">
      <c r="A3009" s="1">
        <v>46173</v>
      </c>
      <c r="B3009" t="s">
        <v>16</v>
      </c>
      <c r="C3009" t="s">
        <v>19</v>
      </c>
      <c r="D3009" t="str">
        <f>_xlfn.XLOOKUP(tblSales[[#This Row],[Store ID]],tblStores[Store ID],tblStores[Store Name])</f>
        <v>Pretoria</v>
      </c>
      <c r="E3009" t="str">
        <f>_xlfn.XLOOKUP(tblSales[[#This Row],[Store ID]],tblStores[Store ID],tblStores[Province])</f>
        <v>Gauteng</v>
      </c>
      <c r="F3009" t="str">
        <f>_xlfn.XLOOKUP(tblSales[[#This Row],[Store ID]],tblStores[Store ID],tblStores[Manager])</f>
        <v>Susan Clark</v>
      </c>
      <c r="G3009" t="str">
        <f>_xlfn.XLOOKUP(tblSales[[#This Row],[Category ID]],tblCategories[Category ID],tblCategories[Category])</f>
        <v>Accessories</v>
      </c>
      <c r="H3009">
        <v>30552</v>
      </c>
      <c r="I3009">
        <v>31803</v>
      </c>
      <c r="J3009">
        <v>114</v>
      </c>
      <c r="K3009">
        <f>tblSales[[#This Row],[Sales]]-tblSales[[#This Row],[Budget]]</f>
        <v>-1251</v>
      </c>
      <c r="L3009" s="3">
        <f>(tblSales[[#This Row],[Sales]]-tblSales[[#This Row],[Budget]])/tblSales[[#This Row],[Budget]]</f>
        <v>-3.9335911706442787E-2</v>
      </c>
      <c r="M3009" s="2">
        <f>tblSales[[#This Row],[Sales]]/tblSales[[#This Row],[Transactions]]</f>
        <v>268</v>
      </c>
    </row>
    <row r="3010" spans="1:13" x14ac:dyDescent="0.25">
      <c r="A3010" s="1">
        <v>46173</v>
      </c>
      <c r="B3010" t="s">
        <v>17</v>
      </c>
      <c r="C3010" t="s">
        <v>22</v>
      </c>
      <c r="D3010" t="str">
        <f>_xlfn.XLOOKUP(tblSales[[#This Row],[Store ID]],tblStores[Store ID],tblStores[Store Name])</f>
        <v>Centurion</v>
      </c>
      <c r="E3010" t="str">
        <f>_xlfn.XLOOKUP(tblSales[[#This Row],[Store ID]],tblStores[Store ID],tblStores[Province])</f>
        <v>Gauteng</v>
      </c>
      <c r="F3010" t="str">
        <f>_xlfn.XLOOKUP(tblSales[[#This Row],[Store ID]],tblStores[Store ID],tblStores[Manager])</f>
        <v>Mark Wilson</v>
      </c>
      <c r="G3010" t="str">
        <f>_xlfn.XLOOKUP(tblSales[[#This Row],[Category ID]],tblCategories[Category ID],tblCategories[Category])</f>
        <v>Kids</v>
      </c>
      <c r="H3010">
        <v>45933</v>
      </c>
      <c r="I3010">
        <v>49186</v>
      </c>
      <c r="J3010">
        <v>183</v>
      </c>
      <c r="K3010">
        <f>tblSales[[#This Row],[Sales]]-tblSales[[#This Row],[Budget]]</f>
        <v>-3253</v>
      </c>
      <c r="L3010" s="3">
        <f>(tblSales[[#This Row],[Sales]]-tblSales[[#This Row],[Budget]])/tblSales[[#This Row],[Budget]]</f>
        <v>-6.6136705566624654E-2</v>
      </c>
      <c r="M3010" s="2">
        <f>tblSales[[#This Row],[Sales]]/tblSales[[#This Row],[Transactions]]</f>
        <v>251</v>
      </c>
    </row>
    <row r="3011" spans="1:13" x14ac:dyDescent="0.25">
      <c r="A3011" s="1">
        <v>46173</v>
      </c>
      <c r="B3011" t="s">
        <v>18</v>
      </c>
      <c r="C3011" t="s">
        <v>9</v>
      </c>
      <c r="D3011" t="str">
        <f>_xlfn.XLOOKUP(tblSales[[#This Row],[Store ID]],tblStores[Store ID],tblStores[Store Name])</f>
        <v>East Rand</v>
      </c>
      <c r="E3011" t="str">
        <f>_xlfn.XLOOKUP(tblSales[[#This Row],[Store ID]],tblStores[Store ID],tblStores[Province])</f>
        <v>Gauteng</v>
      </c>
      <c r="F3011" t="str">
        <f>_xlfn.XLOOKUP(tblSales[[#This Row],[Store ID]],tblStores[Store ID],tblStores[Manager])</f>
        <v>Lisa Young</v>
      </c>
      <c r="G3011" t="str">
        <f>_xlfn.XLOOKUP(tblSales[[#This Row],[Category ID]],tblCategories[Category ID],tblCategories[Category])</f>
        <v>Ladieswear</v>
      </c>
      <c r="H3011">
        <v>24651</v>
      </c>
      <c r="I3011">
        <v>24751</v>
      </c>
      <c r="J3011">
        <v>99</v>
      </c>
      <c r="K3011">
        <f>tblSales[[#This Row],[Sales]]-tblSales[[#This Row],[Budget]]</f>
        <v>-100</v>
      </c>
      <c r="L3011" s="3">
        <f>(tblSales[[#This Row],[Sales]]-tblSales[[#This Row],[Budget]])/tblSales[[#This Row],[Budget]]</f>
        <v>-4.0402407983515815E-3</v>
      </c>
      <c r="M3011" s="2">
        <f>tblSales[[#This Row],[Sales]]/tblSales[[#This Row],[Transactions]]</f>
        <v>249</v>
      </c>
    </row>
    <row r="3012" spans="1:13" x14ac:dyDescent="0.25">
      <c r="A3012" s="1">
        <v>46173</v>
      </c>
      <c r="B3012" t="s">
        <v>20</v>
      </c>
      <c r="C3012" t="s">
        <v>9</v>
      </c>
      <c r="D3012" t="str">
        <f>_xlfn.XLOOKUP(tblSales[[#This Row],[Store ID]],tblStores[Store ID],tblStores[Store Name])</f>
        <v>Cape Town CBD</v>
      </c>
      <c r="E3012" t="str">
        <f>_xlfn.XLOOKUP(tblSales[[#This Row],[Store ID]],tblStores[Store ID],tblStores[Province])</f>
        <v>Western Cape</v>
      </c>
      <c r="F3012" t="str">
        <f>_xlfn.XLOOKUP(tblSales[[#This Row],[Store ID]],tblStores[Store ID],tblStores[Manager])</f>
        <v>Brian Hall</v>
      </c>
      <c r="G3012" t="str">
        <f>_xlfn.XLOOKUP(tblSales[[#This Row],[Category ID]],tblCategories[Category ID],tblCategories[Category])</f>
        <v>Ladieswear</v>
      </c>
      <c r="H3012">
        <v>37632</v>
      </c>
      <c r="I3012">
        <v>34674</v>
      </c>
      <c r="J3012">
        <v>112</v>
      </c>
      <c r="K3012">
        <f>tblSales[[#This Row],[Sales]]-tblSales[[#This Row],[Budget]]</f>
        <v>2958</v>
      </c>
      <c r="L3012" s="3">
        <f>(tblSales[[#This Row],[Sales]]-tblSales[[#This Row],[Budget]])/tblSales[[#This Row],[Budget]]</f>
        <v>8.5308876968333627E-2</v>
      </c>
      <c r="M3012" s="2">
        <f>tblSales[[#This Row],[Sales]]/tblSales[[#This Row],[Transactions]]</f>
        <v>336</v>
      </c>
    </row>
    <row r="3013" spans="1:13" x14ac:dyDescent="0.25">
      <c r="A3013" s="1">
        <v>46173</v>
      </c>
      <c r="B3013" t="s">
        <v>21</v>
      </c>
      <c r="C3013" t="s">
        <v>19</v>
      </c>
      <c r="D3013" t="str">
        <f>_xlfn.XLOOKUP(tblSales[[#This Row],[Store ID]],tblStores[Store ID],tblStores[Store Name])</f>
        <v>Canal Walk</v>
      </c>
      <c r="E3013" t="str">
        <f>_xlfn.XLOOKUP(tblSales[[#This Row],[Store ID]],tblStores[Store ID],tblStores[Province])</f>
        <v>Western Cape</v>
      </c>
      <c r="F3013" t="str">
        <f>_xlfn.XLOOKUP(tblSales[[#This Row],[Store ID]],tblStores[Store ID],tblStores[Manager])</f>
        <v>Megan Scott</v>
      </c>
      <c r="G3013" t="str">
        <f>_xlfn.XLOOKUP(tblSales[[#This Row],[Category ID]],tblCategories[Category ID],tblCategories[Category])</f>
        <v>Accessories</v>
      </c>
      <c r="H3013">
        <v>81120</v>
      </c>
      <c r="I3013">
        <v>84077</v>
      </c>
      <c r="J3013">
        <v>195</v>
      </c>
      <c r="K3013">
        <f>tblSales[[#This Row],[Sales]]-tblSales[[#This Row],[Budget]]</f>
        <v>-2957</v>
      </c>
      <c r="L3013" s="3">
        <f>(tblSales[[#This Row],[Sales]]-tblSales[[#This Row],[Budget]])/tblSales[[#This Row],[Budget]]</f>
        <v>-3.5170141655863081E-2</v>
      </c>
      <c r="M3013" s="2">
        <f>tblSales[[#This Row],[Sales]]/tblSales[[#This Row],[Transactions]]</f>
        <v>416</v>
      </c>
    </row>
    <row r="3014" spans="1:13" x14ac:dyDescent="0.25">
      <c r="A3014" s="1">
        <v>46173</v>
      </c>
      <c r="B3014" t="s">
        <v>23</v>
      </c>
      <c r="C3014" t="s">
        <v>11</v>
      </c>
      <c r="D3014" t="str">
        <f>_xlfn.XLOOKUP(tblSales[[#This Row],[Store ID]],tblStores[Store ID],tblStores[Store Name])</f>
        <v>Stellenbosch</v>
      </c>
      <c r="E3014" t="str">
        <f>_xlfn.XLOOKUP(tblSales[[#This Row],[Store ID]],tblStores[Store ID],tblStores[Province])</f>
        <v>Western Cape</v>
      </c>
      <c r="F3014" t="str">
        <f>_xlfn.XLOOKUP(tblSales[[#This Row],[Store ID]],tblStores[Store ID],tblStores[Manager])</f>
        <v>Jason King</v>
      </c>
      <c r="G3014" t="str">
        <f>_xlfn.XLOOKUP(tblSales[[#This Row],[Category ID]],tblCategories[Category ID],tblCategories[Category])</f>
        <v>Footwear</v>
      </c>
      <c r="H3014">
        <v>33434</v>
      </c>
      <c r="I3014">
        <v>31249</v>
      </c>
      <c r="J3014">
        <v>146</v>
      </c>
      <c r="K3014">
        <f>tblSales[[#This Row],[Sales]]-tblSales[[#This Row],[Budget]]</f>
        <v>2185</v>
      </c>
      <c r="L3014" s="3">
        <f>(tblSales[[#This Row],[Sales]]-tblSales[[#This Row],[Budget]])/tblSales[[#This Row],[Budget]]</f>
        <v>6.9922237511600371E-2</v>
      </c>
      <c r="M3014" s="2">
        <f>tblSales[[#This Row],[Sales]]/tblSales[[#This Row],[Transactions]]</f>
        <v>229</v>
      </c>
    </row>
    <row r="3015" spans="1:13" x14ac:dyDescent="0.25">
      <c r="A3015" s="1">
        <v>46173</v>
      </c>
      <c r="B3015" t="s">
        <v>24</v>
      </c>
      <c r="C3015" t="s">
        <v>11</v>
      </c>
      <c r="D3015" t="str">
        <f>_xlfn.XLOOKUP(tblSales[[#This Row],[Store ID]],tblStores[Store ID],tblStores[Store Name])</f>
        <v>George</v>
      </c>
      <c r="E3015" t="str">
        <f>_xlfn.XLOOKUP(tblSales[[#This Row],[Store ID]],tblStores[Store ID],tblStores[Province])</f>
        <v>Western Cape</v>
      </c>
      <c r="F3015" t="str">
        <f>_xlfn.XLOOKUP(tblSales[[#This Row],[Store ID]],tblStores[Store ID],tblStores[Manager])</f>
        <v>Chloe Hill</v>
      </c>
      <c r="G3015" t="str">
        <f>_xlfn.XLOOKUP(tblSales[[#This Row],[Category ID]],tblCategories[Category ID],tblCategories[Category])</f>
        <v>Footwear</v>
      </c>
      <c r="H3015">
        <v>72080</v>
      </c>
      <c r="I3015">
        <v>73950</v>
      </c>
      <c r="J3015">
        <v>212</v>
      </c>
      <c r="K3015">
        <f>tblSales[[#This Row],[Sales]]-tblSales[[#This Row],[Budget]]</f>
        <v>-1870</v>
      </c>
      <c r="L3015" s="3">
        <f>(tblSales[[#This Row],[Sales]]-tblSales[[#This Row],[Budget]])/tblSales[[#This Row],[Budget]]</f>
        <v>-2.528735632183908E-2</v>
      </c>
      <c r="M3015" s="2">
        <f>tblSales[[#This Row],[Sales]]/tblSales[[#This Row],[Transactions]]</f>
        <v>340</v>
      </c>
    </row>
    <row r="3016" spans="1:13" x14ac:dyDescent="0.25">
      <c r="A3016" s="1">
        <v>46173</v>
      </c>
      <c r="B3016" t="s">
        <v>25</v>
      </c>
      <c r="C3016" t="s">
        <v>22</v>
      </c>
      <c r="D3016" t="str">
        <f>_xlfn.XLOOKUP(tblSales[[#This Row],[Store ID]],tblStores[Store ID],tblStores[Store Name])</f>
        <v>Paarl</v>
      </c>
      <c r="E3016" t="str">
        <f>_xlfn.XLOOKUP(tblSales[[#This Row],[Store ID]],tblStores[Store ID],tblStores[Province])</f>
        <v>Western Cape</v>
      </c>
      <c r="F3016" t="str">
        <f>_xlfn.XLOOKUP(tblSales[[#This Row],[Store ID]],tblStores[Store ID],tblStores[Manager])</f>
        <v>Andrew Lee</v>
      </c>
      <c r="G3016" t="str">
        <f>_xlfn.XLOOKUP(tblSales[[#This Row],[Category ID]],tblCategories[Category ID],tblCategories[Category])</f>
        <v>Kids</v>
      </c>
      <c r="H3016">
        <v>55594</v>
      </c>
      <c r="I3016">
        <v>55978</v>
      </c>
      <c r="J3016">
        <v>154</v>
      </c>
      <c r="K3016">
        <f>tblSales[[#This Row],[Sales]]-tblSales[[#This Row],[Budget]]</f>
        <v>-384</v>
      </c>
      <c r="L3016" s="3">
        <f>(tblSales[[#This Row],[Sales]]-tblSales[[#This Row],[Budget]])/tblSales[[#This Row],[Budget]]</f>
        <v>-6.8598377934188434E-3</v>
      </c>
      <c r="M3016" s="2">
        <f>tblSales[[#This Row],[Sales]]/tblSales[[#This Row],[Transactions]]</f>
        <v>361</v>
      </c>
    </row>
    <row r="3017" spans="1:13" x14ac:dyDescent="0.25">
      <c r="A3017" s="1">
        <v>46173</v>
      </c>
      <c r="B3017" t="s">
        <v>26</v>
      </c>
      <c r="C3017" t="s">
        <v>11</v>
      </c>
      <c r="D3017" t="str">
        <f>_xlfn.XLOOKUP(tblSales[[#This Row],[Store ID]],tblStores[Store ID],tblStores[Store Name])</f>
        <v>Gqeberha</v>
      </c>
      <c r="E3017" t="str">
        <f>_xlfn.XLOOKUP(tblSales[[#This Row],[Store ID]],tblStores[Store ID],tblStores[Province])</f>
        <v>Eastern Cape</v>
      </c>
      <c r="F3017" t="str">
        <f>_xlfn.XLOOKUP(tblSales[[#This Row],[Store ID]],tblStores[Store ID],tblStores[Manager])</f>
        <v>Emma Baker</v>
      </c>
      <c r="G3017" t="str">
        <f>_xlfn.XLOOKUP(tblSales[[#This Row],[Category ID]],tblCategories[Category ID],tblCategories[Category])</f>
        <v>Footwear</v>
      </c>
      <c r="H3017">
        <v>58240</v>
      </c>
      <c r="I3017">
        <v>52818</v>
      </c>
      <c r="J3017">
        <v>140</v>
      </c>
      <c r="K3017">
        <f>tblSales[[#This Row],[Sales]]-tblSales[[#This Row],[Budget]]</f>
        <v>5422</v>
      </c>
      <c r="L3017" s="3">
        <f>(tblSales[[#This Row],[Sales]]-tblSales[[#This Row],[Budget]])/tblSales[[#This Row],[Budget]]</f>
        <v>0.1026543981218524</v>
      </c>
      <c r="M3017" s="2">
        <f>tblSales[[#This Row],[Sales]]/tblSales[[#This Row],[Transactions]]</f>
        <v>416</v>
      </c>
    </row>
    <row r="3018" spans="1:13" x14ac:dyDescent="0.25">
      <c r="A3018" s="1">
        <v>46173</v>
      </c>
      <c r="B3018" t="s">
        <v>27</v>
      </c>
      <c r="C3018" t="s">
        <v>19</v>
      </c>
      <c r="D3018" t="str">
        <f>_xlfn.XLOOKUP(tblSales[[#This Row],[Store ID]],tblStores[Store ID],tblStores[Store Name])</f>
        <v>East London</v>
      </c>
      <c r="E3018" t="str">
        <f>_xlfn.XLOOKUP(tblSales[[#This Row],[Store ID]],tblStores[Store ID],tblStores[Province])</f>
        <v>Eastern Cape</v>
      </c>
      <c r="F3018" t="str">
        <f>_xlfn.XLOOKUP(tblSales[[#This Row],[Store ID]],tblStores[Store ID],tblStores[Manager])</f>
        <v>Daniel Evans</v>
      </c>
      <c r="G3018" t="str">
        <f>_xlfn.XLOOKUP(tblSales[[#This Row],[Category ID]],tblCategories[Category ID],tblCategories[Category])</f>
        <v>Accessories</v>
      </c>
      <c r="H3018">
        <v>16195</v>
      </c>
      <c r="I3018">
        <v>14933</v>
      </c>
      <c r="J3018">
        <v>41</v>
      </c>
      <c r="K3018">
        <f>tblSales[[#This Row],[Sales]]-tblSales[[#This Row],[Budget]]</f>
        <v>1262</v>
      </c>
      <c r="L3018" s="3">
        <f>(tblSales[[#This Row],[Sales]]-tblSales[[#This Row],[Budget]])/tblSales[[#This Row],[Budget]]</f>
        <v>8.4510814973548523E-2</v>
      </c>
      <c r="M3018" s="2">
        <f>tblSales[[#This Row],[Sales]]/tblSales[[#This Row],[Transactions]]</f>
        <v>395</v>
      </c>
    </row>
    <row r="3019" spans="1:13" x14ac:dyDescent="0.25">
      <c r="A3019" s="1">
        <v>46173</v>
      </c>
      <c r="B3019" t="s">
        <v>28</v>
      </c>
      <c r="C3019" t="s">
        <v>9</v>
      </c>
      <c r="D3019" t="str">
        <f>_xlfn.XLOOKUP(tblSales[[#This Row],[Store ID]],tblStores[Store ID],tblStores[Store Name])</f>
        <v>Bloemfontein</v>
      </c>
      <c r="E3019" t="str">
        <f>_xlfn.XLOOKUP(tblSales[[#This Row],[Store ID]],tblStores[Store ID],tblStores[Province])</f>
        <v>Free State</v>
      </c>
      <c r="F3019" t="str">
        <f>_xlfn.XLOOKUP(tblSales[[#This Row],[Store ID]],tblStores[Store ID],tblStores[Manager])</f>
        <v>Rachel Moore</v>
      </c>
      <c r="G3019" t="str">
        <f>_xlfn.XLOOKUP(tblSales[[#This Row],[Category ID]],tblCategories[Category ID],tblCategories[Category])</f>
        <v>Ladieswear</v>
      </c>
      <c r="H3019">
        <v>64128</v>
      </c>
      <c r="I3019">
        <v>70326</v>
      </c>
      <c r="J3019">
        <v>192</v>
      </c>
      <c r="K3019">
        <f>tblSales[[#This Row],[Sales]]-tblSales[[#This Row],[Budget]]</f>
        <v>-6198</v>
      </c>
      <c r="L3019" s="3">
        <f>(tblSales[[#This Row],[Sales]]-tblSales[[#This Row],[Budget]])/tblSales[[#This Row],[Budget]]</f>
        <v>-8.8132411910246566E-2</v>
      </c>
      <c r="M3019" s="2">
        <f>tblSales[[#This Row],[Sales]]/tblSales[[#This Row],[Transactions]]</f>
        <v>334</v>
      </c>
    </row>
    <row r="3020" spans="1:13" x14ac:dyDescent="0.25">
      <c r="A3020" s="1">
        <v>46173</v>
      </c>
      <c r="B3020" t="s">
        <v>29</v>
      </c>
      <c r="C3020" t="s">
        <v>19</v>
      </c>
      <c r="D3020" t="str">
        <f>_xlfn.XLOOKUP(tblSales[[#This Row],[Store ID]],tblStores[Store ID],tblStores[Store Name])</f>
        <v>Polokwane</v>
      </c>
      <c r="E3020" t="str">
        <f>_xlfn.XLOOKUP(tblSales[[#This Row],[Store ID]],tblStores[Store ID],tblStores[Province])</f>
        <v>Limpopo</v>
      </c>
      <c r="F3020" t="str">
        <f>_xlfn.XLOOKUP(tblSales[[#This Row],[Store ID]],tblStores[Store ID],tblStores[Manager])</f>
        <v>Kevin Harris</v>
      </c>
      <c r="G3020" t="str">
        <f>_xlfn.XLOOKUP(tblSales[[#This Row],[Category ID]],tblCategories[Category ID],tblCategories[Category])</f>
        <v>Accessories</v>
      </c>
      <c r="H3020">
        <v>61586</v>
      </c>
      <c r="I3020">
        <v>57386</v>
      </c>
      <c r="J3020">
        <v>166</v>
      </c>
      <c r="K3020">
        <f>tblSales[[#This Row],[Sales]]-tblSales[[#This Row],[Budget]]</f>
        <v>4200</v>
      </c>
      <c r="L3020" s="3">
        <f>(tblSales[[#This Row],[Sales]]-tblSales[[#This Row],[Budget]])/tblSales[[#This Row],[Budget]]</f>
        <v>7.3188582581117351E-2</v>
      </c>
      <c r="M3020" s="2">
        <f>tblSales[[#This Row],[Sales]]/tblSales[[#This Row],[Transactions]]</f>
        <v>371</v>
      </c>
    </row>
    <row r="3021" spans="1:13" x14ac:dyDescent="0.25">
      <c r="A3021" s="1">
        <v>46173</v>
      </c>
      <c r="B3021" t="s">
        <v>30</v>
      </c>
      <c r="C3021" t="s">
        <v>19</v>
      </c>
      <c r="D3021" t="str">
        <f>_xlfn.XLOOKUP(tblSales[[#This Row],[Store ID]],tblStores[Store ID],tblStores[Store Name])</f>
        <v>Nelspruit</v>
      </c>
      <c r="E3021" t="str">
        <f>_xlfn.XLOOKUP(tblSales[[#This Row],[Store ID]],tblStores[Store ID],tblStores[Province])</f>
        <v>Mpumalanga</v>
      </c>
      <c r="F3021" t="str">
        <f>_xlfn.XLOOKUP(tblSales[[#This Row],[Store ID]],tblStores[Store ID],tblStores[Manager])</f>
        <v>Olivia Turner</v>
      </c>
      <c r="G3021" t="str">
        <f>_xlfn.XLOOKUP(tblSales[[#This Row],[Category ID]],tblCategories[Category ID],tblCategories[Category])</f>
        <v>Accessories</v>
      </c>
      <c r="H3021">
        <v>59070</v>
      </c>
      <c r="I3021">
        <v>53953</v>
      </c>
      <c r="J3021">
        <v>179</v>
      </c>
      <c r="K3021">
        <f>tblSales[[#This Row],[Sales]]-tblSales[[#This Row],[Budget]]</f>
        <v>5117</v>
      </c>
      <c r="L3021" s="3">
        <f>(tblSales[[#This Row],[Sales]]-tblSales[[#This Row],[Budget]])/tblSales[[#This Row],[Budget]]</f>
        <v>9.4841806757733585E-2</v>
      </c>
      <c r="M3021" s="2">
        <f>tblSales[[#This Row],[Sales]]/tblSales[[#This Row],[Transactions]]</f>
        <v>330</v>
      </c>
    </row>
    <row r="3022" spans="1:13" x14ac:dyDescent="0.25">
      <c r="A3022" s="1">
        <v>46174</v>
      </c>
      <c r="B3022" t="s">
        <v>6</v>
      </c>
      <c r="C3022" t="s">
        <v>11</v>
      </c>
      <c r="D3022" t="str">
        <f>_xlfn.XLOOKUP(tblSales[[#This Row],[Store ID]],tblStores[Store ID],tblStores[Store Name])</f>
        <v>Durban CBD</v>
      </c>
      <c r="E3022" t="str">
        <f>_xlfn.XLOOKUP(tblSales[[#This Row],[Store ID]],tblStores[Store ID],tblStores[Province])</f>
        <v>KZN</v>
      </c>
      <c r="F3022" t="str">
        <f>_xlfn.XLOOKUP(tblSales[[#This Row],[Store ID]],tblStores[Store ID],tblStores[Manager])</f>
        <v>Sarah Adams</v>
      </c>
      <c r="G3022" t="str">
        <f>_xlfn.XLOOKUP(tblSales[[#This Row],[Category ID]],tblCategories[Category ID],tblCategories[Category])</f>
        <v>Footwear</v>
      </c>
      <c r="H3022">
        <v>25862</v>
      </c>
      <c r="I3022">
        <v>27608</v>
      </c>
      <c r="J3022">
        <v>67</v>
      </c>
      <c r="K3022">
        <f>tblSales[[#This Row],[Sales]]-tblSales[[#This Row],[Budget]]</f>
        <v>-1746</v>
      </c>
      <c r="L3022" s="3">
        <f>(tblSales[[#This Row],[Sales]]-tblSales[[#This Row],[Budget]])/tblSales[[#This Row],[Budget]]</f>
        <v>-6.3242538394668216E-2</v>
      </c>
      <c r="M3022" s="2">
        <f>tblSales[[#This Row],[Sales]]/tblSales[[#This Row],[Transactions]]</f>
        <v>386</v>
      </c>
    </row>
    <row r="3023" spans="1:13" x14ac:dyDescent="0.25">
      <c r="A3023" s="1">
        <v>46174</v>
      </c>
      <c r="B3023" t="s">
        <v>8</v>
      </c>
      <c r="C3023" t="s">
        <v>11</v>
      </c>
      <c r="D3023" t="str">
        <f>_xlfn.XLOOKUP(tblSales[[#This Row],[Store ID]],tblStores[Store ID],tblStores[Store Name])</f>
        <v>Gateway</v>
      </c>
      <c r="E3023" t="str">
        <f>_xlfn.XLOOKUP(tblSales[[#This Row],[Store ID]],tblStores[Store ID],tblStores[Province])</f>
        <v>KZN</v>
      </c>
      <c r="F3023" t="str">
        <f>_xlfn.XLOOKUP(tblSales[[#This Row],[Store ID]],tblStores[Store ID],tblStores[Manager])</f>
        <v>Michael Jones</v>
      </c>
      <c r="G3023" t="str">
        <f>_xlfn.XLOOKUP(tblSales[[#This Row],[Category ID]],tblCategories[Category ID],tblCategories[Category])</f>
        <v>Footwear</v>
      </c>
      <c r="H3023">
        <v>69305</v>
      </c>
      <c r="I3023">
        <v>76914</v>
      </c>
      <c r="J3023">
        <v>167</v>
      </c>
      <c r="K3023">
        <f>tblSales[[#This Row],[Sales]]-tblSales[[#This Row],[Budget]]</f>
        <v>-7609</v>
      </c>
      <c r="L3023" s="3">
        <f>(tblSales[[#This Row],[Sales]]-tblSales[[#This Row],[Budget]])/tblSales[[#This Row],[Budget]]</f>
        <v>-9.8928673583482854E-2</v>
      </c>
      <c r="M3023" s="2">
        <f>tblSales[[#This Row],[Sales]]/tblSales[[#This Row],[Transactions]]</f>
        <v>415</v>
      </c>
    </row>
    <row r="3024" spans="1:13" x14ac:dyDescent="0.25">
      <c r="A3024" s="1">
        <v>46174</v>
      </c>
      <c r="B3024" t="s">
        <v>10</v>
      </c>
      <c r="C3024" t="s">
        <v>7</v>
      </c>
      <c r="D3024" t="str">
        <f>_xlfn.XLOOKUP(tblSales[[#This Row],[Store ID]],tblStores[Store ID],tblStores[Store Name])</f>
        <v>Ballito</v>
      </c>
      <c r="E3024" t="str">
        <f>_xlfn.XLOOKUP(tblSales[[#This Row],[Store ID]],tblStores[Store ID],tblStores[Province])</f>
        <v>KZN</v>
      </c>
      <c r="F3024" t="str">
        <f>_xlfn.XLOOKUP(tblSales[[#This Row],[Store ID]],tblStores[Store ID],tblStores[Manager])</f>
        <v>Linda Smith</v>
      </c>
      <c r="G3024" t="str">
        <f>_xlfn.XLOOKUP(tblSales[[#This Row],[Category ID]],tblCategories[Category ID],tblCategories[Category])</f>
        <v>Menswear</v>
      </c>
      <c r="H3024">
        <v>15582</v>
      </c>
      <c r="I3024">
        <v>17256</v>
      </c>
      <c r="J3024">
        <v>49</v>
      </c>
      <c r="K3024">
        <f>tblSales[[#This Row],[Sales]]-tblSales[[#This Row],[Budget]]</f>
        <v>-1674</v>
      </c>
      <c r="L3024" s="3">
        <f>(tblSales[[#This Row],[Sales]]-tblSales[[#This Row],[Budget]])/tblSales[[#This Row],[Budget]]</f>
        <v>-9.7009735744089012E-2</v>
      </c>
      <c r="M3024" s="2">
        <f>tblSales[[#This Row],[Sales]]/tblSales[[#This Row],[Transactions]]</f>
        <v>318</v>
      </c>
    </row>
    <row r="3025" spans="1:13" x14ac:dyDescent="0.25">
      <c r="A3025" s="1">
        <v>46174</v>
      </c>
      <c r="B3025" t="s">
        <v>12</v>
      </c>
      <c r="C3025" t="s">
        <v>7</v>
      </c>
      <c r="D3025" t="str">
        <f>_xlfn.XLOOKUP(tblSales[[#This Row],[Store ID]],tblStores[Store ID],tblStores[Store Name])</f>
        <v>Pietermaritzburg</v>
      </c>
      <c r="E3025" t="str">
        <f>_xlfn.XLOOKUP(tblSales[[#This Row],[Store ID]],tblStores[Store ID],tblStores[Province])</f>
        <v>KZN</v>
      </c>
      <c r="F3025" t="str">
        <f>_xlfn.XLOOKUP(tblSales[[#This Row],[Store ID]],tblStores[Store ID],tblStores[Manager])</f>
        <v>Peter Brown</v>
      </c>
      <c r="G3025" t="str">
        <f>_xlfn.XLOOKUP(tblSales[[#This Row],[Category ID]],tblCategories[Category ID],tblCategories[Category])</f>
        <v>Menswear</v>
      </c>
      <c r="H3025">
        <v>58080</v>
      </c>
      <c r="I3025">
        <v>53686</v>
      </c>
      <c r="J3025">
        <v>120</v>
      </c>
      <c r="K3025">
        <f>tblSales[[#This Row],[Sales]]-tblSales[[#This Row],[Budget]]</f>
        <v>4394</v>
      </c>
      <c r="L3025" s="3">
        <f>(tblSales[[#This Row],[Sales]]-tblSales[[#This Row],[Budget]])/tblSales[[#This Row],[Budget]]</f>
        <v>8.1846291398129864E-2</v>
      </c>
      <c r="M3025" s="2">
        <f>tblSales[[#This Row],[Sales]]/tblSales[[#This Row],[Transactions]]</f>
        <v>484</v>
      </c>
    </row>
    <row r="3026" spans="1:13" x14ac:dyDescent="0.25">
      <c r="A3026" s="1">
        <v>46174</v>
      </c>
      <c r="B3026" t="s">
        <v>13</v>
      </c>
      <c r="C3026" t="s">
        <v>22</v>
      </c>
      <c r="D3026" t="str">
        <f>_xlfn.XLOOKUP(tblSales[[#This Row],[Store ID]],tblStores[Store ID],tblStores[Store Name])</f>
        <v>Richards Bay</v>
      </c>
      <c r="E3026" t="str">
        <f>_xlfn.XLOOKUP(tblSales[[#This Row],[Store ID]],tblStores[Store ID],tblStores[Province])</f>
        <v>KZN</v>
      </c>
      <c r="F3026" t="str">
        <f>_xlfn.XLOOKUP(tblSales[[#This Row],[Store ID]],tblStores[Store ID],tblStores[Manager])</f>
        <v>David Green</v>
      </c>
      <c r="G3026" t="str">
        <f>_xlfn.XLOOKUP(tblSales[[#This Row],[Category ID]],tblCategories[Category ID],tblCategories[Category])</f>
        <v>Kids</v>
      </c>
      <c r="H3026">
        <v>76254</v>
      </c>
      <c r="I3026">
        <v>81793</v>
      </c>
      <c r="J3026">
        <v>179</v>
      </c>
      <c r="K3026">
        <f>tblSales[[#This Row],[Sales]]-tblSales[[#This Row],[Budget]]</f>
        <v>-5539</v>
      </c>
      <c r="L3026" s="3">
        <f>(tblSales[[#This Row],[Sales]]-tblSales[[#This Row],[Budget]])/tblSales[[#This Row],[Budget]]</f>
        <v>-6.7719731517367016E-2</v>
      </c>
      <c r="M3026" s="2">
        <f>tblSales[[#This Row],[Sales]]/tblSales[[#This Row],[Transactions]]</f>
        <v>426</v>
      </c>
    </row>
    <row r="3027" spans="1:13" x14ac:dyDescent="0.25">
      <c r="A3027" s="1">
        <v>46174</v>
      </c>
      <c r="B3027" t="s">
        <v>14</v>
      </c>
      <c r="C3027" t="s">
        <v>7</v>
      </c>
      <c r="D3027" t="str">
        <f>_xlfn.XLOOKUP(tblSales[[#This Row],[Store ID]],tblStores[Store ID],tblStores[Store Name])</f>
        <v>Sandton</v>
      </c>
      <c r="E3027" t="str">
        <f>_xlfn.XLOOKUP(tblSales[[#This Row],[Store ID]],tblStores[Store ID],tblStores[Province])</f>
        <v>Gauteng</v>
      </c>
      <c r="F3027" t="str">
        <f>_xlfn.XLOOKUP(tblSales[[#This Row],[Store ID]],tblStores[Store ID],tblStores[Manager])</f>
        <v>Karen White</v>
      </c>
      <c r="G3027" t="str">
        <f>_xlfn.XLOOKUP(tblSales[[#This Row],[Category ID]],tblCategories[Category ID],tblCategories[Category])</f>
        <v>Menswear</v>
      </c>
      <c r="H3027">
        <v>31614</v>
      </c>
      <c r="I3027">
        <v>33782</v>
      </c>
      <c r="J3027">
        <v>66</v>
      </c>
      <c r="K3027">
        <f>tblSales[[#This Row],[Sales]]-tblSales[[#This Row],[Budget]]</f>
        <v>-2168</v>
      </c>
      <c r="L3027" s="3">
        <f>(tblSales[[#This Row],[Sales]]-tblSales[[#This Row],[Budget]])/tblSales[[#This Row],[Budget]]</f>
        <v>-6.4176188502752946E-2</v>
      </c>
      <c r="M3027" s="2">
        <f>tblSales[[#This Row],[Sales]]/tblSales[[#This Row],[Transactions]]</f>
        <v>479</v>
      </c>
    </row>
    <row r="3028" spans="1:13" x14ac:dyDescent="0.25">
      <c r="A3028" s="1">
        <v>46174</v>
      </c>
      <c r="B3028" t="s">
        <v>15</v>
      </c>
      <c r="C3028" t="s">
        <v>7</v>
      </c>
      <c r="D3028" t="str">
        <f>_xlfn.XLOOKUP(tblSales[[#This Row],[Store ID]],tblStores[Store ID],tblStores[Store Name])</f>
        <v>Rosebank</v>
      </c>
      <c r="E3028" t="str">
        <f>_xlfn.XLOOKUP(tblSales[[#This Row],[Store ID]],tblStores[Store ID],tblStores[Province])</f>
        <v>Gauteng</v>
      </c>
      <c r="F3028" t="str">
        <f>_xlfn.XLOOKUP(tblSales[[#This Row],[Store ID]],tblStores[Store ID],tblStores[Manager])</f>
        <v>James Taylor</v>
      </c>
      <c r="G3028" t="str">
        <f>_xlfn.XLOOKUP(tblSales[[#This Row],[Category ID]],tblCategories[Category ID],tblCategories[Category])</f>
        <v>Menswear</v>
      </c>
      <c r="H3028">
        <v>60776</v>
      </c>
      <c r="I3028">
        <v>62542</v>
      </c>
      <c r="J3028">
        <v>214</v>
      </c>
      <c r="K3028">
        <f>tblSales[[#This Row],[Sales]]-tblSales[[#This Row],[Budget]]</f>
        <v>-1766</v>
      </c>
      <c r="L3028" s="3">
        <f>(tblSales[[#This Row],[Sales]]-tblSales[[#This Row],[Budget]])/tblSales[[#This Row],[Budget]]</f>
        <v>-2.8237024719388572E-2</v>
      </c>
      <c r="M3028" s="2">
        <f>tblSales[[#This Row],[Sales]]/tblSales[[#This Row],[Transactions]]</f>
        <v>284</v>
      </c>
    </row>
    <row r="3029" spans="1:13" x14ac:dyDescent="0.25">
      <c r="A3029" s="1">
        <v>46174</v>
      </c>
      <c r="B3029" t="s">
        <v>16</v>
      </c>
      <c r="C3029" t="s">
        <v>19</v>
      </c>
      <c r="D3029" t="str">
        <f>_xlfn.XLOOKUP(tblSales[[#This Row],[Store ID]],tblStores[Store ID],tblStores[Store Name])</f>
        <v>Pretoria</v>
      </c>
      <c r="E3029" t="str">
        <f>_xlfn.XLOOKUP(tblSales[[#This Row],[Store ID]],tblStores[Store ID],tblStores[Province])</f>
        <v>Gauteng</v>
      </c>
      <c r="F3029" t="str">
        <f>_xlfn.XLOOKUP(tblSales[[#This Row],[Store ID]],tblStores[Store ID],tblStores[Manager])</f>
        <v>Susan Clark</v>
      </c>
      <c r="G3029" t="str">
        <f>_xlfn.XLOOKUP(tblSales[[#This Row],[Category ID]],tblCategories[Category ID],tblCategories[Category])</f>
        <v>Accessories</v>
      </c>
      <c r="H3029">
        <v>40089</v>
      </c>
      <c r="I3029">
        <v>38320</v>
      </c>
      <c r="J3029">
        <v>161</v>
      </c>
      <c r="K3029">
        <f>tblSales[[#This Row],[Sales]]-tblSales[[#This Row],[Budget]]</f>
        <v>1769</v>
      </c>
      <c r="L3029" s="3">
        <f>(tblSales[[#This Row],[Sales]]-tblSales[[#This Row],[Budget]])/tblSales[[#This Row],[Budget]]</f>
        <v>4.6163883089770354E-2</v>
      </c>
      <c r="M3029" s="2">
        <f>tblSales[[#This Row],[Sales]]/tblSales[[#This Row],[Transactions]]</f>
        <v>249</v>
      </c>
    </row>
    <row r="3030" spans="1:13" x14ac:dyDescent="0.25">
      <c r="A3030" s="1">
        <v>46174</v>
      </c>
      <c r="B3030" t="s">
        <v>17</v>
      </c>
      <c r="C3030" t="s">
        <v>9</v>
      </c>
      <c r="D3030" t="str">
        <f>_xlfn.XLOOKUP(tblSales[[#This Row],[Store ID]],tblStores[Store ID],tblStores[Store Name])</f>
        <v>Centurion</v>
      </c>
      <c r="E3030" t="str">
        <f>_xlfn.XLOOKUP(tblSales[[#This Row],[Store ID]],tblStores[Store ID],tblStores[Province])</f>
        <v>Gauteng</v>
      </c>
      <c r="F3030" t="str">
        <f>_xlfn.XLOOKUP(tblSales[[#This Row],[Store ID]],tblStores[Store ID],tblStores[Manager])</f>
        <v>Mark Wilson</v>
      </c>
      <c r="G3030" t="str">
        <f>_xlfn.XLOOKUP(tblSales[[#This Row],[Category ID]],tblCategories[Category ID],tblCategories[Category])</f>
        <v>Ladieswear</v>
      </c>
      <c r="H3030">
        <v>56112</v>
      </c>
      <c r="I3030">
        <v>54861</v>
      </c>
      <c r="J3030">
        <v>112</v>
      </c>
      <c r="K3030">
        <f>tblSales[[#This Row],[Sales]]-tblSales[[#This Row],[Budget]]</f>
        <v>1251</v>
      </c>
      <c r="L3030" s="3">
        <f>(tblSales[[#This Row],[Sales]]-tblSales[[#This Row],[Budget]])/tblSales[[#This Row],[Budget]]</f>
        <v>2.280308415814513E-2</v>
      </c>
      <c r="M3030" s="2">
        <f>tblSales[[#This Row],[Sales]]/tblSales[[#This Row],[Transactions]]</f>
        <v>501</v>
      </c>
    </row>
    <row r="3031" spans="1:13" x14ac:dyDescent="0.25">
      <c r="A3031" s="1">
        <v>46174</v>
      </c>
      <c r="B3031" t="s">
        <v>18</v>
      </c>
      <c r="C3031" t="s">
        <v>7</v>
      </c>
      <c r="D3031" t="str">
        <f>_xlfn.XLOOKUP(tblSales[[#This Row],[Store ID]],tblStores[Store ID],tblStores[Store Name])</f>
        <v>East Rand</v>
      </c>
      <c r="E3031" t="str">
        <f>_xlfn.XLOOKUP(tblSales[[#This Row],[Store ID]],tblStores[Store ID],tblStores[Province])</f>
        <v>Gauteng</v>
      </c>
      <c r="F3031" t="str">
        <f>_xlfn.XLOOKUP(tblSales[[#This Row],[Store ID]],tblStores[Store ID],tblStores[Manager])</f>
        <v>Lisa Young</v>
      </c>
      <c r="G3031" t="str">
        <f>_xlfn.XLOOKUP(tblSales[[#This Row],[Category ID]],tblCategories[Category ID],tblCategories[Category])</f>
        <v>Menswear</v>
      </c>
      <c r="H3031">
        <v>79341</v>
      </c>
      <c r="I3031">
        <v>85049</v>
      </c>
      <c r="J3031">
        <v>159</v>
      </c>
      <c r="K3031">
        <f>tblSales[[#This Row],[Sales]]-tblSales[[#This Row],[Budget]]</f>
        <v>-5708</v>
      </c>
      <c r="L3031" s="3">
        <f>(tblSales[[#This Row],[Sales]]-tblSales[[#This Row],[Budget]])/tblSales[[#This Row],[Budget]]</f>
        <v>-6.7114251784265541E-2</v>
      </c>
      <c r="M3031" s="2">
        <f>tblSales[[#This Row],[Sales]]/tblSales[[#This Row],[Transactions]]</f>
        <v>499</v>
      </c>
    </row>
    <row r="3032" spans="1:13" x14ac:dyDescent="0.25">
      <c r="A3032" s="1">
        <v>46174</v>
      </c>
      <c r="B3032" t="s">
        <v>20</v>
      </c>
      <c r="C3032" t="s">
        <v>7</v>
      </c>
      <c r="D3032" t="str">
        <f>_xlfn.XLOOKUP(tblSales[[#This Row],[Store ID]],tblStores[Store ID],tblStores[Store Name])</f>
        <v>Cape Town CBD</v>
      </c>
      <c r="E3032" t="str">
        <f>_xlfn.XLOOKUP(tblSales[[#This Row],[Store ID]],tblStores[Store ID],tblStores[Province])</f>
        <v>Western Cape</v>
      </c>
      <c r="F3032" t="str">
        <f>_xlfn.XLOOKUP(tblSales[[#This Row],[Store ID]],tblStores[Store ID],tblStores[Manager])</f>
        <v>Brian Hall</v>
      </c>
      <c r="G3032" t="str">
        <f>_xlfn.XLOOKUP(tblSales[[#This Row],[Category ID]],tblCategories[Category ID],tblCategories[Category])</f>
        <v>Menswear</v>
      </c>
      <c r="H3032">
        <v>9360</v>
      </c>
      <c r="I3032">
        <v>8782</v>
      </c>
      <c r="J3032">
        <v>52</v>
      </c>
      <c r="K3032">
        <f>tblSales[[#This Row],[Sales]]-tblSales[[#This Row],[Budget]]</f>
        <v>578</v>
      </c>
      <c r="L3032" s="3">
        <f>(tblSales[[#This Row],[Sales]]-tblSales[[#This Row],[Budget]])/tblSales[[#This Row],[Budget]]</f>
        <v>6.581644272375313E-2</v>
      </c>
      <c r="M3032" s="2">
        <f>tblSales[[#This Row],[Sales]]/tblSales[[#This Row],[Transactions]]</f>
        <v>180</v>
      </c>
    </row>
    <row r="3033" spans="1:13" x14ac:dyDescent="0.25">
      <c r="A3033" s="1">
        <v>46174</v>
      </c>
      <c r="B3033" t="s">
        <v>21</v>
      </c>
      <c r="C3033" t="s">
        <v>7</v>
      </c>
      <c r="D3033" t="str">
        <f>_xlfn.XLOOKUP(tblSales[[#This Row],[Store ID]],tblStores[Store ID],tblStores[Store Name])</f>
        <v>Canal Walk</v>
      </c>
      <c r="E3033" t="str">
        <f>_xlfn.XLOOKUP(tblSales[[#This Row],[Store ID]],tblStores[Store ID],tblStores[Province])</f>
        <v>Western Cape</v>
      </c>
      <c r="F3033" t="str">
        <f>_xlfn.XLOOKUP(tblSales[[#This Row],[Store ID]],tblStores[Store ID],tblStores[Manager])</f>
        <v>Megan Scott</v>
      </c>
      <c r="G3033" t="str">
        <f>_xlfn.XLOOKUP(tblSales[[#This Row],[Category ID]],tblCategories[Category ID],tblCategories[Category])</f>
        <v>Menswear</v>
      </c>
      <c r="H3033">
        <v>38472</v>
      </c>
      <c r="I3033">
        <v>37002</v>
      </c>
      <c r="J3033">
        <v>168</v>
      </c>
      <c r="K3033">
        <f>tblSales[[#This Row],[Sales]]-tblSales[[#This Row],[Budget]]</f>
        <v>1470</v>
      </c>
      <c r="L3033" s="3">
        <f>(tblSales[[#This Row],[Sales]]-tblSales[[#This Row],[Budget]])/tblSales[[#This Row],[Budget]]</f>
        <v>3.9727582292849034E-2</v>
      </c>
      <c r="M3033" s="2">
        <f>tblSales[[#This Row],[Sales]]/tblSales[[#This Row],[Transactions]]</f>
        <v>229</v>
      </c>
    </row>
    <row r="3034" spans="1:13" x14ac:dyDescent="0.25">
      <c r="A3034" s="1">
        <v>46174</v>
      </c>
      <c r="B3034" t="s">
        <v>23</v>
      </c>
      <c r="C3034" t="s">
        <v>7</v>
      </c>
      <c r="D3034" t="str">
        <f>_xlfn.XLOOKUP(tblSales[[#This Row],[Store ID]],tblStores[Store ID],tblStores[Store Name])</f>
        <v>Stellenbosch</v>
      </c>
      <c r="E3034" t="str">
        <f>_xlfn.XLOOKUP(tblSales[[#This Row],[Store ID]],tblStores[Store ID],tblStores[Province])</f>
        <v>Western Cape</v>
      </c>
      <c r="F3034" t="str">
        <f>_xlfn.XLOOKUP(tblSales[[#This Row],[Store ID]],tblStores[Store ID],tblStores[Manager])</f>
        <v>Jason King</v>
      </c>
      <c r="G3034" t="str">
        <f>_xlfn.XLOOKUP(tblSales[[#This Row],[Category ID]],tblCategories[Category ID],tblCategories[Category])</f>
        <v>Menswear</v>
      </c>
      <c r="H3034">
        <v>29952</v>
      </c>
      <c r="I3034">
        <v>33192</v>
      </c>
      <c r="J3034">
        <v>156</v>
      </c>
      <c r="K3034">
        <f>tblSales[[#This Row],[Sales]]-tblSales[[#This Row],[Budget]]</f>
        <v>-3240</v>
      </c>
      <c r="L3034" s="3">
        <f>(tblSales[[#This Row],[Sales]]-tblSales[[#This Row],[Budget]])/tblSales[[#This Row],[Budget]]</f>
        <v>-9.7613882863340565E-2</v>
      </c>
      <c r="M3034" s="2">
        <f>tblSales[[#This Row],[Sales]]/tblSales[[#This Row],[Transactions]]</f>
        <v>192</v>
      </c>
    </row>
    <row r="3035" spans="1:13" x14ac:dyDescent="0.25">
      <c r="A3035" s="1">
        <v>46174</v>
      </c>
      <c r="B3035" t="s">
        <v>24</v>
      </c>
      <c r="C3035" t="s">
        <v>11</v>
      </c>
      <c r="D3035" t="str">
        <f>_xlfn.XLOOKUP(tblSales[[#This Row],[Store ID]],tblStores[Store ID],tblStores[Store Name])</f>
        <v>George</v>
      </c>
      <c r="E3035" t="str">
        <f>_xlfn.XLOOKUP(tblSales[[#This Row],[Store ID]],tblStores[Store ID],tblStores[Province])</f>
        <v>Western Cape</v>
      </c>
      <c r="F3035" t="str">
        <f>_xlfn.XLOOKUP(tblSales[[#This Row],[Store ID]],tblStores[Store ID],tblStores[Manager])</f>
        <v>Chloe Hill</v>
      </c>
      <c r="G3035" t="str">
        <f>_xlfn.XLOOKUP(tblSales[[#This Row],[Category ID]],tblCategories[Category ID],tblCategories[Category])</f>
        <v>Footwear</v>
      </c>
      <c r="H3035">
        <v>28080</v>
      </c>
      <c r="I3035">
        <v>31772</v>
      </c>
      <c r="J3035">
        <v>135</v>
      </c>
      <c r="K3035">
        <f>tblSales[[#This Row],[Sales]]-tblSales[[#This Row],[Budget]]</f>
        <v>-3692</v>
      </c>
      <c r="L3035" s="3">
        <f>(tblSales[[#This Row],[Sales]]-tblSales[[#This Row],[Budget]])/tblSales[[#This Row],[Budget]]</f>
        <v>-0.11620294599018004</v>
      </c>
      <c r="M3035" s="2">
        <f>tblSales[[#This Row],[Sales]]/tblSales[[#This Row],[Transactions]]</f>
        <v>208</v>
      </c>
    </row>
    <row r="3036" spans="1:13" x14ac:dyDescent="0.25">
      <c r="A3036" s="1">
        <v>46174</v>
      </c>
      <c r="B3036" t="s">
        <v>25</v>
      </c>
      <c r="C3036" t="s">
        <v>22</v>
      </c>
      <c r="D3036" t="str">
        <f>_xlfn.XLOOKUP(tblSales[[#This Row],[Store ID]],tblStores[Store ID],tblStores[Store Name])</f>
        <v>Paarl</v>
      </c>
      <c r="E3036" t="str">
        <f>_xlfn.XLOOKUP(tblSales[[#This Row],[Store ID]],tblStores[Store ID],tblStores[Province])</f>
        <v>Western Cape</v>
      </c>
      <c r="F3036" t="str">
        <f>_xlfn.XLOOKUP(tblSales[[#This Row],[Store ID]],tblStores[Store ID],tblStores[Manager])</f>
        <v>Andrew Lee</v>
      </c>
      <c r="G3036" t="str">
        <f>_xlfn.XLOOKUP(tblSales[[#This Row],[Category ID]],tblCategories[Category ID],tblCategories[Category])</f>
        <v>Kids</v>
      </c>
      <c r="H3036">
        <v>58926</v>
      </c>
      <c r="I3036">
        <v>67509</v>
      </c>
      <c r="J3036">
        <v>138</v>
      </c>
      <c r="K3036">
        <f>tblSales[[#This Row],[Sales]]-tblSales[[#This Row],[Budget]]</f>
        <v>-8583</v>
      </c>
      <c r="L3036" s="3">
        <f>(tblSales[[#This Row],[Sales]]-tblSales[[#This Row],[Budget]])/tblSales[[#This Row],[Budget]]</f>
        <v>-0.12713860374172334</v>
      </c>
      <c r="M3036" s="2">
        <f>tblSales[[#This Row],[Sales]]/tblSales[[#This Row],[Transactions]]</f>
        <v>427</v>
      </c>
    </row>
    <row r="3037" spans="1:13" x14ac:dyDescent="0.25">
      <c r="A3037" s="1">
        <v>46174</v>
      </c>
      <c r="B3037" t="s">
        <v>26</v>
      </c>
      <c r="C3037" t="s">
        <v>9</v>
      </c>
      <c r="D3037" t="str">
        <f>_xlfn.XLOOKUP(tblSales[[#This Row],[Store ID]],tblStores[Store ID],tblStores[Store Name])</f>
        <v>Gqeberha</v>
      </c>
      <c r="E3037" t="str">
        <f>_xlfn.XLOOKUP(tblSales[[#This Row],[Store ID]],tblStores[Store ID],tblStores[Province])</f>
        <v>Eastern Cape</v>
      </c>
      <c r="F3037" t="str">
        <f>_xlfn.XLOOKUP(tblSales[[#This Row],[Store ID]],tblStores[Store ID],tblStores[Manager])</f>
        <v>Emma Baker</v>
      </c>
      <c r="G3037" t="str">
        <f>_xlfn.XLOOKUP(tblSales[[#This Row],[Category ID]],tblCategories[Category ID],tblCategories[Category])</f>
        <v>Ladieswear</v>
      </c>
      <c r="H3037">
        <v>54462</v>
      </c>
      <c r="I3037">
        <v>60203</v>
      </c>
      <c r="J3037">
        <v>174</v>
      </c>
      <c r="K3037">
        <f>tblSales[[#This Row],[Sales]]-tblSales[[#This Row],[Budget]]</f>
        <v>-5741</v>
      </c>
      <c r="L3037" s="3">
        <f>(tblSales[[#This Row],[Sales]]-tblSales[[#This Row],[Budget]])/tblSales[[#This Row],[Budget]]</f>
        <v>-9.5360696310815077E-2</v>
      </c>
      <c r="M3037" s="2">
        <f>tblSales[[#This Row],[Sales]]/tblSales[[#This Row],[Transactions]]</f>
        <v>313</v>
      </c>
    </row>
    <row r="3038" spans="1:13" x14ac:dyDescent="0.25">
      <c r="A3038" s="1">
        <v>46174</v>
      </c>
      <c r="B3038" t="s">
        <v>27</v>
      </c>
      <c r="C3038" t="s">
        <v>11</v>
      </c>
      <c r="D3038" t="str">
        <f>_xlfn.XLOOKUP(tblSales[[#This Row],[Store ID]],tblStores[Store ID],tblStores[Store Name])</f>
        <v>East London</v>
      </c>
      <c r="E3038" t="str">
        <f>_xlfn.XLOOKUP(tblSales[[#This Row],[Store ID]],tblStores[Store ID],tblStores[Province])</f>
        <v>Eastern Cape</v>
      </c>
      <c r="F3038" t="str">
        <f>_xlfn.XLOOKUP(tblSales[[#This Row],[Store ID]],tblStores[Store ID],tblStores[Manager])</f>
        <v>Daniel Evans</v>
      </c>
      <c r="G3038" t="str">
        <f>_xlfn.XLOOKUP(tblSales[[#This Row],[Category ID]],tblCategories[Category ID],tblCategories[Category])</f>
        <v>Footwear</v>
      </c>
      <c r="H3038">
        <v>100485</v>
      </c>
      <c r="I3038">
        <v>93531</v>
      </c>
      <c r="J3038">
        <v>203</v>
      </c>
      <c r="K3038">
        <f>tblSales[[#This Row],[Sales]]-tblSales[[#This Row],[Budget]]</f>
        <v>6954</v>
      </c>
      <c r="L3038" s="3">
        <f>(tblSales[[#This Row],[Sales]]-tblSales[[#This Row],[Budget]])/tblSales[[#This Row],[Budget]]</f>
        <v>7.4349680854476061E-2</v>
      </c>
      <c r="M3038" s="2">
        <f>tblSales[[#This Row],[Sales]]/tblSales[[#This Row],[Transactions]]</f>
        <v>495</v>
      </c>
    </row>
    <row r="3039" spans="1:13" x14ac:dyDescent="0.25">
      <c r="A3039" s="1">
        <v>46174</v>
      </c>
      <c r="B3039" t="s">
        <v>28</v>
      </c>
      <c r="C3039" t="s">
        <v>9</v>
      </c>
      <c r="D3039" t="str">
        <f>_xlfn.XLOOKUP(tblSales[[#This Row],[Store ID]],tblStores[Store ID],tblStores[Store Name])</f>
        <v>Bloemfontein</v>
      </c>
      <c r="E3039" t="str">
        <f>_xlfn.XLOOKUP(tblSales[[#This Row],[Store ID]],tblStores[Store ID],tblStores[Province])</f>
        <v>Free State</v>
      </c>
      <c r="F3039" t="str">
        <f>_xlfn.XLOOKUP(tblSales[[#This Row],[Store ID]],tblStores[Store ID],tblStores[Manager])</f>
        <v>Rachel Moore</v>
      </c>
      <c r="G3039" t="str">
        <f>_xlfn.XLOOKUP(tblSales[[#This Row],[Category ID]],tblCategories[Category ID],tblCategories[Category])</f>
        <v>Ladieswear</v>
      </c>
      <c r="H3039">
        <v>37627</v>
      </c>
      <c r="I3039">
        <v>35602</v>
      </c>
      <c r="J3039">
        <v>197</v>
      </c>
      <c r="K3039">
        <f>tblSales[[#This Row],[Sales]]-tblSales[[#This Row],[Budget]]</f>
        <v>2025</v>
      </c>
      <c r="L3039" s="3">
        <f>(tblSales[[#This Row],[Sales]]-tblSales[[#This Row],[Budget]])/tblSales[[#This Row],[Budget]]</f>
        <v>5.6878827032189203E-2</v>
      </c>
      <c r="M3039" s="2">
        <f>tblSales[[#This Row],[Sales]]/tblSales[[#This Row],[Transactions]]</f>
        <v>191</v>
      </c>
    </row>
    <row r="3040" spans="1:13" x14ac:dyDescent="0.25">
      <c r="A3040" s="1">
        <v>46174</v>
      </c>
      <c r="B3040" t="s">
        <v>29</v>
      </c>
      <c r="C3040" t="s">
        <v>9</v>
      </c>
      <c r="D3040" t="str">
        <f>_xlfn.XLOOKUP(tblSales[[#This Row],[Store ID]],tblStores[Store ID],tblStores[Store Name])</f>
        <v>Polokwane</v>
      </c>
      <c r="E3040" t="str">
        <f>_xlfn.XLOOKUP(tblSales[[#This Row],[Store ID]],tblStores[Store ID],tblStores[Province])</f>
        <v>Limpopo</v>
      </c>
      <c r="F3040" t="str">
        <f>_xlfn.XLOOKUP(tblSales[[#This Row],[Store ID]],tblStores[Store ID],tblStores[Manager])</f>
        <v>Kevin Harris</v>
      </c>
      <c r="G3040" t="str">
        <f>_xlfn.XLOOKUP(tblSales[[#This Row],[Category ID]],tblCategories[Category ID],tblCategories[Category])</f>
        <v>Ladieswear</v>
      </c>
      <c r="H3040">
        <v>34398</v>
      </c>
      <c r="I3040">
        <v>37336</v>
      </c>
      <c r="J3040">
        <v>78</v>
      </c>
      <c r="K3040">
        <f>tblSales[[#This Row],[Sales]]-tblSales[[#This Row],[Budget]]</f>
        <v>-2938</v>
      </c>
      <c r="L3040" s="3">
        <f>(tblSales[[#This Row],[Sales]]-tblSales[[#This Row],[Budget]])/tblSales[[#This Row],[Budget]]</f>
        <v>-7.8690807799442902E-2</v>
      </c>
      <c r="M3040" s="2">
        <f>tblSales[[#This Row],[Sales]]/tblSales[[#This Row],[Transactions]]</f>
        <v>441</v>
      </c>
    </row>
    <row r="3041" spans="1:13" x14ac:dyDescent="0.25">
      <c r="A3041" s="1">
        <v>46174</v>
      </c>
      <c r="B3041" t="s">
        <v>30</v>
      </c>
      <c r="C3041" t="s">
        <v>19</v>
      </c>
      <c r="D3041" t="str">
        <f>_xlfn.XLOOKUP(tblSales[[#This Row],[Store ID]],tblStores[Store ID],tblStores[Store Name])</f>
        <v>Nelspruit</v>
      </c>
      <c r="E3041" t="str">
        <f>_xlfn.XLOOKUP(tblSales[[#This Row],[Store ID]],tblStores[Store ID],tblStores[Province])</f>
        <v>Mpumalanga</v>
      </c>
      <c r="F3041" t="str">
        <f>_xlfn.XLOOKUP(tblSales[[#This Row],[Store ID]],tblStores[Store ID],tblStores[Manager])</f>
        <v>Olivia Turner</v>
      </c>
      <c r="G3041" t="str">
        <f>_xlfn.XLOOKUP(tblSales[[#This Row],[Category ID]],tblCategories[Category ID],tblCategories[Category])</f>
        <v>Accessories</v>
      </c>
      <c r="H3041">
        <v>36378</v>
      </c>
      <c r="I3041">
        <v>37109</v>
      </c>
      <c r="J3041">
        <v>86</v>
      </c>
      <c r="K3041">
        <f>tblSales[[#This Row],[Sales]]-tblSales[[#This Row],[Budget]]</f>
        <v>-731</v>
      </c>
      <c r="L3041" s="3">
        <f>(tblSales[[#This Row],[Sales]]-tblSales[[#This Row],[Budget]])/tblSales[[#This Row],[Budget]]</f>
        <v>-1.9698725376593278E-2</v>
      </c>
      <c r="M3041" s="2">
        <f>tblSales[[#This Row],[Sales]]/tblSales[[#This Row],[Transactions]]</f>
        <v>423</v>
      </c>
    </row>
    <row r="3042" spans="1:13" x14ac:dyDescent="0.25">
      <c r="A3042" s="1">
        <v>46175</v>
      </c>
      <c r="B3042" t="s">
        <v>6</v>
      </c>
      <c r="C3042" t="s">
        <v>22</v>
      </c>
      <c r="D3042" t="str">
        <f>_xlfn.XLOOKUP(tblSales[[#This Row],[Store ID]],tblStores[Store ID],tblStores[Store Name])</f>
        <v>Durban CBD</v>
      </c>
      <c r="E3042" t="str">
        <f>_xlfn.XLOOKUP(tblSales[[#This Row],[Store ID]],tblStores[Store ID],tblStores[Province])</f>
        <v>KZN</v>
      </c>
      <c r="F3042" t="str">
        <f>_xlfn.XLOOKUP(tblSales[[#This Row],[Store ID]],tblStores[Store ID],tblStores[Manager])</f>
        <v>Sarah Adams</v>
      </c>
      <c r="G3042" t="str">
        <f>_xlfn.XLOOKUP(tblSales[[#This Row],[Category ID]],tblCategories[Category ID],tblCategories[Category])</f>
        <v>Kids</v>
      </c>
      <c r="H3042">
        <v>47355</v>
      </c>
      <c r="I3042">
        <v>53973</v>
      </c>
      <c r="J3042">
        <v>205</v>
      </c>
      <c r="K3042">
        <f>tblSales[[#This Row],[Sales]]-tblSales[[#This Row],[Budget]]</f>
        <v>-6618</v>
      </c>
      <c r="L3042" s="3">
        <f>(tblSales[[#This Row],[Sales]]-tblSales[[#This Row],[Budget]])/tblSales[[#This Row],[Budget]]</f>
        <v>-0.12261686398754933</v>
      </c>
      <c r="M3042" s="2">
        <f>tblSales[[#This Row],[Sales]]/tblSales[[#This Row],[Transactions]]</f>
        <v>231</v>
      </c>
    </row>
    <row r="3043" spans="1:13" x14ac:dyDescent="0.25">
      <c r="A3043" s="1">
        <v>46175</v>
      </c>
      <c r="B3043" t="s">
        <v>8</v>
      </c>
      <c r="C3043" t="s">
        <v>11</v>
      </c>
      <c r="D3043" t="str">
        <f>_xlfn.XLOOKUP(tblSales[[#This Row],[Store ID]],tblStores[Store ID],tblStores[Store Name])</f>
        <v>Gateway</v>
      </c>
      <c r="E3043" t="str">
        <f>_xlfn.XLOOKUP(tblSales[[#This Row],[Store ID]],tblStores[Store ID],tblStores[Province])</f>
        <v>KZN</v>
      </c>
      <c r="F3043" t="str">
        <f>_xlfn.XLOOKUP(tblSales[[#This Row],[Store ID]],tblStores[Store ID],tblStores[Manager])</f>
        <v>Michael Jones</v>
      </c>
      <c r="G3043" t="str">
        <f>_xlfn.XLOOKUP(tblSales[[#This Row],[Category ID]],tblCategories[Category ID],tblCategories[Category])</f>
        <v>Footwear</v>
      </c>
      <c r="H3043">
        <v>41280</v>
      </c>
      <c r="I3043">
        <v>41189</v>
      </c>
      <c r="J3043">
        <v>129</v>
      </c>
      <c r="K3043">
        <f>tblSales[[#This Row],[Sales]]-tblSales[[#This Row],[Budget]]</f>
        <v>91</v>
      </c>
      <c r="L3043" s="3">
        <f>(tblSales[[#This Row],[Sales]]-tblSales[[#This Row],[Budget]])/tblSales[[#This Row],[Budget]]</f>
        <v>2.2093277331326324E-3</v>
      </c>
      <c r="M3043" s="2">
        <f>tblSales[[#This Row],[Sales]]/tblSales[[#This Row],[Transactions]]</f>
        <v>320</v>
      </c>
    </row>
    <row r="3044" spans="1:13" x14ac:dyDescent="0.25">
      <c r="A3044" s="1">
        <v>46175</v>
      </c>
      <c r="B3044" t="s">
        <v>10</v>
      </c>
      <c r="C3044" t="s">
        <v>7</v>
      </c>
      <c r="D3044" t="str">
        <f>_xlfn.XLOOKUP(tblSales[[#This Row],[Store ID]],tblStores[Store ID],tblStores[Store Name])</f>
        <v>Ballito</v>
      </c>
      <c r="E3044" t="str">
        <f>_xlfn.XLOOKUP(tblSales[[#This Row],[Store ID]],tblStores[Store ID],tblStores[Province])</f>
        <v>KZN</v>
      </c>
      <c r="F3044" t="str">
        <f>_xlfn.XLOOKUP(tblSales[[#This Row],[Store ID]],tblStores[Store ID],tblStores[Manager])</f>
        <v>Linda Smith</v>
      </c>
      <c r="G3044" t="str">
        <f>_xlfn.XLOOKUP(tblSales[[#This Row],[Category ID]],tblCategories[Category ID],tblCategories[Category])</f>
        <v>Menswear</v>
      </c>
      <c r="H3044">
        <v>60129</v>
      </c>
      <c r="I3044">
        <v>66344</v>
      </c>
      <c r="J3044">
        <v>153</v>
      </c>
      <c r="K3044">
        <f>tblSales[[#This Row],[Sales]]-tblSales[[#This Row],[Budget]]</f>
        <v>-6215</v>
      </c>
      <c r="L3044" s="3">
        <f>(tblSales[[#This Row],[Sales]]-tblSales[[#This Row],[Budget]])/tblSales[[#This Row],[Budget]]</f>
        <v>-9.3678403472808397E-2</v>
      </c>
      <c r="M3044" s="2">
        <f>tblSales[[#This Row],[Sales]]/tblSales[[#This Row],[Transactions]]</f>
        <v>393</v>
      </c>
    </row>
    <row r="3045" spans="1:13" x14ac:dyDescent="0.25">
      <c r="A3045" s="1">
        <v>46175</v>
      </c>
      <c r="B3045" t="s">
        <v>12</v>
      </c>
      <c r="C3045" t="s">
        <v>9</v>
      </c>
      <c r="D3045" t="str">
        <f>_xlfn.XLOOKUP(tblSales[[#This Row],[Store ID]],tblStores[Store ID],tblStores[Store Name])</f>
        <v>Pietermaritzburg</v>
      </c>
      <c r="E3045" t="str">
        <f>_xlfn.XLOOKUP(tblSales[[#This Row],[Store ID]],tblStores[Store ID],tblStores[Province])</f>
        <v>KZN</v>
      </c>
      <c r="F3045" t="str">
        <f>_xlfn.XLOOKUP(tblSales[[#This Row],[Store ID]],tblStores[Store ID],tblStores[Manager])</f>
        <v>Peter Brown</v>
      </c>
      <c r="G3045" t="str">
        <f>_xlfn.XLOOKUP(tblSales[[#This Row],[Category ID]],tblCategories[Category ID],tblCategories[Category])</f>
        <v>Ladieswear</v>
      </c>
      <c r="H3045">
        <v>13650</v>
      </c>
      <c r="I3045">
        <v>13844</v>
      </c>
      <c r="J3045">
        <v>42</v>
      </c>
      <c r="K3045">
        <f>tblSales[[#This Row],[Sales]]-tblSales[[#This Row],[Budget]]</f>
        <v>-194</v>
      </c>
      <c r="L3045" s="3">
        <f>(tblSales[[#This Row],[Sales]]-tblSales[[#This Row],[Budget]])/tblSales[[#This Row],[Budget]]</f>
        <v>-1.4013290956370991E-2</v>
      </c>
      <c r="M3045" s="2">
        <f>tblSales[[#This Row],[Sales]]/tblSales[[#This Row],[Transactions]]</f>
        <v>325</v>
      </c>
    </row>
    <row r="3046" spans="1:13" x14ac:dyDescent="0.25">
      <c r="A3046" s="1">
        <v>46175</v>
      </c>
      <c r="B3046" t="s">
        <v>13</v>
      </c>
      <c r="C3046" t="s">
        <v>19</v>
      </c>
      <c r="D3046" t="str">
        <f>_xlfn.XLOOKUP(tblSales[[#This Row],[Store ID]],tblStores[Store ID],tblStores[Store Name])</f>
        <v>Richards Bay</v>
      </c>
      <c r="E3046" t="str">
        <f>_xlfn.XLOOKUP(tblSales[[#This Row],[Store ID]],tblStores[Store ID],tblStores[Province])</f>
        <v>KZN</v>
      </c>
      <c r="F3046" t="str">
        <f>_xlfn.XLOOKUP(tblSales[[#This Row],[Store ID]],tblStores[Store ID],tblStores[Manager])</f>
        <v>David Green</v>
      </c>
      <c r="G3046" t="str">
        <f>_xlfn.XLOOKUP(tblSales[[#This Row],[Category ID]],tblCategories[Category ID],tblCategories[Category])</f>
        <v>Accessories</v>
      </c>
      <c r="H3046">
        <v>24790</v>
      </c>
      <c r="I3046">
        <v>25908</v>
      </c>
      <c r="J3046">
        <v>134</v>
      </c>
      <c r="K3046">
        <f>tblSales[[#This Row],[Sales]]-tblSales[[#This Row],[Budget]]</f>
        <v>-1118</v>
      </c>
      <c r="L3046" s="3">
        <f>(tblSales[[#This Row],[Sales]]-tblSales[[#This Row],[Budget]])/tblSales[[#This Row],[Budget]]</f>
        <v>-4.3152694148525551E-2</v>
      </c>
      <c r="M3046" s="2">
        <f>tblSales[[#This Row],[Sales]]/tblSales[[#This Row],[Transactions]]</f>
        <v>185</v>
      </c>
    </row>
    <row r="3047" spans="1:13" x14ac:dyDescent="0.25">
      <c r="A3047" s="1">
        <v>46175</v>
      </c>
      <c r="B3047" t="s">
        <v>14</v>
      </c>
      <c r="C3047" t="s">
        <v>7</v>
      </c>
      <c r="D3047" t="str">
        <f>_xlfn.XLOOKUP(tblSales[[#This Row],[Store ID]],tblStores[Store ID],tblStores[Store Name])</f>
        <v>Sandton</v>
      </c>
      <c r="E3047" t="str">
        <f>_xlfn.XLOOKUP(tblSales[[#This Row],[Store ID]],tblStores[Store ID],tblStores[Province])</f>
        <v>Gauteng</v>
      </c>
      <c r="F3047" t="str">
        <f>_xlfn.XLOOKUP(tblSales[[#This Row],[Store ID]],tblStores[Store ID],tblStores[Manager])</f>
        <v>Karen White</v>
      </c>
      <c r="G3047" t="str">
        <f>_xlfn.XLOOKUP(tblSales[[#This Row],[Category ID]],tblCategories[Category ID],tblCategories[Category])</f>
        <v>Menswear</v>
      </c>
      <c r="H3047">
        <v>102600</v>
      </c>
      <c r="I3047">
        <v>115251</v>
      </c>
      <c r="J3047">
        <v>200</v>
      </c>
      <c r="K3047">
        <f>tblSales[[#This Row],[Sales]]-tblSales[[#This Row],[Budget]]</f>
        <v>-12651</v>
      </c>
      <c r="L3047" s="3">
        <f>(tblSales[[#This Row],[Sales]]-tblSales[[#This Row],[Budget]])/tblSales[[#This Row],[Budget]]</f>
        <v>-0.10976911263242835</v>
      </c>
      <c r="M3047" s="2">
        <f>tblSales[[#This Row],[Sales]]/tblSales[[#This Row],[Transactions]]</f>
        <v>513</v>
      </c>
    </row>
    <row r="3048" spans="1:13" x14ac:dyDescent="0.25">
      <c r="A3048" s="1">
        <v>46175</v>
      </c>
      <c r="B3048" t="s">
        <v>15</v>
      </c>
      <c r="C3048" t="s">
        <v>19</v>
      </c>
      <c r="D3048" t="str">
        <f>_xlfn.XLOOKUP(tblSales[[#This Row],[Store ID]],tblStores[Store ID],tblStores[Store Name])</f>
        <v>Rosebank</v>
      </c>
      <c r="E3048" t="str">
        <f>_xlfn.XLOOKUP(tblSales[[#This Row],[Store ID]],tblStores[Store ID],tblStores[Province])</f>
        <v>Gauteng</v>
      </c>
      <c r="F3048" t="str">
        <f>_xlfn.XLOOKUP(tblSales[[#This Row],[Store ID]],tblStores[Store ID],tblStores[Manager])</f>
        <v>James Taylor</v>
      </c>
      <c r="G3048" t="str">
        <f>_xlfn.XLOOKUP(tblSales[[#This Row],[Category ID]],tblCategories[Category ID],tblCategories[Category])</f>
        <v>Accessories</v>
      </c>
      <c r="H3048">
        <v>29748</v>
      </c>
      <c r="I3048">
        <v>33526</v>
      </c>
      <c r="J3048">
        <v>148</v>
      </c>
      <c r="K3048">
        <f>tblSales[[#This Row],[Sales]]-tblSales[[#This Row],[Budget]]</f>
        <v>-3778</v>
      </c>
      <c r="L3048" s="3">
        <f>(tblSales[[#This Row],[Sales]]-tblSales[[#This Row],[Budget]])/tblSales[[#This Row],[Budget]]</f>
        <v>-0.11268865954781364</v>
      </c>
      <c r="M3048" s="2">
        <f>tblSales[[#This Row],[Sales]]/tblSales[[#This Row],[Transactions]]</f>
        <v>201</v>
      </c>
    </row>
    <row r="3049" spans="1:13" x14ac:dyDescent="0.25">
      <c r="A3049" s="1">
        <v>46175</v>
      </c>
      <c r="B3049" t="s">
        <v>16</v>
      </c>
      <c r="C3049" t="s">
        <v>22</v>
      </c>
      <c r="D3049" t="str">
        <f>_xlfn.XLOOKUP(tblSales[[#This Row],[Store ID]],tblStores[Store ID],tblStores[Store Name])</f>
        <v>Pretoria</v>
      </c>
      <c r="E3049" t="str">
        <f>_xlfn.XLOOKUP(tblSales[[#This Row],[Store ID]],tblStores[Store ID],tblStores[Province])</f>
        <v>Gauteng</v>
      </c>
      <c r="F3049" t="str">
        <f>_xlfn.XLOOKUP(tblSales[[#This Row],[Store ID]],tblStores[Store ID],tblStores[Manager])</f>
        <v>Susan Clark</v>
      </c>
      <c r="G3049" t="str">
        <f>_xlfn.XLOOKUP(tblSales[[#This Row],[Category ID]],tblCategories[Category ID],tblCategories[Category])</f>
        <v>Kids</v>
      </c>
      <c r="H3049">
        <v>29330</v>
      </c>
      <c r="I3049">
        <v>32867</v>
      </c>
      <c r="J3049">
        <v>70</v>
      </c>
      <c r="K3049">
        <f>tblSales[[#This Row],[Sales]]-tblSales[[#This Row],[Budget]]</f>
        <v>-3537</v>
      </c>
      <c r="L3049" s="3">
        <f>(tblSales[[#This Row],[Sales]]-tblSales[[#This Row],[Budget]])/tblSales[[#This Row],[Budget]]</f>
        <v>-0.10761554142452916</v>
      </c>
      <c r="M3049" s="2">
        <f>tblSales[[#This Row],[Sales]]/tblSales[[#This Row],[Transactions]]</f>
        <v>419</v>
      </c>
    </row>
    <row r="3050" spans="1:13" x14ac:dyDescent="0.25">
      <c r="A3050" s="1">
        <v>46175</v>
      </c>
      <c r="B3050" t="s">
        <v>17</v>
      </c>
      <c r="C3050" t="s">
        <v>11</v>
      </c>
      <c r="D3050" t="str">
        <f>_xlfn.XLOOKUP(tblSales[[#This Row],[Store ID]],tblStores[Store ID],tblStores[Store Name])</f>
        <v>Centurion</v>
      </c>
      <c r="E3050" t="str">
        <f>_xlfn.XLOOKUP(tblSales[[#This Row],[Store ID]],tblStores[Store ID],tblStores[Province])</f>
        <v>Gauteng</v>
      </c>
      <c r="F3050" t="str">
        <f>_xlfn.XLOOKUP(tblSales[[#This Row],[Store ID]],tblStores[Store ID],tblStores[Manager])</f>
        <v>Mark Wilson</v>
      </c>
      <c r="G3050" t="str">
        <f>_xlfn.XLOOKUP(tblSales[[#This Row],[Category ID]],tblCategories[Category ID],tblCategories[Category])</f>
        <v>Footwear</v>
      </c>
      <c r="H3050">
        <v>19320</v>
      </c>
      <c r="I3050">
        <v>22129</v>
      </c>
      <c r="J3050">
        <v>105</v>
      </c>
      <c r="K3050">
        <f>tblSales[[#This Row],[Sales]]-tblSales[[#This Row],[Budget]]</f>
        <v>-2809</v>
      </c>
      <c r="L3050" s="3">
        <f>(tblSales[[#This Row],[Sales]]-tblSales[[#This Row],[Budget]])/tblSales[[#This Row],[Budget]]</f>
        <v>-0.12693750282434815</v>
      </c>
      <c r="M3050" s="2">
        <f>tblSales[[#This Row],[Sales]]/tblSales[[#This Row],[Transactions]]</f>
        <v>184</v>
      </c>
    </row>
    <row r="3051" spans="1:13" x14ac:dyDescent="0.25">
      <c r="A3051" s="1">
        <v>46175</v>
      </c>
      <c r="B3051" t="s">
        <v>18</v>
      </c>
      <c r="C3051" t="s">
        <v>22</v>
      </c>
      <c r="D3051" t="str">
        <f>_xlfn.XLOOKUP(tblSales[[#This Row],[Store ID]],tblStores[Store ID],tblStores[Store Name])</f>
        <v>East Rand</v>
      </c>
      <c r="E3051" t="str">
        <f>_xlfn.XLOOKUP(tblSales[[#This Row],[Store ID]],tblStores[Store ID],tblStores[Province])</f>
        <v>Gauteng</v>
      </c>
      <c r="F3051" t="str">
        <f>_xlfn.XLOOKUP(tblSales[[#This Row],[Store ID]],tblStores[Store ID],tblStores[Manager])</f>
        <v>Lisa Young</v>
      </c>
      <c r="G3051" t="str">
        <f>_xlfn.XLOOKUP(tblSales[[#This Row],[Category ID]],tblCategories[Category ID],tblCategories[Category])</f>
        <v>Kids</v>
      </c>
      <c r="H3051">
        <v>71231</v>
      </c>
      <c r="I3051">
        <v>67861</v>
      </c>
      <c r="J3051">
        <v>163</v>
      </c>
      <c r="K3051">
        <f>tblSales[[#This Row],[Sales]]-tblSales[[#This Row],[Budget]]</f>
        <v>3370</v>
      </c>
      <c r="L3051" s="3">
        <f>(tblSales[[#This Row],[Sales]]-tblSales[[#This Row],[Budget]])/tblSales[[#This Row],[Budget]]</f>
        <v>4.9660335096741871E-2</v>
      </c>
      <c r="M3051" s="2">
        <f>tblSales[[#This Row],[Sales]]/tblSales[[#This Row],[Transactions]]</f>
        <v>437</v>
      </c>
    </row>
    <row r="3052" spans="1:13" x14ac:dyDescent="0.25">
      <c r="A3052" s="1">
        <v>46175</v>
      </c>
      <c r="B3052" t="s">
        <v>20</v>
      </c>
      <c r="C3052" t="s">
        <v>19</v>
      </c>
      <c r="D3052" t="str">
        <f>_xlfn.XLOOKUP(tblSales[[#This Row],[Store ID]],tblStores[Store ID],tblStores[Store Name])</f>
        <v>Cape Town CBD</v>
      </c>
      <c r="E3052" t="str">
        <f>_xlfn.XLOOKUP(tblSales[[#This Row],[Store ID]],tblStores[Store ID],tblStores[Province])</f>
        <v>Western Cape</v>
      </c>
      <c r="F3052" t="str">
        <f>_xlfn.XLOOKUP(tblSales[[#This Row],[Store ID]],tblStores[Store ID],tblStores[Manager])</f>
        <v>Brian Hall</v>
      </c>
      <c r="G3052" t="str">
        <f>_xlfn.XLOOKUP(tblSales[[#This Row],[Category ID]],tblCategories[Category ID],tblCategories[Category])</f>
        <v>Accessories</v>
      </c>
      <c r="H3052">
        <v>59228</v>
      </c>
      <c r="I3052">
        <v>54234</v>
      </c>
      <c r="J3052">
        <v>134</v>
      </c>
      <c r="K3052">
        <f>tblSales[[#This Row],[Sales]]-tblSales[[#This Row],[Budget]]</f>
        <v>4994</v>
      </c>
      <c r="L3052" s="3">
        <f>(tblSales[[#This Row],[Sales]]-tblSales[[#This Row],[Budget]])/tblSales[[#This Row],[Budget]]</f>
        <v>9.2082457498985873E-2</v>
      </c>
      <c r="M3052" s="2">
        <f>tblSales[[#This Row],[Sales]]/tblSales[[#This Row],[Transactions]]</f>
        <v>442</v>
      </c>
    </row>
    <row r="3053" spans="1:13" x14ac:dyDescent="0.25">
      <c r="A3053" s="1">
        <v>46175</v>
      </c>
      <c r="B3053" t="s">
        <v>21</v>
      </c>
      <c r="C3053" t="s">
        <v>9</v>
      </c>
      <c r="D3053" t="str">
        <f>_xlfn.XLOOKUP(tblSales[[#This Row],[Store ID]],tblStores[Store ID],tblStores[Store Name])</f>
        <v>Canal Walk</v>
      </c>
      <c r="E3053" t="str">
        <f>_xlfn.XLOOKUP(tblSales[[#This Row],[Store ID]],tblStores[Store ID],tblStores[Province])</f>
        <v>Western Cape</v>
      </c>
      <c r="F3053" t="str">
        <f>_xlfn.XLOOKUP(tblSales[[#This Row],[Store ID]],tblStores[Store ID],tblStores[Manager])</f>
        <v>Megan Scott</v>
      </c>
      <c r="G3053" t="str">
        <f>_xlfn.XLOOKUP(tblSales[[#This Row],[Category ID]],tblCategories[Category ID],tblCategories[Category])</f>
        <v>Ladieswear</v>
      </c>
      <c r="H3053">
        <v>64375</v>
      </c>
      <c r="I3053">
        <v>69512</v>
      </c>
      <c r="J3053">
        <v>125</v>
      </c>
      <c r="K3053">
        <f>tblSales[[#This Row],[Sales]]-tblSales[[#This Row],[Budget]]</f>
        <v>-5137</v>
      </c>
      <c r="L3053" s="3">
        <f>(tblSales[[#This Row],[Sales]]-tblSales[[#This Row],[Budget]])/tblSales[[#This Row],[Budget]]</f>
        <v>-7.3900909195534589E-2</v>
      </c>
      <c r="M3053" s="2">
        <f>tblSales[[#This Row],[Sales]]/tblSales[[#This Row],[Transactions]]</f>
        <v>515</v>
      </c>
    </row>
    <row r="3054" spans="1:13" x14ac:dyDescent="0.25">
      <c r="A3054" s="1">
        <v>46175</v>
      </c>
      <c r="B3054" t="s">
        <v>23</v>
      </c>
      <c r="C3054" t="s">
        <v>22</v>
      </c>
      <c r="D3054" t="str">
        <f>_xlfn.XLOOKUP(tblSales[[#This Row],[Store ID]],tblStores[Store ID],tblStores[Store Name])</f>
        <v>Stellenbosch</v>
      </c>
      <c r="E3054" t="str">
        <f>_xlfn.XLOOKUP(tblSales[[#This Row],[Store ID]],tblStores[Store ID],tblStores[Province])</f>
        <v>Western Cape</v>
      </c>
      <c r="F3054" t="str">
        <f>_xlfn.XLOOKUP(tblSales[[#This Row],[Store ID]],tblStores[Store ID],tblStores[Manager])</f>
        <v>Jason King</v>
      </c>
      <c r="G3054" t="str">
        <f>_xlfn.XLOOKUP(tblSales[[#This Row],[Category ID]],tblCategories[Category ID],tblCategories[Category])</f>
        <v>Kids</v>
      </c>
      <c r="H3054">
        <v>38152</v>
      </c>
      <c r="I3054">
        <v>36991</v>
      </c>
      <c r="J3054">
        <v>152</v>
      </c>
      <c r="K3054">
        <f>tblSales[[#This Row],[Sales]]-tblSales[[#This Row],[Budget]]</f>
        <v>1161</v>
      </c>
      <c r="L3054" s="3">
        <f>(tblSales[[#This Row],[Sales]]-tblSales[[#This Row],[Budget]])/tblSales[[#This Row],[Budget]]</f>
        <v>3.1386012813927715E-2</v>
      </c>
      <c r="M3054" s="2">
        <f>tblSales[[#This Row],[Sales]]/tblSales[[#This Row],[Transactions]]</f>
        <v>251</v>
      </c>
    </row>
    <row r="3055" spans="1:13" x14ac:dyDescent="0.25">
      <c r="A3055" s="1">
        <v>46175</v>
      </c>
      <c r="B3055" t="s">
        <v>24</v>
      </c>
      <c r="C3055" t="s">
        <v>22</v>
      </c>
      <c r="D3055" t="str">
        <f>_xlfn.XLOOKUP(tblSales[[#This Row],[Store ID]],tblStores[Store ID],tblStores[Store Name])</f>
        <v>George</v>
      </c>
      <c r="E3055" t="str">
        <f>_xlfn.XLOOKUP(tblSales[[#This Row],[Store ID]],tblStores[Store ID],tblStores[Province])</f>
        <v>Western Cape</v>
      </c>
      <c r="F3055" t="str">
        <f>_xlfn.XLOOKUP(tblSales[[#This Row],[Store ID]],tblStores[Store ID],tblStores[Manager])</f>
        <v>Chloe Hill</v>
      </c>
      <c r="G3055" t="str">
        <f>_xlfn.XLOOKUP(tblSales[[#This Row],[Category ID]],tblCategories[Category ID],tblCategories[Category])</f>
        <v>Kids</v>
      </c>
      <c r="H3055">
        <v>28890</v>
      </c>
      <c r="I3055">
        <v>32617</v>
      </c>
      <c r="J3055">
        <v>135</v>
      </c>
      <c r="K3055">
        <f>tblSales[[#This Row],[Sales]]-tblSales[[#This Row],[Budget]]</f>
        <v>-3727</v>
      </c>
      <c r="L3055" s="3">
        <f>(tblSales[[#This Row],[Sales]]-tblSales[[#This Row],[Budget]])/tblSales[[#This Row],[Budget]]</f>
        <v>-0.11426556703559493</v>
      </c>
      <c r="M3055" s="2">
        <f>tblSales[[#This Row],[Sales]]/tblSales[[#This Row],[Transactions]]</f>
        <v>214</v>
      </c>
    </row>
    <row r="3056" spans="1:13" x14ac:dyDescent="0.25">
      <c r="A3056" s="1">
        <v>46175</v>
      </c>
      <c r="B3056" t="s">
        <v>25</v>
      </c>
      <c r="C3056" t="s">
        <v>11</v>
      </c>
      <c r="D3056" t="str">
        <f>_xlfn.XLOOKUP(tblSales[[#This Row],[Store ID]],tblStores[Store ID],tblStores[Store Name])</f>
        <v>Paarl</v>
      </c>
      <c r="E3056" t="str">
        <f>_xlfn.XLOOKUP(tblSales[[#This Row],[Store ID]],tblStores[Store ID],tblStores[Province])</f>
        <v>Western Cape</v>
      </c>
      <c r="F3056" t="str">
        <f>_xlfn.XLOOKUP(tblSales[[#This Row],[Store ID]],tblStores[Store ID],tblStores[Manager])</f>
        <v>Andrew Lee</v>
      </c>
      <c r="G3056" t="str">
        <f>_xlfn.XLOOKUP(tblSales[[#This Row],[Category ID]],tblCategories[Category ID],tblCategories[Category])</f>
        <v>Footwear</v>
      </c>
      <c r="H3056">
        <v>55151</v>
      </c>
      <c r="I3056">
        <v>57989</v>
      </c>
      <c r="J3056">
        <v>131</v>
      </c>
      <c r="K3056">
        <f>tblSales[[#This Row],[Sales]]-tblSales[[#This Row],[Budget]]</f>
        <v>-2838</v>
      </c>
      <c r="L3056" s="3">
        <f>(tblSales[[#This Row],[Sales]]-tblSales[[#This Row],[Budget]])/tblSales[[#This Row],[Budget]]</f>
        <v>-4.8940316266878198E-2</v>
      </c>
      <c r="M3056" s="2">
        <f>tblSales[[#This Row],[Sales]]/tblSales[[#This Row],[Transactions]]</f>
        <v>421</v>
      </c>
    </row>
    <row r="3057" spans="1:13" x14ac:dyDescent="0.25">
      <c r="A3057" s="1">
        <v>46175</v>
      </c>
      <c r="B3057" t="s">
        <v>26</v>
      </c>
      <c r="C3057" t="s">
        <v>9</v>
      </c>
      <c r="D3057" t="str">
        <f>_xlfn.XLOOKUP(tblSales[[#This Row],[Store ID]],tblStores[Store ID],tblStores[Store Name])</f>
        <v>Gqeberha</v>
      </c>
      <c r="E3057" t="str">
        <f>_xlfn.XLOOKUP(tblSales[[#This Row],[Store ID]],tblStores[Store ID],tblStores[Province])</f>
        <v>Eastern Cape</v>
      </c>
      <c r="F3057" t="str">
        <f>_xlfn.XLOOKUP(tblSales[[#This Row],[Store ID]],tblStores[Store ID],tblStores[Manager])</f>
        <v>Emma Baker</v>
      </c>
      <c r="G3057" t="str">
        <f>_xlfn.XLOOKUP(tblSales[[#This Row],[Category ID]],tblCategories[Category ID],tblCategories[Category])</f>
        <v>Ladieswear</v>
      </c>
      <c r="H3057">
        <v>79898</v>
      </c>
      <c r="I3057">
        <v>87396</v>
      </c>
      <c r="J3057">
        <v>182</v>
      </c>
      <c r="K3057">
        <f>tblSales[[#This Row],[Sales]]-tblSales[[#This Row],[Budget]]</f>
        <v>-7498</v>
      </c>
      <c r="L3057" s="3">
        <f>(tblSales[[#This Row],[Sales]]-tblSales[[#This Row],[Budget]])/tblSales[[#This Row],[Budget]]</f>
        <v>-8.5793400155613528E-2</v>
      </c>
      <c r="M3057" s="2">
        <f>tblSales[[#This Row],[Sales]]/tblSales[[#This Row],[Transactions]]</f>
        <v>439</v>
      </c>
    </row>
    <row r="3058" spans="1:13" x14ac:dyDescent="0.25">
      <c r="A3058" s="1">
        <v>46175</v>
      </c>
      <c r="B3058" t="s">
        <v>27</v>
      </c>
      <c r="C3058" t="s">
        <v>19</v>
      </c>
      <c r="D3058" t="str">
        <f>_xlfn.XLOOKUP(tblSales[[#This Row],[Store ID]],tblStores[Store ID],tblStores[Store Name])</f>
        <v>East London</v>
      </c>
      <c r="E3058" t="str">
        <f>_xlfn.XLOOKUP(tblSales[[#This Row],[Store ID]],tblStores[Store ID],tblStores[Province])</f>
        <v>Eastern Cape</v>
      </c>
      <c r="F3058" t="str">
        <f>_xlfn.XLOOKUP(tblSales[[#This Row],[Store ID]],tblStores[Store ID],tblStores[Manager])</f>
        <v>Daniel Evans</v>
      </c>
      <c r="G3058" t="str">
        <f>_xlfn.XLOOKUP(tblSales[[#This Row],[Category ID]],tblCategories[Category ID],tblCategories[Category])</f>
        <v>Accessories</v>
      </c>
      <c r="H3058">
        <v>24846</v>
      </c>
      <c r="I3058">
        <v>26695</v>
      </c>
      <c r="J3058">
        <v>101</v>
      </c>
      <c r="K3058">
        <f>tblSales[[#This Row],[Sales]]-tblSales[[#This Row],[Budget]]</f>
        <v>-1849</v>
      </c>
      <c r="L3058" s="3">
        <f>(tblSales[[#This Row],[Sales]]-tblSales[[#This Row],[Budget]])/tblSales[[#This Row],[Budget]]</f>
        <v>-6.9263907098707625E-2</v>
      </c>
      <c r="M3058" s="2">
        <f>tblSales[[#This Row],[Sales]]/tblSales[[#This Row],[Transactions]]</f>
        <v>246</v>
      </c>
    </row>
    <row r="3059" spans="1:13" x14ac:dyDescent="0.25">
      <c r="A3059" s="1">
        <v>46175</v>
      </c>
      <c r="B3059" t="s">
        <v>28</v>
      </c>
      <c r="C3059" t="s">
        <v>19</v>
      </c>
      <c r="D3059" t="str">
        <f>_xlfn.XLOOKUP(tblSales[[#This Row],[Store ID]],tblStores[Store ID],tblStores[Store Name])</f>
        <v>Bloemfontein</v>
      </c>
      <c r="E3059" t="str">
        <f>_xlfn.XLOOKUP(tblSales[[#This Row],[Store ID]],tblStores[Store ID],tblStores[Province])</f>
        <v>Free State</v>
      </c>
      <c r="F3059" t="str">
        <f>_xlfn.XLOOKUP(tblSales[[#This Row],[Store ID]],tblStores[Store ID],tblStores[Manager])</f>
        <v>Rachel Moore</v>
      </c>
      <c r="G3059" t="str">
        <f>_xlfn.XLOOKUP(tblSales[[#This Row],[Category ID]],tblCategories[Category ID],tblCategories[Category])</f>
        <v>Accessories</v>
      </c>
      <c r="H3059">
        <v>65514</v>
      </c>
      <c r="I3059">
        <v>68535</v>
      </c>
      <c r="J3059">
        <v>183</v>
      </c>
      <c r="K3059">
        <f>tblSales[[#This Row],[Sales]]-tblSales[[#This Row],[Budget]]</f>
        <v>-3021</v>
      </c>
      <c r="L3059" s="3">
        <f>(tblSales[[#This Row],[Sales]]-tblSales[[#This Row],[Budget]])/tblSales[[#This Row],[Budget]]</f>
        <v>-4.4079667323265487E-2</v>
      </c>
      <c r="M3059" s="2">
        <f>tblSales[[#This Row],[Sales]]/tblSales[[#This Row],[Transactions]]</f>
        <v>358</v>
      </c>
    </row>
    <row r="3060" spans="1:13" x14ac:dyDescent="0.25">
      <c r="A3060" s="1">
        <v>46175</v>
      </c>
      <c r="B3060" t="s">
        <v>29</v>
      </c>
      <c r="C3060" t="s">
        <v>11</v>
      </c>
      <c r="D3060" t="str">
        <f>_xlfn.XLOOKUP(tblSales[[#This Row],[Store ID]],tblStores[Store ID],tblStores[Store Name])</f>
        <v>Polokwane</v>
      </c>
      <c r="E3060" t="str">
        <f>_xlfn.XLOOKUP(tblSales[[#This Row],[Store ID]],tblStores[Store ID],tblStores[Province])</f>
        <v>Limpopo</v>
      </c>
      <c r="F3060" t="str">
        <f>_xlfn.XLOOKUP(tblSales[[#This Row],[Store ID]],tblStores[Store ID],tblStores[Manager])</f>
        <v>Kevin Harris</v>
      </c>
      <c r="G3060" t="str">
        <f>_xlfn.XLOOKUP(tblSales[[#This Row],[Category ID]],tblCategories[Category ID],tblCategories[Category])</f>
        <v>Footwear</v>
      </c>
      <c r="H3060">
        <v>10556</v>
      </c>
      <c r="I3060">
        <v>9578</v>
      </c>
      <c r="J3060">
        <v>52</v>
      </c>
      <c r="K3060">
        <f>tblSales[[#This Row],[Sales]]-tblSales[[#This Row],[Budget]]</f>
        <v>978</v>
      </c>
      <c r="L3060" s="3">
        <f>(tblSales[[#This Row],[Sales]]-tblSales[[#This Row],[Budget]])/tblSales[[#This Row],[Budget]]</f>
        <v>0.10210899979118813</v>
      </c>
      <c r="M3060" s="2">
        <f>tblSales[[#This Row],[Sales]]/tblSales[[#This Row],[Transactions]]</f>
        <v>203</v>
      </c>
    </row>
    <row r="3061" spans="1:13" x14ac:dyDescent="0.25">
      <c r="A3061" s="1">
        <v>46175</v>
      </c>
      <c r="B3061" t="s">
        <v>30</v>
      </c>
      <c r="C3061" t="s">
        <v>9</v>
      </c>
      <c r="D3061" t="str">
        <f>_xlfn.XLOOKUP(tblSales[[#This Row],[Store ID]],tblStores[Store ID],tblStores[Store Name])</f>
        <v>Nelspruit</v>
      </c>
      <c r="E3061" t="str">
        <f>_xlfn.XLOOKUP(tblSales[[#This Row],[Store ID]],tblStores[Store ID],tblStores[Province])</f>
        <v>Mpumalanga</v>
      </c>
      <c r="F3061" t="str">
        <f>_xlfn.XLOOKUP(tblSales[[#This Row],[Store ID]],tblStores[Store ID],tblStores[Manager])</f>
        <v>Olivia Turner</v>
      </c>
      <c r="G3061" t="str">
        <f>_xlfn.XLOOKUP(tblSales[[#This Row],[Category ID]],tblCategories[Category ID],tblCategories[Category])</f>
        <v>Ladieswear</v>
      </c>
      <c r="H3061">
        <v>21526</v>
      </c>
      <c r="I3061">
        <v>22953</v>
      </c>
      <c r="J3061">
        <v>94</v>
      </c>
      <c r="K3061">
        <f>tblSales[[#This Row],[Sales]]-tblSales[[#This Row],[Budget]]</f>
        <v>-1427</v>
      </c>
      <c r="L3061" s="3">
        <f>(tblSales[[#This Row],[Sales]]-tblSales[[#This Row],[Budget]])/tblSales[[#This Row],[Budget]]</f>
        <v>-6.2170522371803247E-2</v>
      </c>
      <c r="M3061" s="2">
        <f>tblSales[[#This Row],[Sales]]/tblSales[[#This Row],[Transactions]]</f>
        <v>229</v>
      </c>
    </row>
    <row r="3062" spans="1:13" x14ac:dyDescent="0.25">
      <c r="A3062" s="1">
        <v>46176</v>
      </c>
      <c r="B3062" t="s">
        <v>6</v>
      </c>
      <c r="C3062" t="s">
        <v>11</v>
      </c>
      <c r="D3062" t="str">
        <f>_xlfn.XLOOKUP(tblSales[[#This Row],[Store ID]],tblStores[Store ID],tblStores[Store Name])</f>
        <v>Durban CBD</v>
      </c>
      <c r="E3062" t="str">
        <f>_xlfn.XLOOKUP(tblSales[[#This Row],[Store ID]],tblStores[Store ID],tblStores[Province])</f>
        <v>KZN</v>
      </c>
      <c r="F3062" t="str">
        <f>_xlfn.XLOOKUP(tblSales[[#This Row],[Store ID]],tblStores[Store ID],tblStores[Manager])</f>
        <v>Sarah Adams</v>
      </c>
      <c r="G3062" t="str">
        <f>_xlfn.XLOOKUP(tblSales[[#This Row],[Category ID]],tblCategories[Category ID],tblCategories[Category])</f>
        <v>Footwear</v>
      </c>
      <c r="H3062">
        <v>87984</v>
      </c>
      <c r="I3062">
        <v>86304</v>
      </c>
      <c r="J3062">
        <v>208</v>
      </c>
      <c r="K3062">
        <f>tblSales[[#This Row],[Sales]]-tblSales[[#This Row],[Budget]]</f>
        <v>1680</v>
      </c>
      <c r="L3062" s="3">
        <f>(tblSales[[#This Row],[Sales]]-tblSales[[#This Row],[Budget]])/tblSales[[#This Row],[Budget]]</f>
        <v>1.9466073414905451E-2</v>
      </c>
      <c r="M3062" s="2">
        <f>tblSales[[#This Row],[Sales]]/tblSales[[#This Row],[Transactions]]</f>
        <v>423</v>
      </c>
    </row>
    <row r="3063" spans="1:13" x14ac:dyDescent="0.25">
      <c r="A3063" s="1">
        <v>46176</v>
      </c>
      <c r="B3063" t="s">
        <v>8</v>
      </c>
      <c r="C3063" t="s">
        <v>9</v>
      </c>
      <c r="D3063" t="str">
        <f>_xlfn.XLOOKUP(tblSales[[#This Row],[Store ID]],tblStores[Store ID],tblStores[Store Name])</f>
        <v>Gateway</v>
      </c>
      <c r="E3063" t="str">
        <f>_xlfn.XLOOKUP(tblSales[[#This Row],[Store ID]],tblStores[Store ID],tblStores[Province])</f>
        <v>KZN</v>
      </c>
      <c r="F3063" t="str">
        <f>_xlfn.XLOOKUP(tblSales[[#This Row],[Store ID]],tblStores[Store ID],tblStores[Manager])</f>
        <v>Michael Jones</v>
      </c>
      <c r="G3063" t="str">
        <f>_xlfn.XLOOKUP(tblSales[[#This Row],[Category ID]],tblCategories[Category ID],tblCategories[Category])</f>
        <v>Ladieswear</v>
      </c>
      <c r="H3063">
        <v>22135</v>
      </c>
      <c r="I3063">
        <v>24900</v>
      </c>
      <c r="J3063">
        <v>95</v>
      </c>
      <c r="K3063">
        <f>tblSales[[#This Row],[Sales]]-tblSales[[#This Row],[Budget]]</f>
        <v>-2765</v>
      </c>
      <c r="L3063" s="3">
        <f>(tblSales[[#This Row],[Sales]]-tblSales[[#This Row],[Budget]])/tblSales[[#This Row],[Budget]]</f>
        <v>-0.11104417670682731</v>
      </c>
      <c r="M3063" s="2">
        <f>tblSales[[#This Row],[Sales]]/tblSales[[#This Row],[Transactions]]</f>
        <v>233</v>
      </c>
    </row>
    <row r="3064" spans="1:13" x14ac:dyDescent="0.25">
      <c r="A3064" s="1">
        <v>46176</v>
      </c>
      <c r="B3064" t="s">
        <v>10</v>
      </c>
      <c r="C3064" t="s">
        <v>9</v>
      </c>
      <c r="D3064" t="str">
        <f>_xlfn.XLOOKUP(tblSales[[#This Row],[Store ID]],tblStores[Store ID],tblStores[Store Name])</f>
        <v>Ballito</v>
      </c>
      <c r="E3064" t="str">
        <f>_xlfn.XLOOKUP(tblSales[[#This Row],[Store ID]],tblStores[Store ID],tblStores[Province])</f>
        <v>KZN</v>
      </c>
      <c r="F3064" t="str">
        <f>_xlfn.XLOOKUP(tblSales[[#This Row],[Store ID]],tblStores[Store ID],tblStores[Manager])</f>
        <v>Linda Smith</v>
      </c>
      <c r="G3064" t="str">
        <f>_xlfn.XLOOKUP(tblSales[[#This Row],[Category ID]],tblCategories[Category ID],tblCategories[Category])</f>
        <v>Ladieswear</v>
      </c>
      <c r="H3064">
        <v>52535</v>
      </c>
      <c r="I3064">
        <v>59395</v>
      </c>
      <c r="J3064">
        <v>133</v>
      </c>
      <c r="K3064">
        <f>tblSales[[#This Row],[Sales]]-tblSales[[#This Row],[Budget]]</f>
        <v>-6860</v>
      </c>
      <c r="L3064" s="3">
        <f>(tblSales[[#This Row],[Sales]]-tblSales[[#This Row],[Budget]])/tblSales[[#This Row],[Budget]]</f>
        <v>-0.1154979375368297</v>
      </c>
      <c r="M3064" s="2">
        <f>tblSales[[#This Row],[Sales]]/tblSales[[#This Row],[Transactions]]</f>
        <v>395</v>
      </c>
    </row>
    <row r="3065" spans="1:13" x14ac:dyDescent="0.25">
      <c r="A3065" s="1">
        <v>46176</v>
      </c>
      <c r="B3065" t="s">
        <v>12</v>
      </c>
      <c r="C3065" t="s">
        <v>7</v>
      </c>
      <c r="D3065" t="str">
        <f>_xlfn.XLOOKUP(tblSales[[#This Row],[Store ID]],tblStores[Store ID],tblStores[Store Name])</f>
        <v>Pietermaritzburg</v>
      </c>
      <c r="E3065" t="str">
        <f>_xlfn.XLOOKUP(tblSales[[#This Row],[Store ID]],tblStores[Store ID],tblStores[Province])</f>
        <v>KZN</v>
      </c>
      <c r="F3065" t="str">
        <f>_xlfn.XLOOKUP(tblSales[[#This Row],[Store ID]],tblStores[Store ID],tblStores[Manager])</f>
        <v>Peter Brown</v>
      </c>
      <c r="G3065" t="str">
        <f>_xlfn.XLOOKUP(tblSales[[#This Row],[Category ID]],tblCategories[Category ID],tblCategories[Category])</f>
        <v>Menswear</v>
      </c>
      <c r="H3065">
        <v>58828</v>
      </c>
      <c r="I3065">
        <v>54628</v>
      </c>
      <c r="J3065">
        <v>191</v>
      </c>
      <c r="K3065">
        <f>tblSales[[#This Row],[Sales]]-tblSales[[#This Row],[Budget]]</f>
        <v>4200</v>
      </c>
      <c r="L3065" s="3">
        <f>(tblSales[[#This Row],[Sales]]-tblSales[[#This Row],[Budget]])/tblSales[[#This Row],[Budget]]</f>
        <v>7.6883649410558683E-2</v>
      </c>
      <c r="M3065" s="2">
        <f>tblSales[[#This Row],[Sales]]/tblSales[[#This Row],[Transactions]]</f>
        <v>308</v>
      </c>
    </row>
    <row r="3066" spans="1:13" x14ac:dyDescent="0.25">
      <c r="A3066" s="1">
        <v>46176</v>
      </c>
      <c r="B3066" t="s">
        <v>13</v>
      </c>
      <c r="C3066" t="s">
        <v>7</v>
      </c>
      <c r="D3066" t="str">
        <f>_xlfn.XLOOKUP(tblSales[[#This Row],[Store ID]],tblStores[Store ID],tblStores[Store Name])</f>
        <v>Richards Bay</v>
      </c>
      <c r="E3066" t="str">
        <f>_xlfn.XLOOKUP(tblSales[[#This Row],[Store ID]],tblStores[Store ID],tblStores[Province])</f>
        <v>KZN</v>
      </c>
      <c r="F3066" t="str">
        <f>_xlfn.XLOOKUP(tblSales[[#This Row],[Store ID]],tblStores[Store ID],tblStores[Manager])</f>
        <v>David Green</v>
      </c>
      <c r="G3066" t="str">
        <f>_xlfn.XLOOKUP(tblSales[[#This Row],[Category ID]],tblCategories[Category ID],tblCategories[Category])</f>
        <v>Menswear</v>
      </c>
      <c r="H3066">
        <v>54908</v>
      </c>
      <c r="I3066">
        <v>57743</v>
      </c>
      <c r="J3066">
        <v>148</v>
      </c>
      <c r="K3066">
        <f>tblSales[[#This Row],[Sales]]-tblSales[[#This Row],[Budget]]</f>
        <v>-2835</v>
      </c>
      <c r="L3066" s="3">
        <f>(tblSales[[#This Row],[Sales]]-tblSales[[#This Row],[Budget]])/tblSales[[#This Row],[Budget]]</f>
        <v>-4.9096860225481875E-2</v>
      </c>
      <c r="M3066" s="2">
        <f>tblSales[[#This Row],[Sales]]/tblSales[[#This Row],[Transactions]]</f>
        <v>371</v>
      </c>
    </row>
    <row r="3067" spans="1:13" x14ac:dyDescent="0.25">
      <c r="A3067" s="1">
        <v>46176</v>
      </c>
      <c r="B3067" t="s">
        <v>14</v>
      </c>
      <c r="C3067" t="s">
        <v>7</v>
      </c>
      <c r="D3067" t="str">
        <f>_xlfn.XLOOKUP(tblSales[[#This Row],[Store ID]],tblStores[Store ID],tblStores[Store Name])</f>
        <v>Sandton</v>
      </c>
      <c r="E3067" t="str">
        <f>_xlfn.XLOOKUP(tblSales[[#This Row],[Store ID]],tblStores[Store ID],tblStores[Province])</f>
        <v>Gauteng</v>
      </c>
      <c r="F3067" t="str">
        <f>_xlfn.XLOOKUP(tblSales[[#This Row],[Store ID]],tblStores[Store ID],tblStores[Manager])</f>
        <v>Karen White</v>
      </c>
      <c r="G3067" t="str">
        <f>_xlfn.XLOOKUP(tblSales[[#This Row],[Category ID]],tblCategories[Category ID],tblCategories[Category])</f>
        <v>Menswear</v>
      </c>
      <c r="H3067">
        <v>27176</v>
      </c>
      <c r="I3067">
        <v>25189</v>
      </c>
      <c r="J3067">
        <v>79</v>
      </c>
      <c r="K3067">
        <f>tblSales[[#This Row],[Sales]]-tblSales[[#This Row],[Budget]]</f>
        <v>1987</v>
      </c>
      <c r="L3067" s="3">
        <f>(tblSales[[#This Row],[Sales]]-tblSales[[#This Row],[Budget]])/tblSales[[#This Row],[Budget]]</f>
        <v>7.8883639683989037E-2</v>
      </c>
      <c r="M3067" s="2">
        <f>tblSales[[#This Row],[Sales]]/tblSales[[#This Row],[Transactions]]</f>
        <v>344</v>
      </c>
    </row>
    <row r="3068" spans="1:13" x14ac:dyDescent="0.25">
      <c r="A3068" s="1">
        <v>46176</v>
      </c>
      <c r="B3068" t="s">
        <v>15</v>
      </c>
      <c r="C3068" t="s">
        <v>11</v>
      </c>
      <c r="D3068" t="str">
        <f>_xlfn.XLOOKUP(tblSales[[#This Row],[Store ID]],tblStores[Store ID],tblStores[Store Name])</f>
        <v>Rosebank</v>
      </c>
      <c r="E3068" t="str">
        <f>_xlfn.XLOOKUP(tblSales[[#This Row],[Store ID]],tblStores[Store ID],tblStores[Province])</f>
        <v>Gauteng</v>
      </c>
      <c r="F3068" t="str">
        <f>_xlfn.XLOOKUP(tblSales[[#This Row],[Store ID]],tblStores[Store ID],tblStores[Manager])</f>
        <v>James Taylor</v>
      </c>
      <c r="G3068" t="str">
        <f>_xlfn.XLOOKUP(tblSales[[#This Row],[Category ID]],tblCategories[Category ID],tblCategories[Category])</f>
        <v>Footwear</v>
      </c>
      <c r="H3068">
        <v>32488</v>
      </c>
      <c r="I3068">
        <v>37270</v>
      </c>
      <c r="J3068">
        <v>131</v>
      </c>
      <c r="K3068">
        <f>tblSales[[#This Row],[Sales]]-tblSales[[#This Row],[Budget]]</f>
        <v>-4782</v>
      </c>
      <c r="L3068" s="3">
        <f>(tblSales[[#This Row],[Sales]]-tblSales[[#This Row],[Budget]])/tblSales[[#This Row],[Budget]]</f>
        <v>-0.12830694928897238</v>
      </c>
      <c r="M3068" s="2">
        <f>tblSales[[#This Row],[Sales]]/tblSales[[#This Row],[Transactions]]</f>
        <v>248</v>
      </c>
    </row>
    <row r="3069" spans="1:13" x14ac:dyDescent="0.25">
      <c r="A3069" s="1">
        <v>46176</v>
      </c>
      <c r="B3069" t="s">
        <v>16</v>
      </c>
      <c r="C3069" t="s">
        <v>19</v>
      </c>
      <c r="D3069" t="str">
        <f>_xlfn.XLOOKUP(tblSales[[#This Row],[Store ID]],tblStores[Store ID],tblStores[Store Name])</f>
        <v>Pretoria</v>
      </c>
      <c r="E3069" t="str">
        <f>_xlfn.XLOOKUP(tblSales[[#This Row],[Store ID]],tblStores[Store ID],tblStores[Province])</f>
        <v>Gauteng</v>
      </c>
      <c r="F3069" t="str">
        <f>_xlfn.XLOOKUP(tblSales[[#This Row],[Store ID]],tblStores[Store ID],tblStores[Manager])</f>
        <v>Susan Clark</v>
      </c>
      <c r="G3069" t="str">
        <f>_xlfn.XLOOKUP(tblSales[[#This Row],[Category ID]],tblCategories[Category ID],tblCategories[Category])</f>
        <v>Accessories</v>
      </c>
      <c r="H3069">
        <v>49914</v>
      </c>
      <c r="I3069">
        <v>47364</v>
      </c>
      <c r="J3069">
        <v>177</v>
      </c>
      <c r="K3069">
        <f>tblSales[[#This Row],[Sales]]-tblSales[[#This Row],[Budget]]</f>
        <v>2550</v>
      </c>
      <c r="L3069" s="3">
        <f>(tblSales[[#This Row],[Sales]]-tblSales[[#This Row],[Budget]])/tblSales[[#This Row],[Budget]]</f>
        <v>5.3838358246769698E-2</v>
      </c>
      <c r="M3069" s="2">
        <f>tblSales[[#This Row],[Sales]]/tblSales[[#This Row],[Transactions]]</f>
        <v>282</v>
      </c>
    </row>
    <row r="3070" spans="1:13" x14ac:dyDescent="0.25">
      <c r="A3070" s="1">
        <v>46176</v>
      </c>
      <c r="B3070" t="s">
        <v>17</v>
      </c>
      <c r="C3070" t="s">
        <v>11</v>
      </c>
      <c r="D3070" t="str">
        <f>_xlfn.XLOOKUP(tblSales[[#This Row],[Store ID]],tblStores[Store ID],tblStores[Store Name])</f>
        <v>Centurion</v>
      </c>
      <c r="E3070" t="str">
        <f>_xlfn.XLOOKUP(tblSales[[#This Row],[Store ID]],tblStores[Store ID],tblStores[Province])</f>
        <v>Gauteng</v>
      </c>
      <c r="F3070" t="str">
        <f>_xlfn.XLOOKUP(tblSales[[#This Row],[Store ID]],tblStores[Store ID],tblStores[Manager])</f>
        <v>Mark Wilson</v>
      </c>
      <c r="G3070" t="str">
        <f>_xlfn.XLOOKUP(tblSales[[#This Row],[Category ID]],tblCategories[Category ID],tblCategories[Category])</f>
        <v>Footwear</v>
      </c>
      <c r="H3070">
        <v>47922</v>
      </c>
      <c r="I3070">
        <v>45831</v>
      </c>
      <c r="J3070">
        <v>147</v>
      </c>
      <c r="K3070">
        <f>tblSales[[#This Row],[Sales]]-tblSales[[#This Row],[Budget]]</f>
        <v>2091</v>
      </c>
      <c r="L3070" s="3">
        <f>(tblSales[[#This Row],[Sales]]-tblSales[[#This Row],[Budget]])/tblSales[[#This Row],[Budget]]</f>
        <v>4.5624140865353144E-2</v>
      </c>
      <c r="M3070" s="2">
        <f>tblSales[[#This Row],[Sales]]/tblSales[[#This Row],[Transactions]]</f>
        <v>326</v>
      </c>
    </row>
    <row r="3071" spans="1:13" x14ac:dyDescent="0.25">
      <c r="A3071" s="1">
        <v>46176</v>
      </c>
      <c r="B3071" t="s">
        <v>18</v>
      </c>
      <c r="C3071" t="s">
        <v>9</v>
      </c>
      <c r="D3071" t="str">
        <f>_xlfn.XLOOKUP(tblSales[[#This Row],[Store ID]],tblStores[Store ID],tblStores[Store Name])</f>
        <v>East Rand</v>
      </c>
      <c r="E3071" t="str">
        <f>_xlfn.XLOOKUP(tblSales[[#This Row],[Store ID]],tblStores[Store ID],tblStores[Province])</f>
        <v>Gauteng</v>
      </c>
      <c r="F3071" t="str">
        <f>_xlfn.XLOOKUP(tblSales[[#This Row],[Store ID]],tblStores[Store ID],tblStores[Manager])</f>
        <v>Lisa Young</v>
      </c>
      <c r="G3071" t="str">
        <f>_xlfn.XLOOKUP(tblSales[[#This Row],[Category ID]],tblCategories[Category ID],tblCategories[Category])</f>
        <v>Ladieswear</v>
      </c>
      <c r="H3071">
        <v>65700</v>
      </c>
      <c r="I3071">
        <v>72412</v>
      </c>
      <c r="J3071">
        <v>146</v>
      </c>
      <c r="K3071">
        <f>tblSales[[#This Row],[Sales]]-tblSales[[#This Row],[Budget]]</f>
        <v>-6712</v>
      </c>
      <c r="L3071" s="3">
        <f>(tblSales[[#This Row],[Sales]]-tblSales[[#This Row],[Budget]])/tblSales[[#This Row],[Budget]]</f>
        <v>-9.2691819035518971E-2</v>
      </c>
      <c r="M3071" s="2">
        <f>tblSales[[#This Row],[Sales]]/tblSales[[#This Row],[Transactions]]</f>
        <v>450</v>
      </c>
    </row>
    <row r="3072" spans="1:13" x14ac:dyDescent="0.25">
      <c r="A3072" s="1">
        <v>46176</v>
      </c>
      <c r="B3072" t="s">
        <v>20</v>
      </c>
      <c r="C3072" t="s">
        <v>9</v>
      </c>
      <c r="D3072" t="str">
        <f>_xlfn.XLOOKUP(tblSales[[#This Row],[Store ID]],tblStores[Store ID],tblStores[Store Name])</f>
        <v>Cape Town CBD</v>
      </c>
      <c r="E3072" t="str">
        <f>_xlfn.XLOOKUP(tblSales[[#This Row],[Store ID]],tblStores[Store ID],tblStores[Province])</f>
        <v>Western Cape</v>
      </c>
      <c r="F3072" t="str">
        <f>_xlfn.XLOOKUP(tblSales[[#This Row],[Store ID]],tblStores[Store ID],tblStores[Manager])</f>
        <v>Brian Hall</v>
      </c>
      <c r="G3072" t="str">
        <f>_xlfn.XLOOKUP(tblSales[[#This Row],[Category ID]],tblCategories[Category ID],tblCategories[Category])</f>
        <v>Ladieswear</v>
      </c>
      <c r="H3072">
        <v>27246</v>
      </c>
      <c r="I3072">
        <v>24686</v>
      </c>
      <c r="J3072">
        <v>57</v>
      </c>
      <c r="K3072">
        <f>tblSales[[#This Row],[Sales]]-tblSales[[#This Row],[Budget]]</f>
        <v>2560</v>
      </c>
      <c r="L3072" s="3">
        <f>(tblSales[[#This Row],[Sales]]-tblSales[[#This Row],[Budget]])/tblSales[[#This Row],[Budget]]</f>
        <v>0.10370250344324719</v>
      </c>
      <c r="M3072" s="2">
        <f>tblSales[[#This Row],[Sales]]/tblSales[[#This Row],[Transactions]]</f>
        <v>478</v>
      </c>
    </row>
    <row r="3073" spans="1:13" x14ac:dyDescent="0.25">
      <c r="A3073" s="1">
        <v>46176</v>
      </c>
      <c r="B3073" t="s">
        <v>21</v>
      </c>
      <c r="C3073" t="s">
        <v>7</v>
      </c>
      <c r="D3073" t="str">
        <f>_xlfn.XLOOKUP(tblSales[[#This Row],[Store ID]],tblStores[Store ID],tblStores[Store Name])</f>
        <v>Canal Walk</v>
      </c>
      <c r="E3073" t="str">
        <f>_xlfn.XLOOKUP(tblSales[[#This Row],[Store ID]],tblStores[Store ID],tblStores[Province])</f>
        <v>Western Cape</v>
      </c>
      <c r="F3073" t="str">
        <f>_xlfn.XLOOKUP(tblSales[[#This Row],[Store ID]],tblStores[Store ID],tblStores[Manager])</f>
        <v>Megan Scott</v>
      </c>
      <c r="G3073" t="str">
        <f>_xlfn.XLOOKUP(tblSales[[#This Row],[Category ID]],tblCategories[Category ID],tblCategories[Category])</f>
        <v>Menswear</v>
      </c>
      <c r="H3073">
        <v>17139</v>
      </c>
      <c r="I3073">
        <v>18895</v>
      </c>
      <c r="J3073">
        <v>87</v>
      </c>
      <c r="K3073">
        <f>tblSales[[#This Row],[Sales]]-tblSales[[#This Row],[Budget]]</f>
        <v>-1756</v>
      </c>
      <c r="L3073" s="3">
        <f>(tblSales[[#This Row],[Sales]]-tblSales[[#This Row],[Budget]])/tblSales[[#This Row],[Budget]]</f>
        <v>-9.2934638793331567E-2</v>
      </c>
      <c r="M3073" s="2">
        <f>tblSales[[#This Row],[Sales]]/tblSales[[#This Row],[Transactions]]</f>
        <v>197</v>
      </c>
    </row>
    <row r="3074" spans="1:13" x14ac:dyDescent="0.25">
      <c r="A3074" s="1">
        <v>46176</v>
      </c>
      <c r="B3074" t="s">
        <v>23</v>
      </c>
      <c r="C3074" t="s">
        <v>7</v>
      </c>
      <c r="D3074" t="str">
        <f>_xlfn.XLOOKUP(tblSales[[#This Row],[Store ID]],tblStores[Store ID],tblStores[Store Name])</f>
        <v>Stellenbosch</v>
      </c>
      <c r="E3074" t="str">
        <f>_xlfn.XLOOKUP(tblSales[[#This Row],[Store ID]],tblStores[Store ID],tblStores[Province])</f>
        <v>Western Cape</v>
      </c>
      <c r="F3074" t="str">
        <f>_xlfn.XLOOKUP(tblSales[[#This Row],[Store ID]],tblStores[Store ID],tblStores[Manager])</f>
        <v>Jason King</v>
      </c>
      <c r="G3074" t="str">
        <f>_xlfn.XLOOKUP(tblSales[[#This Row],[Category ID]],tblCategories[Category ID],tblCategories[Category])</f>
        <v>Menswear</v>
      </c>
      <c r="H3074">
        <v>49276</v>
      </c>
      <c r="I3074">
        <v>51349</v>
      </c>
      <c r="J3074">
        <v>127</v>
      </c>
      <c r="K3074">
        <f>tblSales[[#This Row],[Sales]]-tblSales[[#This Row],[Budget]]</f>
        <v>-2073</v>
      </c>
      <c r="L3074" s="3">
        <f>(tblSales[[#This Row],[Sales]]-tblSales[[#This Row],[Budget]])/tblSales[[#This Row],[Budget]]</f>
        <v>-4.0370795925918711E-2</v>
      </c>
      <c r="M3074" s="2">
        <f>tblSales[[#This Row],[Sales]]/tblSales[[#This Row],[Transactions]]</f>
        <v>388</v>
      </c>
    </row>
    <row r="3075" spans="1:13" x14ac:dyDescent="0.25">
      <c r="A3075" s="1">
        <v>46176</v>
      </c>
      <c r="B3075" t="s">
        <v>24</v>
      </c>
      <c r="C3075" t="s">
        <v>7</v>
      </c>
      <c r="D3075" t="str">
        <f>_xlfn.XLOOKUP(tblSales[[#This Row],[Store ID]],tblStores[Store ID],tblStores[Store Name])</f>
        <v>George</v>
      </c>
      <c r="E3075" t="str">
        <f>_xlfn.XLOOKUP(tblSales[[#This Row],[Store ID]],tblStores[Store ID],tblStores[Province])</f>
        <v>Western Cape</v>
      </c>
      <c r="F3075" t="str">
        <f>_xlfn.XLOOKUP(tblSales[[#This Row],[Store ID]],tblStores[Store ID],tblStores[Manager])</f>
        <v>Chloe Hill</v>
      </c>
      <c r="G3075" t="str">
        <f>_xlfn.XLOOKUP(tblSales[[#This Row],[Category ID]],tblCategories[Category ID],tblCategories[Category])</f>
        <v>Menswear</v>
      </c>
      <c r="H3075">
        <v>33428</v>
      </c>
      <c r="I3075">
        <v>35787</v>
      </c>
      <c r="J3075">
        <v>122</v>
      </c>
      <c r="K3075">
        <f>tblSales[[#This Row],[Sales]]-tblSales[[#This Row],[Budget]]</f>
        <v>-2359</v>
      </c>
      <c r="L3075" s="3">
        <f>(tblSales[[#This Row],[Sales]]-tblSales[[#This Row],[Budget]])/tblSales[[#This Row],[Budget]]</f>
        <v>-6.5917791376756921E-2</v>
      </c>
      <c r="M3075" s="2">
        <f>tblSales[[#This Row],[Sales]]/tblSales[[#This Row],[Transactions]]</f>
        <v>274</v>
      </c>
    </row>
    <row r="3076" spans="1:13" x14ac:dyDescent="0.25">
      <c r="A3076" s="1">
        <v>46176</v>
      </c>
      <c r="B3076" t="s">
        <v>25</v>
      </c>
      <c r="C3076" t="s">
        <v>19</v>
      </c>
      <c r="D3076" t="str">
        <f>_xlfn.XLOOKUP(tblSales[[#This Row],[Store ID]],tblStores[Store ID],tblStores[Store Name])</f>
        <v>Paarl</v>
      </c>
      <c r="E3076" t="str">
        <f>_xlfn.XLOOKUP(tblSales[[#This Row],[Store ID]],tblStores[Store ID],tblStores[Province])</f>
        <v>Western Cape</v>
      </c>
      <c r="F3076" t="str">
        <f>_xlfn.XLOOKUP(tblSales[[#This Row],[Store ID]],tblStores[Store ID],tblStores[Manager])</f>
        <v>Andrew Lee</v>
      </c>
      <c r="G3076" t="str">
        <f>_xlfn.XLOOKUP(tblSales[[#This Row],[Category ID]],tblCategories[Category ID],tblCategories[Category])</f>
        <v>Accessories</v>
      </c>
      <c r="H3076">
        <v>44874</v>
      </c>
      <c r="I3076">
        <v>49724</v>
      </c>
      <c r="J3076">
        <v>162</v>
      </c>
      <c r="K3076">
        <f>tblSales[[#This Row],[Sales]]-tblSales[[#This Row],[Budget]]</f>
        <v>-4850</v>
      </c>
      <c r="L3076" s="3">
        <f>(tblSales[[#This Row],[Sales]]-tblSales[[#This Row],[Budget]])/tblSales[[#This Row],[Budget]]</f>
        <v>-9.7538412034430047E-2</v>
      </c>
      <c r="M3076" s="2">
        <f>tblSales[[#This Row],[Sales]]/tblSales[[#This Row],[Transactions]]</f>
        <v>277</v>
      </c>
    </row>
    <row r="3077" spans="1:13" x14ac:dyDescent="0.25">
      <c r="A3077" s="1">
        <v>46176</v>
      </c>
      <c r="B3077" t="s">
        <v>26</v>
      </c>
      <c r="C3077" t="s">
        <v>19</v>
      </c>
      <c r="D3077" t="str">
        <f>_xlfn.XLOOKUP(tblSales[[#This Row],[Store ID]],tblStores[Store ID],tblStores[Store Name])</f>
        <v>Gqeberha</v>
      </c>
      <c r="E3077" t="str">
        <f>_xlfn.XLOOKUP(tblSales[[#This Row],[Store ID]],tblStores[Store ID],tblStores[Province])</f>
        <v>Eastern Cape</v>
      </c>
      <c r="F3077" t="str">
        <f>_xlfn.XLOOKUP(tblSales[[#This Row],[Store ID]],tblStores[Store ID],tblStores[Manager])</f>
        <v>Emma Baker</v>
      </c>
      <c r="G3077" t="str">
        <f>_xlfn.XLOOKUP(tblSales[[#This Row],[Category ID]],tblCategories[Category ID],tblCategories[Category])</f>
        <v>Accessories</v>
      </c>
      <c r="H3077">
        <v>68016</v>
      </c>
      <c r="I3077">
        <v>67201</v>
      </c>
      <c r="J3077">
        <v>156</v>
      </c>
      <c r="K3077">
        <f>tblSales[[#This Row],[Sales]]-tblSales[[#This Row],[Budget]]</f>
        <v>815</v>
      </c>
      <c r="L3077" s="3">
        <f>(tblSales[[#This Row],[Sales]]-tblSales[[#This Row],[Budget]])/tblSales[[#This Row],[Budget]]</f>
        <v>1.2127795717325635E-2</v>
      </c>
      <c r="M3077" s="2">
        <f>tblSales[[#This Row],[Sales]]/tblSales[[#This Row],[Transactions]]</f>
        <v>436</v>
      </c>
    </row>
    <row r="3078" spans="1:13" x14ac:dyDescent="0.25">
      <c r="A3078" s="1">
        <v>46176</v>
      </c>
      <c r="B3078" t="s">
        <v>27</v>
      </c>
      <c r="C3078" t="s">
        <v>19</v>
      </c>
      <c r="D3078" t="str">
        <f>_xlfn.XLOOKUP(tblSales[[#This Row],[Store ID]],tblStores[Store ID],tblStores[Store Name])</f>
        <v>East London</v>
      </c>
      <c r="E3078" t="str">
        <f>_xlfn.XLOOKUP(tblSales[[#This Row],[Store ID]],tblStores[Store ID],tblStores[Province])</f>
        <v>Eastern Cape</v>
      </c>
      <c r="F3078" t="str">
        <f>_xlfn.XLOOKUP(tblSales[[#This Row],[Store ID]],tblStores[Store ID],tblStores[Manager])</f>
        <v>Daniel Evans</v>
      </c>
      <c r="G3078" t="str">
        <f>_xlfn.XLOOKUP(tblSales[[#This Row],[Category ID]],tblCategories[Category ID],tblCategories[Category])</f>
        <v>Accessories</v>
      </c>
      <c r="H3078">
        <v>44500</v>
      </c>
      <c r="I3078">
        <v>48967</v>
      </c>
      <c r="J3078">
        <v>178</v>
      </c>
      <c r="K3078">
        <f>tblSales[[#This Row],[Sales]]-tblSales[[#This Row],[Budget]]</f>
        <v>-4467</v>
      </c>
      <c r="L3078" s="3">
        <f>(tblSales[[#This Row],[Sales]]-tblSales[[#This Row],[Budget]])/tblSales[[#This Row],[Budget]]</f>
        <v>-9.1224702350562625E-2</v>
      </c>
      <c r="M3078" s="2">
        <f>tblSales[[#This Row],[Sales]]/tblSales[[#This Row],[Transactions]]</f>
        <v>250</v>
      </c>
    </row>
    <row r="3079" spans="1:13" x14ac:dyDescent="0.25">
      <c r="A3079" s="1">
        <v>46176</v>
      </c>
      <c r="B3079" t="s">
        <v>28</v>
      </c>
      <c r="C3079" t="s">
        <v>11</v>
      </c>
      <c r="D3079" t="str">
        <f>_xlfn.XLOOKUP(tblSales[[#This Row],[Store ID]],tblStores[Store ID],tblStores[Store Name])</f>
        <v>Bloemfontein</v>
      </c>
      <c r="E3079" t="str">
        <f>_xlfn.XLOOKUP(tblSales[[#This Row],[Store ID]],tblStores[Store ID],tblStores[Province])</f>
        <v>Free State</v>
      </c>
      <c r="F3079" t="str">
        <f>_xlfn.XLOOKUP(tblSales[[#This Row],[Store ID]],tblStores[Store ID],tblStores[Manager])</f>
        <v>Rachel Moore</v>
      </c>
      <c r="G3079" t="str">
        <f>_xlfn.XLOOKUP(tblSales[[#This Row],[Category ID]],tblCategories[Category ID],tblCategories[Category])</f>
        <v>Footwear</v>
      </c>
      <c r="H3079">
        <v>72000</v>
      </c>
      <c r="I3079">
        <v>71570</v>
      </c>
      <c r="J3079">
        <v>144</v>
      </c>
      <c r="K3079">
        <f>tblSales[[#This Row],[Sales]]-tblSales[[#This Row],[Budget]]</f>
        <v>430</v>
      </c>
      <c r="L3079" s="3">
        <f>(tblSales[[#This Row],[Sales]]-tblSales[[#This Row],[Budget]])/tblSales[[#This Row],[Budget]]</f>
        <v>6.0081039541707423E-3</v>
      </c>
      <c r="M3079" s="2">
        <f>tblSales[[#This Row],[Sales]]/tblSales[[#This Row],[Transactions]]</f>
        <v>500</v>
      </c>
    </row>
    <row r="3080" spans="1:13" x14ac:dyDescent="0.25">
      <c r="A3080" s="1">
        <v>46176</v>
      </c>
      <c r="B3080" t="s">
        <v>29</v>
      </c>
      <c r="C3080" t="s">
        <v>7</v>
      </c>
      <c r="D3080" t="str">
        <f>_xlfn.XLOOKUP(tblSales[[#This Row],[Store ID]],tblStores[Store ID],tblStores[Store Name])</f>
        <v>Polokwane</v>
      </c>
      <c r="E3080" t="str">
        <f>_xlfn.XLOOKUP(tblSales[[#This Row],[Store ID]],tblStores[Store ID],tblStores[Province])</f>
        <v>Limpopo</v>
      </c>
      <c r="F3080" t="str">
        <f>_xlfn.XLOOKUP(tblSales[[#This Row],[Store ID]],tblStores[Store ID],tblStores[Manager])</f>
        <v>Kevin Harris</v>
      </c>
      <c r="G3080" t="str">
        <f>_xlfn.XLOOKUP(tblSales[[#This Row],[Category ID]],tblCategories[Category ID],tblCategories[Category])</f>
        <v>Menswear</v>
      </c>
      <c r="H3080">
        <v>39600</v>
      </c>
      <c r="I3080">
        <v>36899</v>
      </c>
      <c r="J3080">
        <v>180</v>
      </c>
      <c r="K3080">
        <f>tblSales[[#This Row],[Sales]]-tblSales[[#This Row],[Budget]]</f>
        <v>2701</v>
      </c>
      <c r="L3080" s="3">
        <f>(tblSales[[#This Row],[Sales]]-tblSales[[#This Row],[Budget]])/tblSales[[#This Row],[Budget]]</f>
        <v>7.3199815713162961E-2</v>
      </c>
      <c r="M3080" s="2">
        <f>tblSales[[#This Row],[Sales]]/tblSales[[#This Row],[Transactions]]</f>
        <v>220</v>
      </c>
    </row>
    <row r="3081" spans="1:13" x14ac:dyDescent="0.25">
      <c r="A3081" s="1">
        <v>46176</v>
      </c>
      <c r="B3081" t="s">
        <v>30</v>
      </c>
      <c r="C3081" t="s">
        <v>19</v>
      </c>
      <c r="D3081" t="str">
        <f>_xlfn.XLOOKUP(tblSales[[#This Row],[Store ID]],tblStores[Store ID],tblStores[Store Name])</f>
        <v>Nelspruit</v>
      </c>
      <c r="E3081" t="str">
        <f>_xlfn.XLOOKUP(tblSales[[#This Row],[Store ID]],tblStores[Store ID],tblStores[Province])</f>
        <v>Mpumalanga</v>
      </c>
      <c r="F3081" t="str">
        <f>_xlfn.XLOOKUP(tblSales[[#This Row],[Store ID]],tblStores[Store ID],tblStores[Manager])</f>
        <v>Olivia Turner</v>
      </c>
      <c r="G3081" t="str">
        <f>_xlfn.XLOOKUP(tblSales[[#This Row],[Category ID]],tblCategories[Category ID],tblCategories[Category])</f>
        <v>Accessories</v>
      </c>
      <c r="H3081">
        <v>25641</v>
      </c>
      <c r="I3081">
        <v>23832</v>
      </c>
      <c r="J3081">
        <v>111</v>
      </c>
      <c r="K3081">
        <f>tblSales[[#This Row],[Sales]]-tblSales[[#This Row],[Budget]]</f>
        <v>1809</v>
      </c>
      <c r="L3081" s="3">
        <f>(tblSales[[#This Row],[Sales]]-tblSales[[#This Row],[Budget]])/tblSales[[#This Row],[Budget]]</f>
        <v>7.5906344410876139E-2</v>
      </c>
      <c r="M3081" s="2">
        <f>tblSales[[#This Row],[Sales]]/tblSales[[#This Row],[Transactions]]</f>
        <v>231</v>
      </c>
    </row>
    <row r="3082" spans="1:13" x14ac:dyDescent="0.25">
      <c r="A3082" s="1">
        <v>46177</v>
      </c>
      <c r="B3082" t="s">
        <v>6</v>
      </c>
      <c r="C3082" t="s">
        <v>9</v>
      </c>
      <c r="D3082" t="str">
        <f>_xlfn.XLOOKUP(tblSales[[#This Row],[Store ID]],tblStores[Store ID],tblStores[Store Name])</f>
        <v>Durban CBD</v>
      </c>
      <c r="E3082" t="str">
        <f>_xlfn.XLOOKUP(tblSales[[#This Row],[Store ID]],tblStores[Store ID],tblStores[Province])</f>
        <v>KZN</v>
      </c>
      <c r="F3082" t="str">
        <f>_xlfn.XLOOKUP(tblSales[[#This Row],[Store ID]],tblStores[Store ID],tblStores[Manager])</f>
        <v>Sarah Adams</v>
      </c>
      <c r="G3082" t="str">
        <f>_xlfn.XLOOKUP(tblSales[[#This Row],[Category ID]],tblCategories[Category ID],tblCategories[Category])</f>
        <v>Ladieswear</v>
      </c>
      <c r="H3082">
        <v>23376</v>
      </c>
      <c r="I3082">
        <v>24197</v>
      </c>
      <c r="J3082">
        <v>48</v>
      </c>
      <c r="K3082">
        <f>tblSales[[#This Row],[Sales]]-tblSales[[#This Row],[Budget]]</f>
        <v>-821</v>
      </c>
      <c r="L3082" s="3">
        <f>(tblSales[[#This Row],[Sales]]-tblSales[[#This Row],[Budget]])/tblSales[[#This Row],[Budget]]</f>
        <v>-3.3929826011489028E-2</v>
      </c>
      <c r="M3082" s="2">
        <f>tblSales[[#This Row],[Sales]]/tblSales[[#This Row],[Transactions]]</f>
        <v>487</v>
      </c>
    </row>
    <row r="3083" spans="1:13" x14ac:dyDescent="0.25">
      <c r="A3083" s="1">
        <v>46177</v>
      </c>
      <c r="B3083" t="s">
        <v>8</v>
      </c>
      <c r="C3083" t="s">
        <v>7</v>
      </c>
      <c r="D3083" t="str">
        <f>_xlfn.XLOOKUP(tblSales[[#This Row],[Store ID]],tblStores[Store ID],tblStores[Store Name])</f>
        <v>Gateway</v>
      </c>
      <c r="E3083" t="str">
        <f>_xlfn.XLOOKUP(tblSales[[#This Row],[Store ID]],tblStores[Store ID],tblStores[Province])</f>
        <v>KZN</v>
      </c>
      <c r="F3083" t="str">
        <f>_xlfn.XLOOKUP(tblSales[[#This Row],[Store ID]],tblStores[Store ID],tblStores[Manager])</f>
        <v>Michael Jones</v>
      </c>
      <c r="G3083" t="str">
        <f>_xlfn.XLOOKUP(tblSales[[#This Row],[Category ID]],tblCategories[Category ID],tblCategories[Category])</f>
        <v>Menswear</v>
      </c>
      <c r="H3083">
        <v>30176</v>
      </c>
      <c r="I3083">
        <v>34116</v>
      </c>
      <c r="J3083">
        <v>92</v>
      </c>
      <c r="K3083">
        <f>tblSales[[#This Row],[Sales]]-tblSales[[#This Row],[Budget]]</f>
        <v>-3940</v>
      </c>
      <c r="L3083" s="3">
        <f>(tblSales[[#This Row],[Sales]]-tblSales[[#This Row],[Budget]])/tblSales[[#This Row],[Budget]]</f>
        <v>-0.11548833391956853</v>
      </c>
      <c r="M3083" s="2">
        <f>tblSales[[#This Row],[Sales]]/tblSales[[#This Row],[Transactions]]</f>
        <v>328</v>
      </c>
    </row>
    <row r="3084" spans="1:13" x14ac:dyDescent="0.25">
      <c r="A3084" s="1">
        <v>46177</v>
      </c>
      <c r="B3084" t="s">
        <v>10</v>
      </c>
      <c r="C3084" t="s">
        <v>22</v>
      </c>
      <c r="D3084" t="str">
        <f>_xlfn.XLOOKUP(tblSales[[#This Row],[Store ID]],tblStores[Store ID],tblStores[Store Name])</f>
        <v>Ballito</v>
      </c>
      <c r="E3084" t="str">
        <f>_xlfn.XLOOKUP(tblSales[[#This Row],[Store ID]],tblStores[Store ID],tblStores[Province])</f>
        <v>KZN</v>
      </c>
      <c r="F3084" t="str">
        <f>_xlfn.XLOOKUP(tblSales[[#This Row],[Store ID]],tblStores[Store ID],tblStores[Manager])</f>
        <v>Linda Smith</v>
      </c>
      <c r="G3084" t="str">
        <f>_xlfn.XLOOKUP(tblSales[[#This Row],[Category ID]],tblCategories[Category ID],tblCategories[Category])</f>
        <v>Kids</v>
      </c>
      <c r="H3084">
        <v>48642</v>
      </c>
      <c r="I3084">
        <v>44604</v>
      </c>
      <c r="J3084">
        <v>134</v>
      </c>
      <c r="K3084">
        <f>tblSales[[#This Row],[Sales]]-tblSales[[#This Row],[Budget]]</f>
        <v>4038</v>
      </c>
      <c r="L3084" s="3">
        <f>(tblSales[[#This Row],[Sales]]-tblSales[[#This Row],[Budget]])/tblSales[[#This Row],[Budget]]</f>
        <v>9.0529997309658328E-2</v>
      </c>
      <c r="M3084" s="2">
        <f>tblSales[[#This Row],[Sales]]/tblSales[[#This Row],[Transactions]]</f>
        <v>363</v>
      </c>
    </row>
    <row r="3085" spans="1:13" x14ac:dyDescent="0.25">
      <c r="A3085" s="1">
        <v>46177</v>
      </c>
      <c r="B3085" t="s">
        <v>12</v>
      </c>
      <c r="C3085" t="s">
        <v>9</v>
      </c>
      <c r="D3085" t="str">
        <f>_xlfn.XLOOKUP(tblSales[[#This Row],[Store ID]],tblStores[Store ID],tblStores[Store Name])</f>
        <v>Pietermaritzburg</v>
      </c>
      <c r="E3085" t="str">
        <f>_xlfn.XLOOKUP(tblSales[[#This Row],[Store ID]],tblStores[Store ID],tblStores[Province])</f>
        <v>KZN</v>
      </c>
      <c r="F3085" t="str">
        <f>_xlfn.XLOOKUP(tblSales[[#This Row],[Store ID]],tblStores[Store ID],tblStores[Manager])</f>
        <v>Peter Brown</v>
      </c>
      <c r="G3085" t="str">
        <f>_xlfn.XLOOKUP(tblSales[[#This Row],[Category ID]],tblCategories[Category ID],tblCategories[Category])</f>
        <v>Ladieswear</v>
      </c>
      <c r="H3085">
        <v>23544</v>
      </c>
      <c r="I3085">
        <v>24335</v>
      </c>
      <c r="J3085">
        <v>108</v>
      </c>
      <c r="K3085">
        <f>tblSales[[#This Row],[Sales]]-tblSales[[#This Row],[Budget]]</f>
        <v>-791</v>
      </c>
      <c r="L3085" s="3">
        <f>(tblSales[[#This Row],[Sales]]-tblSales[[#This Row],[Budget]])/tblSales[[#This Row],[Budget]]</f>
        <v>-3.2504622971029379E-2</v>
      </c>
      <c r="M3085" s="2">
        <f>tblSales[[#This Row],[Sales]]/tblSales[[#This Row],[Transactions]]</f>
        <v>218</v>
      </c>
    </row>
    <row r="3086" spans="1:13" x14ac:dyDescent="0.25">
      <c r="A3086" s="1">
        <v>46177</v>
      </c>
      <c r="B3086" t="s">
        <v>13</v>
      </c>
      <c r="C3086" t="s">
        <v>9</v>
      </c>
      <c r="D3086" t="str">
        <f>_xlfn.XLOOKUP(tblSales[[#This Row],[Store ID]],tblStores[Store ID],tblStores[Store Name])</f>
        <v>Richards Bay</v>
      </c>
      <c r="E3086" t="str">
        <f>_xlfn.XLOOKUP(tblSales[[#This Row],[Store ID]],tblStores[Store ID],tblStores[Province])</f>
        <v>KZN</v>
      </c>
      <c r="F3086" t="str">
        <f>_xlfn.XLOOKUP(tblSales[[#This Row],[Store ID]],tblStores[Store ID],tblStores[Manager])</f>
        <v>David Green</v>
      </c>
      <c r="G3086" t="str">
        <f>_xlfn.XLOOKUP(tblSales[[#This Row],[Category ID]],tblCategories[Category ID],tblCategories[Category])</f>
        <v>Ladieswear</v>
      </c>
      <c r="H3086">
        <v>82164</v>
      </c>
      <c r="I3086">
        <v>84219</v>
      </c>
      <c r="J3086">
        <v>167</v>
      </c>
      <c r="K3086">
        <f>tblSales[[#This Row],[Sales]]-tblSales[[#This Row],[Budget]]</f>
        <v>-2055</v>
      </c>
      <c r="L3086" s="3">
        <f>(tblSales[[#This Row],[Sales]]-tblSales[[#This Row],[Budget]])/tblSales[[#This Row],[Budget]]</f>
        <v>-2.4400669682613188E-2</v>
      </c>
      <c r="M3086" s="2">
        <f>tblSales[[#This Row],[Sales]]/tblSales[[#This Row],[Transactions]]</f>
        <v>492</v>
      </c>
    </row>
    <row r="3087" spans="1:13" x14ac:dyDescent="0.25">
      <c r="A3087" s="1">
        <v>46177</v>
      </c>
      <c r="B3087" t="s">
        <v>14</v>
      </c>
      <c r="C3087" t="s">
        <v>11</v>
      </c>
      <c r="D3087" t="str">
        <f>_xlfn.XLOOKUP(tblSales[[#This Row],[Store ID]],tblStores[Store ID],tblStores[Store Name])</f>
        <v>Sandton</v>
      </c>
      <c r="E3087" t="str">
        <f>_xlfn.XLOOKUP(tblSales[[#This Row],[Store ID]],tblStores[Store ID],tblStores[Province])</f>
        <v>Gauteng</v>
      </c>
      <c r="F3087" t="str">
        <f>_xlfn.XLOOKUP(tblSales[[#This Row],[Store ID]],tblStores[Store ID],tblStores[Manager])</f>
        <v>Karen White</v>
      </c>
      <c r="G3087" t="str">
        <f>_xlfn.XLOOKUP(tblSales[[#This Row],[Category ID]],tblCategories[Category ID],tblCategories[Category])</f>
        <v>Footwear</v>
      </c>
      <c r="H3087">
        <v>40337</v>
      </c>
      <c r="I3087">
        <v>41808</v>
      </c>
      <c r="J3087">
        <v>193</v>
      </c>
      <c r="K3087">
        <f>tblSales[[#This Row],[Sales]]-tblSales[[#This Row],[Budget]]</f>
        <v>-1471</v>
      </c>
      <c r="L3087" s="3">
        <f>(tblSales[[#This Row],[Sales]]-tblSales[[#This Row],[Budget]])/tblSales[[#This Row],[Budget]]</f>
        <v>-3.518465365480291E-2</v>
      </c>
      <c r="M3087" s="2">
        <f>tblSales[[#This Row],[Sales]]/tblSales[[#This Row],[Transactions]]</f>
        <v>209</v>
      </c>
    </row>
    <row r="3088" spans="1:13" x14ac:dyDescent="0.25">
      <c r="A3088" s="1">
        <v>46177</v>
      </c>
      <c r="B3088" t="s">
        <v>15</v>
      </c>
      <c r="C3088" t="s">
        <v>7</v>
      </c>
      <c r="D3088" t="str">
        <f>_xlfn.XLOOKUP(tblSales[[#This Row],[Store ID]],tblStores[Store ID],tblStores[Store Name])</f>
        <v>Rosebank</v>
      </c>
      <c r="E3088" t="str">
        <f>_xlfn.XLOOKUP(tblSales[[#This Row],[Store ID]],tblStores[Store ID],tblStores[Province])</f>
        <v>Gauteng</v>
      </c>
      <c r="F3088" t="str">
        <f>_xlfn.XLOOKUP(tblSales[[#This Row],[Store ID]],tblStores[Store ID],tblStores[Manager])</f>
        <v>James Taylor</v>
      </c>
      <c r="G3088" t="str">
        <f>_xlfn.XLOOKUP(tblSales[[#This Row],[Category ID]],tblCategories[Category ID],tblCategories[Category])</f>
        <v>Menswear</v>
      </c>
      <c r="H3088">
        <v>77464</v>
      </c>
      <c r="I3088">
        <v>87862</v>
      </c>
      <c r="J3088">
        <v>184</v>
      </c>
      <c r="K3088">
        <f>tblSales[[#This Row],[Sales]]-tblSales[[#This Row],[Budget]]</f>
        <v>-10398</v>
      </c>
      <c r="L3088" s="3">
        <f>(tblSales[[#This Row],[Sales]]-tblSales[[#This Row],[Budget]])/tblSales[[#This Row],[Budget]]</f>
        <v>-0.11834467687965218</v>
      </c>
      <c r="M3088" s="2">
        <f>tblSales[[#This Row],[Sales]]/tblSales[[#This Row],[Transactions]]</f>
        <v>421</v>
      </c>
    </row>
    <row r="3089" spans="1:13" x14ac:dyDescent="0.25">
      <c r="A3089" s="1">
        <v>46177</v>
      </c>
      <c r="B3089" t="s">
        <v>16</v>
      </c>
      <c r="C3089" t="s">
        <v>22</v>
      </c>
      <c r="D3089" t="str">
        <f>_xlfn.XLOOKUP(tblSales[[#This Row],[Store ID]],tblStores[Store ID],tblStores[Store Name])</f>
        <v>Pretoria</v>
      </c>
      <c r="E3089" t="str">
        <f>_xlfn.XLOOKUP(tblSales[[#This Row],[Store ID]],tblStores[Store ID],tblStores[Province])</f>
        <v>Gauteng</v>
      </c>
      <c r="F3089" t="str">
        <f>_xlfn.XLOOKUP(tblSales[[#This Row],[Store ID]],tblStores[Store ID],tblStores[Manager])</f>
        <v>Susan Clark</v>
      </c>
      <c r="G3089" t="str">
        <f>_xlfn.XLOOKUP(tblSales[[#This Row],[Category ID]],tblCategories[Category ID],tblCategories[Category])</f>
        <v>Kids</v>
      </c>
      <c r="H3089">
        <v>39390</v>
      </c>
      <c r="I3089">
        <v>35768</v>
      </c>
      <c r="J3089">
        <v>202</v>
      </c>
      <c r="K3089">
        <f>tblSales[[#This Row],[Sales]]-tblSales[[#This Row],[Budget]]</f>
        <v>3622</v>
      </c>
      <c r="L3089" s="3">
        <f>(tblSales[[#This Row],[Sales]]-tblSales[[#This Row],[Budget]])/tblSales[[#This Row],[Budget]]</f>
        <v>0.10126369939610826</v>
      </c>
      <c r="M3089" s="2">
        <f>tblSales[[#This Row],[Sales]]/tblSales[[#This Row],[Transactions]]</f>
        <v>195</v>
      </c>
    </row>
    <row r="3090" spans="1:13" x14ac:dyDescent="0.25">
      <c r="A3090" s="1">
        <v>46177</v>
      </c>
      <c r="B3090" t="s">
        <v>17</v>
      </c>
      <c r="C3090" t="s">
        <v>11</v>
      </c>
      <c r="D3090" t="str">
        <f>_xlfn.XLOOKUP(tblSales[[#This Row],[Store ID]],tblStores[Store ID],tblStores[Store Name])</f>
        <v>Centurion</v>
      </c>
      <c r="E3090" t="str">
        <f>_xlfn.XLOOKUP(tblSales[[#This Row],[Store ID]],tblStores[Store ID],tblStores[Province])</f>
        <v>Gauteng</v>
      </c>
      <c r="F3090" t="str">
        <f>_xlfn.XLOOKUP(tblSales[[#This Row],[Store ID]],tblStores[Store ID],tblStores[Manager])</f>
        <v>Mark Wilson</v>
      </c>
      <c r="G3090" t="str">
        <f>_xlfn.XLOOKUP(tblSales[[#This Row],[Category ID]],tblCategories[Category ID],tblCategories[Category])</f>
        <v>Footwear</v>
      </c>
      <c r="H3090">
        <v>28482</v>
      </c>
      <c r="I3090">
        <v>28015</v>
      </c>
      <c r="J3090">
        <v>101</v>
      </c>
      <c r="K3090">
        <f>tblSales[[#This Row],[Sales]]-tblSales[[#This Row],[Budget]]</f>
        <v>467</v>
      </c>
      <c r="L3090" s="3">
        <f>(tblSales[[#This Row],[Sales]]-tblSales[[#This Row],[Budget]])/tblSales[[#This Row],[Budget]]</f>
        <v>1.666964126360878E-2</v>
      </c>
      <c r="M3090" s="2">
        <f>tblSales[[#This Row],[Sales]]/tblSales[[#This Row],[Transactions]]</f>
        <v>282</v>
      </c>
    </row>
    <row r="3091" spans="1:13" x14ac:dyDescent="0.25">
      <c r="A3091" s="1">
        <v>46177</v>
      </c>
      <c r="B3091" t="s">
        <v>18</v>
      </c>
      <c r="C3091" t="s">
        <v>7</v>
      </c>
      <c r="D3091" t="str">
        <f>_xlfn.XLOOKUP(tblSales[[#This Row],[Store ID]],tblStores[Store ID],tblStores[Store Name])</f>
        <v>East Rand</v>
      </c>
      <c r="E3091" t="str">
        <f>_xlfn.XLOOKUP(tblSales[[#This Row],[Store ID]],tblStores[Store ID],tblStores[Province])</f>
        <v>Gauteng</v>
      </c>
      <c r="F3091" t="str">
        <f>_xlfn.XLOOKUP(tblSales[[#This Row],[Store ID]],tblStores[Store ID],tblStores[Manager])</f>
        <v>Lisa Young</v>
      </c>
      <c r="G3091" t="str">
        <f>_xlfn.XLOOKUP(tblSales[[#This Row],[Category ID]],tblCategories[Category ID],tblCategories[Category])</f>
        <v>Menswear</v>
      </c>
      <c r="H3091">
        <v>19880</v>
      </c>
      <c r="I3091">
        <v>20611</v>
      </c>
      <c r="J3091">
        <v>70</v>
      </c>
      <c r="K3091">
        <f>tblSales[[#This Row],[Sales]]-tblSales[[#This Row],[Budget]]</f>
        <v>-731</v>
      </c>
      <c r="L3091" s="3">
        <f>(tblSales[[#This Row],[Sales]]-tblSales[[#This Row],[Budget]])/tblSales[[#This Row],[Budget]]</f>
        <v>-3.5466498471689874E-2</v>
      </c>
      <c r="M3091" s="2">
        <f>tblSales[[#This Row],[Sales]]/tblSales[[#This Row],[Transactions]]</f>
        <v>284</v>
      </c>
    </row>
    <row r="3092" spans="1:13" x14ac:dyDescent="0.25">
      <c r="A3092" s="1">
        <v>46177</v>
      </c>
      <c r="B3092" t="s">
        <v>20</v>
      </c>
      <c r="C3092" t="s">
        <v>22</v>
      </c>
      <c r="D3092" t="str">
        <f>_xlfn.XLOOKUP(tblSales[[#This Row],[Store ID]],tblStores[Store ID],tblStores[Store Name])</f>
        <v>Cape Town CBD</v>
      </c>
      <c r="E3092" t="str">
        <f>_xlfn.XLOOKUP(tblSales[[#This Row],[Store ID]],tblStores[Store ID],tblStores[Province])</f>
        <v>Western Cape</v>
      </c>
      <c r="F3092" t="str">
        <f>_xlfn.XLOOKUP(tblSales[[#This Row],[Store ID]],tblStores[Store ID],tblStores[Manager])</f>
        <v>Brian Hall</v>
      </c>
      <c r="G3092" t="str">
        <f>_xlfn.XLOOKUP(tblSales[[#This Row],[Category ID]],tblCategories[Category ID],tblCategories[Category])</f>
        <v>Kids</v>
      </c>
      <c r="H3092">
        <v>43044</v>
      </c>
      <c r="I3092">
        <v>41275</v>
      </c>
      <c r="J3092">
        <v>204</v>
      </c>
      <c r="K3092">
        <f>tblSales[[#This Row],[Sales]]-tblSales[[#This Row],[Budget]]</f>
        <v>1769</v>
      </c>
      <c r="L3092" s="3">
        <f>(tblSales[[#This Row],[Sales]]-tblSales[[#This Row],[Budget]])/tblSales[[#This Row],[Budget]]</f>
        <v>4.285887341005451E-2</v>
      </c>
      <c r="M3092" s="2">
        <f>tblSales[[#This Row],[Sales]]/tblSales[[#This Row],[Transactions]]</f>
        <v>211</v>
      </c>
    </row>
    <row r="3093" spans="1:13" x14ac:dyDescent="0.25">
      <c r="A3093" s="1">
        <v>46177</v>
      </c>
      <c r="B3093" t="s">
        <v>21</v>
      </c>
      <c r="C3093" t="s">
        <v>7</v>
      </c>
      <c r="D3093" t="str">
        <f>_xlfn.XLOOKUP(tblSales[[#This Row],[Store ID]],tblStores[Store ID],tblStores[Store Name])</f>
        <v>Canal Walk</v>
      </c>
      <c r="E3093" t="str">
        <f>_xlfn.XLOOKUP(tblSales[[#This Row],[Store ID]],tblStores[Store ID],tblStores[Province])</f>
        <v>Western Cape</v>
      </c>
      <c r="F3093" t="str">
        <f>_xlfn.XLOOKUP(tblSales[[#This Row],[Store ID]],tblStores[Store ID],tblStores[Manager])</f>
        <v>Megan Scott</v>
      </c>
      <c r="G3093" t="str">
        <f>_xlfn.XLOOKUP(tblSales[[#This Row],[Category ID]],tblCategories[Category ID],tblCategories[Category])</f>
        <v>Menswear</v>
      </c>
      <c r="H3093">
        <v>88068</v>
      </c>
      <c r="I3093">
        <v>94741</v>
      </c>
      <c r="J3093">
        <v>179</v>
      </c>
      <c r="K3093">
        <f>tblSales[[#This Row],[Sales]]-tblSales[[#This Row],[Budget]]</f>
        <v>-6673</v>
      </c>
      <c r="L3093" s="3">
        <f>(tblSales[[#This Row],[Sales]]-tblSales[[#This Row],[Budget]])/tblSales[[#This Row],[Budget]]</f>
        <v>-7.0434130946475132E-2</v>
      </c>
      <c r="M3093" s="2">
        <f>tblSales[[#This Row],[Sales]]/tblSales[[#This Row],[Transactions]]</f>
        <v>492</v>
      </c>
    </row>
    <row r="3094" spans="1:13" x14ac:dyDescent="0.25">
      <c r="A3094" s="1">
        <v>46177</v>
      </c>
      <c r="B3094" t="s">
        <v>23</v>
      </c>
      <c r="C3094" t="s">
        <v>7</v>
      </c>
      <c r="D3094" t="str">
        <f>_xlfn.XLOOKUP(tblSales[[#This Row],[Store ID]],tblStores[Store ID],tblStores[Store Name])</f>
        <v>Stellenbosch</v>
      </c>
      <c r="E3094" t="str">
        <f>_xlfn.XLOOKUP(tblSales[[#This Row],[Store ID]],tblStores[Store ID],tblStores[Province])</f>
        <v>Western Cape</v>
      </c>
      <c r="F3094" t="str">
        <f>_xlfn.XLOOKUP(tblSales[[#This Row],[Store ID]],tblStores[Store ID],tblStores[Manager])</f>
        <v>Jason King</v>
      </c>
      <c r="G3094" t="str">
        <f>_xlfn.XLOOKUP(tblSales[[#This Row],[Category ID]],tblCategories[Category ID],tblCategories[Category])</f>
        <v>Menswear</v>
      </c>
      <c r="H3094">
        <v>26568</v>
      </c>
      <c r="I3094">
        <v>30220</v>
      </c>
      <c r="J3094">
        <v>123</v>
      </c>
      <c r="K3094">
        <f>tblSales[[#This Row],[Sales]]-tblSales[[#This Row],[Budget]]</f>
        <v>-3652</v>
      </c>
      <c r="L3094" s="3">
        <f>(tblSales[[#This Row],[Sales]]-tblSales[[#This Row],[Budget]])/tblSales[[#This Row],[Budget]]</f>
        <v>-0.12084712111184646</v>
      </c>
      <c r="M3094" s="2">
        <f>tblSales[[#This Row],[Sales]]/tblSales[[#This Row],[Transactions]]</f>
        <v>216</v>
      </c>
    </row>
    <row r="3095" spans="1:13" x14ac:dyDescent="0.25">
      <c r="A3095" s="1">
        <v>46177</v>
      </c>
      <c r="B3095" t="s">
        <v>24</v>
      </c>
      <c r="C3095" t="s">
        <v>19</v>
      </c>
      <c r="D3095" t="str">
        <f>_xlfn.XLOOKUP(tblSales[[#This Row],[Store ID]],tblStores[Store ID],tblStores[Store Name])</f>
        <v>George</v>
      </c>
      <c r="E3095" t="str">
        <f>_xlfn.XLOOKUP(tblSales[[#This Row],[Store ID]],tblStores[Store ID],tblStores[Province])</f>
        <v>Western Cape</v>
      </c>
      <c r="F3095" t="str">
        <f>_xlfn.XLOOKUP(tblSales[[#This Row],[Store ID]],tblStores[Store ID],tblStores[Manager])</f>
        <v>Chloe Hill</v>
      </c>
      <c r="G3095" t="str">
        <f>_xlfn.XLOOKUP(tblSales[[#This Row],[Category ID]],tblCategories[Category ID],tblCategories[Category])</f>
        <v>Accessories</v>
      </c>
      <c r="H3095">
        <v>42211</v>
      </c>
      <c r="I3095">
        <v>47355</v>
      </c>
      <c r="J3095">
        <v>191</v>
      </c>
      <c r="K3095">
        <f>tblSales[[#This Row],[Sales]]-tblSales[[#This Row],[Budget]]</f>
        <v>-5144</v>
      </c>
      <c r="L3095" s="3">
        <f>(tblSales[[#This Row],[Sales]]-tblSales[[#This Row],[Budget]])/tblSales[[#This Row],[Budget]]</f>
        <v>-0.10862633301657693</v>
      </c>
      <c r="M3095" s="2">
        <f>tblSales[[#This Row],[Sales]]/tblSales[[#This Row],[Transactions]]</f>
        <v>221</v>
      </c>
    </row>
    <row r="3096" spans="1:13" x14ac:dyDescent="0.25">
      <c r="A3096" s="1">
        <v>46177</v>
      </c>
      <c r="B3096" t="s">
        <v>25</v>
      </c>
      <c r="C3096" t="s">
        <v>11</v>
      </c>
      <c r="D3096" t="str">
        <f>_xlfn.XLOOKUP(tblSales[[#This Row],[Store ID]],tblStores[Store ID],tblStores[Store Name])</f>
        <v>Paarl</v>
      </c>
      <c r="E3096" t="str">
        <f>_xlfn.XLOOKUP(tblSales[[#This Row],[Store ID]],tblStores[Store ID],tblStores[Province])</f>
        <v>Western Cape</v>
      </c>
      <c r="F3096" t="str">
        <f>_xlfn.XLOOKUP(tblSales[[#This Row],[Store ID]],tblStores[Store ID],tblStores[Manager])</f>
        <v>Andrew Lee</v>
      </c>
      <c r="G3096" t="str">
        <f>_xlfn.XLOOKUP(tblSales[[#This Row],[Category ID]],tblCategories[Category ID],tblCategories[Category])</f>
        <v>Footwear</v>
      </c>
      <c r="H3096">
        <v>21624</v>
      </c>
      <c r="I3096">
        <v>23371</v>
      </c>
      <c r="J3096">
        <v>68</v>
      </c>
      <c r="K3096">
        <f>tblSales[[#This Row],[Sales]]-tblSales[[#This Row],[Budget]]</f>
        <v>-1747</v>
      </c>
      <c r="L3096" s="3">
        <f>(tblSales[[#This Row],[Sales]]-tblSales[[#This Row],[Budget]])/tblSales[[#This Row],[Budget]]</f>
        <v>-7.4750759488254673E-2</v>
      </c>
      <c r="M3096" s="2">
        <f>tblSales[[#This Row],[Sales]]/tblSales[[#This Row],[Transactions]]</f>
        <v>318</v>
      </c>
    </row>
    <row r="3097" spans="1:13" x14ac:dyDescent="0.25">
      <c r="A3097" s="1">
        <v>46177</v>
      </c>
      <c r="B3097" t="s">
        <v>26</v>
      </c>
      <c r="C3097" t="s">
        <v>7</v>
      </c>
      <c r="D3097" t="str">
        <f>_xlfn.XLOOKUP(tblSales[[#This Row],[Store ID]],tblStores[Store ID],tblStores[Store Name])</f>
        <v>Gqeberha</v>
      </c>
      <c r="E3097" t="str">
        <f>_xlfn.XLOOKUP(tblSales[[#This Row],[Store ID]],tblStores[Store ID],tblStores[Province])</f>
        <v>Eastern Cape</v>
      </c>
      <c r="F3097" t="str">
        <f>_xlfn.XLOOKUP(tblSales[[#This Row],[Store ID]],tblStores[Store ID],tblStores[Manager])</f>
        <v>Emma Baker</v>
      </c>
      <c r="G3097" t="str">
        <f>_xlfn.XLOOKUP(tblSales[[#This Row],[Category ID]],tblCategories[Category ID],tblCategories[Category])</f>
        <v>Menswear</v>
      </c>
      <c r="H3097">
        <v>19096</v>
      </c>
      <c r="I3097">
        <v>19609</v>
      </c>
      <c r="J3097">
        <v>44</v>
      </c>
      <c r="K3097">
        <f>tblSales[[#This Row],[Sales]]-tblSales[[#This Row],[Budget]]</f>
        <v>-513</v>
      </c>
      <c r="L3097" s="3">
        <f>(tblSales[[#This Row],[Sales]]-tblSales[[#This Row],[Budget]])/tblSales[[#This Row],[Budget]]</f>
        <v>-2.6161456474068031E-2</v>
      </c>
      <c r="M3097" s="2">
        <f>tblSales[[#This Row],[Sales]]/tblSales[[#This Row],[Transactions]]</f>
        <v>434</v>
      </c>
    </row>
    <row r="3098" spans="1:13" x14ac:dyDescent="0.25">
      <c r="A3098" s="1">
        <v>46177</v>
      </c>
      <c r="B3098" t="s">
        <v>27</v>
      </c>
      <c r="C3098" t="s">
        <v>22</v>
      </c>
      <c r="D3098" t="str">
        <f>_xlfn.XLOOKUP(tblSales[[#This Row],[Store ID]],tblStores[Store ID],tblStores[Store Name])</f>
        <v>East London</v>
      </c>
      <c r="E3098" t="str">
        <f>_xlfn.XLOOKUP(tblSales[[#This Row],[Store ID]],tblStores[Store ID],tblStores[Province])</f>
        <v>Eastern Cape</v>
      </c>
      <c r="F3098" t="str">
        <f>_xlfn.XLOOKUP(tblSales[[#This Row],[Store ID]],tblStores[Store ID],tblStores[Manager])</f>
        <v>Daniel Evans</v>
      </c>
      <c r="G3098" t="str">
        <f>_xlfn.XLOOKUP(tblSales[[#This Row],[Category ID]],tblCategories[Category ID],tblCategories[Category])</f>
        <v>Kids</v>
      </c>
      <c r="H3098">
        <v>61480</v>
      </c>
      <c r="I3098">
        <v>59995</v>
      </c>
      <c r="J3098">
        <v>145</v>
      </c>
      <c r="K3098">
        <f>tblSales[[#This Row],[Sales]]-tblSales[[#This Row],[Budget]]</f>
        <v>1485</v>
      </c>
      <c r="L3098" s="3">
        <f>(tblSales[[#This Row],[Sales]]-tblSales[[#This Row],[Budget]])/tblSales[[#This Row],[Budget]]</f>
        <v>2.4752062671889324E-2</v>
      </c>
      <c r="M3098" s="2">
        <f>tblSales[[#This Row],[Sales]]/tblSales[[#This Row],[Transactions]]</f>
        <v>424</v>
      </c>
    </row>
    <row r="3099" spans="1:13" x14ac:dyDescent="0.25">
      <c r="A3099" s="1">
        <v>46177</v>
      </c>
      <c r="B3099" t="s">
        <v>28</v>
      </c>
      <c r="C3099" t="s">
        <v>9</v>
      </c>
      <c r="D3099" t="str">
        <f>_xlfn.XLOOKUP(tblSales[[#This Row],[Store ID]],tblStores[Store ID],tblStores[Store Name])</f>
        <v>Bloemfontein</v>
      </c>
      <c r="E3099" t="str">
        <f>_xlfn.XLOOKUP(tblSales[[#This Row],[Store ID]],tblStores[Store ID],tblStores[Province])</f>
        <v>Free State</v>
      </c>
      <c r="F3099" t="str">
        <f>_xlfn.XLOOKUP(tblSales[[#This Row],[Store ID]],tblStores[Store ID],tblStores[Manager])</f>
        <v>Rachel Moore</v>
      </c>
      <c r="G3099" t="str">
        <f>_xlfn.XLOOKUP(tblSales[[#This Row],[Category ID]],tblCategories[Category ID],tblCategories[Category])</f>
        <v>Ladieswear</v>
      </c>
      <c r="H3099">
        <v>8320</v>
      </c>
      <c r="I3099">
        <v>7542</v>
      </c>
      <c r="J3099">
        <v>40</v>
      </c>
      <c r="K3099">
        <f>tblSales[[#This Row],[Sales]]-tblSales[[#This Row],[Budget]]</f>
        <v>778</v>
      </c>
      <c r="L3099" s="3">
        <f>(tblSales[[#This Row],[Sales]]-tblSales[[#This Row],[Budget]])/tblSales[[#This Row],[Budget]]</f>
        <v>0.10315566162821532</v>
      </c>
      <c r="M3099" s="2">
        <f>tblSales[[#This Row],[Sales]]/tblSales[[#This Row],[Transactions]]</f>
        <v>208</v>
      </c>
    </row>
    <row r="3100" spans="1:13" x14ac:dyDescent="0.25">
      <c r="A3100" s="1">
        <v>46177</v>
      </c>
      <c r="B3100" t="s">
        <v>29</v>
      </c>
      <c r="C3100" t="s">
        <v>9</v>
      </c>
      <c r="D3100" t="str">
        <f>_xlfn.XLOOKUP(tblSales[[#This Row],[Store ID]],tblStores[Store ID],tblStores[Store Name])</f>
        <v>Polokwane</v>
      </c>
      <c r="E3100" t="str">
        <f>_xlfn.XLOOKUP(tblSales[[#This Row],[Store ID]],tblStores[Store ID],tblStores[Province])</f>
        <v>Limpopo</v>
      </c>
      <c r="F3100" t="str">
        <f>_xlfn.XLOOKUP(tblSales[[#This Row],[Store ID]],tblStores[Store ID],tblStores[Manager])</f>
        <v>Kevin Harris</v>
      </c>
      <c r="G3100" t="str">
        <f>_xlfn.XLOOKUP(tblSales[[#This Row],[Category ID]],tblCategories[Category ID],tblCategories[Category])</f>
        <v>Ladieswear</v>
      </c>
      <c r="H3100">
        <v>83961</v>
      </c>
      <c r="I3100">
        <v>93622</v>
      </c>
      <c r="J3100">
        <v>171</v>
      </c>
      <c r="K3100">
        <f>tblSales[[#This Row],[Sales]]-tblSales[[#This Row],[Budget]]</f>
        <v>-9661</v>
      </c>
      <c r="L3100" s="3">
        <f>(tblSales[[#This Row],[Sales]]-tblSales[[#This Row],[Budget]])/tblSales[[#This Row],[Budget]]</f>
        <v>-0.10319155753989447</v>
      </c>
      <c r="M3100" s="2">
        <f>tblSales[[#This Row],[Sales]]/tblSales[[#This Row],[Transactions]]</f>
        <v>491</v>
      </c>
    </row>
    <row r="3101" spans="1:13" x14ac:dyDescent="0.25">
      <c r="A3101" s="1">
        <v>46177</v>
      </c>
      <c r="B3101" t="s">
        <v>30</v>
      </c>
      <c r="C3101" t="s">
        <v>7</v>
      </c>
      <c r="D3101" t="str">
        <f>_xlfn.XLOOKUP(tblSales[[#This Row],[Store ID]],tblStores[Store ID],tblStores[Store Name])</f>
        <v>Nelspruit</v>
      </c>
      <c r="E3101" t="str">
        <f>_xlfn.XLOOKUP(tblSales[[#This Row],[Store ID]],tblStores[Store ID],tblStores[Province])</f>
        <v>Mpumalanga</v>
      </c>
      <c r="F3101" t="str">
        <f>_xlfn.XLOOKUP(tblSales[[#This Row],[Store ID]],tblStores[Store ID],tblStores[Manager])</f>
        <v>Olivia Turner</v>
      </c>
      <c r="G3101" t="str">
        <f>_xlfn.XLOOKUP(tblSales[[#This Row],[Category ID]],tblCategories[Category ID],tblCategories[Category])</f>
        <v>Menswear</v>
      </c>
      <c r="H3101">
        <v>74976</v>
      </c>
      <c r="I3101">
        <v>68455</v>
      </c>
      <c r="J3101">
        <v>176</v>
      </c>
      <c r="K3101">
        <f>tblSales[[#This Row],[Sales]]-tblSales[[#This Row],[Budget]]</f>
        <v>6521</v>
      </c>
      <c r="L3101" s="3">
        <f>(tblSales[[#This Row],[Sales]]-tblSales[[#This Row],[Budget]])/tblSales[[#This Row],[Budget]]</f>
        <v>9.5259659630414134E-2</v>
      </c>
      <c r="M3101" s="2">
        <f>tblSales[[#This Row],[Sales]]/tblSales[[#This Row],[Transactions]]</f>
        <v>426</v>
      </c>
    </row>
    <row r="3102" spans="1:13" x14ac:dyDescent="0.25">
      <c r="A3102" s="1">
        <v>46178</v>
      </c>
      <c r="B3102" t="s">
        <v>6</v>
      </c>
      <c r="C3102" t="s">
        <v>11</v>
      </c>
      <c r="D3102" t="str">
        <f>_xlfn.XLOOKUP(tblSales[[#This Row],[Store ID]],tblStores[Store ID],tblStores[Store Name])</f>
        <v>Durban CBD</v>
      </c>
      <c r="E3102" t="str">
        <f>_xlfn.XLOOKUP(tblSales[[#This Row],[Store ID]],tblStores[Store ID],tblStores[Province])</f>
        <v>KZN</v>
      </c>
      <c r="F3102" t="str">
        <f>_xlfn.XLOOKUP(tblSales[[#This Row],[Store ID]],tblStores[Store ID],tblStores[Manager])</f>
        <v>Sarah Adams</v>
      </c>
      <c r="G3102" t="str">
        <f>_xlfn.XLOOKUP(tblSales[[#This Row],[Category ID]],tblCategories[Category ID],tblCategories[Category])</f>
        <v>Footwear</v>
      </c>
      <c r="H3102">
        <v>51972</v>
      </c>
      <c r="I3102">
        <v>52358</v>
      </c>
      <c r="J3102">
        <v>213</v>
      </c>
      <c r="K3102">
        <f>tblSales[[#This Row],[Sales]]-tblSales[[#This Row],[Budget]]</f>
        <v>-386</v>
      </c>
      <c r="L3102" s="3">
        <f>(tblSales[[#This Row],[Sales]]-tblSales[[#This Row],[Budget]])/tblSales[[#This Row],[Budget]]</f>
        <v>-7.3723213262538679E-3</v>
      </c>
      <c r="M3102" s="2">
        <f>tblSales[[#This Row],[Sales]]/tblSales[[#This Row],[Transactions]]</f>
        <v>244</v>
      </c>
    </row>
    <row r="3103" spans="1:13" x14ac:dyDescent="0.25">
      <c r="A3103" s="1">
        <v>46178</v>
      </c>
      <c r="B3103" t="s">
        <v>8</v>
      </c>
      <c r="C3103" t="s">
        <v>11</v>
      </c>
      <c r="D3103" t="str">
        <f>_xlfn.XLOOKUP(tblSales[[#This Row],[Store ID]],tblStores[Store ID],tblStores[Store Name])</f>
        <v>Gateway</v>
      </c>
      <c r="E3103" t="str">
        <f>_xlfn.XLOOKUP(tblSales[[#This Row],[Store ID]],tblStores[Store ID],tblStores[Province])</f>
        <v>KZN</v>
      </c>
      <c r="F3103" t="str">
        <f>_xlfn.XLOOKUP(tblSales[[#This Row],[Store ID]],tblStores[Store ID],tblStores[Manager])</f>
        <v>Michael Jones</v>
      </c>
      <c r="G3103" t="str">
        <f>_xlfn.XLOOKUP(tblSales[[#This Row],[Category ID]],tblCategories[Category ID],tblCategories[Category])</f>
        <v>Footwear</v>
      </c>
      <c r="H3103">
        <v>43750</v>
      </c>
      <c r="I3103">
        <v>40639</v>
      </c>
      <c r="J3103">
        <v>175</v>
      </c>
      <c r="K3103">
        <f>tblSales[[#This Row],[Sales]]-tblSales[[#This Row],[Budget]]</f>
        <v>3111</v>
      </c>
      <c r="L3103" s="3">
        <f>(tblSales[[#This Row],[Sales]]-tblSales[[#This Row],[Budget]])/tblSales[[#This Row],[Budget]]</f>
        <v>7.655208051379217E-2</v>
      </c>
      <c r="M3103" s="2">
        <f>tblSales[[#This Row],[Sales]]/tblSales[[#This Row],[Transactions]]</f>
        <v>250</v>
      </c>
    </row>
    <row r="3104" spans="1:13" x14ac:dyDescent="0.25">
      <c r="A3104" s="1">
        <v>46178</v>
      </c>
      <c r="B3104" t="s">
        <v>10</v>
      </c>
      <c r="C3104" t="s">
        <v>7</v>
      </c>
      <c r="D3104" t="str">
        <f>_xlfn.XLOOKUP(tblSales[[#This Row],[Store ID]],tblStores[Store ID],tblStores[Store Name])</f>
        <v>Ballito</v>
      </c>
      <c r="E3104" t="str">
        <f>_xlfn.XLOOKUP(tblSales[[#This Row],[Store ID]],tblStores[Store ID],tblStores[Province])</f>
        <v>KZN</v>
      </c>
      <c r="F3104" t="str">
        <f>_xlfn.XLOOKUP(tblSales[[#This Row],[Store ID]],tblStores[Store ID],tblStores[Manager])</f>
        <v>Linda Smith</v>
      </c>
      <c r="G3104" t="str">
        <f>_xlfn.XLOOKUP(tblSales[[#This Row],[Category ID]],tblCategories[Category ID],tblCategories[Category])</f>
        <v>Menswear</v>
      </c>
      <c r="H3104">
        <v>70656</v>
      </c>
      <c r="I3104">
        <v>69804</v>
      </c>
      <c r="J3104">
        <v>192</v>
      </c>
      <c r="K3104">
        <f>tblSales[[#This Row],[Sales]]-tblSales[[#This Row],[Budget]]</f>
        <v>852</v>
      </c>
      <c r="L3104" s="3">
        <f>(tblSales[[#This Row],[Sales]]-tblSales[[#This Row],[Budget]])/tblSales[[#This Row],[Budget]]</f>
        <v>1.2205604263365996E-2</v>
      </c>
      <c r="M3104" s="2">
        <f>tblSales[[#This Row],[Sales]]/tblSales[[#This Row],[Transactions]]</f>
        <v>368</v>
      </c>
    </row>
    <row r="3105" spans="1:13" x14ac:dyDescent="0.25">
      <c r="A3105" s="1">
        <v>46178</v>
      </c>
      <c r="B3105" t="s">
        <v>12</v>
      </c>
      <c r="C3105" t="s">
        <v>22</v>
      </c>
      <c r="D3105" t="str">
        <f>_xlfn.XLOOKUP(tblSales[[#This Row],[Store ID]],tblStores[Store ID],tblStores[Store Name])</f>
        <v>Pietermaritzburg</v>
      </c>
      <c r="E3105" t="str">
        <f>_xlfn.XLOOKUP(tblSales[[#This Row],[Store ID]],tblStores[Store ID],tblStores[Province])</f>
        <v>KZN</v>
      </c>
      <c r="F3105" t="str">
        <f>_xlfn.XLOOKUP(tblSales[[#This Row],[Store ID]],tblStores[Store ID],tblStores[Manager])</f>
        <v>Peter Brown</v>
      </c>
      <c r="G3105" t="str">
        <f>_xlfn.XLOOKUP(tblSales[[#This Row],[Category ID]],tblCategories[Category ID],tblCategories[Category])</f>
        <v>Kids</v>
      </c>
      <c r="H3105">
        <v>30514</v>
      </c>
      <c r="I3105">
        <v>29279</v>
      </c>
      <c r="J3105">
        <v>146</v>
      </c>
      <c r="K3105">
        <f>tblSales[[#This Row],[Sales]]-tblSales[[#This Row],[Budget]]</f>
        <v>1235</v>
      </c>
      <c r="L3105" s="3">
        <f>(tblSales[[#This Row],[Sales]]-tblSales[[#This Row],[Budget]])/tblSales[[#This Row],[Budget]]</f>
        <v>4.218040233614536E-2</v>
      </c>
      <c r="M3105" s="2">
        <f>tblSales[[#This Row],[Sales]]/tblSales[[#This Row],[Transactions]]</f>
        <v>209</v>
      </c>
    </row>
    <row r="3106" spans="1:13" x14ac:dyDescent="0.25">
      <c r="A3106" s="1">
        <v>46178</v>
      </c>
      <c r="B3106" t="s">
        <v>13</v>
      </c>
      <c r="C3106" t="s">
        <v>7</v>
      </c>
      <c r="D3106" t="str">
        <f>_xlfn.XLOOKUP(tblSales[[#This Row],[Store ID]],tblStores[Store ID],tblStores[Store Name])</f>
        <v>Richards Bay</v>
      </c>
      <c r="E3106" t="str">
        <f>_xlfn.XLOOKUP(tblSales[[#This Row],[Store ID]],tblStores[Store ID],tblStores[Province])</f>
        <v>KZN</v>
      </c>
      <c r="F3106" t="str">
        <f>_xlfn.XLOOKUP(tblSales[[#This Row],[Store ID]],tblStores[Store ID],tblStores[Manager])</f>
        <v>David Green</v>
      </c>
      <c r="G3106" t="str">
        <f>_xlfn.XLOOKUP(tblSales[[#This Row],[Category ID]],tblCategories[Category ID],tblCategories[Category])</f>
        <v>Menswear</v>
      </c>
      <c r="H3106">
        <v>34225</v>
      </c>
      <c r="I3106">
        <v>32745</v>
      </c>
      <c r="J3106">
        <v>185</v>
      </c>
      <c r="K3106">
        <f>tblSales[[#This Row],[Sales]]-tblSales[[#This Row],[Budget]]</f>
        <v>1480</v>
      </c>
      <c r="L3106" s="3">
        <f>(tblSales[[#This Row],[Sales]]-tblSales[[#This Row],[Budget]])/tblSales[[#This Row],[Budget]]</f>
        <v>4.519774011299435E-2</v>
      </c>
      <c r="M3106" s="2">
        <f>tblSales[[#This Row],[Sales]]/tblSales[[#This Row],[Transactions]]</f>
        <v>185</v>
      </c>
    </row>
    <row r="3107" spans="1:13" x14ac:dyDescent="0.25">
      <c r="A3107" s="1">
        <v>46178</v>
      </c>
      <c r="B3107" t="s">
        <v>14</v>
      </c>
      <c r="C3107" t="s">
        <v>19</v>
      </c>
      <c r="D3107" t="str">
        <f>_xlfn.XLOOKUP(tblSales[[#This Row],[Store ID]],tblStores[Store ID],tblStores[Store Name])</f>
        <v>Sandton</v>
      </c>
      <c r="E3107" t="str">
        <f>_xlfn.XLOOKUP(tblSales[[#This Row],[Store ID]],tblStores[Store ID],tblStores[Province])</f>
        <v>Gauteng</v>
      </c>
      <c r="F3107" t="str">
        <f>_xlfn.XLOOKUP(tblSales[[#This Row],[Store ID]],tblStores[Store ID],tblStores[Manager])</f>
        <v>Karen White</v>
      </c>
      <c r="G3107" t="str">
        <f>_xlfn.XLOOKUP(tblSales[[#This Row],[Category ID]],tblCategories[Category ID],tblCategories[Category])</f>
        <v>Accessories</v>
      </c>
      <c r="H3107">
        <v>36540</v>
      </c>
      <c r="I3107">
        <v>41938</v>
      </c>
      <c r="J3107">
        <v>180</v>
      </c>
      <c r="K3107">
        <f>tblSales[[#This Row],[Sales]]-tblSales[[#This Row],[Budget]]</f>
        <v>-5398</v>
      </c>
      <c r="L3107" s="3">
        <f>(tblSales[[#This Row],[Sales]]-tblSales[[#This Row],[Budget]])/tblSales[[#This Row],[Budget]]</f>
        <v>-0.12871381563260051</v>
      </c>
      <c r="M3107" s="2">
        <f>tblSales[[#This Row],[Sales]]/tblSales[[#This Row],[Transactions]]</f>
        <v>203</v>
      </c>
    </row>
    <row r="3108" spans="1:13" x14ac:dyDescent="0.25">
      <c r="A3108" s="1">
        <v>46178</v>
      </c>
      <c r="B3108" t="s">
        <v>15</v>
      </c>
      <c r="C3108" t="s">
        <v>7</v>
      </c>
      <c r="D3108" t="str">
        <f>_xlfn.XLOOKUP(tblSales[[#This Row],[Store ID]],tblStores[Store ID],tblStores[Store Name])</f>
        <v>Rosebank</v>
      </c>
      <c r="E3108" t="str">
        <f>_xlfn.XLOOKUP(tblSales[[#This Row],[Store ID]],tblStores[Store ID],tblStores[Province])</f>
        <v>Gauteng</v>
      </c>
      <c r="F3108" t="str">
        <f>_xlfn.XLOOKUP(tblSales[[#This Row],[Store ID]],tblStores[Store ID],tblStores[Manager])</f>
        <v>James Taylor</v>
      </c>
      <c r="G3108" t="str">
        <f>_xlfn.XLOOKUP(tblSales[[#This Row],[Category ID]],tblCategories[Category ID],tblCategories[Category])</f>
        <v>Menswear</v>
      </c>
      <c r="H3108">
        <v>67233</v>
      </c>
      <c r="I3108">
        <v>74168</v>
      </c>
      <c r="J3108">
        <v>219</v>
      </c>
      <c r="K3108">
        <f>tblSales[[#This Row],[Sales]]-tblSales[[#This Row],[Budget]]</f>
        <v>-6935</v>
      </c>
      <c r="L3108" s="3">
        <f>(tblSales[[#This Row],[Sales]]-tblSales[[#This Row],[Budget]])/tblSales[[#This Row],[Budget]]</f>
        <v>-9.3503937007874016E-2</v>
      </c>
      <c r="M3108" s="2">
        <f>tblSales[[#This Row],[Sales]]/tblSales[[#This Row],[Transactions]]</f>
        <v>307</v>
      </c>
    </row>
    <row r="3109" spans="1:13" x14ac:dyDescent="0.25">
      <c r="A3109" s="1">
        <v>46178</v>
      </c>
      <c r="B3109" t="s">
        <v>16</v>
      </c>
      <c r="C3109" t="s">
        <v>7</v>
      </c>
      <c r="D3109" t="str">
        <f>_xlfn.XLOOKUP(tblSales[[#This Row],[Store ID]],tblStores[Store ID],tblStores[Store Name])</f>
        <v>Pretoria</v>
      </c>
      <c r="E3109" t="str">
        <f>_xlfn.XLOOKUP(tblSales[[#This Row],[Store ID]],tblStores[Store ID],tblStores[Province])</f>
        <v>Gauteng</v>
      </c>
      <c r="F3109" t="str">
        <f>_xlfn.XLOOKUP(tblSales[[#This Row],[Store ID]],tblStores[Store ID],tblStores[Manager])</f>
        <v>Susan Clark</v>
      </c>
      <c r="G3109" t="str">
        <f>_xlfn.XLOOKUP(tblSales[[#This Row],[Category ID]],tblCategories[Category ID],tblCategories[Category])</f>
        <v>Menswear</v>
      </c>
      <c r="H3109">
        <v>11956</v>
      </c>
      <c r="I3109">
        <v>12071</v>
      </c>
      <c r="J3109">
        <v>49</v>
      </c>
      <c r="K3109">
        <f>tblSales[[#This Row],[Sales]]-tblSales[[#This Row],[Budget]]</f>
        <v>-115</v>
      </c>
      <c r="L3109" s="3">
        <f>(tblSales[[#This Row],[Sales]]-tblSales[[#This Row],[Budget]])/tblSales[[#This Row],[Budget]]</f>
        <v>-9.5269654543948309E-3</v>
      </c>
      <c r="M3109" s="2">
        <f>tblSales[[#This Row],[Sales]]/tblSales[[#This Row],[Transactions]]</f>
        <v>244</v>
      </c>
    </row>
    <row r="3110" spans="1:13" x14ac:dyDescent="0.25">
      <c r="A3110" s="1">
        <v>46178</v>
      </c>
      <c r="B3110" t="s">
        <v>17</v>
      </c>
      <c r="C3110" t="s">
        <v>22</v>
      </c>
      <c r="D3110" t="str">
        <f>_xlfn.XLOOKUP(tblSales[[#This Row],[Store ID]],tblStores[Store ID],tblStores[Store Name])</f>
        <v>Centurion</v>
      </c>
      <c r="E3110" t="str">
        <f>_xlfn.XLOOKUP(tblSales[[#This Row],[Store ID]],tblStores[Store ID],tblStores[Province])</f>
        <v>Gauteng</v>
      </c>
      <c r="F3110" t="str">
        <f>_xlfn.XLOOKUP(tblSales[[#This Row],[Store ID]],tblStores[Store ID],tblStores[Manager])</f>
        <v>Mark Wilson</v>
      </c>
      <c r="G3110" t="str">
        <f>_xlfn.XLOOKUP(tblSales[[#This Row],[Category ID]],tblCategories[Category ID],tblCategories[Category])</f>
        <v>Kids</v>
      </c>
      <c r="H3110">
        <v>15640</v>
      </c>
      <c r="I3110">
        <v>15443</v>
      </c>
      <c r="J3110">
        <v>46</v>
      </c>
      <c r="K3110">
        <f>tblSales[[#This Row],[Sales]]-tblSales[[#This Row],[Budget]]</f>
        <v>197</v>
      </c>
      <c r="L3110" s="3">
        <f>(tblSales[[#This Row],[Sales]]-tblSales[[#This Row],[Budget]])/tblSales[[#This Row],[Budget]]</f>
        <v>1.2756588745710031E-2</v>
      </c>
      <c r="M3110" s="2">
        <f>tblSales[[#This Row],[Sales]]/tblSales[[#This Row],[Transactions]]</f>
        <v>340</v>
      </c>
    </row>
    <row r="3111" spans="1:13" x14ac:dyDescent="0.25">
      <c r="A3111" s="1">
        <v>46178</v>
      </c>
      <c r="B3111" t="s">
        <v>18</v>
      </c>
      <c r="C3111" t="s">
        <v>9</v>
      </c>
      <c r="D3111" t="str">
        <f>_xlfn.XLOOKUP(tblSales[[#This Row],[Store ID]],tblStores[Store ID],tblStores[Store Name])</f>
        <v>East Rand</v>
      </c>
      <c r="E3111" t="str">
        <f>_xlfn.XLOOKUP(tblSales[[#This Row],[Store ID]],tblStores[Store ID],tblStores[Province])</f>
        <v>Gauteng</v>
      </c>
      <c r="F3111" t="str">
        <f>_xlfn.XLOOKUP(tblSales[[#This Row],[Store ID]],tblStores[Store ID],tblStores[Manager])</f>
        <v>Lisa Young</v>
      </c>
      <c r="G3111" t="str">
        <f>_xlfn.XLOOKUP(tblSales[[#This Row],[Category ID]],tblCategories[Category ID],tblCategories[Category])</f>
        <v>Ladieswear</v>
      </c>
      <c r="H3111">
        <v>26814</v>
      </c>
      <c r="I3111">
        <v>28195</v>
      </c>
      <c r="J3111">
        <v>109</v>
      </c>
      <c r="K3111">
        <f>tblSales[[#This Row],[Sales]]-tblSales[[#This Row],[Budget]]</f>
        <v>-1381</v>
      </c>
      <c r="L3111" s="3">
        <f>(tblSales[[#This Row],[Sales]]-tblSales[[#This Row],[Budget]])/tblSales[[#This Row],[Budget]]</f>
        <v>-4.898031565880475E-2</v>
      </c>
      <c r="M3111" s="2">
        <f>tblSales[[#This Row],[Sales]]/tblSales[[#This Row],[Transactions]]</f>
        <v>246</v>
      </c>
    </row>
    <row r="3112" spans="1:13" x14ac:dyDescent="0.25">
      <c r="A3112" s="1">
        <v>46178</v>
      </c>
      <c r="B3112" t="s">
        <v>20</v>
      </c>
      <c r="C3112" t="s">
        <v>11</v>
      </c>
      <c r="D3112" t="str">
        <f>_xlfn.XLOOKUP(tblSales[[#This Row],[Store ID]],tblStores[Store ID],tblStores[Store Name])</f>
        <v>Cape Town CBD</v>
      </c>
      <c r="E3112" t="str">
        <f>_xlfn.XLOOKUP(tblSales[[#This Row],[Store ID]],tblStores[Store ID],tblStores[Province])</f>
        <v>Western Cape</v>
      </c>
      <c r="F3112" t="str">
        <f>_xlfn.XLOOKUP(tblSales[[#This Row],[Store ID]],tblStores[Store ID],tblStores[Manager])</f>
        <v>Brian Hall</v>
      </c>
      <c r="G3112" t="str">
        <f>_xlfn.XLOOKUP(tblSales[[#This Row],[Category ID]],tblCategories[Category ID],tblCategories[Category])</f>
        <v>Footwear</v>
      </c>
      <c r="H3112">
        <v>49126</v>
      </c>
      <c r="I3112">
        <v>52277</v>
      </c>
      <c r="J3112">
        <v>203</v>
      </c>
      <c r="K3112">
        <f>tblSales[[#This Row],[Sales]]-tblSales[[#This Row],[Budget]]</f>
        <v>-3151</v>
      </c>
      <c r="L3112" s="3">
        <f>(tblSales[[#This Row],[Sales]]-tblSales[[#This Row],[Budget]])/tblSales[[#This Row],[Budget]]</f>
        <v>-6.0275073167932361E-2</v>
      </c>
      <c r="M3112" s="2">
        <f>tblSales[[#This Row],[Sales]]/tblSales[[#This Row],[Transactions]]</f>
        <v>242</v>
      </c>
    </row>
    <row r="3113" spans="1:13" x14ac:dyDescent="0.25">
      <c r="A3113" s="1">
        <v>46178</v>
      </c>
      <c r="B3113" t="s">
        <v>21</v>
      </c>
      <c r="C3113" t="s">
        <v>7</v>
      </c>
      <c r="D3113" t="str">
        <f>_xlfn.XLOOKUP(tblSales[[#This Row],[Store ID]],tblStores[Store ID],tblStores[Store Name])</f>
        <v>Canal Walk</v>
      </c>
      <c r="E3113" t="str">
        <f>_xlfn.XLOOKUP(tblSales[[#This Row],[Store ID]],tblStores[Store ID],tblStores[Province])</f>
        <v>Western Cape</v>
      </c>
      <c r="F3113" t="str">
        <f>_xlfn.XLOOKUP(tblSales[[#This Row],[Store ID]],tblStores[Store ID],tblStores[Manager])</f>
        <v>Megan Scott</v>
      </c>
      <c r="G3113" t="str">
        <f>_xlfn.XLOOKUP(tblSales[[#This Row],[Category ID]],tblCategories[Category ID],tblCategories[Category])</f>
        <v>Menswear</v>
      </c>
      <c r="H3113">
        <v>45342</v>
      </c>
      <c r="I3113">
        <v>43141</v>
      </c>
      <c r="J3113">
        <v>99</v>
      </c>
      <c r="K3113">
        <f>tblSales[[#This Row],[Sales]]-tblSales[[#This Row],[Budget]]</f>
        <v>2201</v>
      </c>
      <c r="L3113" s="3">
        <f>(tblSales[[#This Row],[Sales]]-tblSales[[#This Row],[Budget]])/tblSales[[#This Row],[Budget]]</f>
        <v>5.101875246285436E-2</v>
      </c>
      <c r="M3113" s="2">
        <f>tblSales[[#This Row],[Sales]]/tblSales[[#This Row],[Transactions]]</f>
        <v>458</v>
      </c>
    </row>
    <row r="3114" spans="1:13" x14ac:dyDescent="0.25">
      <c r="A3114" s="1">
        <v>46178</v>
      </c>
      <c r="B3114" t="s">
        <v>23</v>
      </c>
      <c r="C3114" t="s">
        <v>22</v>
      </c>
      <c r="D3114" t="str">
        <f>_xlfn.XLOOKUP(tblSales[[#This Row],[Store ID]],tblStores[Store ID],tblStores[Store Name])</f>
        <v>Stellenbosch</v>
      </c>
      <c r="E3114" t="str">
        <f>_xlfn.XLOOKUP(tblSales[[#This Row],[Store ID]],tblStores[Store ID],tblStores[Province])</f>
        <v>Western Cape</v>
      </c>
      <c r="F3114" t="str">
        <f>_xlfn.XLOOKUP(tblSales[[#This Row],[Store ID]],tblStores[Store ID],tblStores[Manager])</f>
        <v>Jason King</v>
      </c>
      <c r="G3114" t="str">
        <f>_xlfn.XLOOKUP(tblSales[[#This Row],[Category ID]],tblCategories[Category ID],tblCategories[Category])</f>
        <v>Kids</v>
      </c>
      <c r="H3114">
        <v>37037</v>
      </c>
      <c r="I3114">
        <v>39936</v>
      </c>
      <c r="J3114">
        <v>91</v>
      </c>
      <c r="K3114">
        <f>tblSales[[#This Row],[Sales]]-tblSales[[#This Row],[Budget]]</f>
        <v>-2899</v>
      </c>
      <c r="L3114" s="3">
        <f>(tblSales[[#This Row],[Sales]]-tblSales[[#This Row],[Budget]])/tblSales[[#This Row],[Budget]]</f>
        <v>-7.2591145833333329E-2</v>
      </c>
      <c r="M3114" s="2">
        <f>tblSales[[#This Row],[Sales]]/tblSales[[#This Row],[Transactions]]</f>
        <v>407</v>
      </c>
    </row>
    <row r="3115" spans="1:13" x14ac:dyDescent="0.25">
      <c r="A3115" s="1">
        <v>46178</v>
      </c>
      <c r="B3115" t="s">
        <v>24</v>
      </c>
      <c r="C3115" t="s">
        <v>22</v>
      </c>
      <c r="D3115" t="str">
        <f>_xlfn.XLOOKUP(tblSales[[#This Row],[Store ID]],tblStores[Store ID],tblStores[Store Name])</f>
        <v>George</v>
      </c>
      <c r="E3115" t="str">
        <f>_xlfn.XLOOKUP(tblSales[[#This Row],[Store ID]],tblStores[Store ID],tblStores[Province])</f>
        <v>Western Cape</v>
      </c>
      <c r="F3115" t="str">
        <f>_xlfn.XLOOKUP(tblSales[[#This Row],[Store ID]],tblStores[Store ID],tblStores[Manager])</f>
        <v>Chloe Hill</v>
      </c>
      <c r="G3115" t="str">
        <f>_xlfn.XLOOKUP(tblSales[[#This Row],[Category ID]],tblCategories[Category ID],tblCategories[Category])</f>
        <v>Kids</v>
      </c>
      <c r="H3115">
        <v>57904</v>
      </c>
      <c r="I3115">
        <v>64692</v>
      </c>
      <c r="J3115">
        <v>176</v>
      </c>
      <c r="K3115">
        <f>tblSales[[#This Row],[Sales]]-tblSales[[#This Row],[Budget]]</f>
        <v>-6788</v>
      </c>
      <c r="L3115" s="3">
        <f>(tblSales[[#This Row],[Sales]]-tblSales[[#This Row],[Budget]])/tblSales[[#This Row],[Budget]]</f>
        <v>-0.10492796636369257</v>
      </c>
      <c r="M3115" s="2">
        <f>tblSales[[#This Row],[Sales]]/tblSales[[#This Row],[Transactions]]</f>
        <v>329</v>
      </c>
    </row>
    <row r="3116" spans="1:13" x14ac:dyDescent="0.25">
      <c r="A3116" s="1">
        <v>46178</v>
      </c>
      <c r="B3116" t="s">
        <v>25</v>
      </c>
      <c r="C3116" t="s">
        <v>9</v>
      </c>
      <c r="D3116" t="str">
        <f>_xlfn.XLOOKUP(tblSales[[#This Row],[Store ID]],tblStores[Store ID],tblStores[Store Name])</f>
        <v>Paarl</v>
      </c>
      <c r="E3116" t="str">
        <f>_xlfn.XLOOKUP(tblSales[[#This Row],[Store ID]],tblStores[Store ID],tblStores[Province])</f>
        <v>Western Cape</v>
      </c>
      <c r="F3116" t="str">
        <f>_xlfn.XLOOKUP(tblSales[[#This Row],[Store ID]],tblStores[Store ID],tblStores[Manager])</f>
        <v>Andrew Lee</v>
      </c>
      <c r="G3116" t="str">
        <f>_xlfn.XLOOKUP(tblSales[[#This Row],[Category ID]],tblCategories[Category ID],tblCategories[Category])</f>
        <v>Ladieswear</v>
      </c>
      <c r="H3116">
        <v>53404</v>
      </c>
      <c r="I3116">
        <v>52320</v>
      </c>
      <c r="J3116">
        <v>169</v>
      </c>
      <c r="K3116">
        <f>tblSales[[#This Row],[Sales]]-tblSales[[#This Row],[Budget]]</f>
        <v>1084</v>
      </c>
      <c r="L3116" s="3">
        <f>(tblSales[[#This Row],[Sales]]-tblSales[[#This Row],[Budget]])/tblSales[[#This Row],[Budget]]</f>
        <v>2.0718654434250763E-2</v>
      </c>
      <c r="M3116" s="2">
        <f>tblSales[[#This Row],[Sales]]/tblSales[[#This Row],[Transactions]]</f>
        <v>316</v>
      </c>
    </row>
    <row r="3117" spans="1:13" x14ac:dyDescent="0.25">
      <c r="A3117" s="1">
        <v>46178</v>
      </c>
      <c r="B3117" t="s">
        <v>26</v>
      </c>
      <c r="C3117" t="s">
        <v>19</v>
      </c>
      <c r="D3117" t="str">
        <f>_xlfn.XLOOKUP(tblSales[[#This Row],[Store ID]],tblStores[Store ID],tblStores[Store Name])</f>
        <v>Gqeberha</v>
      </c>
      <c r="E3117" t="str">
        <f>_xlfn.XLOOKUP(tblSales[[#This Row],[Store ID]],tblStores[Store ID],tblStores[Province])</f>
        <v>Eastern Cape</v>
      </c>
      <c r="F3117" t="str">
        <f>_xlfn.XLOOKUP(tblSales[[#This Row],[Store ID]],tblStores[Store ID],tblStores[Manager])</f>
        <v>Emma Baker</v>
      </c>
      <c r="G3117" t="str">
        <f>_xlfn.XLOOKUP(tblSales[[#This Row],[Category ID]],tblCategories[Category ID],tblCategories[Category])</f>
        <v>Accessories</v>
      </c>
      <c r="H3117">
        <v>37979</v>
      </c>
      <c r="I3117">
        <v>34693</v>
      </c>
      <c r="J3117">
        <v>163</v>
      </c>
      <c r="K3117">
        <f>tblSales[[#This Row],[Sales]]-tblSales[[#This Row],[Budget]]</f>
        <v>3286</v>
      </c>
      <c r="L3117" s="3">
        <f>(tblSales[[#This Row],[Sales]]-tblSales[[#This Row],[Budget]])/tblSales[[#This Row],[Budget]]</f>
        <v>9.4716513417692327E-2</v>
      </c>
      <c r="M3117" s="2">
        <f>tblSales[[#This Row],[Sales]]/tblSales[[#This Row],[Transactions]]</f>
        <v>233</v>
      </c>
    </row>
    <row r="3118" spans="1:13" x14ac:dyDescent="0.25">
      <c r="A3118" s="1">
        <v>46178</v>
      </c>
      <c r="B3118" t="s">
        <v>27</v>
      </c>
      <c r="C3118" t="s">
        <v>11</v>
      </c>
      <c r="D3118" t="str">
        <f>_xlfn.XLOOKUP(tblSales[[#This Row],[Store ID]],tblStores[Store ID],tblStores[Store Name])</f>
        <v>East London</v>
      </c>
      <c r="E3118" t="str">
        <f>_xlfn.XLOOKUP(tblSales[[#This Row],[Store ID]],tblStores[Store ID],tblStores[Province])</f>
        <v>Eastern Cape</v>
      </c>
      <c r="F3118" t="str">
        <f>_xlfn.XLOOKUP(tblSales[[#This Row],[Store ID]],tblStores[Store ID],tblStores[Manager])</f>
        <v>Daniel Evans</v>
      </c>
      <c r="G3118" t="str">
        <f>_xlfn.XLOOKUP(tblSales[[#This Row],[Category ID]],tblCategories[Category ID],tblCategories[Category])</f>
        <v>Footwear</v>
      </c>
      <c r="H3118">
        <v>107070</v>
      </c>
      <c r="I3118">
        <v>109377</v>
      </c>
      <c r="J3118">
        <v>215</v>
      </c>
      <c r="K3118">
        <f>tblSales[[#This Row],[Sales]]-tblSales[[#This Row],[Budget]]</f>
        <v>-2307</v>
      </c>
      <c r="L3118" s="3">
        <f>(tblSales[[#This Row],[Sales]]-tblSales[[#This Row],[Budget]])/tblSales[[#This Row],[Budget]]</f>
        <v>-2.1092185742889274E-2</v>
      </c>
      <c r="M3118" s="2">
        <f>tblSales[[#This Row],[Sales]]/tblSales[[#This Row],[Transactions]]</f>
        <v>498</v>
      </c>
    </row>
    <row r="3119" spans="1:13" x14ac:dyDescent="0.25">
      <c r="A3119" s="1">
        <v>46178</v>
      </c>
      <c r="B3119" t="s">
        <v>28</v>
      </c>
      <c r="C3119" t="s">
        <v>7</v>
      </c>
      <c r="D3119" t="str">
        <f>_xlfn.XLOOKUP(tblSales[[#This Row],[Store ID]],tblStores[Store ID],tblStores[Store Name])</f>
        <v>Bloemfontein</v>
      </c>
      <c r="E3119" t="str">
        <f>_xlfn.XLOOKUP(tblSales[[#This Row],[Store ID]],tblStores[Store ID],tblStores[Province])</f>
        <v>Free State</v>
      </c>
      <c r="F3119" t="str">
        <f>_xlfn.XLOOKUP(tblSales[[#This Row],[Store ID]],tblStores[Store ID],tblStores[Manager])</f>
        <v>Rachel Moore</v>
      </c>
      <c r="G3119" t="str">
        <f>_xlfn.XLOOKUP(tblSales[[#This Row],[Category ID]],tblCategories[Category ID],tblCategories[Category])</f>
        <v>Menswear</v>
      </c>
      <c r="H3119">
        <v>21750</v>
      </c>
      <c r="I3119">
        <v>24150</v>
      </c>
      <c r="J3119">
        <v>87</v>
      </c>
      <c r="K3119">
        <f>tblSales[[#This Row],[Sales]]-tblSales[[#This Row],[Budget]]</f>
        <v>-2400</v>
      </c>
      <c r="L3119" s="3">
        <f>(tblSales[[#This Row],[Sales]]-tblSales[[#This Row],[Budget]])/tblSales[[#This Row],[Budget]]</f>
        <v>-9.9378881987577633E-2</v>
      </c>
      <c r="M3119" s="2">
        <f>tblSales[[#This Row],[Sales]]/tblSales[[#This Row],[Transactions]]</f>
        <v>250</v>
      </c>
    </row>
    <row r="3120" spans="1:13" x14ac:dyDescent="0.25">
      <c r="A3120" s="1">
        <v>46178</v>
      </c>
      <c r="B3120" t="s">
        <v>29</v>
      </c>
      <c r="C3120" t="s">
        <v>19</v>
      </c>
      <c r="D3120" t="str">
        <f>_xlfn.XLOOKUP(tblSales[[#This Row],[Store ID]],tblStores[Store ID],tblStores[Store Name])</f>
        <v>Polokwane</v>
      </c>
      <c r="E3120" t="str">
        <f>_xlfn.XLOOKUP(tblSales[[#This Row],[Store ID]],tblStores[Store ID],tblStores[Province])</f>
        <v>Limpopo</v>
      </c>
      <c r="F3120" t="str">
        <f>_xlfn.XLOOKUP(tblSales[[#This Row],[Store ID]],tblStores[Store ID],tblStores[Manager])</f>
        <v>Kevin Harris</v>
      </c>
      <c r="G3120" t="str">
        <f>_xlfn.XLOOKUP(tblSales[[#This Row],[Category ID]],tblCategories[Category ID],tblCategories[Category])</f>
        <v>Accessories</v>
      </c>
      <c r="H3120">
        <v>31584</v>
      </c>
      <c r="I3120">
        <v>34283</v>
      </c>
      <c r="J3120">
        <v>94</v>
      </c>
      <c r="K3120">
        <f>tblSales[[#This Row],[Sales]]-tblSales[[#This Row],[Budget]]</f>
        <v>-2699</v>
      </c>
      <c r="L3120" s="3">
        <f>(tblSales[[#This Row],[Sales]]-tblSales[[#This Row],[Budget]])/tblSales[[#This Row],[Budget]]</f>
        <v>-7.8727065892716511E-2</v>
      </c>
      <c r="M3120" s="2">
        <f>tblSales[[#This Row],[Sales]]/tblSales[[#This Row],[Transactions]]</f>
        <v>336</v>
      </c>
    </row>
    <row r="3121" spans="1:13" x14ac:dyDescent="0.25">
      <c r="A3121" s="1">
        <v>46178</v>
      </c>
      <c r="B3121" t="s">
        <v>30</v>
      </c>
      <c r="C3121" t="s">
        <v>9</v>
      </c>
      <c r="D3121" t="str">
        <f>_xlfn.XLOOKUP(tblSales[[#This Row],[Store ID]],tblStores[Store ID],tblStores[Store Name])</f>
        <v>Nelspruit</v>
      </c>
      <c r="E3121" t="str">
        <f>_xlfn.XLOOKUP(tblSales[[#This Row],[Store ID]],tblStores[Store ID],tblStores[Province])</f>
        <v>Mpumalanga</v>
      </c>
      <c r="F3121" t="str">
        <f>_xlfn.XLOOKUP(tblSales[[#This Row],[Store ID]],tblStores[Store ID],tblStores[Manager])</f>
        <v>Olivia Turner</v>
      </c>
      <c r="G3121" t="str">
        <f>_xlfn.XLOOKUP(tblSales[[#This Row],[Category ID]],tblCategories[Category ID],tblCategories[Category])</f>
        <v>Ladieswear</v>
      </c>
      <c r="H3121">
        <v>24420</v>
      </c>
      <c r="I3121">
        <v>26403</v>
      </c>
      <c r="J3121">
        <v>66</v>
      </c>
      <c r="K3121">
        <f>tblSales[[#This Row],[Sales]]-tblSales[[#This Row],[Budget]]</f>
        <v>-1983</v>
      </c>
      <c r="L3121" s="3">
        <f>(tblSales[[#This Row],[Sales]]-tblSales[[#This Row],[Budget]])/tblSales[[#This Row],[Budget]]</f>
        <v>-7.5105101692989437E-2</v>
      </c>
      <c r="M3121" s="2">
        <f>tblSales[[#This Row],[Sales]]/tblSales[[#This Row],[Transactions]]</f>
        <v>370</v>
      </c>
    </row>
    <row r="3122" spans="1:13" x14ac:dyDescent="0.25">
      <c r="A3122" s="1">
        <v>46179</v>
      </c>
      <c r="B3122" t="s">
        <v>6</v>
      </c>
      <c r="C3122" t="s">
        <v>9</v>
      </c>
      <c r="D3122" t="str">
        <f>_xlfn.XLOOKUP(tblSales[[#This Row],[Store ID]],tblStores[Store ID],tblStores[Store Name])</f>
        <v>Durban CBD</v>
      </c>
      <c r="E3122" t="str">
        <f>_xlfn.XLOOKUP(tblSales[[#This Row],[Store ID]],tblStores[Store ID],tblStores[Province])</f>
        <v>KZN</v>
      </c>
      <c r="F3122" t="str">
        <f>_xlfn.XLOOKUP(tblSales[[#This Row],[Store ID]],tblStores[Store ID],tblStores[Manager])</f>
        <v>Sarah Adams</v>
      </c>
      <c r="G3122" t="str">
        <f>_xlfn.XLOOKUP(tblSales[[#This Row],[Category ID]],tblCategories[Category ID],tblCategories[Category])</f>
        <v>Ladieswear</v>
      </c>
      <c r="H3122">
        <v>13200</v>
      </c>
      <c r="I3122">
        <v>14184</v>
      </c>
      <c r="J3122">
        <v>44</v>
      </c>
      <c r="K3122">
        <f>tblSales[[#This Row],[Sales]]-tblSales[[#This Row],[Budget]]</f>
        <v>-984</v>
      </c>
      <c r="L3122" s="3">
        <f>(tblSales[[#This Row],[Sales]]-tblSales[[#This Row],[Budget]])/tblSales[[#This Row],[Budget]]</f>
        <v>-6.9373942470389166E-2</v>
      </c>
      <c r="M3122" s="2">
        <f>tblSales[[#This Row],[Sales]]/tblSales[[#This Row],[Transactions]]</f>
        <v>300</v>
      </c>
    </row>
    <row r="3123" spans="1:13" x14ac:dyDescent="0.25">
      <c r="A3123" s="1">
        <v>46179</v>
      </c>
      <c r="B3123" t="s">
        <v>8</v>
      </c>
      <c r="C3123" t="s">
        <v>11</v>
      </c>
      <c r="D3123" t="str">
        <f>_xlfn.XLOOKUP(tblSales[[#This Row],[Store ID]],tblStores[Store ID],tblStores[Store Name])</f>
        <v>Gateway</v>
      </c>
      <c r="E3123" t="str">
        <f>_xlfn.XLOOKUP(tblSales[[#This Row],[Store ID]],tblStores[Store ID],tblStores[Province])</f>
        <v>KZN</v>
      </c>
      <c r="F3123" t="str">
        <f>_xlfn.XLOOKUP(tblSales[[#This Row],[Store ID]],tblStores[Store ID],tblStores[Manager])</f>
        <v>Michael Jones</v>
      </c>
      <c r="G3123" t="str">
        <f>_xlfn.XLOOKUP(tblSales[[#This Row],[Category ID]],tblCategories[Category ID],tblCategories[Category])</f>
        <v>Footwear</v>
      </c>
      <c r="H3123">
        <v>12160</v>
      </c>
      <c r="I3123">
        <v>12460</v>
      </c>
      <c r="J3123">
        <v>64</v>
      </c>
      <c r="K3123">
        <f>tblSales[[#This Row],[Sales]]-tblSales[[#This Row],[Budget]]</f>
        <v>-300</v>
      </c>
      <c r="L3123" s="3">
        <f>(tblSales[[#This Row],[Sales]]-tblSales[[#This Row],[Budget]])/tblSales[[#This Row],[Budget]]</f>
        <v>-2.4077046548956663E-2</v>
      </c>
      <c r="M3123" s="2">
        <f>tblSales[[#This Row],[Sales]]/tblSales[[#This Row],[Transactions]]</f>
        <v>190</v>
      </c>
    </row>
    <row r="3124" spans="1:13" x14ac:dyDescent="0.25">
      <c r="A3124" s="1">
        <v>46179</v>
      </c>
      <c r="B3124" t="s">
        <v>10</v>
      </c>
      <c r="C3124" t="s">
        <v>7</v>
      </c>
      <c r="D3124" t="str">
        <f>_xlfn.XLOOKUP(tblSales[[#This Row],[Store ID]],tblStores[Store ID],tblStores[Store Name])</f>
        <v>Ballito</v>
      </c>
      <c r="E3124" t="str">
        <f>_xlfn.XLOOKUP(tblSales[[#This Row],[Store ID]],tblStores[Store ID],tblStores[Province])</f>
        <v>KZN</v>
      </c>
      <c r="F3124" t="str">
        <f>_xlfn.XLOOKUP(tblSales[[#This Row],[Store ID]],tblStores[Store ID],tblStores[Manager])</f>
        <v>Linda Smith</v>
      </c>
      <c r="G3124" t="str">
        <f>_xlfn.XLOOKUP(tblSales[[#This Row],[Category ID]],tblCategories[Category ID],tblCategories[Category])</f>
        <v>Menswear</v>
      </c>
      <c r="H3124">
        <v>33488</v>
      </c>
      <c r="I3124">
        <v>35063</v>
      </c>
      <c r="J3124">
        <v>104</v>
      </c>
      <c r="K3124">
        <f>tblSales[[#This Row],[Sales]]-tblSales[[#This Row],[Budget]]</f>
        <v>-1575</v>
      </c>
      <c r="L3124" s="3">
        <f>(tblSales[[#This Row],[Sales]]-tblSales[[#This Row],[Budget]])/tblSales[[#This Row],[Budget]]</f>
        <v>-4.4919145538031544E-2</v>
      </c>
      <c r="M3124" s="2">
        <f>tblSales[[#This Row],[Sales]]/tblSales[[#This Row],[Transactions]]</f>
        <v>322</v>
      </c>
    </row>
    <row r="3125" spans="1:13" x14ac:dyDescent="0.25">
      <c r="A3125" s="1">
        <v>46179</v>
      </c>
      <c r="B3125" t="s">
        <v>12</v>
      </c>
      <c r="C3125" t="s">
        <v>22</v>
      </c>
      <c r="D3125" t="str">
        <f>_xlfn.XLOOKUP(tblSales[[#This Row],[Store ID]],tblStores[Store ID],tblStores[Store Name])</f>
        <v>Pietermaritzburg</v>
      </c>
      <c r="E3125" t="str">
        <f>_xlfn.XLOOKUP(tblSales[[#This Row],[Store ID]],tblStores[Store ID],tblStores[Province])</f>
        <v>KZN</v>
      </c>
      <c r="F3125" t="str">
        <f>_xlfn.XLOOKUP(tblSales[[#This Row],[Store ID]],tblStores[Store ID],tblStores[Manager])</f>
        <v>Peter Brown</v>
      </c>
      <c r="G3125" t="str">
        <f>_xlfn.XLOOKUP(tblSales[[#This Row],[Category ID]],tblCategories[Category ID],tblCategories[Category])</f>
        <v>Kids</v>
      </c>
      <c r="H3125">
        <v>11760</v>
      </c>
      <c r="I3125">
        <v>11404</v>
      </c>
      <c r="J3125">
        <v>56</v>
      </c>
      <c r="K3125">
        <f>tblSales[[#This Row],[Sales]]-tblSales[[#This Row],[Budget]]</f>
        <v>356</v>
      </c>
      <c r="L3125" s="3">
        <f>(tblSales[[#This Row],[Sales]]-tblSales[[#This Row],[Budget]])/tblSales[[#This Row],[Budget]]</f>
        <v>3.1217116801122415E-2</v>
      </c>
      <c r="M3125" s="2">
        <f>tblSales[[#This Row],[Sales]]/tblSales[[#This Row],[Transactions]]</f>
        <v>210</v>
      </c>
    </row>
    <row r="3126" spans="1:13" x14ac:dyDescent="0.25">
      <c r="A3126" s="1">
        <v>46179</v>
      </c>
      <c r="B3126" t="s">
        <v>13</v>
      </c>
      <c r="C3126" t="s">
        <v>19</v>
      </c>
      <c r="D3126" t="str">
        <f>_xlfn.XLOOKUP(tblSales[[#This Row],[Store ID]],tblStores[Store ID],tblStores[Store Name])</f>
        <v>Richards Bay</v>
      </c>
      <c r="E3126" t="str">
        <f>_xlfn.XLOOKUP(tblSales[[#This Row],[Store ID]],tblStores[Store ID],tblStores[Province])</f>
        <v>KZN</v>
      </c>
      <c r="F3126" t="str">
        <f>_xlfn.XLOOKUP(tblSales[[#This Row],[Store ID]],tblStores[Store ID],tblStores[Manager])</f>
        <v>David Green</v>
      </c>
      <c r="G3126" t="str">
        <f>_xlfn.XLOOKUP(tblSales[[#This Row],[Category ID]],tblCategories[Category ID],tblCategories[Category])</f>
        <v>Accessories</v>
      </c>
      <c r="H3126">
        <v>57589</v>
      </c>
      <c r="I3126">
        <v>52101</v>
      </c>
      <c r="J3126">
        <v>133</v>
      </c>
      <c r="K3126">
        <f>tblSales[[#This Row],[Sales]]-tblSales[[#This Row],[Budget]]</f>
        <v>5488</v>
      </c>
      <c r="L3126" s="3">
        <f>(tblSales[[#This Row],[Sales]]-tblSales[[#This Row],[Budget]])/tblSales[[#This Row],[Budget]]</f>
        <v>0.10533387075104125</v>
      </c>
      <c r="M3126" s="2">
        <f>tblSales[[#This Row],[Sales]]/tblSales[[#This Row],[Transactions]]</f>
        <v>433</v>
      </c>
    </row>
    <row r="3127" spans="1:13" x14ac:dyDescent="0.25">
      <c r="A3127" s="1">
        <v>46179</v>
      </c>
      <c r="B3127" t="s">
        <v>14</v>
      </c>
      <c r="C3127" t="s">
        <v>11</v>
      </c>
      <c r="D3127" t="str">
        <f>_xlfn.XLOOKUP(tblSales[[#This Row],[Store ID]],tblStores[Store ID],tblStores[Store Name])</f>
        <v>Sandton</v>
      </c>
      <c r="E3127" t="str">
        <f>_xlfn.XLOOKUP(tblSales[[#This Row],[Store ID]],tblStores[Store ID],tblStores[Province])</f>
        <v>Gauteng</v>
      </c>
      <c r="F3127" t="str">
        <f>_xlfn.XLOOKUP(tblSales[[#This Row],[Store ID]],tblStores[Store ID],tblStores[Manager])</f>
        <v>Karen White</v>
      </c>
      <c r="G3127" t="str">
        <f>_xlfn.XLOOKUP(tblSales[[#This Row],[Category ID]],tblCategories[Category ID],tblCategories[Category])</f>
        <v>Footwear</v>
      </c>
      <c r="H3127">
        <v>54131</v>
      </c>
      <c r="I3127">
        <v>49318</v>
      </c>
      <c r="J3127">
        <v>133</v>
      </c>
      <c r="K3127">
        <f>tblSales[[#This Row],[Sales]]-tblSales[[#This Row],[Budget]]</f>
        <v>4813</v>
      </c>
      <c r="L3127" s="3">
        <f>(tblSales[[#This Row],[Sales]]-tblSales[[#This Row],[Budget]])/tblSales[[#This Row],[Budget]]</f>
        <v>9.7591143193154622E-2</v>
      </c>
      <c r="M3127" s="2">
        <f>tblSales[[#This Row],[Sales]]/tblSales[[#This Row],[Transactions]]</f>
        <v>407</v>
      </c>
    </row>
    <row r="3128" spans="1:13" x14ac:dyDescent="0.25">
      <c r="A3128" s="1">
        <v>46179</v>
      </c>
      <c r="B3128" t="s">
        <v>15</v>
      </c>
      <c r="C3128" t="s">
        <v>9</v>
      </c>
      <c r="D3128" t="str">
        <f>_xlfn.XLOOKUP(tblSales[[#This Row],[Store ID]],tblStores[Store ID],tblStores[Store Name])</f>
        <v>Rosebank</v>
      </c>
      <c r="E3128" t="str">
        <f>_xlfn.XLOOKUP(tblSales[[#This Row],[Store ID]],tblStores[Store ID],tblStores[Province])</f>
        <v>Gauteng</v>
      </c>
      <c r="F3128" t="str">
        <f>_xlfn.XLOOKUP(tblSales[[#This Row],[Store ID]],tblStores[Store ID],tblStores[Manager])</f>
        <v>James Taylor</v>
      </c>
      <c r="G3128" t="str">
        <f>_xlfn.XLOOKUP(tblSales[[#This Row],[Category ID]],tblCategories[Category ID],tblCategories[Category])</f>
        <v>Ladieswear</v>
      </c>
      <c r="H3128">
        <v>36168</v>
      </c>
      <c r="I3128">
        <v>38518</v>
      </c>
      <c r="J3128">
        <v>132</v>
      </c>
      <c r="K3128">
        <f>tblSales[[#This Row],[Sales]]-tblSales[[#This Row],[Budget]]</f>
        <v>-2350</v>
      </c>
      <c r="L3128" s="3">
        <f>(tblSales[[#This Row],[Sales]]-tblSales[[#This Row],[Budget]])/tblSales[[#This Row],[Budget]]</f>
        <v>-6.1010436678955296E-2</v>
      </c>
      <c r="M3128" s="2">
        <f>tblSales[[#This Row],[Sales]]/tblSales[[#This Row],[Transactions]]</f>
        <v>274</v>
      </c>
    </row>
    <row r="3129" spans="1:13" x14ac:dyDescent="0.25">
      <c r="A3129" s="1">
        <v>46179</v>
      </c>
      <c r="B3129" t="s">
        <v>16</v>
      </c>
      <c r="C3129" t="s">
        <v>19</v>
      </c>
      <c r="D3129" t="str">
        <f>_xlfn.XLOOKUP(tblSales[[#This Row],[Store ID]],tblStores[Store ID],tblStores[Store Name])</f>
        <v>Pretoria</v>
      </c>
      <c r="E3129" t="str">
        <f>_xlfn.XLOOKUP(tblSales[[#This Row],[Store ID]],tblStores[Store ID],tblStores[Province])</f>
        <v>Gauteng</v>
      </c>
      <c r="F3129" t="str">
        <f>_xlfn.XLOOKUP(tblSales[[#This Row],[Store ID]],tblStores[Store ID],tblStores[Manager])</f>
        <v>Susan Clark</v>
      </c>
      <c r="G3129" t="str">
        <f>_xlfn.XLOOKUP(tblSales[[#This Row],[Category ID]],tblCategories[Category ID],tblCategories[Category])</f>
        <v>Accessories</v>
      </c>
      <c r="H3129">
        <v>24864</v>
      </c>
      <c r="I3129">
        <v>24274</v>
      </c>
      <c r="J3129">
        <v>48</v>
      </c>
      <c r="K3129">
        <f>tblSales[[#This Row],[Sales]]-tblSales[[#This Row],[Budget]]</f>
        <v>590</v>
      </c>
      <c r="L3129" s="3">
        <f>(tblSales[[#This Row],[Sales]]-tblSales[[#This Row],[Budget]])/tblSales[[#This Row],[Budget]]</f>
        <v>2.4305841641262257E-2</v>
      </c>
      <c r="M3129" s="2">
        <f>tblSales[[#This Row],[Sales]]/tblSales[[#This Row],[Transactions]]</f>
        <v>518</v>
      </c>
    </row>
    <row r="3130" spans="1:13" x14ac:dyDescent="0.25">
      <c r="A3130" s="1">
        <v>46179</v>
      </c>
      <c r="B3130" t="s">
        <v>17</v>
      </c>
      <c r="C3130" t="s">
        <v>19</v>
      </c>
      <c r="D3130" t="str">
        <f>_xlfn.XLOOKUP(tblSales[[#This Row],[Store ID]],tblStores[Store ID],tblStores[Store Name])</f>
        <v>Centurion</v>
      </c>
      <c r="E3130" t="str">
        <f>_xlfn.XLOOKUP(tblSales[[#This Row],[Store ID]],tblStores[Store ID],tblStores[Province])</f>
        <v>Gauteng</v>
      </c>
      <c r="F3130" t="str">
        <f>_xlfn.XLOOKUP(tblSales[[#This Row],[Store ID]],tblStores[Store ID],tblStores[Manager])</f>
        <v>Mark Wilson</v>
      </c>
      <c r="G3130" t="str">
        <f>_xlfn.XLOOKUP(tblSales[[#This Row],[Category ID]],tblCategories[Category ID],tblCategories[Category])</f>
        <v>Accessories</v>
      </c>
      <c r="H3130">
        <v>23932</v>
      </c>
      <c r="I3130">
        <v>26983</v>
      </c>
      <c r="J3130">
        <v>124</v>
      </c>
      <c r="K3130">
        <f>tblSales[[#This Row],[Sales]]-tblSales[[#This Row],[Budget]]</f>
        <v>-3051</v>
      </c>
      <c r="L3130" s="3">
        <f>(tblSales[[#This Row],[Sales]]-tblSales[[#This Row],[Budget]])/tblSales[[#This Row],[Budget]]</f>
        <v>-0.11307119297335359</v>
      </c>
      <c r="M3130" s="2">
        <f>tblSales[[#This Row],[Sales]]/tblSales[[#This Row],[Transactions]]</f>
        <v>193</v>
      </c>
    </row>
    <row r="3131" spans="1:13" x14ac:dyDescent="0.25">
      <c r="A3131" s="1">
        <v>46179</v>
      </c>
      <c r="B3131" t="s">
        <v>18</v>
      </c>
      <c r="C3131" t="s">
        <v>22</v>
      </c>
      <c r="D3131" t="str">
        <f>_xlfn.XLOOKUP(tblSales[[#This Row],[Store ID]],tblStores[Store ID],tblStores[Store Name])</f>
        <v>East Rand</v>
      </c>
      <c r="E3131" t="str">
        <f>_xlfn.XLOOKUP(tblSales[[#This Row],[Store ID]],tblStores[Store ID],tblStores[Province])</f>
        <v>Gauteng</v>
      </c>
      <c r="F3131" t="str">
        <f>_xlfn.XLOOKUP(tblSales[[#This Row],[Store ID]],tblStores[Store ID],tblStores[Manager])</f>
        <v>Lisa Young</v>
      </c>
      <c r="G3131" t="str">
        <f>_xlfn.XLOOKUP(tblSales[[#This Row],[Category ID]],tblCategories[Category ID],tblCategories[Category])</f>
        <v>Kids</v>
      </c>
      <c r="H3131">
        <v>49164</v>
      </c>
      <c r="I3131">
        <v>46909</v>
      </c>
      <c r="J3131">
        <v>102</v>
      </c>
      <c r="K3131">
        <f>tblSales[[#This Row],[Sales]]-tblSales[[#This Row],[Budget]]</f>
        <v>2255</v>
      </c>
      <c r="L3131" s="3">
        <f>(tblSales[[#This Row],[Sales]]-tblSales[[#This Row],[Budget]])/tblSales[[#This Row],[Budget]]</f>
        <v>4.8071798588756952E-2</v>
      </c>
      <c r="M3131" s="2">
        <f>tblSales[[#This Row],[Sales]]/tblSales[[#This Row],[Transactions]]</f>
        <v>482</v>
      </c>
    </row>
    <row r="3132" spans="1:13" x14ac:dyDescent="0.25">
      <c r="A3132" s="1">
        <v>46179</v>
      </c>
      <c r="B3132" t="s">
        <v>20</v>
      </c>
      <c r="C3132" t="s">
        <v>7</v>
      </c>
      <c r="D3132" t="str">
        <f>_xlfn.XLOOKUP(tblSales[[#This Row],[Store ID]],tblStores[Store ID],tblStores[Store Name])</f>
        <v>Cape Town CBD</v>
      </c>
      <c r="E3132" t="str">
        <f>_xlfn.XLOOKUP(tblSales[[#This Row],[Store ID]],tblStores[Store ID],tblStores[Province])</f>
        <v>Western Cape</v>
      </c>
      <c r="F3132" t="str">
        <f>_xlfn.XLOOKUP(tblSales[[#This Row],[Store ID]],tblStores[Store ID],tblStores[Manager])</f>
        <v>Brian Hall</v>
      </c>
      <c r="G3132" t="str">
        <f>_xlfn.XLOOKUP(tblSales[[#This Row],[Category ID]],tblCategories[Category ID],tblCategories[Category])</f>
        <v>Menswear</v>
      </c>
      <c r="H3132">
        <v>60756</v>
      </c>
      <c r="I3132">
        <v>61273</v>
      </c>
      <c r="J3132">
        <v>122</v>
      </c>
      <c r="K3132">
        <f>tblSales[[#This Row],[Sales]]-tblSales[[#This Row],[Budget]]</f>
        <v>-517</v>
      </c>
      <c r="L3132" s="3">
        <f>(tblSales[[#This Row],[Sales]]-tblSales[[#This Row],[Budget]])/tblSales[[#This Row],[Budget]]</f>
        <v>-8.4376479036443464E-3</v>
      </c>
      <c r="M3132" s="2">
        <f>tblSales[[#This Row],[Sales]]/tblSales[[#This Row],[Transactions]]</f>
        <v>498</v>
      </c>
    </row>
    <row r="3133" spans="1:13" x14ac:dyDescent="0.25">
      <c r="A3133" s="1">
        <v>46179</v>
      </c>
      <c r="B3133" t="s">
        <v>21</v>
      </c>
      <c r="C3133" t="s">
        <v>11</v>
      </c>
      <c r="D3133" t="str">
        <f>_xlfn.XLOOKUP(tblSales[[#This Row],[Store ID]],tblStores[Store ID],tblStores[Store Name])</f>
        <v>Canal Walk</v>
      </c>
      <c r="E3133" t="str">
        <f>_xlfn.XLOOKUP(tblSales[[#This Row],[Store ID]],tblStores[Store ID],tblStores[Province])</f>
        <v>Western Cape</v>
      </c>
      <c r="F3133" t="str">
        <f>_xlfn.XLOOKUP(tblSales[[#This Row],[Store ID]],tblStores[Store ID],tblStores[Manager])</f>
        <v>Megan Scott</v>
      </c>
      <c r="G3133" t="str">
        <f>_xlfn.XLOOKUP(tblSales[[#This Row],[Category ID]],tblCategories[Category ID],tblCategories[Category])</f>
        <v>Footwear</v>
      </c>
      <c r="H3133">
        <v>11515</v>
      </c>
      <c r="I3133">
        <v>11956</v>
      </c>
      <c r="J3133">
        <v>49</v>
      </c>
      <c r="K3133">
        <f>tblSales[[#This Row],[Sales]]-tblSales[[#This Row],[Budget]]</f>
        <v>-441</v>
      </c>
      <c r="L3133" s="3">
        <f>(tblSales[[#This Row],[Sales]]-tblSales[[#This Row],[Budget]])/tblSales[[#This Row],[Budget]]</f>
        <v>-3.6885245901639344E-2</v>
      </c>
      <c r="M3133" s="2">
        <f>tblSales[[#This Row],[Sales]]/tblSales[[#This Row],[Transactions]]</f>
        <v>235</v>
      </c>
    </row>
    <row r="3134" spans="1:13" x14ac:dyDescent="0.25">
      <c r="A3134" s="1">
        <v>46179</v>
      </c>
      <c r="B3134" t="s">
        <v>23</v>
      </c>
      <c r="C3134" t="s">
        <v>22</v>
      </c>
      <c r="D3134" t="str">
        <f>_xlfn.XLOOKUP(tblSales[[#This Row],[Store ID]],tblStores[Store ID],tblStores[Store Name])</f>
        <v>Stellenbosch</v>
      </c>
      <c r="E3134" t="str">
        <f>_xlfn.XLOOKUP(tblSales[[#This Row],[Store ID]],tblStores[Store ID],tblStores[Province])</f>
        <v>Western Cape</v>
      </c>
      <c r="F3134" t="str">
        <f>_xlfn.XLOOKUP(tblSales[[#This Row],[Store ID]],tblStores[Store ID],tblStores[Manager])</f>
        <v>Jason King</v>
      </c>
      <c r="G3134" t="str">
        <f>_xlfn.XLOOKUP(tblSales[[#This Row],[Category ID]],tblCategories[Category ID],tblCategories[Category])</f>
        <v>Kids</v>
      </c>
      <c r="H3134">
        <v>71307</v>
      </c>
      <c r="I3134">
        <v>71731</v>
      </c>
      <c r="J3134">
        <v>171</v>
      </c>
      <c r="K3134">
        <f>tblSales[[#This Row],[Sales]]-tblSales[[#This Row],[Budget]]</f>
        <v>-424</v>
      </c>
      <c r="L3134" s="3">
        <f>(tblSales[[#This Row],[Sales]]-tblSales[[#This Row],[Budget]])/tblSales[[#This Row],[Budget]]</f>
        <v>-5.9109729405696278E-3</v>
      </c>
      <c r="M3134" s="2">
        <f>tblSales[[#This Row],[Sales]]/tblSales[[#This Row],[Transactions]]</f>
        <v>417</v>
      </c>
    </row>
    <row r="3135" spans="1:13" x14ac:dyDescent="0.25">
      <c r="A3135" s="1">
        <v>46179</v>
      </c>
      <c r="B3135" t="s">
        <v>24</v>
      </c>
      <c r="C3135" t="s">
        <v>19</v>
      </c>
      <c r="D3135" t="str">
        <f>_xlfn.XLOOKUP(tblSales[[#This Row],[Store ID]],tblStores[Store ID],tblStores[Store Name])</f>
        <v>George</v>
      </c>
      <c r="E3135" t="str">
        <f>_xlfn.XLOOKUP(tblSales[[#This Row],[Store ID]],tblStores[Store ID],tblStores[Province])</f>
        <v>Western Cape</v>
      </c>
      <c r="F3135" t="str">
        <f>_xlfn.XLOOKUP(tblSales[[#This Row],[Store ID]],tblStores[Store ID],tblStores[Manager])</f>
        <v>Chloe Hill</v>
      </c>
      <c r="G3135" t="str">
        <f>_xlfn.XLOOKUP(tblSales[[#This Row],[Category ID]],tblCategories[Category ID],tblCategories[Category])</f>
        <v>Accessories</v>
      </c>
      <c r="H3135">
        <v>52271</v>
      </c>
      <c r="I3135">
        <v>49168</v>
      </c>
      <c r="J3135">
        <v>167</v>
      </c>
      <c r="K3135">
        <f>tblSales[[#This Row],[Sales]]-tblSales[[#This Row],[Budget]]</f>
        <v>3103</v>
      </c>
      <c r="L3135" s="3">
        <f>(tblSales[[#This Row],[Sales]]-tblSales[[#This Row],[Budget]])/tblSales[[#This Row],[Budget]]</f>
        <v>6.3110152945004883E-2</v>
      </c>
      <c r="M3135" s="2">
        <f>tblSales[[#This Row],[Sales]]/tblSales[[#This Row],[Transactions]]</f>
        <v>313</v>
      </c>
    </row>
    <row r="3136" spans="1:13" x14ac:dyDescent="0.25">
      <c r="A3136" s="1">
        <v>46179</v>
      </c>
      <c r="B3136" t="s">
        <v>25</v>
      </c>
      <c r="C3136" t="s">
        <v>11</v>
      </c>
      <c r="D3136" t="str">
        <f>_xlfn.XLOOKUP(tblSales[[#This Row],[Store ID]],tblStores[Store ID],tblStores[Store Name])</f>
        <v>Paarl</v>
      </c>
      <c r="E3136" t="str">
        <f>_xlfn.XLOOKUP(tblSales[[#This Row],[Store ID]],tblStores[Store ID],tblStores[Province])</f>
        <v>Western Cape</v>
      </c>
      <c r="F3136" t="str">
        <f>_xlfn.XLOOKUP(tblSales[[#This Row],[Store ID]],tblStores[Store ID],tblStores[Manager])</f>
        <v>Andrew Lee</v>
      </c>
      <c r="G3136" t="str">
        <f>_xlfn.XLOOKUP(tblSales[[#This Row],[Category ID]],tblCategories[Category ID],tblCategories[Category])</f>
        <v>Footwear</v>
      </c>
      <c r="H3136">
        <v>46354</v>
      </c>
      <c r="I3136">
        <v>43246</v>
      </c>
      <c r="J3136">
        <v>154</v>
      </c>
      <c r="K3136">
        <f>tblSales[[#This Row],[Sales]]-tblSales[[#This Row],[Budget]]</f>
        <v>3108</v>
      </c>
      <c r="L3136" s="3">
        <f>(tblSales[[#This Row],[Sales]]-tblSales[[#This Row],[Budget]])/tblSales[[#This Row],[Budget]]</f>
        <v>7.186791842020071E-2</v>
      </c>
      <c r="M3136" s="2">
        <f>tblSales[[#This Row],[Sales]]/tblSales[[#This Row],[Transactions]]</f>
        <v>301</v>
      </c>
    </row>
    <row r="3137" spans="1:13" x14ac:dyDescent="0.25">
      <c r="A3137" s="1">
        <v>46179</v>
      </c>
      <c r="B3137" t="s">
        <v>26</v>
      </c>
      <c r="C3137" t="s">
        <v>7</v>
      </c>
      <c r="D3137" t="str">
        <f>_xlfn.XLOOKUP(tblSales[[#This Row],[Store ID]],tblStores[Store ID],tblStores[Store Name])</f>
        <v>Gqeberha</v>
      </c>
      <c r="E3137" t="str">
        <f>_xlfn.XLOOKUP(tblSales[[#This Row],[Store ID]],tblStores[Store ID],tblStores[Province])</f>
        <v>Eastern Cape</v>
      </c>
      <c r="F3137" t="str">
        <f>_xlfn.XLOOKUP(tblSales[[#This Row],[Store ID]],tblStores[Store ID],tblStores[Manager])</f>
        <v>Emma Baker</v>
      </c>
      <c r="G3137" t="str">
        <f>_xlfn.XLOOKUP(tblSales[[#This Row],[Category ID]],tblCategories[Category ID],tblCategories[Category])</f>
        <v>Menswear</v>
      </c>
      <c r="H3137">
        <v>33920</v>
      </c>
      <c r="I3137">
        <v>31253</v>
      </c>
      <c r="J3137">
        <v>106</v>
      </c>
      <c r="K3137">
        <f>tblSales[[#This Row],[Sales]]-tblSales[[#This Row],[Budget]]</f>
        <v>2667</v>
      </c>
      <c r="L3137" s="3">
        <f>(tblSales[[#This Row],[Sales]]-tblSales[[#This Row],[Budget]])/tblSales[[#This Row],[Budget]]</f>
        <v>8.5335807762454807E-2</v>
      </c>
      <c r="M3137" s="2">
        <f>tblSales[[#This Row],[Sales]]/tblSales[[#This Row],[Transactions]]</f>
        <v>320</v>
      </c>
    </row>
    <row r="3138" spans="1:13" x14ac:dyDescent="0.25">
      <c r="A3138" s="1">
        <v>46179</v>
      </c>
      <c r="B3138" t="s">
        <v>27</v>
      </c>
      <c r="C3138" t="s">
        <v>9</v>
      </c>
      <c r="D3138" t="str">
        <f>_xlfn.XLOOKUP(tblSales[[#This Row],[Store ID]],tblStores[Store ID],tblStores[Store Name])</f>
        <v>East London</v>
      </c>
      <c r="E3138" t="str">
        <f>_xlfn.XLOOKUP(tblSales[[#This Row],[Store ID]],tblStores[Store ID],tblStores[Province])</f>
        <v>Eastern Cape</v>
      </c>
      <c r="F3138" t="str">
        <f>_xlfn.XLOOKUP(tblSales[[#This Row],[Store ID]],tblStores[Store ID],tblStores[Manager])</f>
        <v>Daniel Evans</v>
      </c>
      <c r="G3138" t="str">
        <f>_xlfn.XLOOKUP(tblSales[[#This Row],[Category ID]],tblCategories[Category ID],tblCategories[Category])</f>
        <v>Ladieswear</v>
      </c>
      <c r="H3138">
        <v>57263</v>
      </c>
      <c r="I3138">
        <v>56368</v>
      </c>
      <c r="J3138">
        <v>173</v>
      </c>
      <c r="K3138">
        <f>tblSales[[#This Row],[Sales]]-tblSales[[#This Row],[Budget]]</f>
        <v>895</v>
      </c>
      <c r="L3138" s="3">
        <f>(tblSales[[#This Row],[Sales]]-tblSales[[#This Row],[Budget]])/tblSales[[#This Row],[Budget]]</f>
        <v>1.5877803008799318E-2</v>
      </c>
      <c r="M3138" s="2">
        <f>tblSales[[#This Row],[Sales]]/tblSales[[#This Row],[Transactions]]</f>
        <v>331</v>
      </c>
    </row>
    <row r="3139" spans="1:13" x14ac:dyDescent="0.25">
      <c r="A3139" s="1">
        <v>46179</v>
      </c>
      <c r="B3139" t="s">
        <v>28</v>
      </c>
      <c r="C3139" t="s">
        <v>11</v>
      </c>
      <c r="D3139" t="str">
        <f>_xlfn.XLOOKUP(tblSales[[#This Row],[Store ID]],tblStores[Store ID],tblStores[Store Name])</f>
        <v>Bloemfontein</v>
      </c>
      <c r="E3139" t="str">
        <f>_xlfn.XLOOKUP(tblSales[[#This Row],[Store ID]],tblStores[Store ID],tblStores[Province])</f>
        <v>Free State</v>
      </c>
      <c r="F3139" t="str">
        <f>_xlfn.XLOOKUP(tblSales[[#This Row],[Store ID]],tblStores[Store ID],tblStores[Manager])</f>
        <v>Rachel Moore</v>
      </c>
      <c r="G3139" t="str">
        <f>_xlfn.XLOOKUP(tblSales[[#This Row],[Category ID]],tblCategories[Category ID],tblCategories[Category])</f>
        <v>Footwear</v>
      </c>
      <c r="H3139">
        <v>21780</v>
      </c>
      <c r="I3139">
        <v>21095</v>
      </c>
      <c r="J3139">
        <v>44</v>
      </c>
      <c r="K3139">
        <f>tblSales[[#This Row],[Sales]]-tblSales[[#This Row],[Budget]]</f>
        <v>685</v>
      </c>
      <c r="L3139" s="3">
        <f>(tblSales[[#This Row],[Sales]]-tblSales[[#This Row],[Budget]])/tblSales[[#This Row],[Budget]]</f>
        <v>3.2472149798530456E-2</v>
      </c>
      <c r="M3139" s="2">
        <f>tblSales[[#This Row],[Sales]]/tblSales[[#This Row],[Transactions]]</f>
        <v>495</v>
      </c>
    </row>
    <row r="3140" spans="1:13" x14ac:dyDescent="0.25">
      <c r="A3140" s="1">
        <v>46179</v>
      </c>
      <c r="B3140" t="s">
        <v>29</v>
      </c>
      <c r="C3140" t="s">
        <v>22</v>
      </c>
      <c r="D3140" t="str">
        <f>_xlfn.XLOOKUP(tblSales[[#This Row],[Store ID]],tblStores[Store ID],tblStores[Store Name])</f>
        <v>Polokwane</v>
      </c>
      <c r="E3140" t="str">
        <f>_xlfn.XLOOKUP(tblSales[[#This Row],[Store ID]],tblStores[Store ID],tblStores[Province])</f>
        <v>Limpopo</v>
      </c>
      <c r="F3140" t="str">
        <f>_xlfn.XLOOKUP(tblSales[[#This Row],[Store ID]],tblStores[Store ID],tblStores[Manager])</f>
        <v>Kevin Harris</v>
      </c>
      <c r="G3140" t="str">
        <f>_xlfn.XLOOKUP(tblSales[[#This Row],[Category ID]],tblCategories[Category ID],tblCategories[Category])</f>
        <v>Kids</v>
      </c>
      <c r="H3140">
        <v>62524</v>
      </c>
      <c r="I3140">
        <v>68501</v>
      </c>
      <c r="J3140">
        <v>203</v>
      </c>
      <c r="K3140">
        <f>tblSales[[#This Row],[Sales]]-tblSales[[#This Row],[Budget]]</f>
        <v>-5977</v>
      </c>
      <c r="L3140" s="3">
        <f>(tblSales[[#This Row],[Sales]]-tblSales[[#This Row],[Budget]])/tblSales[[#This Row],[Budget]]</f>
        <v>-8.7254200668603385E-2</v>
      </c>
      <c r="M3140" s="2">
        <f>tblSales[[#This Row],[Sales]]/tblSales[[#This Row],[Transactions]]</f>
        <v>308</v>
      </c>
    </row>
    <row r="3141" spans="1:13" x14ac:dyDescent="0.25">
      <c r="A3141" s="1">
        <v>46179</v>
      </c>
      <c r="B3141" t="s">
        <v>30</v>
      </c>
      <c r="C3141" t="s">
        <v>19</v>
      </c>
      <c r="D3141" t="str">
        <f>_xlfn.XLOOKUP(tblSales[[#This Row],[Store ID]],tblStores[Store ID],tblStores[Store Name])</f>
        <v>Nelspruit</v>
      </c>
      <c r="E3141" t="str">
        <f>_xlfn.XLOOKUP(tblSales[[#This Row],[Store ID]],tblStores[Store ID],tblStores[Province])</f>
        <v>Mpumalanga</v>
      </c>
      <c r="F3141" t="str">
        <f>_xlfn.XLOOKUP(tblSales[[#This Row],[Store ID]],tblStores[Store ID],tblStores[Manager])</f>
        <v>Olivia Turner</v>
      </c>
      <c r="G3141" t="str">
        <f>_xlfn.XLOOKUP(tblSales[[#This Row],[Category ID]],tblCategories[Category ID],tblCategories[Category])</f>
        <v>Accessories</v>
      </c>
      <c r="H3141">
        <v>9234</v>
      </c>
      <c r="I3141">
        <v>9019</v>
      </c>
      <c r="J3141">
        <v>38</v>
      </c>
      <c r="K3141">
        <f>tblSales[[#This Row],[Sales]]-tblSales[[#This Row],[Budget]]</f>
        <v>215</v>
      </c>
      <c r="L3141" s="3">
        <f>(tblSales[[#This Row],[Sales]]-tblSales[[#This Row],[Budget]])/tblSales[[#This Row],[Budget]]</f>
        <v>2.3838563033595741E-2</v>
      </c>
      <c r="M3141" s="2">
        <f>tblSales[[#This Row],[Sales]]/tblSales[[#This Row],[Transactions]]</f>
        <v>243</v>
      </c>
    </row>
    <row r="3142" spans="1:13" x14ac:dyDescent="0.25">
      <c r="A3142" s="1">
        <v>46180</v>
      </c>
      <c r="B3142" t="s">
        <v>6</v>
      </c>
      <c r="C3142" t="s">
        <v>22</v>
      </c>
      <c r="D3142" t="str">
        <f>_xlfn.XLOOKUP(tblSales[[#This Row],[Store ID]],tblStores[Store ID],tblStores[Store Name])</f>
        <v>Durban CBD</v>
      </c>
      <c r="E3142" t="str">
        <f>_xlfn.XLOOKUP(tblSales[[#This Row],[Store ID]],tblStores[Store ID],tblStores[Province])</f>
        <v>KZN</v>
      </c>
      <c r="F3142" t="str">
        <f>_xlfn.XLOOKUP(tblSales[[#This Row],[Store ID]],tblStores[Store ID],tblStores[Manager])</f>
        <v>Sarah Adams</v>
      </c>
      <c r="G3142" t="str">
        <f>_xlfn.XLOOKUP(tblSales[[#This Row],[Category ID]],tblCategories[Category ID],tblCategories[Category])</f>
        <v>Kids</v>
      </c>
      <c r="H3142">
        <v>27642</v>
      </c>
      <c r="I3142">
        <v>27944</v>
      </c>
      <c r="J3142">
        <v>102</v>
      </c>
      <c r="K3142">
        <f>tblSales[[#This Row],[Sales]]-tblSales[[#This Row],[Budget]]</f>
        <v>-302</v>
      </c>
      <c r="L3142" s="3">
        <f>(tblSales[[#This Row],[Sales]]-tblSales[[#This Row],[Budget]])/tblSales[[#This Row],[Budget]]</f>
        <v>-1.0807328943601488E-2</v>
      </c>
      <c r="M3142" s="2">
        <f>tblSales[[#This Row],[Sales]]/tblSales[[#This Row],[Transactions]]</f>
        <v>271</v>
      </c>
    </row>
    <row r="3143" spans="1:13" x14ac:dyDescent="0.25">
      <c r="A3143" s="1">
        <v>46180</v>
      </c>
      <c r="B3143" t="s">
        <v>8</v>
      </c>
      <c r="C3143" t="s">
        <v>7</v>
      </c>
      <c r="D3143" t="str">
        <f>_xlfn.XLOOKUP(tblSales[[#This Row],[Store ID]],tblStores[Store ID],tblStores[Store Name])</f>
        <v>Gateway</v>
      </c>
      <c r="E3143" t="str">
        <f>_xlfn.XLOOKUP(tblSales[[#This Row],[Store ID]],tblStores[Store ID],tblStores[Province])</f>
        <v>KZN</v>
      </c>
      <c r="F3143" t="str">
        <f>_xlfn.XLOOKUP(tblSales[[#This Row],[Store ID]],tblStores[Store ID],tblStores[Manager])</f>
        <v>Michael Jones</v>
      </c>
      <c r="G3143" t="str">
        <f>_xlfn.XLOOKUP(tblSales[[#This Row],[Category ID]],tblCategories[Category ID],tblCategories[Category])</f>
        <v>Menswear</v>
      </c>
      <c r="H3143">
        <v>27048</v>
      </c>
      <c r="I3143">
        <v>27497</v>
      </c>
      <c r="J3143">
        <v>147</v>
      </c>
      <c r="K3143">
        <f>tblSales[[#This Row],[Sales]]-tblSales[[#This Row],[Budget]]</f>
        <v>-449</v>
      </c>
      <c r="L3143" s="3">
        <f>(tblSales[[#This Row],[Sales]]-tblSales[[#This Row],[Budget]])/tblSales[[#This Row],[Budget]]</f>
        <v>-1.632905407862676E-2</v>
      </c>
      <c r="M3143" s="2">
        <f>tblSales[[#This Row],[Sales]]/tblSales[[#This Row],[Transactions]]</f>
        <v>184</v>
      </c>
    </row>
    <row r="3144" spans="1:13" x14ac:dyDescent="0.25">
      <c r="A3144" s="1">
        <v>46180</v>
      </c>
      <c r="B3144" t="s">
        <v>10</v>
      </c>
      <c r="C3144" t="s">
        <v>22</v>
      </c>
      <c r="D3144" t="str">
        <f>_xlfn.XLOOKUP(tblSales[[#This Row],[Store ID]],tblStores[Store ID],tblStores[Store Name])</f>
        <v>Ballito</v>
      </c>
      <c r="E3144" t="str">
        <f>_xlfn.XLOOKUP(tblSales[[#This Row],[Store ID]],tblStores[Store ID],tblStores[Province])</f>
        <v>KZN</v>
      </c>
      <c r="F3144" t="str">
        <f>_xlfn.XLOOKUP(tblSales[[#This Row],[Store ID]],tblStores[Store ID],tblStores[Manager])</f>
        <v>Linda Smith</v>
      </c>
      <c r="G3144" t="str">
        <f>_xlfn.XLOOKUP(tblSales[[#This Row],[Category ID]],tblCategories[Category ID],tblCategories[Category])</f>
        <v>Kids</v>
      </c>
      <c r="H3144">
        <v>79442</v>
      </c>
      <c r="I3144">
        <v>88266</v>
      </c>
      <c r="J3144">
        <v>157</v>
      </c>
      <c r="K3144">
        <f>tblSales[[#This Row],[Sales]]-tblSales[[#This Row],[Budget]]</f>
        <v>-8824</v>
      </c>
      <c r="L3144" s="3">
        <f>(tblSales[[#This Row],[Sales]]-tblSales[[#This Row],[Budget]])/tblSales[[#This Row],[Budget]]</f>
        <v>-9.9970543584166044E-2</v>
      </c>
      <c r="M3144" s="2">
        <f>tblSales[[#This Row],[Sales]]/tblSales[[#This Row],[Transactions]]</f>
        <v>506</v>
      </c>
    </row>
    <row r="3145" spans="1:13" x14ac:dyDescent="0.25">
      <c r="A3145" s="1">
        <v>46180</v>
      </c>
      <c r="B3145" t="s">
        <v>12</v>
      </c>
      <c r="C3145" t="s">
        <v>9</v>
      </c>
      <c r="D3145" t="str">
        <f>_xlfn.XLOOKUP(tblSales[[#This Row],[Store ID]],tblStores[Store ID],tblStores[Store Name])</f>
        <v>Pietermaritzburg</v>
      </c>
      <c r="E3145" t="str">
        <f>_xlfn.XLOOKUP(tblSales[[#This Row],[Store ID]],tblStores[Store ID],tblStores[Province])</f>
        <v>KZN</v>
      </c>
      <c r="F3145" t="str">
        <f>_xlfn.XLOOKUP(tblSales[[#This Row],[Store ID]],tblStores[Store ID],tblStores[Manager])</f>
        <v>Peter Brown</v>
      </c>
      <c r="G3145" t="str">
        <f>_xlfn.XLOOKUP(tblSales[[#This Row],[Category ID]],tblCategories[Category ID],tblCategories[Category])</f>
        <v>Ladieswear</v>
      </c>
      <c r="H3145">
        <v>29051</v>
      </c>
      <c r="I3145">
        <v>30355</v>
      </c>
      <c r="J3145">
        <v>139</v>
      </c>
      <c r="K3145">
        <f>tblSales[[#This Row],[Sales]]-tblSales[[#This Row],[Budget]]</f>
        <v>-1304</v>
      </c>
      <c r="L3145" s="3">
        <f>(tblSales[[#This Row],[Sales]]-tblSales[[#This Row],[Budget]])/tblSales[[#This Row],[Budget]]</f>
        <v>-4.2958326470103773E-2</v>
      </c>
      <c r="M3145" s="2">
        <f>tblSales[[#This Row],[Sales]]/tblSales[[#This Row],[Transactions]]</f>
        <v>209</v>
      </c>
    </row>
    <row r="3146" spans="1:13" x14ac:dyDescent="0.25">
      <c r="A3146" s="1">
        <v>46180</v>
      </c>
      <c r="B3146" t="s">
        <v>13</v>
      </c>
      <c r="C3146" t="s">
        <v>7</v>
      </c>
      <c r="D3146" t="str">
        <f>_xlfn.XLOOKUP(tblSales[[#This Row],[Store ID]],tblStores[Store ID],tblStores[Store Name])</f>
        <v>Richards Bay</v>
      </c>
      <c r="E3146" t="str">
        <f>_xlfn.XLOOKUP(tblSales[[#This Row],[Store ID]],tblStores[Store ID],tblStores[Province])</f>
        <v>KZN</v>
      </c>
      <c r="F3146" t="str">
        <f>_xlfn.XLOOKUP(tblSales[[#This Row],[Store ID]],tblStores[Store ID],tblStores[Manager])</f>
        <v>David Green</v>
      </c>
      <c r="G3146" t="str">
        <f>_xlfn.XLOOKUP(tblSales[[#This Row],[Category ID]],tblCategories[Category ID],tblCategories[Category])</f>
        <v>Menswear</v>
      </c>
      <c r="H3146">
        <v>51660</v>
      </c>
      <c r="I3146">
        <v>53615</v>
      </c>
      <c r="J3146">
        <v>105</v>
      </c>
      <c r="K3146">
        <f>tblSales[[#This Row],[Sales]]-tblSales[[#This Row],[Budget]]</f>
        <v>-1955</v>
      </c>
      <c r="L3146" s="3">
        <f>(tblSales[[#This Row],[Sales]]-tblSales[[#This Row],[Budget]])/tblSales[[#This Row],[Budget]]</f>
        <v>-3.6463676210015852E-2</v>
      </c>
      <c r="M3146" s="2">
        <f>tblSales[[#This Row],[Sales]]/tblSales[[#This Row],[Transactions]]</f>
        <v>492</v>
      </c>
    </row>
    <row r="3147" spans="1:13" x14ac:dyDescent="0.25">
      <c r="A3147" s="1">
        <v>46180</v>
      </c>
      <c r="B3147" t="s">
        <v>14</v>
      </c>
      <c r="C3147" t="s">
        <v>7</v>
      </c>
      <c r="D3147" t="str">
        <f>_xlfn.XLOOKUP(tblSales[[#This Row],[Store ID]],tblStores[Store ID],tblStores[Store Name])</f>
        <v>Sandton</v>
      </c>
      <c r="E3147" t="str">
        <f>_xlfn.XLOOKUP(tblSales[[#This Row],[Store ID]],tblStores[Store ID],tblStores[Province])</f>
        <v>Gauteng</v>
      </c>
      <c r="F3147" t="str">
        <f>_xlfn.XLOOKUP(tblSales[[#This Row],[Store ID]],tblStores[Store ID],tblStores[Manager])</f>
        <v>Karen White</v>
      </c>
      <c r="G3147" t="str">
        <f>_xlfn.XLOOKUP(tblSales[[#This Row],[Category ID]],tblCategories[Category ID],tblCategories[Category])</f>
        <v>Menswear</v>
      </c>
      <c r="H3147">
        <v>39984</v>
      </c>
      <c r="I3147">
        <v>38564</v>
      </c>
      <c r="J3147">
        <v>147</v>
      </c>
      <c r="K3147">
        <f>tblSales[[#This Row],[Sales]]-tblSales[[#This Row],[Budget]]</f>
        <v>1420</v>
      </c>
      <c r="L3147" s="3">
        <f>(tblSales[[#This Row],[Sales]]-tblSales[[#This Row],[Budget]])/tblSales[[#This Row],[Budget]]</f>
        <v>3.6821906441240539E-2</v>
      </c>
      <c r="M3147" s="2">
        <f>tblSales[[#This Row],[Sales]]/tblSales[[#This Row],[Transactions]]</f>
        <v>272</v>
      </c>
    </row>
    <row r="3148" spans="1:13" x14ac:dyDescent="0.25">
      <c r="A3148" s="1">
        <v>46180</v>
      </c>
      <c r="B3148" t="s">
        <v>15</v>
      </c>
      <c r="C3148" t="s">
        <v>22</v>
      </c>
      <c r="D3148" t="str">
        <f>_xlfn.XLOOKUP(tblSales[[#This Row],[Store ID]],tblStores[Store ID],tblStores[Store Name])</f>
        <v>Rosebank</v>
      </c>
      <c r="E3148" t="str">
        <f>_xlfn.XLOOKUP(tblSales[[#This Row],[Store ID]],tblStores[Store ID],tblStores[Province])</f>
        <v>Gauteng</v>
      </c>
      <c r="F3148" t="str">
        <f>_xlfn.XLOOKUP(tblSales[[#This Row],[Store ID]],tblStores[Store ID],tblStores[Manager])</f>
        <v>James Taylor</v>
      </c>
      <c r="G3148" t="str">
        <f>_xlfn.XLOOKUP(tblSales[[#This Row],[Category ID]],tblCategories[Category ID],tblCategories[Category])</f>
        <v>Kids</v>
      </c>
      <c r="H3148">
        <v>43733</v>
      </c>
      <c r="I3148">
        <v>40750</v>
      </c>
      <c r="J3148">
        <v>101</v>
      </c>
      <c r="K3148">
        <f>tblSales[[#This Row],[Sales]]-tblSales[[#This Row],[Budget]]</f>
        <v>2983</v>
      </c>
      <c r="L3148" s="3">
        <f>(tblSales[[#This Row],[Sales]]-tblSales[[#This Row],[Budget]])/tblSales[[#This Row],[Budget]]</f>
        <v>7.3202453987730065E-2</v>
      </c>
      <c r="M3148" s="2">
        <f>tblSales[[#This Row],[Sales]]/tblSales[[#This Row],[Transactions]]</f>
        <v>433</v>
      </c>
    </row>
    <row r="3149" spans="1:13" x14ac:dyDescent="0.25">
      <c r="A3149" s="1">
        <v>46180</v>
      </c>
      <c r="B3149" t="s">
        <v>16</v>
      </c>
      <c r="C3149" t="s">
        <v>9</v>
      </c>
      <c r="D3149" t="str">
        <f>_xlfn.XLOOKUP(tblSales[[#This Row],[Store ID]],tblStores[Store ID],tblStores[Store Name])</f>
        <v>Pretoria</v>
      </c>
      <c r="E3149" t="str">
        <f>_xlfn.XLOOKUP(tblSales[[#This Row],[Store ID]],tblStores[Store ID],tblStores[Province])</f>
        <v>Gauteng</v>
      </c>
      <c r="F3149" t="str">
        <f>_xlfn.XLOOKUP(tblSales[[#This Row],[Store ID]],tblStores[Store ID],tblStores[Manager])</f>
        <v>Susan Clark</v>
      </c>
      <c r="G3149" t="str">
        <f>_xlfn.XLOOKUP(tblSales[[#This Row],[Category ID]],tblCategories[Category ID],tblCategories[Category])</f>
        <v>Ladieswear</v>
      </c>
      <c r="H3149">
        <v>35712</v>
      </c>
      <c r="I3149">
        <v>37997</v>
      </c>
      <c r="J3149">
        <v>72</v>
      </c>
      <c r="K3149">
        <f>tblSales[[#This Row],[Sales]]-tblSales[[#This Row],[Budget]]</f>
        <v>-2285</v>
      </c>
      <c r="L3149" s="3">
        <f>(tblSales[[#This Row],[Sales]]-tblSales[[#This Row],[Budget]])/tblSales[[#This Row],[Budget]]</f>
        <v>-6.013632655209622E-2</v>
      </c>
      <c r="M3149" s="2">
        <f>tblSales[[#This Row],[Sales]]/tblSales[[#This Row],[Transactions]]</f>
        <v>496</v>
      </c>
    </row>
    <row r="3150" spans="1:13" x14ac:dyDescent="0.25">
      <c r="A3150" s="1">
        <v>46180</v>
      </c>
      <c r="B3150" t="s">
        <v>17</v>
      </c>
      <c r="C3150" t="s">
        <v>9</v>
      </c>
      <c r="D3150" t="str">
        <f>_xlfn.XLOOKUP(tblSales[[#This Row],[Store ID]],tblStores[Store ID],tblStores[Store Name])</f>
        <v>Centurion</v>
      </c>
      <c r="E3150" t="str">
        <f>_xlfn.XLOOKUP(tblSales[[#This Row],[Store ID]],tblStores[Store ID],tblStores[Province])</f>
        <v>Gauteng</v>
      </c>
      <c r="F3150" t="str">
        <f>_xlfn.XLOOKUP(tblSales[[#This Row],[Store ID]],tblStores[Store ID],tblStores[Manager])</f>
        <v>Mark Wilson</v>
      </c>
      <c r="G3150" t="str">
        <f>_xlfn.XLOOKUP(tblSales[[#This Row],[Category ID]],tblCategories[Category ID],tblCategories[Category])</f>
        <v>Ladieswear</v>
      </c>
      <c r="H3150">
        <v>32960</v>
      </c>
      <c r="I3150">
        <v>29981</v>
      </c>
      <c r="J3150">
        <v>64</v>
      </c>
      <c r="K3150">
        <f>tblSales[[#This Row],[Sales]]-tblSales[[#This Row],[Budget]]</f>
        <v>2979</v>
      </c>
      <c r="L3150" s="3">
        <f>(tblSales[[#This Row],[Sales]]-tblSales[[#This Row],[Budget]])/tblSales[[#This Row],[Budget]]</f>
        <v>9.9362929855575197E-2</v>
      </c>
      <c r="M3150" s="2">
        <f>tblSales[[#This Row],[Sales]]/tblSales[[#This Row],[Transactions]]</f>
        <v>515</v>
      </c>
    </row>
    <row r="3151" spans="1:13" x14ac:dyDescent="0.25">
      <c r="A3151" s="1">
        <v>46180</v>
      </c>
      <c r="B3151" t="s">
        <v>18</v>
      </c>
      <c r="C3151" t="s">
        <v>19</v>
      </c>
      <c r="D3151" t="str">
        <f>_xlfn.XLOOKUP(tblSales[[#This Row],[Store ID]],tblStores[Store ID],tblStores[Store Name])</f>
        <v>East Rand</v>
      </c>
      <c r="E3151" t="str">
        <f>_xlfn.XLOOKUP(tblSales[[#This Row],[Store ID]],tblStores[Store ID],tblStores[Province])</f>
        <v>Gauteng</v>
      </c>
      <c r="F3151" t="str">
        <f>_xlfn.XLOOKUP(tblSales[[#This Row],[Store ID]],tblStores[Store ID],tblStores[Manager])</f>
        <v>Lisa Young</v>
      </c>
      <c r="G3151" t="str">
        <f>_xlfn.XLOOKUP(tblSales[[#This Row],[Category ID]],tblCategories[Category ID],tblCategories[Category])</f>
        <v>Accessories</v>
      </c>
      <c r="H3151">
        <v>69972</v>
      </c>
      <c r="I3151">
        <v>68525</v>
      </c>
      <c r="J3151">
        <v>147</v>
      </c>
      <c r="K3151">
        <f>tblSales[[#This Row],[Sales]]-tblSales[[#This Row],[Budget]]</f>
        <v>1447</v>
      </c>
      <c r="L3151" s="3">
        <f>(tblSales[[#This Row],[Sales]]-tblSales[[#This Row],[Budget]])/tblSales[[#This Row],[Budget]]</f>
        <v>2.1116380882889457E-2</v>
      </c>
      <c r="M3151" s="2">
        <f>tblSales[[#This Row],[Sales]]/tblSales[[#This Row],[Transactions]]</f>
        <v>476</v>
      </c>
    </row>
    <row r="3152" spans="1:13" x14ac:dyDescent="0.25">
      <c r="A3152" s="1">
        <v>46180</v>
      </c>
      <c r="B3152" t="s">
        <v>20</v>
      </c>
      <c r="C3152" t="s">
        <v>19</v>
      </c>
      <c r="D3152" t="str">
        <f>_xlfn.XLOOKUP(tblSales[[#This Row],[Store ID]],tblStores[Store ID],tblStores[Store Name])</f>
        <v>Cape Town CBD</v>
      </c>
      <c r="E3152" t="str">
        <f>_xlfn.XLOOKUP(tblSales[[#This Row],[Store ID]],tblStores[Store ID],tblStores[Province])</f>
        <v>Western Cape</v>
      </c>
      <c r="F3152" t="str">
        <f>_xlfn.XLOOKUP(tblSales[[#This Row],[Store ID]],tblStores[Store ID],tblStores[Manager])</f>
        <v>Brian Hall</v>
      </c>
      <c r="G3152" t="str">
        <f>_xlfn.XLOOKUP(tblSales[[#This Row],[Category ID]],tblCategories[Category ID],tblCategories[Category])</f>
        <v>Accessories</v>
      </c>
      <c r="H3152">
        <v>64528</v>
      </c>
      <c r="I3152">
        <v>59056</v>
      </c>
      <c r="J3152">
        <v>218</v>
      </c>
      <c r="K3152">
        <f>tblSales[[#This Row],[Sales]]-tblSales[[#This Row],[Budget]]</f>
        <v>5472</v>
      </c>
      <c r="L3152" s="3">
        <f>(tblSales[[#This Row],[Sales]]-tblSales[[#This Row],[Budget]])/tblSales[[#This Row],[Budget]]</f>
        <v>9.2657816309943103E-2</v>
      </c>
      <c r="M3152" s="2">
        <f>tblSales[[#This Row],[Sales]]/tblSales[[#This Row],[Transactions]]</f>
        <v>296</v>
      </c>
    </row>
    <row r="3153" spans="1:13" x14ac:dyDescent="0.25">
      <c r="A3153" s="1">
        <v>46180</v>
      </c>
      <c r="B3153" t="s">
        <v>21</v>
      </c>
      <c r="C3153" t="s">
        <v>22</v>
      </c>
      <c r="D3153" t="str">
        <f>_xlfn.XLOOKUP(tblSales[[#This Row],[Store ID]],tblStores[Store ID],tblStores[Store Name])</f>
        <v>Canal Walk</v>
      </c>
      <c r="E3153" t="str">
        <f>_xlfn.XLOOKUP(tblSales[[#This Row],[Store ID]],tblStores[Store ID],tblStores[Province])</f>
        <v>Western Cape</v>
      </c>
      <c r="F3153" t="str">
        <f>_xlfn.XLOOKUP(tblSales[[#This Row],[Store ID]],tblStores[Store ID],tblStores[Manager])</f>
        <v>Megan Scott</v>
      </c>
      <c r="G3153" t="str">
        <f>_xlfn.XLOOKUP(tblSales[[#This Row],[Category ID]],tblCategories[Category ID],tblCategories[Category])</f>
        <v>Kids</v>
      </c>
      <c r="H3153">
        <v>18800</v>
      </c>
      <c r="I3153">
        <v>20108</v>
      </c>
      <c r="J3153">
        <v>100</v>
      </c>
      <c r="K3153">
        <f>tblSales[[#This Row],[Sales]]-tblSales[[#This Row],[Budget]]</f>
        <v>-1308</v>
      </c>
      <c r="L3153" s="3">
        <f>(tblSales[[#This Row],[Sales]]-tblSales[[#This Row],[Budget]])/tblSales[[#This Row],[Budget]]</f>
        <v>-6.5048736821165701E-2</v>
      </c>
      <c r="M3153" s="2">
        <f>tblSales[[#This Row],[Sales]]/tblSales[[#This Row],[Transactions]]</f>
        <v>188</v>
      </c>
    </row>
    <row r="3154" spans="1:13" x14ac:dyDescent="0.25">
      <c r="A3154" s="1">
        <v>46180</v>
      </c>
      <c r="B3154" t="s">
        <v>23</v>
      </c>
      <c r="C3154" t="s">
        <v>22</v>
      </c>
      <c r="D3154" t="str">
        <f>_xlfn.XLOOKUP(tblSales[[#This Row],[Store ID]],tblStores[Store ID],tblStores[Store Name])</f>
        <v>Stellenbosch</v>
      </c>
      <c r="E3154" t="str">
        <f>_xlfn.XLOOKUP(tblSales[[#This Row],[Store ID]],tblStores[Store ID],tblStores[Province])</f>
        <v>Western Cape</v>
      </c>
      <c r="F3154" t="str">
        <f>_xlfn.XLOOKUP(tblSales[[#This Row],[Store ID]],tblStores[Store ID],tblStores[Manager])</f>
        <v>Jason King</v>
      </c>
      <c r="G3154" t="str">
        <f>_xlfn.XLOOKUP(tblSales[[#This Row],[Category ID]],tblCategories[Category ID],tblCategories[Category])</f>
        <v>Kids</v>
      </c>
      <c r="H3154">
        <v>34946</v>
      </c>
      <c r="I3154">
        <v>36698</v>
      </c>
      <c r="J3154">
        <v>173</v>
      </c>
      <c r="K3154">
        <f>tblSales[[#This Row],[Sales]]-tblSales[[#This Row],[Budget]]</f>
        <v>-1752</v>
      </c>
      <c r="L3154" s="3">
        <f>(tblSales[[#This Row],[Sales]]-tblSales[[#This Row],[Budget]])/tblSales[[#This Row],[Budget]]</f>
        <v>-4.7741021309063165E-2</v>
      </c>
      <c r="M3154" s="2">
        <f>tblSales[[#This Row],[Sales]]/tblSales[[#This Row],[Transactions]]</f>
        <v>202</v>
      </c>
    </row>
    <row r="3155" spans="1:13" x14ac:dyDescent="0.25">
      <c r="A3155" s="1">
        <v>46180</v>
      </c>
      <c r="B3155" t="s">
        <v>24</v>
      </c>
      <c r="C3155" t="s">
        <v>22</v>
      </c>
      <c r="D3155" t="str">
        <f>_xlfn.XLOOKUP(tblSales[[#This Row],[Store ID]],tblStores[Store ID],tblStores[Store Name])</f>
        <v>George</v>
      </c>
      <c r="E3155" t="str">
        <f>_xlfn.XLOOKUP(tblSales[[#This Row],[Store ID]],tblStores[Store ID],tblStores[Province])</f>
        <v>Western Cape</v>
      </c>
      <c r="F3155" t="str">
        <f>_xlfn.XLOOKUP(tblSales[[#This Row],[Store ID]],tblStores[Store ID],tblStores[Manager])</f>
        <v>Chloe Hill</v>
      </c>
      <c r="G3155" t="str">
        <f>_xlfn.XLOOKUP(tblSales[[#This Row],[Category ID]],tblCategories[Category ID],tblCategories[Category])</f>
        <v>Kids</v>
      </c>
      <c r="H3155">
        <v>13578</v>
      </c>
      <c r="I3155">
        <v>13941</v>
      </c>
      <c r="J3155">
        <v>62</v>
      </c>
      <c r="K3155">
        <f>tblSales[[#This Row],[Sales]]-tblSales[[#This Row],[Budget]]</f>
        <v>-363</v>
      </c>
      <c r="L3155" s="3">
        <f>(tblSales[[#This Row],[Sales]]-tblSales[[#This Row],[Budget]])/tblSales[[#This Row],[Budget]]</f>
        <v>-2.6038304282332687E-2</v>
      </c>
      <c r="M3155" s="2">
        <f>tblSales[[#This Row],[Sales]]/tblSales[[#This Row],[Transactions]]</f>
        <v>219</v>
      </c>
    </row>
    <row r="3156" spans="1:13" x14ac:dyDescent="0.25">
      <c r="A3156" s="1">
        <v>46180</v>
      </c>
      <c r="B3156" t="s">
        <v>25</v>
      </c>
      <c r="C3156" t="s">
        <v>7</v>
      </c>
      <c r="D3156" t="str">
        <f>_xlfn.XLOOKUP(tblSales[[#This Row],[Store ID]],tblStores[Store ID],tblStores[Store Name])</f>
        <v>Paarl</v>
      </c>
      <c r="E3156" t="str">
        <f>_xlfn.XLOOKUP(tblSales[[#This Row],[Store ID]],tblStores[Store ID],tblStores[Province])</f>
        <v>Western Cape</v>
      </c>
      <c r="F3156" t="str">
        <f>_xlfn.XLOOKUP(tblSales[[#This Row],[Store ID]],tblStores[Store ID],tblStores[Manager])</f>
        <v>Andrew Lee</v>
      </c>
      <c r="G3156" t="str">
        <f>_xlfn.XLOOKUP(tblSales[[#This Row],[Category ID]],tblCategories[Category ID],tblCategories[Category])</f>
        <v>Menswear</v>
      </c>
      <c r="H3156">
        <v>36135</v>
      </c>
      <c r="I3156">
        <v>34662</v>
      </c>
      <c r="J3156">
        <v>165</v>
      </c>
      <c r="K3156">
        <f>tblSales[[#This Row],[Sales]]-tblSales[[#This Row],[Budget]]</f>
        <v>1473</v>
      </c>
      <c r="L3156" s="3">
        <f>(tblSales[[#This Row],[Sales]]-tblSales[[#This Row],[Budget]])/tblSales[[#This Row],[Budget]]</f>
        <v>4.249610524493682E-2</v>
      </c>
      <c r="M3156" s="2">
        <f>tblSales[[#This Row],[Sales]]/tblSales[[#This Row],[Transactions]]</f>
        <v>219</v>
      </c>
    </row>
    <row r="3157" spans="1:13" x14ac:dyDescent="0.25">
      <c r="A3157" s="1">
        <v>46180</v>
      </c>
      <c r="B3157" t="s">
        <v>26</v>
      </c>
      <c r="C3157" t="s">
        <v>22</v>
      </c>
      <c r="D3157" t="str">
        <f>_xlfn.XLOOKUP(tblSales[[#This Row],[Store ID]],tblStores[Store ID],tblStores[Store Name])</f>
        <v>Gqeberha</v>
      </c>
      <c r="E3157" t="str">
        <f>_xlfn.XLOOKUP(tblSales[[#This Row],[Store ID]],tblStores[Store ID],tblStores[Province])</f>
        <v>Eastern Cape</v>
      </c>
      <c r="F3157" t="str">
        <f>_xlfn.XLOOKUP(tblSales[[#This Row],[Store ID]],tblStores[Store ID],tblStores[Manager])</f>
        <v>Emma Baker</v>
      </c>
      <c r="G3157" t="str">
        <f>_xlfn.XLOOKUP(tblSales[[#This Row],[Category ID]],tblCategories[Category ID],tblCategories[Category])</f>
        <v>Kids</v>
      </c>
      <c r="H3157">
        <v>66970</v>
      </c>
      <c r="I3157">
        <v>74154</v>
      </c>
      <c r="J3157">
        <v>181</v>
      </c>
      <c r="K3157">
        <f>tblSales[[#This Row],[Sales]]-tblSales[[#This Row],[Budget]]</f>
        <v>-7184</v>
      </c>
      <c r="L3157" s="3">
        <f>(tblSales[[#This Row],[Sales]]-tblSales[[#This Row],[Budget]])/tblSales[[#This Row],[Budget]]</f>
        <v>-9.6879467055047602E-2</v>
      </c>
      <c r="M3157" s="2">
        <f>tblSales[[#This Row],[Sales]]/tblSales[[#This Row],[Transactions]]</f>
        <v>370</v>
      </c>
    </row>
    <row r="3158" spans="1:13" x14ac:dyDescent="0.25">
      <c r="A3158" s="1">
        <v>46180</v>
      </c>
      <c r="B3158" t="s">
        <v>27</v>
      </c>
      <c r="C3158" t="s">
        <v>11</v>
      </c>
      <c r="D3158" t="str">
        <f>_xlfn.XLOOKUP(tblSales[[#This Row],[Store ID]],tblStores[Store ID],tblStores[Store Name])</f>
        <v>East London</v>
      </c>
      <c r="E3158" t="str">
        <f>_xlfn.XLOOKUP(tblSales[[#This Row],[Store ID]],tblStores[Store ID],tblStores[Province])</f>
        <v>Eastern Cape</v>
      </c>
      <c r="F3158" t="str">
        <f>_xlfn.XLOOKUP(tblSales[[#This Row],[Store ID]],tblStores[Store ID],tblStores[Manager])</f>
        <v>Daniel Evans</v>
      </c>
      <c r="G3158" t="str">
        <f>_xlfn.XLOOKUP(tblSales[[#This Row],[Category ID]],tblCategories[Category ID],tblCategories[Category])</f>
        <v>Footwear</v>
      </c>
      <c r="H3158">
        <v>26924</v>
      </c>
      <c r="I3158">
        <v>27102</v>
      </c>
      <c r="J3158">
        <v>53</v>
      </c>
      <c r="K3158">
        <f>tblSales[[#This Row],[Sales]]-tblSales[[#This Row],[Budget]]</f>
        <v>-178</v>
      </c>
      <c r="L3158" s="3">
        <f>(tblSales[[#This Row],[Sales]]-tblSales[[#This Row],[Budget]])/tblSales[[#This Row],[Budget]]</f>
        <v>-6.5677809755737586E-3</v>
      </c>
      <c r="M3158" s="2">
        <f>tblSales[[#This Row],[Sales]]/tblSales[[#This Row],[Transactions]]</f>
        <v>508</v>
      </c>
    </row>
    <row r="3159" spans="1:13" x14ac:dyDescent="0.25">
      <c r="A3159" s="1">
        <v>46180</v>
      </c>
      <c r="B3159" t="s">
        <v>28</v>
      </c>
      <c r="C3159" t="s">
        <v>22</v>
      </c>
      <c r="D3159" t="str">
        <f>_xlfn.XLOOKUP(tblSales[[#This Row],[Store ID]],tblStores[Store ID],tblStores[Store Name])</f>
        <v>Bloemfontein</v>
      </c>
      <c r="E3159" t="str">
        <f>_xlfn.XLOOKUP(tblSales[[#This Row],[Store ID]],tblStores[Store ID],tblStores[Province])</f>
        <v>Free State</v>
      </c>
      <c r="F3159" t="str">
        <f>_xlfn.XLOOKUP(tblSales[[#This Row],[Store ID]],tblStores[Store ID],tblStores[Manager])</f>
        <v>Rachel Moore</v>
      </c>
      <c r="G3159" t="str">
        <f>_xlfn.XLOOKUP(tblSales[[#This Row],[Category ID]],tblCategories[Category ID],tblCategories[Category])</f>
        <v>Kids</v>
      </c>
      <c r="H3159">
        <v>13632</v>
      </c>
      <c r="I3159">
        <v>13381</v>
      </c>
      <c r="J3159">
        <v>71</v>
      </c>
      <c r="K3159">
        <f>tblSales[[#This Row],[Sales]]-tblSales[[#This Row],[Budget]]</f>
        <v>251</v>
      </c>
      <c r="L3159" s="3">
        <f>(tblSales[[#This Row],[Sales]]-tblSales[[#This Row],[Budget]])/tblSales[[#This Row],[Budget]]</f>
        <v>1.8757940363201553E-2</v>
      </c>
      <c r="M3159" s="2">
        <f>tblSales[[#This Row],[Sales]]/tblSales[[#This Row],[Transactions]]</f>
        <v>192</v>
      </c>
    </row>
    <row r="3160" spans="1:13" x14ac:dyDescent="0.25">
      <c r="A3160" s="1">
        <v>46180</v>
      </c>
      <c r="B3160" t="s">
        <v>29</v>
      </c>
      <c r="C3160" t="s">
        <v>22</v>
      </c>
      <c r="D3160" t="str">
        <f>_xlfn.XLOOKUP(tblSales[[#This Row],[Store ID]],tblStores[Store ID],tblStores[Store Name])</f>
        <v>Polokwane</v>
      </c>
      <c r="E3160" t="str">
        <f>_xlfn.XLOOKUP(tblSales[[#This Row],[Store ID]],tblStores[Store ID],tblStores[Province])</f>
        <v>Limpopo</v>
      </c>
      <c r="F3160" t="str">
        <f>_xlfn.XLOOKUP(tblSales[[#This Row],[Store ID]],tblStores[Store ID],tblStores[Manager])</f>
        <v>Kevin Harris</v>
      </c>
      <c r="G3160" t="str">
        <f>_xlfn.XLOOKUP(tblSales[[#This Row],[Category ID]],tblCategories[Category ID],tblCategories[Category])</f>
        <v>Kids</v>
      </c>
      <c r="H3160">
        <v>46560</v>
      </c>
      <c r="I3160">
        <v>52349</v>
      </c>
      <c r="J3160">
        <v>120</v>
      </c>
      <c r="K3160">
        <f>tblSales[[#This Row],[Sales]]-tblSales[[#This Row],[Budget]]</f>
        <v>-5789</v>
      </c>
      <c r="L3160" s="3">
        <f>(tblSales[[#This Row],[Sales]]-tblSales[[#This Row],[Budget]])/tblSales[[#This Row],[Budget]]</f>
        <v>-0.11058472941221417</v>
      </c>
      <c r="M3160" s="2">
        <f>tblSales[[#This Row],[Sales]]/tblSales[[#This Row],[Transactions]]</f>
        <v>388</v>
      </c>
    </row>
    <row r="3161" spans="1:13" x14ac:dyDescent="0.25">
      <c r="A3161" s="1">
        <v>46180</v>
      </c>
      <c r="B3161" t="s">
        <v>30</v>
      </c>
      <c r="C3161" t="s">
        <v>22</v>
      </c>
      <c r="D3161" t="str">
        <f>_xlfn.XLOOKUP(tblSales[[#This Row],[Store ID]],tblStores[Store ID],tblStores[Store Name])</f>
        <v>Nelspruit</v>
      </c>
      <c r="E3161" t="str">
        <f>_xlfn.XLOOKUP(tblSales[[#This Row],[Store ID]],tblStores[Store ID],tblStores[Province])</f>
        <v>Mpumalanga</v>
      </c>
      <c r="F3161" t="str">
        <f>_xlfn.XLOOKUP(tblSales[[#This Row],[Store ID]],tblStores[Store ID],tblStores[Manager])</f>
        <v>Olivia Turner</v>
      </c>
      <c r="G3161" t="str">
        <f>_xlfn.XLOOKUP(tblSales[[#This Row],[Category ID]],tblCategories[Category ID],tblCategories[Category])</f>
        <v>Kids</v>
      </c>
      <c r="H3161">
        <v>51150</v>
      </c>
      <c r="I3161">
        <v>53987</v>
      </c>
      <c r="J3161">
        <v>155</v>
      </c>
      <c r="K3161">
        <f>tblSales[[#This Row],[Sales]]-tblSales[[#This Row],[Budget]]</f>
        <v>-2837</v>
      </c>
      <c r="L3161" s="3">
        <f>(tblSales[[#This Row],[Sales]]-tblSales[[#This Row],[Budget]])/tblSales[[#This Row],[Budget]]</f>
        <v>-5.2549687887824846E-2</v>
      </c>
      <c r="M3161" s="2">
        <f>tblSales[[#This Row],[Sales]]/tblSales[[#This Row],[Transactions]]</f>
        <v>330</v>
      </c>
    </row>
    <row r="3162" spans="1:13" x14ac:dyDescent="0.25">
      <c r="A3162" s="1">
        <v>46181</v>
      </c>
      <c r="B3162" t="s">
        <v>6</v>
      </c>
      <c r="C3162" t="s">
        <v>9</v>
      </c>
      <c r="D3162" t="str">
        <f>_xlfn.XLOOKUP(tblSales[[#This Row],[Store ID]],tblStores[Store ID],tblStores[Store Name])</f>
        <v>Durban CBD</v>
      </c>
      <c r="E3162" t="str">
        <f>_xlfn.XLOOKUP(tblSales[[#This Row],[Store ID]],tblStores[Store ID],tblStores[Province])</f>
        <v>KZN</v>
      </c>
      <c r="F3162" t="str">
        <f>_xlfn.XLOOKUP(tblSales[[#This Row],[Store ID]],tblStores[Store ID],tblStores[Manager])</f>
        <v>Sarah Adams</v>
      </c>
      <c r="G3162" t="str">
        <f>_xlfn.XLOOKUP(tblSales[[#This Row],[Category ID]],tblCategories[Category ID],tblCategories[Category])</f>
        <v>Ladieswear</v>
      </c>
      <c r="H3162">
        <v>26058</v>
      </c>
      <c r="I3162">
        <v>25347</v>
      </c>
      <c r="J3162">
        <v>129</v>
      </c>
      <c r="K3162">
        <f>tblSales[[#This Row],[Sales]]-tblSales[[#This Row],[Budget]]</f>
        <v>711</v>
      </c>
      <c r="L3162" s="3">
        <f>(tblSales[[#This Row],[Sales]]-tblSales[[#This Row],[Budget]])/tblSales[[#This Row],[Budget]]</f>
        <v>2.8050656882471298E-2</v>
      </c>
      <c r="M3162" s="2">
        <f>tblSales[[#This Row],[Sales]]/tblSales[[#This Row],[Transactions]]</f>
        <v>202</v>
      </c>
    </row>
    <row r="3163" spans="1:13" x14ac:dyDescent="0.25">
      <c r="A3163" s="1">
        <v>46181</v>
      </c>
      <c r="B3163" t="s">
        <v>8</v>
      </c>
      <c r="C3163" t="s">
        <v>9</v>
      </c>
      <c r="D3163" t="str">
        <f>_xlfn.XLOOKUP(tblSales[[#This Row],[Store ID]],tblStores[Store ID],tblStores[Store Name])</f>
        <v>Gateway</v>
      </c>
      <c r="E3163" t="str">
        <f>_xlfn.XLOOKUP(tblSales[[#This Row],[Store ID]],tblStores[Store ID],tblStores[Province])</f>
        <v>KZN</v>
      </c>
      <c r="F3163" t="str">
        <f>_xlfn.XLOOKUP(tblSales[[#This Row],[Store ID]],tblStores[Store ID],tblStores[Manager])</f>
        <v>Michael Jones</v>
      </c>
      <c r="G3163" t="str">
        <f>_xlfn.XLOOKUP(tblSales[[#This Row],[Category ID]],tblCategories[Category ID],tblCategories[Category])</f>
        <v>Ladieswear</v>
      </c>
      <c r="H3163">
        <v>35898</v>
      </c>
      <c r="I3163">
        <v>33261</v>
      </c>
      <c r="J3163">
        <v>186</v>
      </c>
      <c r="K3163">
        <f>tblSales[[#This Row],[Sales]]-tblSales[[#This Row],[Budget]]</f>
        <v>2637</v>
      </c>
      <c r="L3163" s="3">
        <f>(tblSales[[#This Row],[Sales]]-tblSales[[#This Row],[Budget]])/tblSales[[#This Row],[Budget]]</f>
        <v>7.9282042031207714E-2</v>
      </c>
      <c r="M3163" s="2">
        <f>tblSales[[#This Row],[Sales]]/tblSales[[#This Row],[Transactions]]</f>
        <v>193</v>
      </c>
    </row>
    <row r="3164" spans="1:13" x14ac:dyDescent="0.25">
      <c r="A3164" s="1">
        <v>46181</v>
      </c>
      <c r="B3164" t="s">
        <v>10</v>
      </c>
      <c r="C3164" t="s">
        <v>9</v>
      </c>
      <c r="D3164" t="str">
        <f>_xlfn.XLOOKUP(tblSales[[#This Row],[Store ID]],tblStores[Store ID],tblStores[Store Name])</f>
        <v>Ballito</v>
      </c>
      <c r="E3164" t="str">
        <f>_xlfn.XLOOKUP(tblSales[[#This Row],[Store ID]],tblStores[Store ID],tblStores[Province])</f>
        <v>KZN</v>
      </c>
      <c r="F3164" t="str">
        <f>_xlfn.XLOOKUP(tblSales[[#This Row],[Store ID]],tblStores[Store ID],tblStores[Manager])</f>
        <v>Linda Smith</v>
      </c>
      <c r="G3164" t="str">
        <f>_xlfn.XLOOKUP(tblSales[[#This Row],[Category ID]],tblCategories[Category ID],tblCategories[Category])</f>
        <v>Ladieswear</v>
      </c>
      <c r="H3164">
        <v>50715</v>
      </c>
      <c r="I3164">
        <v>54718</v>
      </c>
      <c r="J3164">
        <v>115</v>
      </c>
      <c r="K3164">
        <f>tblSales[[#This Row],[Sales]]-tblSales[[#This Row],[Budget]]</f>
        <v>-4003</v>
      </c>
      <c r="L3164" s="3">
        <f>(tblSales[[#This Row],[Sales]]-tblSales[[#This Row],[Budget]])/tblSales[[#This Row],[Budget]]</f>
        <v>-7.3156913629884135E-2</v>
      </c>
      <c r="M3164" s="2">
        <f>tblSales[[#This Row],[Sales]]/tblSales[[#This Row],[Transactions]]</f>
        <v>441</v>
      </c>
    </row>
    <row r="3165" spans="1:13" x14ac:dyDescent="0.25">
      <c r="A3165" s="1">
        <v>46181</v>
      </c>
      <c r="B3165" t="s">
        <v>12</v>
      </c>
      <c r="C3165" t="s">
        <v>19</v>
      </c>
      <c r="D3165" t="str">
        <f>_xlfn.XLOOKUP(tblSales[[#This Row],[Store ID]],tblStores[Store ID],tblStores[Store Name])</f>
        <v>Pietermaritzburg</v>
      </c>
      <c r="E3165" t="str">
        <f>_xlfn.XLOOKUP(tblSales[[#This Row],[Store ID]],tblStores[Store ID],tblStores[Province])</f>
        <v>KZN</v>
      </c>
      <c r="F3165" t="str">
        <f>_xlfn.XLOOKUP(tblSales[[#This Row],[Store ID]],tblStores[Store ID],tblStores[Manager])</f>
        <v>Peter Brown</v>
      </c>
      <c r="G3165" t="str">
        <f>_xlfn.XLOOKUP(tblSales[[#This Row],[Category ID]],tblCategories[Category ID],tblCategories[Category])</f>
        <v>Accessories</v>
      </c>
      <c r="H3165">
        <v>65148</v>
      </c>
      <c r="I3165">
        <v>73942</v>
      </c>
      <c r="J3165">
        <v>183</v>
      </c>
      <c r="K3165">
        <f>tblSales[[#This Row],[Sales]]-tblSales[[#This Row],[Budget]]</f>
        <v>-8794</v>
      </c>
      <c r="L3165" s="3">
        <f>(tblSales[[#This Row],[Sales]]-tblSales[[#This Row],[Budget]])/tblSales[[#This Row],[Budget]]</f>
        <v>-0.11893105406940575</v>
      </c>
      <c r="M3165" s="2">
        <f>tblSales[[#This Row],[Sales]]/tblSales[[#This Row],[Transactions]]</f>
        <v>356</v>
      </c>
    </row>
    <row r="3166" spans="1:13" x14ac:dyDescent="0.25">
      <c r="A3166" s="1">
        <v>46181</v>
      </c>
      <c r="B3166" t="s">
        <v>13</v>
      </c>
      <c r="C3166" t="s">
        <v>11</v>
      </c>
      <c r="D3166" t="str">
        <f>_xlfn.XLOOKUP(tblSales[[#This Row],[Store ID]],tblStores[Store ID],tblStores[Store Name])</f>
        <v>Richards Bay</v>
      </c>
      <c r="E3166" t="str">
        <f>_xlfn.XLOOKUP(tblSales[[#This Row],[Store ID]],tblStores[Store ID],tblStores[Province])</f>
        <v>KZN</v>
      </c>
      <c r="F3166" t="str">
        <f>_xlfn.XLOOKUP(tblSales[[#This Row],[Store ID]],tblStores[Store ID],tblStores[Manager])</f>
        <v>David Green</v>
      </c>
      <c r="G3166" t="str">
        <f>_xlfn.XLOOKUP(tblSales[[#This Row],[Category ID]],tblCategories[Category ID],tblCategories[Category])</f>
        <v>Footwear</v>
      </c>
      <c r="H3166">
        <v>36064</v>
      </c>
      <c r="I3166">
        <v>38381</v>
      </c>
      <c r="J3166">
        <v>184</v>
      </c>
      <c r="K3166">
        <f>tblSales[[#This Row],[Sales]]-tblSales[[#This Row],[Budget]]</f>
        <v>-2317</v>
      </c>
      <c r="L3166" s="3">
        <f>(tblSales[[#This Row],[Sales]]-tblSales[[#This Row],[Budget]])/tblSales[[#This Row],[Budget]]</f>
        <v>-6.0368411453583806E-2</v>
      </c>
      <c r="M3166" s="2">
        <f>tblSales[[#This Row],[Sales]]/tblSales[[#This Row],[Transactions]]</f>
        <v>196</v>
      </c>
    </row>
    <row r="3167" spans="1:13" x14ac:dyDescent="0.25">
      <c r="A3167" s="1">
        <v>46181</v>
      </c>
      <c r="B3167" t="s">
        <v>14</v>
      </c>
      <c r="C3167" t="s">
        <v>9</v>
      </c>
      <c r="D3167" t="str">
        <f>_xlfn.XLOOKUP(tblSales[[#This Row],[Store ID]],tblStores[Store ID],tblStores[Store Name])</f>
        <v>Sandton</v>
      </c>
      <c r="E3167" t="str">
        <f>_xlfn.XLOOKUP(tblSales[[#This Row],[Store ID]],tblStores[Store ID],tblStores[Province])</f>
        <v>Gauteng</v>
      </c>
      <c r="F3167" t="str">
        <f>_xlfn.XLOOKUP(tblSales[[#This Row],[Store ID]],tblStores[Store ID],tblStores[Manager])</f>
        <v>Karen White</v>
      </c>
      <c r="G3167" t="str">
        <f>_xlfn.XLOOKUP(tblSales[[#This Row],[Category ID]],tblCategories[Category ID],tblCategories[Category])</f>
        <v>Ladieswear</v>
      </c>
      <c r="H3167">
        <v>67584</v>
      </c>
      <c r="I3167">
        <v>62151</v>
      </c>
      <c r="J3167">
        <v>132</v>
      </c>
      <c r="K3167">
        <f>tblSales[[#This Row],[Sales]]-tblSales[[#This Row],[Budget]]</f>
        <v>5433</v>
      </c>
      <c r="L3167" s="3">
        <f>(tblSales[[#This Row],[Sales]]-tblSales[[#This Row],[Budget]])/tblSales[[#This Row],[Budget]]</f>
        <v>8.7416131679297196E-2</v>
      </c>
      <c r="M3167" s="2">
        <f>tblSales[[#This Row],[Sales]]/tblSales[[#This Row],[Transactions]]</f>
        <v>512</v>
      </c>
    </row>
    <row r="3168" spans="1:13" x14ac:dyDescent="0.25">
      <c r="A3168" s="1">
        <v>46181</v>
      </c>
      <c r="B3168" t="s">
        <v>15</v>
      </c>
      <c r="C3168" t="s">
        <v>7</v>
      </c>
      <c r="D3168" t="str">
        <f>_xlfn.XLOOKUP(tblSales[[#This Row],[Store ID]],tblStores[Store ID],tblStores[Store Name])</f>
        <v>Rosebank</v>
      </c>
      <c r="E3168" t="str">
        <f>_xlfn.XLOOKUP(tblSales[[#This Row],[Store ID]],tblStores[Store ID],tblStores[Province])</f>
        <v>Gauteng</v>
      </c>
      <c r="F3168" t="str">
        <f>_xlfn.XLOOKUP(tblSales[[#This Row],[Store ID]],tblStores[Store ID],tblStores[Manager])</f>
        <v>James Taylor</v>
      </c>
      <c r="G3168" t="str">
        <f>_xlfn.XLOOKUP(tblSales[[#This Row],[Category ID]],tblCategories[Category ID],tblCategories[Category])</f>
        <v>Menswear</v>
      </c>
      <c r="H3168">
        <v>43148</v>
      </c>
      <c r="I3168">
        <v>44264</v>
      </c>
      <c r="J3168">
        <v>92</v>
      </c>
      <c r="K3168">
        <f>tblSales[[#This Row],[Sales]]-tblSales[[#This Row],[Budget]]</f>
        <v>-1116</v>
      </c>
      <c r="L3168" s="3">
        <f>(tblSales[[#This Row],[Sales]]-tblSales[[#This Row],[Budget]])/tblSales[[#This Row],[Budget]]</f>
        <v>-2.5212362190493404E-2</v>
      </c>
      <c r="M3168" s="2">
        <f>tblSales[[#This Row],[Sales]]/tblSales[[#This Row],[Transactions]]</f>
        <v>469</v>
      </c>
    </row>
    <row r="3169" spans="1:13" x14ac:dyDescent="0.25">
      <c r="A3169" s="1">
        <v>46181</v>
      </c>
      <c r="B3169" t="s">
        <v>16</v>
      </c>
      <c r="C3169" t="s">
        <v>19</v>
      </c>
      <c r="D3169" t="str">
        <f>_xlfn.XLOOKUP(tblSales[[#This Row],[Store ID]],tblStores[Store ID],tblStores[Store Name])</f>
        <v>Pretoria</v>
      </c>
      <c r="E3169" t="str">
        <f>_xlfn.XLOOKUP(tblSales[[#This Row],[Store ID]],tblStores[Store ID],tblStores[Province])</f>
        <v>Gauteng</v>
      </c>
      <c r="F3169" t="str">
        <f>_xlfn.XLOOKUP(tblSales[[#This Row],[Store ID]],tblStores[Store ID],tblStores[Manager])</f>
        <v>Susan Clark</v>
      </c>
      <c r="G3169" t="str">
        <f>_xlfn.XLOOKUP(tblSales[[#This Row],[Category ID]],tblCategories[Category ID],tblCategories[Category])</f>
        <v>Accessories</v>
      </c>
      <c r="H3169">
        <v>90160</v>
      </c>
      <c r="I3169">
        <v>97687</v>
      </c>
      <c r="J3169">
        <v>196</v>
      </c>
      <c r="K3169">
        <f>tblSales[[#This Row],[Sales]]-tblSales[[#This Row],[Budget]]</f>
        <v>-7527</v>
      </c>
      <c r="L3169" s="3">
        <f>(tblSales[[#This Row],[Sales]]-tblSales[[#This Row],[Budget]])/tblSales[[#This Row],[Budget]]</f>
        <v>-7.7052217797659875E-2</v>
      </c>
      <c r="M3169" s="2">
        <f>tblSales[[#This Row],[Sales]]/tblSales[[#This Row],[Transactions]]</f>
        <v>460</v>
      </c>
    </row>
    <row r="3170" spans="1:13" x14ac:dyDescent="0.25">
      <c r="A3170" s="1">
        <v>46181</v>
      </c>
      <c r="B3170" t="s">
        <v>17</v>
      </c>
      <c r="C3170" t="s">
        <v>19</v>
      </c>
      <c r="D3170" t="str">
        <f>_xlfn.XLOOKUP(tblSales[[#This Row],[Store ID]],tblStores[Store ID],tblStores[Store Name])</f>
        <v>Centurion</v>
      </c>
      <c r="E3170" t="str">
        <f>_xlfn.XLOOKUP(tblSales[[#This Row],[Store ID]],tblStores[Store ID],tblStores[Province])</f>
        <v>Gauteng</v>
      </c>
      <c r="F3170" t="str">
        <f>_xlfn.XLOOKUP(tblSales[[#This Row],[Store ID]],tblStores[Store ID],tblStores[Manager])</f>
        <v>Mark Wilson</v>
      </c>
      <c r="G3170" t="str">
        <f>_xlfn.XLOOKUP(tblSales[[#This Row],[Category ID]],tblCategories[Category ID],tblCategories[Category])</f>
        <v>Accessories</v>
      </c>
      <c r="H3170">
        <v>29700</v>
      </c>
      <c r="I3170">
        <v>32656</v>
      </c>
      <c r="J3170">
        <v>66</v>
      </c>
      <c r="K3170">
        <f>tblSales[[#This Row],[Sales]]-tblSales[[#This Row],[Budget]]</f>
        <v>-2956</v>
      </c>
      <c r="L3170" s="3">
        <f>(tblSales[[#This Row],[Sales]]-tblSales[[#This Row],[Budget]])/tblSales[[#This Row],[Budget]]</f>
        <v>-9.0519353258206758E-2</v>
      </c>
      <c r="M3170" s="2">
        <f>tblSales[[#This Row],[Sales]]/tblSales[[#This Row],[Transactions]]</f>
        <v>450</v>
      </c>
    </row>
    <row r="3171" spans="1:13" x14ac:dyDescent="0.25">
      <c r="A3171" s="1">
        <v>46181</v>
      </c>
      <c r="B3171" t="s">
        <v>18</v>
      </c>
      <c r="C3171" t="s">
        <v>19</v>
      </c>
      <c r="D3171" t="str">
        <f>_xlfn.XLOOKUP(tblSales[[#This Row],[Store ID]],tblStores[Store ID],tblStores[Store Name])</f>
        <v>East Rand</v>
      </c>
      <c r="E3171" t="str">
        <f>_xlfn.XLOOKUP(tblSales[[#This Row],[Store ID]],tblStores[Store ID],tblStores[Province])</f>
        <v>Gauteng</v>
      </c>
      <c r="F3171" t="str">
        <f>_xlfn.XLOOKUP(tblSales[[#This Row],[Store ID]],tblStores[Store ID],tblStores[Manager])</f>
        <v>Lisa Young</v>
      </c>
      <c r="G3171" t="str">
        <f>_xlfn.XLOOKUP(tblSales[[#This Row],[Category ID]],tblCategories[Category ID],tblCategories[Category])</f>
        <v>Accessories</v>
      </c>
      <c r="H3171">
        <v>80135</v>
      </c>
      <c r="I3171">
        <v>82628</v>
      </c>
      <c r="J3171">
        <v>155</v>
      </c>
      <c r="K3171">
        <f>tblSales[[#This Row],[Sales]]-tblSales[[#This Row],[Budget]]</f>
        <v>-2493</v>
      </c>
      <c r="L3171" s="3">
        <f>(tblSales[[#This Row],[Sales]]-tblSales[[#This Row],[Budget]])/tblSales[[#This Row],[Budget]]</f>
        <v>-3.0171370479740525E-2</v>
      </c>
      <c r="M3171" s="2">
        <f>tblSales[[#This Row],[Sales]]/tblSales[[#This Row],[Transactions]]</f>
        <v>517</v>
      </c>
    </row>
    <row r="3172" spans="1:13" x14ac:dyDescent="0.25">
      <c r="A3172" s="1">
        <v>46181</v>
      </c>
      <c r="B3172" t="s">
        <v>20</v>
      </c>
      <c r="C3172" t="s">
        <v>11</v>
      </c>
      <c r="D3172" t="str">
        <f>_xlfn.XLOOKUP(tblSales[[#This Row],[Store ID]],tblStores[Store ID],tblStores[Store Name])</f>
        <v>Cape Town CBD</v>
      </c>
      <c r="E3172" t="str">
        <f>_xlfn.XLOOKUP(tblSales[[#This Row],[Store ID]],tblStores[Store ID],tblStores[Province])</f>
        <v>Western Cape</v>
      </c>
      <c r="F3172" t="str">
        <f>_xlfn.XLOOKUP(tblSales[[#This Row],[Store ID]],tblStores[Store ID],tblStores[Manager])</f>
        <v>Brian Hall</v>
      </c>
      <c r="G3172" t="str">
        <f>_xlfn.XLOOKUP(tblSales[[#This Row],[Category ID]],tblCategories[Category ID],tblCategories[Category])</f>
        <v>Footwear</v>
      </c>
      <c r="H3172">
        <v>36772</v>
      </c>
      <c r="I3172">
        <v>34887</v>
      </c>
      <c r="J3172">
        <v>116</v>
      </c>
      <c r="K3172">
        <f>tblSales[[#This Row],[Sales]]-tblSales[[#This Row],[Budget]]</f>
        <v>1885</v>
      </c>
      <c r="L3172" s="3">
        <f>(tblSales[[#This Row],[Sales]]-tblSales[[#This Row],[Budget]])/tblSales[[#This Row],[Budget]]</f>
        <v>5.4031587697423111E-2</v>
      </c>
      <c r="M3172" s="2">
        <f>tblSales[[#This Row],[Sales]]/tblSales[[#This Row],[Transactions]]</f>
        <v>317</v>
      </c>
    </row>
    <row r="3173" spans="1:13" x14ac:dyDescent="0.25">
      <c r="A3173" s="1">
        <v>46181</v>
      </c>
      <c r="B3173" t="s">
        <v>21</v>
      </c>
      <c r="C3173" t="s">
        <v>19</v>
      </c>
      <c r="D3173" t="str">
        <f>_xlfn.XLOOKUP(tblSales[[#This Row],[Store ID]],tblStores[Store ID],tblStores[Store Name])</f>
        <v>Canal Walk</v>
      </c>
      <c r="E3173" t="str">
        <f>_xlfn.XLOOKUP(tblSales[[#This Row],[Store ID]],tblStores[Store ID],tblStores[Province])</f>
        <v>Western Cape</v>
      </c>
      <c r="F3173" t="str">
        <f>_xlfn.XLOOKUP(tblSales[[#This Row],[Store ID]],tblStores[Store ID],tblStores[Manager])</f>
        <v>Megan Scott</v>
      </c>
      <c r="G3173" t="str">
        <f>_xlfn.XLOOKUP(tblSales[[#This Row],[Category ID]],tblCategories[Category ID],tblCategories[Category])</f>
        <v>Accessories</v>
      </c>
      <c r="H3173">
        <v>33440</v>
      </c>
      <c r="I3173">
        <v>32843</v>
      </c>
      <c r="J3173">
        <v>110</v>
      </c>
      <c r="K3173">
        <f>tblSales[[#This Row],[Sales]]-tblSales[[#This Row],[Budget]]</f>
        <v>597</v>
      </c>
      <c r="L3173" s="3">
        <f>(tblSales[[#This Row],[Sales]]-tblSales[[#This Row],[Budget]])/tblSales[[#This Row],[Budget]]</f>
        <v>1.8177389398045245E-2</v>
      </c>
      <c r="M3173" s="2">
        <f>tblSales[[#This Row],[Sales]]/tblSales[[#This Row],[Transactions]]</f>
        <v>304</v>
      </c>
    </row>
    <row r="3174" spans="1:13" x14ac:dyDescent="0.25">
      <c r="A3174" s="1">
        <v>46181</v>
      </c>
      <c r="B3174" t="s">
        <v>23</v>
      </c>
      <c r="C3174" t="s">
        <v>22</v>
      </c>
      <c r="D3174" t="str">
        <f>_xlfn.XLOOKUP(tblSales[[#This Row],[Store ID]],tblStores[Store ID],tblStores[Store Name])</f>
        <v>Stellenbosch</v>
      </c>
      <c r="E3174" t="str">
        <f>_xlfn.XLOOKUP(tblSales[[#This Row],[Store ID]],tblStores[Store ID],tblStores[Province])</f>
        <v>Western Cape</v>
      </c>
      <c r="F3174" t="str">
        <f>_xlfn.XLOOKUP(tblSales[[#This Row],[Store ID]],tblStores[Store ID],tblStores[Manager])</f>
        <v>Jason King</v>
      </c>
      <c r="G3174" t="str">
        <f>_xlfn.XLOOKUP(tblSales[[#This Row],[Category ID]],tblCategories[Category ID],tblCategories[Category])</f>
        <v>Kids</v>
      </c>
      <c r="H3174">
        <v>38822</v>
      </c>
      <c r="I3174">
        <v>37995</v>
      </c>
      <c r="J3174">
        <v>94</v>
      </c>
      <c r="K3174">
        <f>tblSales[[#This Row],[Sales]]-tblSales[[#This Row],[Budget]]</f>
        <v>827</v>
      </c>
      <c r="L3174" s="3">
        <f>(tblSales[[#This Row],[Sales]]-tblSales[[#This Row],[Budget]])/tblSales[[#This Row],[Budget]]</f>
        <v>2.1766021844979604E-2</v>
      </c>
      <c r="M3174" s="2">
        <f>tblSales[[#This Row],[Sales]]/tblSales[[#This Row],[Transactions]]</f>
        <v>413</v>
      </c>
    </row>
    <row r="3175" spans="1:13" x14ac:dyDescent="0.25">
      <c r="A3175" s="1">
        <v>46181</v>
      </c>
      <c r="B3175" t="s">
        <v>24</v>
      </c>
      <c r="C3175" t="s">
        <v>7</v>
      </c>
      <c r="D3175" t="str">
        <f>_xlfn.XLOOKUP(tblSales[[#This Row],[Store ID]],tblStores[Store ID],tblStores[Store Name])</f>
        <v>George</v>
      </c>
      <c r="E3175" t="str">
        <f>_xlfn.XLOOKUP(tblSales[[#This Row],[Store ID]],tblStores[Store ID],tblStores[Province])</f>
        <v>Western Cape</v>
      </c>
      <c r="F3175" t="str">
        <f>_xlfn.XLOOKUP(tblSales[[#This Row],[Store ID]],tblStores[Store ID],tblStores[Manager])</f>
        <v>Chloe Hill</v>
      </c>
      <c r="G3175" t="str">
        <f>_xlfn.XLOOKUP(tblSales[[#This Row],[Category ID]],tblCategories[Category ID],tblCategories[Category])</f>
        <v>Menswear</v>
      </c>
      <c r="H3175">
        <v>64236</v>
      </c>
      <c r="I3175">
        <v>64958</v>
      </c>
      <c r="J3175">
        <v>212</v>
      </c>
      <c r="K3175">
        <f>tblSales[[#This Row],[Sales]]-tblSales[[#This Row],[Budget]]</f>
        <v>-722</v>
      </c>
      <c r="L3175" s="3">
        <f>(tblSales[[#This Row],[Sales]]-tblSales[[#This Row],[Budget]])/tblSales[[#This Row],[Budget]]</f>
        <v>-1.1114874226423228E-2</v>
      </c>
      <c r="M3175" s="2">
        <f>tblSales[[#This Row],[Sales]]/tblSales[[#This Row],[Transactions]]</f>
        <v>303</v>
      </c>
    </row>
    <row r="3176" spans="1:13" x14ac:dyDescent="0.25">
      <c r="A3176" s="1">
        <v>46181</v>
      </c>
      <c r="B3176" t="s">
        <v>25</v>
      </c>
      <c r="C3176" t="s">
        <v>11</v>
      </c>
      <c r="D3176" t="str">
        <f>_xlfn.XLOOKUP(tblSales[[#This Row],[Store ID]],tblStores[Store ID],tblStores[Store Name])</f>
        <v>Paarl</v>
      </c>
      <c r="E3176" t="str">
        <f>_xlfn.XLOOKUP(tblSales[[#This Row],[Store ID]],tblStores[Store ID],tblStores[Province])</f>
        <v>Western Cape</v>
      </c>
      <c r="F3176" t="str">
        <f>_xlfn.XLOOKUP(tblSales[[#This Row],[Store ID]],tblStores[Store ID],tblStores[Manager])</f>
        <v>Andrew Lee</v>
      </c>
      <c r="G3176" t="str">
        <f>_xlfn.XLOOKUP(tblSales[[#This Row],[Category ID]],tblCategories[Category ID],tblCategories[Category])</f>
        <v>Footwear</v>
      </c>
      <c r="H3176">
        <v>27940</v>
      </c>
      <c r="I3176">
        <v>27604</v>
      </c>
      <c r="J3176">
        <v>127</v>
      </c>
      <c r="K3176">
        <f>tblSales[[#This Row],[Sales]]-tblSales[[#This Row],[Budget]]</f>
        <v>336</v>
      </c>
      <c r="L3176" s="3">
        <f>(tblSales[[#This Row],[Sales]]-tblSales[[#This Row],[Budget]])/tblSales[[#This Row],[Budget]]</f>
        <v>1.2172148963918272E-2</v>
      </c>
      <c r="M3176" s="2">
        <f>tblSales[[#This Row],[Sales]]/tblSales[[#This Row],[Transactions]]</f>
        <v>220</v>
      </c>
    </row>
    <row r="3177" spans="1:13" x14ac:dyDescent="0.25">
      <c r="A3177" s="1">
        <v>46181</v>
      </c>
      <c r="B3177" t="s">
        <v>26</v>
      </c>
      <c r="C3177" t="s">
        <v>19</v>
      </c>
      <c r="D3177" t="str">
        <f>_xlfn.XLOOKUP(tblSales[[#This Row],[Store ID]],tblStores[Store ID],tblStores[Store Name])</f>
        <v>Gqeberha</v>
      </c>
      <c r="E3177" t="str">
        <f>_xlfn.XLOOKUP(tblSales[[#This Row],[Store ID]],tblStores[Store ID],tblStores[Province])</f>
        <v>Eastern Cape</v>
      </c>
      <c r="F3177" t="str">
        <f>_xlfn.XLOOKUP(tblSales[[#This Row],[Store ID]],tblStores[Store ID],tblStores[Manager])</f>
        <v>Emma Baker</v>
      </c>
      <c r="G3177" t="str">
        <f>_xlfn.XLOOKUP(tblSales[[#This Row],[Category ID]],tblCategories[Category ID],tblCategories[Category])</f>
        <v>Accessories</v>
      </c>
      <c r="H3177">
        <v>19710</v>
      </c>
      <c r="I3177">
        <v>20958</v>
      </c>
      <c r="J3177">
        <v>54</v>
      </c>
      <c r="K3177">
        <f>tblSales[[#This Row],[Sales]]-tblSales[[#This Row],[Budget]]</f>
        <v>-1248</v>
      </c>
      <c r="L3177" s="3">
        <f>(tblSales[[#This Row],[Sales]]-tblSales[[#This Row],[Budget]])/tblSales[[#This Row],[Budget]]</f>
        <v>-5.9547666762095622E-2</v>
      </c>
      <c r="M3177" s="2">
        <f>tblSales[[#This Row],[Sales]]/tblSales[[#This Row],[Transactions]]</f>
        <v>365</v>
      </c>
    </row>
    <row r="3178" spans="1:13" x14ac:dyDescent="0.25">
      <c r="A3178" s="1">
        <v>46181</v>
      </c>
      <c r="B3178" t="s">
        <v>27</v>
      </c>
      <c r="C3178" t="s">
        <v>19</v>
      </c>
      <c r="D3178" t="str">
        <f>_xlfn.XLOOKUP(tblSales[[#This Row],[Store ID]],tblStores[Store ID],tblStores[Store Name])</f>
        <v>East London</v>
      </c>
      <c r="E3178" t="str">
        <f>_xlfn.XLOOKUP(tblSales[[#This Row],[Store ID]],tblStores[Store ID],tblStores[Province])</f>
        <v>Eastern Cape</v>
      </c>
      <c r="F3178" t="str">
        <f>_xlfn.XLOOKUP(tblSales[[#This Row],[Store ID]],tblStores[Store ID],tblStores[Manager])</f>
        <v>Daniel Evans</v>
      </c>
      <c r="G3178" t="str">
        <f>_xlfn.XLOOKUP(tblSales[[#This Row],[Category ID]],tblCategories[Category ID],tblCategories[Category])</f>
        <v>Accessories</v>
      </c>
      <c r="H3178">
        <v>38037</v>
      </c>
      <c r="I3178">
        <v>41710</v>
      </c>
      <c r="J3178">
        <v>93</v>
      </c>
      <c r="K3178">
        <f>tblSales[[#This Row],[Sales]]-tblSales[[#This Row],[Budget]]</f>
        <v>-3673</v>
      </c>
      <c r="L3178" s="3">
        <f>(tblSales[[#This Row],[Sales]]-tblSales[[#This Row],[Budget]])/tblSales[[#This Row],[Budget]]</f>
        <v>-8.8060417166147209E-2</v>
      </c>
      <c r="M3178" s="2">
        <f>tblSales[[#This Row],[Sales]]/tblSales[[#This Row],[Transactions]]</f>
        <v>409</v>
      </c>
    </row>
    <row r="3179" spans="1:13" x14ac:dyDescent="0.25">
      <c r="A3179" s="1">
        <v>46181</v>
      </c>
      <c r="B3179" t="s">
        <v>28</v>
      </c>
      <c r="C3179" t="s">
        <v>9</v>
      </c>
      <c r="D3179" t="str">
        <f>_xlfn.XLOOKUP(tblSales[[#This Row],[Store ID]],tblStores[Store ID],tblStores[Store Name])</f>
        <v>Bloemfontein</v>
      </c>
      <c r="E3179" t="str">
        <f>_xlfn.XLOOKUP(tblSales[[#This Row],[Store ID]],tblStores[Store ID],tblStores[Province])</f>
        <v>Free State</v>
      </c>
      <c r="F3179" t="str">
        <f>_xlfn.XLOOKUP(tblSales[[#This Row],[Store ID]],tblStores[Store ID],tblStores[Manager])</f>
        <v>Rachel Moore</v>
      </c>
      <c r="G3179" t="str">
        <f>_xlfn.XLOOKUP(tblSales[[#This Row],[Category ID]],tblCategories[Category ID],tblCategories[Category])</f>
        <v>Ladieswear</v>
      </c>
      <c r="H3179">
        <v>43920</v>
      </c>
      <c r="I3179">
        <v>49692</v>
      </c>
      <c r="J3179">
        <v>180</v>
      </c>
      <c r="K3179">
        <f>tblSales[[#This Row],[Sales]]-tblSales[[#This Row],[Budget]]</f>
        <v>-5772</v>
      </c>
      <c r="L3179" s="3">
        <f>(tblSales[[#This Row],[Sales]]-tblSales[[#This Row],[Budget]])/tblSales[[#This Row],[Budget]]</f>
        <v>-0.11615551799082348</v>
      </c>
      <c r="M3179" s="2">
        <f>tblSales[[#This Row],[Sales]]/tblSales[[#This Row],[Transactions]]</f>
        <v>244</v>
      </c>
    </row>
    <row r="3180" spans="1:13" x14ac:dyDescent="0.25">
      <c r="A3180" s="1">
        <v>46181</v>
      </c>
      <c r="B3180" t="s">
        <v>29</v>
      </c>
      <c r="C3180" t="s">
        <v>9</v>
      </c>
      <c r="D3180" t="str">
        <f>_xlfn.XLOOKUP(tblSales[[#This Row],[Store ID]],tblStores[Store ID],tblStores[Store Name])</f>
        <v>Polokwane</v>
      </c>
      <c r="E3180" t="str">
        <f>_xlfn.XLOOKUP(tblSales[[#This Row],[Store ID]],tblStores[Store ID],tblStores[Province])</f>
        <v>Limpopo</v>
      </c>
      <c r="F3180" t="str">
        <f>_xlfn.XLOOKUP(tblSales[[#This Row],[Store ID]],tblStores[Store ID],tblStores[Manager])</f>
        <v>Kevin Harris</v>
      </c>
      <c r="G3180" t="str">
        <f>_xlfn.XLOOKUP(tblSales[[#This Row],[Category ID]],tblCategories[Category ID],tblCategories[Category])</f>
        <v>Ladieswear</v>
      </c>
      <c r="H3180">
        <v>66581</v>
      </c>
      <c r="I3180">
        <v>71007</v>
      </c>
      <c r="J3180">
        <v>139</v>
      </c>
      <c r="K3180">
        <f>tblSales[[#This Row],[Sales]]-tblSales[[#This Row],[Budget]]</f>
        <v>-4426</v>
      </c>
      <c r="L3180" s="3">
        <f>(tblSales[[#This Row],[Sales]]-tblSales[[#This Row],[Budget]])/tblSales[[#This Row],[Budget]]</f>
        <v>-6.233188277212106E-2</v>
      </c>
      <c r="M3180" s="2">
        <f>tblSales[[#This Row],[Sales]]/tblSales[[#This Row],[Transactions]]</f>
        <v>479</v>
      </c>
    </row>
    <row r="3181" spans="1:13" x14ac:dyDescent="0.25">
      <c r="A3181" s="1">
        <v>46181</v>
      </c>
      <c r="B3181" t="s">
        <v>30</v>
      </c>
      <c r="C3181" t="s">
        <v>19</v>
      </c>
      <c r="D3181" t="str">
        <f>_xlfn.XLOOKUP(tblSales[[#This Row],[Store ID]],tblStores[Store ID],tblStores[Store Name])</f>
        <v>Nelspruit</v>
      </c>
      <c r="E3181" t="str">
        <f>_xlfn.XLOOKUP(tblSales[[#This Row],[Store ID]],tblStores[Store ID],tblStores[Province])</f>
        <v>Mpumalanga</v>
      </c>
      <c r="F3181" t="str">
        <f>_xlfn.XLOOKUP(tblSales[[#This Row],[Store ID]],tblStores[Store ID],tblStores[Manager])</f>
        <v>Olivia Turner</v>
      </c>
      <c r="G3181" t="str">
        <f>_xlfn.XLOOKUP(tblSales[[#This Row],[Category ID]],tblCategories[Category ID],tblCategories[Category])</f>
        <v>Accessories</v>
      </c>
      <c r="H3181">
        <v>32926</v>
      </c>
      <c r="I3181">
        <v>32445</v>
      </c>
      <c r="J3181">
        <v>101</v>
      </c>
      <c r="K3181">
        <f>tblSales[[#This Row],[Sales]]-tblSales[[#This Row],[Budget]]</f>
        <v>481</v>
      </c>
      <c r="L3181" s="3">
        <f>(tblSales[[#This Row],[Sales]]-tblSales[[#This Row],[Budget]])/tblSales[[#This Row],[Budget]]</f>
        <v>1.4825088611496378E-2</v>
      </c>
      <c r="M3181" s="2">
        <f>tblSales[[#This Row],[Sales]]/tblSales[[#This Row],[Transactions]]</f>
        <v>326</v>
      </c>
    </row>
    <row r="3182" spans="1:13" x14ac:dyDescent="0.25">
      <c r="A3182" s="1">
        <v>46182</v>
      </c>
      <c r="B3182" t="s">
        <v>6</v>
      </c>
      <c r="C3182" t="s">
        <v>7</v>
      </c>
      <c r="D3182" t="str">
        <f>_xlfn.XLOOKUP(tblSales[[#This Row],[Store ID]],tblStores[Store ID],tblStores[Store Name])</f>
        <v>Durban CBD</v>
      </c>
      <c r="E3182" t="str">
        <f>_xlfn.XLOOKUP(tblSales[[#This Row],[Store ID]],tblStores[Store ID],tblStores[Province])</f>
        <v>KZN</v>
      </c>
      <c r="F3182" t="str">
        <f>_xlfn.XLOOKUP(tblSales[[#This Row],[Store ID]],tblStores[Store ID],tblStores[Manager])</f>
        <v>Sarah Adams</v>
      </c>
      <c r="G3182" t="str">
        <f>_xlfn.XLOOKUP(tblSales[[#This Row],[Category ID]],tblCategories[Category ID],tblCategories[Category])</f>
        <v>Menswear</v>
      </c>
      <c r="H3182">
        <v>21395</v>
      </c>
      <c r="I3182">
        <v>21507</v>
      </c>
      <c r="J3182">
        <v>55</v>
      </c>
      <c r="K3182">
        <f>tblSales[[#This Row],[Sales]]-tblSales[[#This Row],[Budget]]</f>
        <v>-112</v>
      </c>
      <c r="L3182" s="3">
        <f>(tblSales[[#This Row],[Sales]]-tblSales[[#This Row],[Budget]])/tblSales[[#This Row],[Budget]]</f>
        <v>-5.2076068256846604E-3</v>
      </c>
      <c r="M3182" s="2">
        <f>tblSales[[#This Row],[Sales]]/tblSales[[#This Row],[Transactions]]</f>
        <v>389</v>
      </c>
    </row>
    <row r="3183" spans="1:13" x14ac:dyDescent="0.25">
      <c r="A3183" s="1">
        <v>46182</v>
      </c>
      <c r="B3183" t="s">
        <v>8</v>
      </c>
      <c r="C3183" t="s">
        <v>9</v>
      </c>
      <c r="D3183" t="str">
        <f>_xlfn.XLOOKUP(tblSales[[#This Row],[Store ID]],tblStores[Store ID],tblStores[Store Name])</f>
        <v>Gateway</v>
      </c>
      <c r="E3183" t="str">
        <f>_xlfn.XLOOKUP(tblSales[[#This Row],[Store ID]],tblStores[Store ID],tblStores[Province])</f>
        <v>KZN</v>
      </c>
      <c r="F3183" t="str">
        <f>_xlfn.XLOOKUP(tblSales[[#This Row],[Store ID]],tblStores[Store ID],tblStores[Manager])</f>
        <v>Michael Jones</v>
      </c>
      <c r="G3183" t="str">
        <f>_xlfn.XLOOKUP(tblSales[[#This Row],[Category ID]],tblCategories[Category ID],tblCategories[Category])</f>
        <v>Ladieswear</v>
      </c>
      <c r="H3183">
        <v>78806</v>
      </c>
      <c r="I3183">
        <v>83389</v>
      </c>
      <c r="J3183">
        <v>182</v>
      </c>
      <c r="K3183">
        <f>tblSales[[#This Row],[Sales]]-tblSales[[#This Row],[Budget]]</f>
        <v>-4583</v>
      </c>
      <c r="L3183" s="3">
        <f>(tblSales[[#This Row],[Sales]]-tblSales[[#This Row],[Budget]])/tblSales[[#This Row],[Budget]]</f>
        <v>-5.4959287196152971E-2</v>
      </c>
      <c r="M3183" s="2">
        <f>tblSales[[#This Row],[Sales]]/tblSales[[#This Row],[Transactions]]</f>
        <v>433</v>
      </c>
    </row>
    <row r="3184" spans="1:13" x14ac:dyDescent="0.25">
      <c r="A3184" s="1">
        <v>46182</v>
      </c>
      <c r="B3184" t="s">
        <v>10</v>
      </c>
      <c r="C3184" t="s">
        <v>9</v>
      </c>
      <c r="D3184" t="str">
        <f>_xlfn.XLOOKUP(tblSales[[#This Row],[Store ID]],tblStores[Store ID],tblStores[Store Name])</f>
        <v>Ballito</v>
      </c>
      <c r="E3184" t="str">
        <f>_xlfn.XLOOKUP(tblSales[[#This Row],[Store ID]],tblStores[Store ID],tblStores[Province])</f>
        <v>KZN</v>
      </c>
      <c r="F3184" t="str">
        <f>_xlfn.XLOOKUP(tblSales[[#This Row],[Store ID]],tblStores[Store ID],tblStores[Manager])</f>
        <v>Linda Smith</v>
      </c>
      <c r="G3184" t="str">
        <f>_xlfn.XLOOKUP(tblSales[[#This Row],[Category ID]],tblCategories[Category ID],tblCategories[Category])</f>
        <v>Ladieswear</v>
      </c>
      <c r="H3184">
        <v>33372</v>
      </c>
      <c r="I3184">
        <v>30164</v>
      </c>
      <c r="J3184">
        <v>81</v>
      </c>
      <c r="K3184">
        <f>tblSales[[#This Row],[Sales]]-tblSales[[#This Row],[Budget]]</f>
        <v>3208</v>
      </c>
      <c r="L3184" s="3">
        <f>(tblSales[[#This Row],[Sales]]-tblSales[[#This Row],[Budget]])/tblSales[[#This Row],[Budget]]</f>
        <v>0.10635194271316802</v>
      </c>
      <c r="M3184" s="2">
        <f>tblSales[[#This Row],[Sales]]/tblSales[[#This Row],[Transactions]]</f>
        <v>412</v>
      </c>
    </row>
    <row r="3185" spans="1:13" x14ac:dyDescent="0.25">
      <c r="A3185" s="1">
        <v>46182</v>
      </c>
      <c r="B3185" t="s">
        <v>12</v>
      </c>
      <c r="C3185" t="s">
        <v>7</v>
      </c>
      <c r="D3185" t="str">
        <f>_xlfn.XLOOKUP(tblSales[[#This Row],[Store ID]],tblStores[Store ID],tblStores[Store Name])</f>
        <v>Pietermaritzburg</v>
      </c>
      <c r="E3185" t="str">
        <f>_xlfn.XLOOKUP(tblSales[[#This Row],[Store ID]],tblStores[Store ID],tblStores[Province])</f>
        <v>KZN</v>
      </c>
      <c r="F3185" t="str">
        <f>_xlfn.XLOOKUP(tblSales[[#This Row],[Store ID]],tblStores[Store ID],tblStores[Manager])</f>
        <v>Peter Brown</v>
      </c>
      <c r="G3185" t="str">
        <f>_xlfn.XLOOKUP(tblSales[[#This Row],[Category ID]],tblCategories[Category ID],tblCategories[Category])</f>
        <v>Menswear</v>
      </c>
      <c r="H3185">
        <v>44588</v>
      </c>
      <c r="I3185">
        <v>48662</v>
      </c>
      <c r="J3185">
        <v>142</v>
      </c>
      <c r="K3185">
        <f>tblSales[[#This Row],[Sales]]-tblSales[[#This Row],[Budget]]</f>
        <v>-4074</v>
      </c>
      <c r="L3185" s="3">
        <f>(tblSales[[#This Row],[Sales]]-tblSales[[#This Row],[Budget]])/tblSales[[#This Row],[Budget]]</f>
        <v>-8.3720356746537342E-2</v>
      </c>
      <c r="M3185" s="2">
        <f>tblSales[[#This Row],[Sales]]/tblSales[[#This Row],[Transactions]]</f>
        <v>314</v>
      </c>
    </row>
    <row r="3186" spans="1:13" x14ac:dyDescent="0.25">
      <c r="A3186" s="1">
        <v>46182</v>
      </c>
      <c r="B3186" t="s">
        <v>13</v>
      </c>
      <c r="C3186" t="s">
        <v>11</v>
      </c>
      <c r="D3186" t="str">
        <f>_xlfn.XLOOKUP(tblSales[[#This Row],[Store ID]],tblStores[Store ID],tblStores[Store Name])</f>
        <v>Richards Bay</v>
      </c>
      <c r="E3186" t="str">
        <f>_xlfn.XLOOKUP(tblSales[[#This Row],[Store ID]],tblStores[Store ID],tblStores[Province])</f>
        <v>KZN</v>
      </c>
      <c r="F3186" t="str">
        <f>_xlfn.XLOOKUP(tblSales[[#This Row],[Store ID]],tblStores[Store ID],tblStores[Manager])</f>
        <v>David Green</v>
      </c>
      <c r="G3186" t="str">
        <f>_xlfn.XLOOKUP(tblSales[[#This Row],[Category ID]],tblCategories[Category ID],tblCategories[Category])</f>
        <v>Footwear</v>
      </c>
      <c r="H3186">
        <v>14640</v>
      </c>
      <c r="I3186">
        <v>16358</v>
      </c>
      <c r="J3186">
        <v>60</v>
      </c>
      <c r="K3186">
        <f>tblSales[[#This Row],[Sales]]-tblSales[[#This Row],[Budget]]</f>
        <v>-1718</v>
      </c>
      <c r="L3186" s="3">
        <f>(tblSales[[#This Row],[Sales]]-tblSales[[#This Row],[Budget]])/tblSales[[#This Row],[Budget]]</f>
        <v>-0.10502506418877613</v>
      </c>
      <c r="M3186" s="2">
        <f>tblSales[[#This Row],[Sales]]/tblSales[[#This Row],[Transactions]]</f>
        <v>244</v>
      </c>
    </row>
    <row r="3187" spans="1:13" x14ac:dyDescent="0.25">
      <c r="A3187" s="1">
        <v>46182</v>
      </c>
      <c r="B3187" t="s">
        <v>14</v>
      </c>
      <c r="C3187" t="s">
        <v>11</v>
      </c>
      <c r="D3187" t="str">
        <f>_xlfn.XLOOKUP(tblSales[[#This Row],[Store ID]],tblStores[Store ID],tblStores[Store Name])</f>
        <v>Sandton</v>
      </c>
      <c r="E3187" t="str">
        <f>_xlfn.XLOOKUP(tblSales[[#This Row],[Store ID]],tblStores[Store ID],tblStores[Province])</f>
        <v>Gauteng</v>
      </c>
      <c r="F3187" t="str">
        <f>_xlfn.XLOOKUP(tblSales[[#This Row],[Store ID]],tblStores[Store ID],tblStores[Manager])</f>
        <v>Karen White</v>
      </c>
      <c r="G3187" t="str">
        <f>_xlfn.XLOOKUP(tblSales[[#This Row],[Category ID]],tblCategories[Category ID],tblCategories[Category])</f>
        <v>Footwear</v>
      </c>
      <c r="H3187">
        <v>10865</v>
      </c>
      <c r="I3187">
        <v>12467</v>
      </c>
      <c r="J3187">
        <v>41</v>
      </c>
      <c r="K3187">
        <f>tblSales[[#This Row],[Sales]]-tblSales[[#This Row],[Budget]]</f>
        <v>-1602</v>
      </c>
      <c r="L3187" s="3">
        <f>(tblSales[[#This Row],[Sales]]-tblSales[[#This Row],[Budget]])/tblSales[[#This Row],[Budget]]</f>
        <v>-0.12849923798828908</v>
      </c>
      <c r="M3187" s="2">
        <f>tblSales[[#This Row],[Sales]]/tblSales[[#This Row],[Transactions]]</f>
        <v>265</v>
      </c>
    </row>
    <row r="3188" spans="1:13" x14ac:dyDescent="0.25">
      <c r="A3188" s="1">
        <v>46182</v>
      </c>
      <c r="B3188" t="s">
        <v>15</v>
      </c>
      <c r="C3188" t="s">
        <v>9</v>
      </c>
      <c r="D3188" t="str">
        <f>_xlfn.XLOOKUP(tblSales[[#This Row],[Store ID]],tblStores[Store ID],tblStores[Store Name])</f>
        <v>Rosebank</v>
      </c>
      <c r="E3188" t="str">
        <f>_xlfn.XLOOKUP(tblSales[[#This Row],[Store ID]],tblStores[Store ID],tblStores[Province])</f>
        <v>Gauteng</v>
      </c>
      <c r="F3188" t="str">
        <f>_xlfn.XLOOKUP(tblSales[[#This Row],[Store ID]],tblStores[Store ID],tblStores[Manager])</f>
        <v>James Taylor</v>
      </c>
      <c r="G3188" t="str">
        <f>_xlfn.XLOOKUP(tblSales[[#This Row],[Category ID]],tblCategories[Category ID],tblCategories[Category])</f>
        <v>Ladieswear</v>
      </c>
      <c r="H3188">
        <v>74866</v>
      </c>
      <c r="I3188">
        <v>84572</v>
      </c>
      <c r="J3188">
        <v>166</v>
      </c>
      <c r="K3188">
        <f>tblSales[[#This Row],[Sales]]-tblSales[[#This Row],[Budget]]</f>
        <v>-9706</v>
      </c>
      <c r="L3188" s="3">
        <f>(tblSales[[#This Row],[Sales]]-tblSales[[#This Row],[Budget]])/tblSales[[#This Row],[Budget]]</f>
        <v>-0.11476611644515916</v>
      </c>
      <c r="M3188" s="2">
        <f>tblSales[[#This Row],[Sales]]/tblSales[[#This Row],[Transactions]]</f>
        <v>451</v>
      </c>
    </row>
    <row r="3189" spans="1:13" x14ac:dyDescent="0.25">
      <c r="A3189" s="1">
        <v>46182</v>
      </c>
      <c r="B3189" t="s">
        <v>16</v>
      </c>
      <c r="C3189" t="s">
        <v>11</v>
      </c>
      <c r="D3189" t="str">
        <f>_xlfn.XLOOKUP(tblSales[[#This Row],[Store ID]],tblStores[Store ID],tblStores[Store Name])</f>
        <v>Pretoria</v>
      </c>
      <c r="E3189" t="str">
        <f>_xlfn.XLOOKUP(tblSales[[#This Row],[Store ID]],tblStores[Store ID],tblStores[Province])</f>
        <v>Gauteng</v>
      </c>
      <c r="F3189" t="str">
        <f>_xlfn.XLOOKUP(tblSales[[#This Row],[Store ID]],tblStores[Store ID],tblStores[Manager])</f>
        <v>Susan Clark</v>
      </c>
      <c r="G3189" t="str">
        <f>_xlfn.XLOOKUP(tblSales[[#This Row],[Category ID]],tblCategories[Category ID],tblCategories[Category])</f>
        <v>Footwear</v>
      </c>
      <c r="H3189">
        <v>30625</v>
      </c>
      <c r="I3189">
        <v>30642</v>
      </c>
      <c r="J3189">
        <v>125</v>
      </c>
      <c r="K3189">
        <f>tblSales[[#This Row],[Sales]]-tblSales[[#This Row],[Budget]]</f>
        <v>-17</v>
      </c>
      <c r="L3189" s="3">
        <f>(tblSales[[#This Row],[Sales]]-tblSales[[#This Row],[Budget]])/tblSales[[#This Row],[Budget]]</f>
        <v>-5.5479407349389722E-4</v>
      </c>
      <c r="M3189" s="2">
        <f>tblSales[[#This Row],[Sales]]/tblSales[[#This Row],[Transactions]]</f>
        <v>245</v>
      </c>
    </row>
    <row r="3190" spans="1:13" x14ac:dyDescent="0.25">
      <c r="A3190" s="1">
        <v>46182</v>
      </c>
      <c r="B3190" t="s">
        <v>17</v>
      </c>
      <c r="C3190" t="s">
        <v>19</v>
      </c>
      <c r="D3190" t="str">
        <f>_xlfn.XLOOKUP(tblSales[[#This Row],[Store ID]],tblStores[Store ID],tblStores[Store Name])</f>
        <v>Centurion</v>
      </c>
      <c r="E3190" t="str">
        <f>_xlfn.XLOOKUP(tblSales[[#This Row],[Store ID]],tblStores[Store ID],tblStores[Province])</f>
        <v>Gauteng</v>
      </c>
      <c r="F3190" t="str">
        <f>_xlfn.XLOOKUP(tblSales[[#This Row],[Store ID]],tblStores[Store ID],tblStores[Manager])</f>
        <v>Mark Wilson</v>
      </c>
      <c r="G3190" t="str">
        <f>_xlfn.XLOOKUP(tblSales[[#This Row],[Category ID]],tblCategories[Category ID],tblCategories[Category])</f>
        <v>Accessories</v>
      </c>
      <c r="H3190">
        <v>31680</v>
      </c>
      <c r="I3190">
        <v>29454</v>
      </c>
      <c r="J3190">
        <v>96</v>
      </c>
      <c r="K3190">
        <f>tblSales[[#This Row],[Sales]]-tblSales[[#This Row],[Budget]]</f>
        <v>2226</v>
      </c>
      <c r="L3190" s="3">
        <f>(tblSales[[#This Row],[Sales]]-tblSales[[#This Row],[Budget]])/tblSales[[#This Row],[Budget]]</f>
        <v>7.5575473619881844E-2</v>
      </c>
      <c r="M3190" s="2">
        <f>tblSales[[#This Row],[Sales]]/tblSales[[#This Row],[Transactions]]</f>
        <v>330</v>
      </c>
    </row>
    <row r="3191" spans="1:13" x14ac:dyDescent="0.25">
      <c r="A3191" s="1">
        <v>46182</v>
      </c>
      <c r="B3191" t="s">
        <v>18</v>
      </c>
      <c r="C3191" t="s">
        <v>22</v>
      </c>
      <c r="D3191" t="str">
        <f>_xlfn.XLOOKUP(tblSales[[#This Row],[Store ID]],tblStores[Store ID],tblStores[Store Name])</f>
        <v>East Rand</v>
      </c>
      <c r="E3191" t="str">
        <f>_xlfn.XLOOKUP(tblSales[[#This Row],[Store ID]],tblStores[Store ID],tblStores[Province])</f>
        <v>Gauteng</v>
      </c>
      <c r="F3191" t="str">
        <f>_xlfn.XLOOKUP(tblSales[[#This Row],[Store ID]],tblStores[Store ID],tblStores[Manager])</f>
        <v>Lisa Young</v>
      </c>
      <c r="G3191" t="str">
        <f>_xlfn.XLOOKUP(tblSales[[#This Row],[Category ID]],tblCategories[Category ID],tblCategories[Category])</f>
        <v>Kids</v>
      </c>
      <c r="H3191">
        <v>91326</v>
      </c>
      <c r="I3191">
        <v>96271</v>
      </c>
      <c r="J3191">
        <v>186</v>
      </c>
      <c r="K3191">
        <f>tblSales[[#This Row],[Sales]]-tblSales[[#This Row],[Budget]]</f>
        <v>-4945</v>
      </c>
      <c r="L3191" s="3">
        <f>(tblSales[[#This Row],[Sales]]-tblSales[[#This Row],[Budget]])/tblSales[[#This Row],[Budget]]</f>
        <v>-5.1365416376686644E-2</v>
      </c>
      <c r="M3191" s="2">
        <f>tblSales[[#This Row],[Sales]]/tblSales[[#This Row],[Transactions]]</f>
        <v>491</v>
      </c>
    </row>
    <row r="3192" spans="1:13" x14ac:dyDescent="0.25">
      <c r="A3192" s="1">
        <v>46182</v>
      </c>
      <c r="B3192" t="s">
        <v>20</v>
      </c>
      <c r="C3192" t="s">
        <v>7</v>
      </c>
      <c r="D3192" t="str">
        <f>_xlfn.XLOOKUP(tblSales[[#This Row],[Store ID]],tblStores[Store ID],tblStores[Store Name])</f>
        <v>Cape Town CBD</v>
      </c>
      <c r="E3192" t="str">
        <f>_xlfn.XLOOKUP(tblSales[[#This Row],[Store ID]],tblStores[Store ID],tblStores[Province])</f>
        <v>Western Cape</v>
      </c>
      <c r="F3192" t="str">
        <f>_xlfn.XLOOKUP(tblSales[[#This Row],[Store ID]],tblStores[Store ID],tblStores[Manager])</f>
        <v>Brian Hall</v>
      </c>
      <c r="G3192" t="str">
        <f>_xlfn.XLOOKUP(tblSales[[#This Row],[Category ID]],tblCategories[Category ID],tblCategories[Category])</f>
        <v>Menswear</v>
      </c>
      <c r="H3192">
        <v>19133</v>
      </c>
      <c r="I3192">
        <v>21763</v>
      </c>
      <c r="J3192">
        <v>53</v>
      </c>
      <c r="K3192">
        <f>tblSales[[#This Row],[Sales]]-tblSales[[#This Row],[Budget]]</f>
        <v>-2630</v>
      </c>
      <c r="L3192" s="3">
        <f>(tblSales[[#This Row],[Sales]]-tblSales[[#This Row],[Budget]])/tblSales[[#This Row],[Budget]]</f>
        <v>-0.12084730965399991</v>
      </c>
      <c r="M3192" s="2">
        <f>tblSales[[#This Row],[Sales]]/tblSales[[#This Row],[Transactions]]</f>
        <v>361</v>
      </c>
    </row>
    <row r="3193" spans="1:13" x14ac:dyDescent="0.25">
      <c r="A3193" s="1">
        <v>46182</v>
      </c>
      <c r="B3193" t="s">
        <v>21</v>
      </c>
      <c r="C3193" t="s">
        <v>11</v>
      </c>
      <c r="D3193" t="str">
        <f>_xlfn.XLOOKUP(tblSales[[#This Row],[Store ID]],tblStores[Store ID],tblStores[Store Name])</f>
        <v>Canal Walk</v>
      </c>
      <c r="E3193" t="str">
        <f>_xlfn.XLOOKUP(tblSales[[#This Row],[Store ID]],tblStores[Store ID],tblStores[Province])</f>
        <v>Western Cape</v>
      </c>
      <c r="F3193" t="str">
        <f>_xlfn.XLOOKUP(tblSales[[#This Row],[Store ID]],tblStores[Store ID],tblStores[Manager])</f>
        <v>Megan Scott</v>
      </c>
      <c r="G3193" t="str">
        <f>_xlfn.XLOOKUP(tblSales[[#This Row],[Category ID]],tblCategories[Category ID],tblCategories[Category])</f>
        <v>Footwear</v>
      </c>
      <c r="H3193">
        <v>80360</v>
      </c>
      <c r="I3193">
        <v>87204</v>
      </c>
      <c r="J3193">
        <v>196</v>
      </c>
      <c r="K3193">
        <f>tblSales[[#This Row],[Sales]]-tblSales[[#This Row],[Budget]]</f>
        <v>-6844</v>
      </c>
      <c r="L3193" s="3">
        <f>(tblSales[[#This Row],[Sales]]-tblSales[[#This Row],[Budget]])/tblSales[[#This Row],[Budget]]</f>
        <v>-7.8482638411082065E-2</v>
      </c>
      <c r="M3193" s="2">
        <f>tblSales[[#This Row],[Sales]]/tblSales[[#This Row],[Transactions]]</f>
        <v>410</v>
      </c>
    </row>
    <row r="3194" spans="1:13" x14ac:dyDescent="0.25">
      <c r="A3194" s="1">
        <v>46182</v>
      </c>
      <c r="B3194" t="s">
        <v>23</v>
      </c>
      <c r="C3194" t="s">
        <v>11</v>
      </c>
      <c r="D3194" t="str">
        <f>_xlfn.XLOOKUP(tblSales[[#This Row],[Store ID]],tblStores[Store ID],tblStores[Store Name])</f>
        <v>Stellenbosch</v>
      </c>
      <c r="E3194" t="str">
        <f>_xlfn.XLOOKUP(tblSales[[#This Row],[Store ID]],tblStores[Store ID],tblStores[Province])</f>
        <v>Western Cape</v>
      </c>
      <c r="F3194" t="str">
        <f>_xlfn.XLOOKUP(tblSales[[#This Row],[Store ID]],tblStores[Store ID],tblStores[Manager])</f>
        <v>Jason King</v>
      </c>
      <c r="G3194" t="str">
        <f>_xlfn.XLOOKUP(tblSales[[#This Row],[Category ID]],tblCategories[Category ID],tblCategories[Category])</f>
        <v>Footwear</v>
      </c>
      <c r="H3194">
        <v>46216</v>
      </c>
      <c r="I3194">
        <v>49683</v>
      </c>
      <c r="J3194">
        <v>109</v>
      </c>
      <c r="K3194">
        <f>tblSales[[#This Row],[Sales]]-tblSales[[#This Row],[Budget]]</f>
        <v>-3467</v>
      </c>
      <c r="L3194" s="3">
        <f>(tblSales[[#This Row],[Sales]]-tblSales[[#This Row],[Budget]])/tblSales[[#This Row],[Budget]]</f>
        <v>-6.978242054626331E-2</v>
      </c>
      <c r="M3194" s="2">
        <f>tblSales[[#This Row],[Sales]]/tblSales[[#This Row],[Transactions]]</f>
        <v>424</v>
      </c>
    </row>
    <row r="3195" spans="1:13" x14ac:dyDescent="0.25">
      <c r="A3195" s="1">
        <v>46182</v>
      </c>
      <c r="B3195" t="s">
        <v>24</v>
      </c>
      <c r="C3195" t="s">
        <v>9</v>
      </c>
      <c r="D3195" t="str">
        <f>_xlfn.XLOOKUP(tblSales[[#This Row],[Store ID]],tblStores[Store ID],tblStores[Store Name])</f>
        <v>George</v>
      </c>
      <c r="E3195" t="str">
        <f>_xlfn.XLOOKUP(tblSales[[#This Row],[Store ID]],tblStores[Store ID],tblStores[Province])</f>
        <v>Western Cape</v>
      </c>
      <c r="F3195" t="str">
        <f>_xlfn.XLOOKUP(tblSales[[#This Row],[Store ID]],tblStores[Store ID],tblStores[Manager])</f>
        <v>Chloe Hill</v>
      </c>
      <c r="G3195" t="str">
        <f>_xlfn.XLOOKUP(tblSales[[#This Row],[Category ID]],tblCategories[Category ID],tblCategories[Category])</f>
        <v>Ladieswear</v>
      </c>
      <c r="H3195">
        <v>105820</v>
      </c>
      <c r="I3195">
        <v>119479</v>
      </c>
      <c r="J3195">
        <v>220</v>
      </c>
      <c r="K3195">
        <f>tblSales[[#This Row],[Sales]]-tblSales[[#This Row],[Budget]]</f>
        <v>-13659</v>
      </c>
      <c r="L3195" s="3">
        <f>(tblSales[[#This Row],[Sales]]-tblSales[[#This Row],[Budget]])/tblSales[[#This Row],[Budget]]</f>
        <v>-0.11432134517362884</v>
      </c>
      <c r="M3195" s="2">
        <f>tblSales[[#This Row],[Sales]]/tblSales[[#This Row],[Transactions]]</f>
        <v>481</v>
      </c>
    </row>
    <row r="3196" spans="1:13" x14ac:dyDescent="0.25">
      <c r="A3196" s="1">
        <v>46182</v>
      </c>
      <c r="B3196" t="s">
        <v>25</v>
      </c>
      <c r="C3196" t="s">
        <v>19</v>
      </c>
      <c r="D3196" t="str">
        <f>_xlfn.XLOOKUP(tblSales[[#This Row],[Store ID]],tblStores[Store ID],tblStores[Store Name])</f>
        <v>Paarl</v>
      </c>
      <c r="E3196" t="str">
        <f>_xlfn.XLOOKUP(tblSales[[#This Row],[Store ID]],tblStores[Store ID],tblStores[Province])</f>
        <v>Western Cape</v>
      </c>
      <c r="F3196" t="str">
        <f>_xlfn.XLOOKUP(tblSales[[#This Row],[Store ID]],tblStores[Store ID],tblStores[Manager])</f>
        <v>Andrew Lee</v>
      </c>
      <c r="G3196" t="str">
        <f>_xlfn.XLOOKUP(tblSales[[#This Row],[Category ID]],tblCategories[Category ID],tblCategories[Category])</f>
        <v>Accessories</v>
      </c>
      <c r="H3196">
        <v>14392</v>
      </c>
      <c r="I3196">
        <v>16175</v>
      </c>
      <c r="J3196">
        <v>56</v>
      </c>
      <c r="K3196">
        <f>tblSales[[#This Row],[Sales]]-tblSales[[#This Row],[Budget]]</f>
        <v>-1783</v>
      </c>
      <c r="L3196" s="3">
        <f>(tblSales[[#This Row],[Sales]]-tblSales[[#This Row],[Budget]])/tblSales[[#This Row],[Budget]]</f>
        <v>-0.11023183925811438</v>
      </c>
      <c r="M3196" s="2">
        <f>tblSales[[#This Row],[Sales]]/tblSales[[#This Row],[Transactions]]</f>
        <v>257</v>
      </c>
    </row>
    <row r="3197" spans="1:13" x14ac:dyDescent="0.25">
      <c r="A3197" s="1">
        <v>46182</v>
      </c>
      <c r="B3197" t="s">
        <v>26</v>
      </c>
      <c r="C3197" t="s">
        <v>19</v>
      </c>
      <c r="D3197" t="str">
        <f>_xlfn.XLOOKUP(tblSales[[#This Row],[Store ID]],tblStores[Store ID],tblStores[Store Name])</f>
        <v>Gqeberha</v>
      </c>
      <c r="E3197" t="str">
        <f>_xlfn.XLOOKUP(tblSales[[#This Row],[Store ID]],tblStores[Store ID],tblStores[Province])</f>
        <v>Eastern Cape</v>
      </c>
      <c r="F3197" t="str">
        <f>_xlfn.XLOOKUP(tblSales[[#This Row],[Store ID]],tblStores[Store ID],tblStores[Manager])</f>
        <v>Emma Baker</v>
      </c>
      <c r="G3197" t="str">
        <f>_xlfn.XLOOKUP(tblSales[[#This Row],[Category ID]],tblCategories[Category ID],tblCategories[Category])</f>
        <v>Accessories</v>
      </c>
      <c r="H3197">
        <v>68634</v>
      </c>
      <c r="I3197">
        <v>73333</v>
      </c>
      <c r="J3197">
        <v>186</v>
      </c>
      <c r="K3197">
        <f>tblSales[[#This Row],[Sales]]-tblSales[[#This Row],[Budget]]</f>
        <v>-4699</v>
      </c>
      <c r="L3197" s="3">
        <f>(tblSales[[#This Row],[Sales]]-tblSales[[#This Row],[Budget]])/tblSales[[#This Row],[Budget]]</f>
        <v>-6.4077563988927222E-2</v>
      </c>
      <c r="M3197" s="2">
        <f>tblSales[[#This Row],[Sales]]/tblSales[[#This Row],[Transactions]]</f>
        <v>369</v>
      </c>
    </row>
    <row r="3198" spans="1:13" x14ac:dyDescent="0.25">
      <c r="A3198" s="1">
        <v>46182</v>
      </c>
      <c r="B3198" t="s">
        <v>27</v>
      </c>
      <c r="C3198" t="s">
        <v>11</v>
      </c>
      <c r="D3198" t="str">
        <f>_xlfn.XLOOKUP(tblSales[[#This Row],[Store ID]],tblStores[Store ID],tblStores[Store Name])</f>
        <v>East London</v>
      </c>
      <c r="E3198" t="str">
        <f>_xlfn.XLOOKUP(tblSales[[#This Row],[Store ID]],tblStores[Store ID],tblStores[Province])</f>
        <v>Eastern Cape</v>
      </c>
      <c r="F3198" t="str">
        <f>_xlfn.XLOOKUP(tblSales[[#This Row],[Store ID]],tblStores[Store ID],tblStores[Manager])</f>
        <v>Daniel Evans</v>
      </c>
      <c r="G3198" t="str">
        <f>_xlfn.XLOOKUP(tblSales[[#This Row],[Category ID]],tblCategories[Category ID],tblCategories[Category])</f>
        <v>Footwear</v>
      </c>
      <c r="H3198">
        <v>45408</v>
      </c>
      <c r="I3198">
        <v>45846</v>
      </c>
      <c r="J3198">
        <v>132</v>
      </c>
      <c r="K3198">
        <f>tblSales[[#This Row],[Sales]]-tblSales[[#This Row],[Budget]]</f>
        <v>-438</v>
      </c>
      <c r="L3198" s="3">
        <f>(tblSales[[#This Row],[Sales]]-tblSales[[#This Row],[Budget]])/tblSales[[#This Row],[Budget]]</f>
        <v>-9.5537233346420624E-3</v>
      </c>
      <c r="M3198" s="2">
        <f>tblSales[[#This Row],[Sales]]/tblSales[[#This Row],[Transactions]]</f>
        <v>344</v>
      </c>
    </row>
    <row r="3199" spans="1:13" x14ac:dyDescent="0.25">
      <c r="A3199" s="1">
        <v>46182</v>
      </c>
      <c r="B3199" t="s">
        <v>28</v>
      </c>
      <c r="C3199" t="s">
        <v>19</v>
      </c>
      <c r="D3199" t="str">
        <f>_xlfn.XLOOKUP(tblSales[[#This Row],[Store ID]],tblStores[Store ID],tblStores[Store Name])</f>
        <v>Bloemfontein</v>
      </c>
      <c r="E3199" t="str">
        <f>_xlfn.XLOOKUP(tblSales[[#This Row],[Store ID]],tblStores[Store ID],tblStores[Province])</f>
        <v>Free State</v>
      </c>
      <c r="F3199" t="str">
        <f>_xlfn.XLOOKUP(tblSales[[#This Row],[Store ID]],tblStores[Store ID],tblStores[Manager])</f>
        <v>Rachel Moore</v>
      </c>
      <c r="G3199" t="str">
        <f>_xlfn.XLOOKUP(tblSales[[#This Row],[Category ID]],tblCategories[Category ID],tblCategories[Category])</f>
        <v>Accessories</v>
      </c>
      <c r="H3199">
        <v>105339</v>
      </c>
      <c r="I3199">
        <v>102160</v>
      </c>
      <c r="J3199">
        <v>219</v>
      </c>
      <c r="K3199">
        <f>tblSales[[#This Row],[Sales]]-tblSales[[#This Row],[Budget]]</f>
        <v>3179</v>
      </c>
      <c r="L3199" s="3">
        <f>(tblSales[[#This Row],[Sales]]-tblSales[[#This Row],[Budget]])/tblSales[[#This Row],[Budget]]</f>
        <v>3.1117854346123727E-2</v>
      </c>
      <c r="M3199" s="2">
        <f>tblSales[[#This Row],[Sales]]/tblSales[[#This Row],[Transactions]]</f>
        <v>481</v>
      </c>
    </row>
    <row r="3200" spans="1:13" x14ac:dyDescent="0.25">
      <c r="A3200" s="1">
        <v>46182</v>
      </c>
      <c r="B3200" t="s">
        <v>29</v>
      </c>
      <c r="C3200" t="s">
        <v>7</v>
      </c>
      <c r="D3200" t="str">
        <f>_xlfn.XLOOKUP(tblSales[[#This Row],[Store ID]],tblStores[Store ID],tblStores[Store Name])</f>
        <v>Polokwane</v>
      </c>
      <c r="E3200" t="str">
        <f>_xlfn.XLOOKUP(tblSales[[#This Row],[Store ID]],tblStores[Store ID],tblStores[Province])</f>
        <v>Limpopo</v>
      </c>
      <c r="F3200" t="str">
        <f>_xlfn.XLOOKUP(tblSales[[#This Row],[Store ID]],tblStores[Store ID],tblStores[Manager])</f>
        <v>Kevin Harris</v>
      </c>
      <c r="G3200" t="str">
        <f>_xlfn.XLOOKUP(tblSales[[#This Row],[Category ID]],tblCategories[Category ID],tblCategories[Category])</f>
        <v>Menswear</v>
      </c>
      <c r="H3200">
        <v>31208</v>
      </c>
      <c r="I3200">
        <v>31935</v>
      </c>
      <c r="J3200">
        <v>94</v>
      </c>
      <c r="K3200">
        <f>tblSales[[#This Row],[Sales]]-tblSales[[#This Row],[Budget]]</f>
        <v>-727</v>
      </c>
      <c r="L3200" s="3">
        <f>(tblSales[[#This Row],[Sales]]-tblSales[[#This Row],[Budget]])/tblSales[[#This Row],[Budget]]</f>
        <v>-2.2764991388758416E-2</v>
      </c>
      <c r="M3200" s="2">
        <f>tblSales[[#This Row],[Sales]]/tblSales[[#This Row],[Transactions]]</f>
        <v>332</v>
      </c>
    </row>
    <row r="3201" spans="1:13" x14ac:dyDescent="0.25">
      <c r="A3201" s="1">
        <v>46182</v>
      </c>
      <c r="B3201" t="s">
        <v>30</v>
      </c>
      <c r="C3201" t="s">
        <v>7</v>
      </c>
      <c r="D3201" t="str">
        <f>_xlfn.XLOOKUP(tblSales[[#This Row],[Store ID]],tblStores[Store ID],tblStores[Store Name])</f>
        <v>Nelspruit</v>
      </c>
      <c r="E3201" t="str">
        <f>_xlfn.XLOOKUP(tblSales[[#This Row],[Store ID]],tblStores[Store ID],tblStores[Province])</f>
        <v>Mpumalanga</v>
      </c>
      <c r="F3201" t="str">
        <f>_xlfn.XLOOKUP(tblSales[[#This Row],[Store ID]],tblStores[Store ID],tblStores[Manager])</f>
        <v>Olivia Turner</v>
      </c>
      <c r="G3201" t="str">
        <f>_xlfn.XLOOKUP(tblSales[[#This Row],[Category ID]],tblCategories[Category ID],tblCategories[Category])</f>
        <v>Menswear</v>
      </c>
      <c r="H3201">
        <v>79655</v>
      </c>
      <c r="I3201">
        <v>89558</v>
      </c>
      <c r="J3201">
        <v>179</v>
      </c>
      <c r="K3201">
        <f>tblSales[[#This Row],[Sales]]-tblSales[[#This Row],[Budget]]</f>
        <v>-9903</v>
      </c>
      <c r="L3201" s="3">
        <f>(tblSales[[#This Row],[Sales]]-tblSales[[#This Row],[Budget]])/tblSales[[#This Row],[Budget]]</f>
        <v>-0.11057638625248442</v>
      </c>
      <c r="M3201" s="2">
        <f>tblSales[[#This Row],[Sales]]/tblSales[[#This Row],[Transactions]]</f>
        <v>445</v>
      </c>
    </row>
    <row r="3202" spans="1:13" x14ac:dyDescent="0.25">
      <c r="A3202" s="1">
        <v>46183</v>
      </c>
      <c r="B3202" t="s">
        <v>6</v>
      </c>
      <c r="C3202" t="s">
        <v>19</v>
      </c>
      <c r="D3202" t="str">
        <f>_xlfn.XLOOKUP(tblSales[[#This Row],[Store ID]],tblStores[Store ID],tblStores[Store Name])</f>
        <v>Durban CBD</v>
      </c>
      <c r="E3202" t="str">
        <f>_xlfn.XLOOKUP(tblSales[[#This Row],[Store ID]],tblStores[Store ID],tblStores[Province])</f>
        <v>KZN</v>
      </c>
      <c r="F3202" t="str">
        <f>_xlfn.XLOOKUP(tblSales[[#This Row],[Store ID]],tblStores[Store ID],tblStores[Manager])</f>
        <v>Sarah Adams</v>
      </c>
      <c r="G3202" t="str">
        <f>_xlfn.XLOOKUP(tblSales[[#This Row],[Category ID]],tblCategories[Category ID],tblCategories[Category])</f>
        <v>Accessories</v>
      </c>
      <c r="H3202">
        <v>65670</v>
      </c>
      <c r="I3202">
        <v>63786</v>
      </c>
      <c r="J3202">
        <v>165</v>
      </c>
      <c r="K3202">
        <f>tblSales[[#This Row],[Sales]]-tblSales[[#This Row],[Budget]]</f>
        <v>1884</v>
      </c>
      <c r="L3202" s="3">
        <f>(tblSales[[#This Row],[Sales]]-tblSales[[#This Row],[Budget]])/tblSales[[#This Row],[Budget]]</f>
        <v>2.9536261875646695E-2</v>
      </c>
      <c r="M3202" s="2">
        <f>tblSales[[#This Row],[Sales]]/tblSales[[#This Row],[Transactions]]</f>
        <v>398</v>
      </c>
    </row>
    <row r="3203" spans="1:13" x14ac:dyDescent="0.25">
      <c r="A3203" s="1">
        <v>46183</v>
      </c>
      <c r="B3203" t="s">
        <v>8</v>
      </c>
      <c r="C3203" t="s">
        <v>11</v>
      </c>
      <c r="D3203" t="str">
        <f>_xlfn.XLOOKUP(tblSales[[#This Row],[Store ID]],tblStores[Store ID],tblStores[Store Name])</f>
        <v>Gateway</v>
      </c>
      <c r="E3203" t="str">
        <f>_xlfn.XLOOKUP(tblSales[[#This Row],[Store ID]],tblStores[Store ID],tblStores[Province])</f>
        <v>KZN</v>
      </c>
      <c r="F3203" t="str">
        <f>_xlfn.XLOOKUP(tblSales[[#This Row],[Store ID]],tblStores[Store ID],tblStores[Manager])</f>
        <v>Michael Jones</v>
      </c>
      <c r="G3203" t="str">
        <f>_xlfn.XLOOKUP(tblSales[[#This Row],[Category ID]],tblCategories[Category ID],tblCategories[Category])</f>
        <v>Footwear</v>
      </c>
      <c r="H3203">
        <v>31436</v>
      </c>
      <c r="I3203">
        <v>35786</v>
      </c>
      <c r="J3203">
        <v>116</v>
      </c>
      <c r="K3203">
        <f>tblSales[[#This Row],[Sales]]-tblSales[[#This Row],[Budget]]</f>
        <v>-4350</v>
      </c>
      <c r="L3203" s="3">
        <f>(tblSales[[#This Row],[Sales]]-tblSales[[#This Row],[Budget]])/tblSales[[#This Row],[Budget]]</f>
        <v>-0.12155591572123177</v>
      </c>
      <c r="M3203" s="2">
        <f>tblSales[[#This Row],[Sales]]/tblSales[[#This Row],[Transactions]]</f>
        <v>271</v>
      </c>
    </row>
    <row r="3204" spans="1:13" x14ac:dyDescent="0.25">
      <c r="A3204" s="1">
        <v>46183</v>
      </c>
      <c r="B3204" t="s">
        <v>10</v>
      </c>
      <c r="C3204" t="s">
        <v>7</v>
      </c>
      <c r="D3204" t="str">
        <f>_xlfn.XLOOKUP(tblSales[[#This Row],[Store ID]],tblStores[Store ID],tblStores[Store Name])</f>
        <v>Ballito</v>
      </c>
      <c r="E3204" t="str">
        <f>_xlfn.XLOOKUP(tblSales[[#This Row],[Store ID]],tblStores[Store ID],tblStores[Province])</f>
        <v>KZN</v>
      </c>
      <c r="F3204" t="str">
        <f>_xlfn.XLOOKUP(tblSales[[#This Row],[Store ID]],tblStores[Store ID],tblStores[Manager])</f>
        <v>Linda Smith</v>
      </c>
      <c r="G3204" t="str">
        <f>_xlfn.XLOOKUP(tblSales[[#This Row],[Category ID]],tblCategories[Category ID],tblCategories[Category])</f>
        <v>Menswear</v>
      </c>
      <c r="H3204">
        <v>35200</v>
      </c>
      <c r="I3204">
        <v>36248</v>
      </c>
      <c r="J3204">
        <v>88</v>
      </c>
      <c r="K3204">
        <f>tblSales[[#This Row],[Sales]]-tblSales[[#This Row],[Budget]]</f>
        <v>-1048</v>
      </c>
      <c r="L3204" s="3">
        <f>(tblSales[[#This Row],[Sales]]-tblSales[[#This Row],[Budget]])/tblSales[[#This Row],[Budget]]</f>
        <v>-2.8911939969101744E-2</v>
      </c>
      <c r="M3204" s="2">
        <f>tblSales[[#This Row],[Sales]]/tblSales[[#This Row],[Transactions]]</f>
        <v>400</v>
      </c>
    </row>
    <row r="3205" spans="1:13" x14ac:dyDescent="0.25">
      <c r="A3205" s="1">
        <v>46183</v>
      </c>
      <c r="B3205" t="s">
        <v>12</v>
      </c>
      <c r="C3205" t="s">
        <v>19</v>
      </c>
      <c r="D3205" t="str">
        <f>_xlfn.XLOOKUP(tblSales[[#This Row],[Store ID]],tblStores[Store ID],tblStores[Store Name])</f>
        <v>Pietermaritzburg</v>
      </c>
      <c r="E3205" t="str">
        <f>_xlfn.XLOOKUP(tblSales[[#This Row],[Store ID]],tblStores[Store ID],tblStores[Province])</f>
        <v>KZN</v>
      </c>
      <c r="F3205" t="str">
        <f>_xlfn.XLOOKUP(tblSales[[#This Row],[Store ID]],tblStores[Store ID],tblStores[Manager])</f>
        <v>Peter Brown</v>
      </c>
      <c r="G3205" t="str">
        <f>_xlfn.XLOOKUP(tblSales[[#This Row],[Category ID]],tblCategories[Category ID],tblCategories[Category])</f>
        <v>Accessories</v>
      </c>
      <c r="H3205">
        <v>65280</v>
      </c>
      <c r="I3205">
        <v>60375</v>
      </c>
      <c r="J3205">
        <v>192</v>
      </c>
      <c r="K3205">
        <f>tblSales[[#This Row],[Sales]]-tblSales[[#This Row],[Budget]]</f>
        <v>4905</v>
      </c>
      <c r="L3205" s="3">
        <f>(tblSales[[#This Row],[Sales]]-tblSales[[#This Row],[Budget]])/tblSales[[#This Row],[Budget]]</f>
        <v>8.1242236024844719E-2</v>
      </c>
      <c r="M3205" s="2">
        <f>tblSales[[#This Row],[Sales]]/tblSales[[#This Row],[Transactions]]</f>
        <v>340</v>
      </c>
    </row>
    <row r="3206" spans="1:13" x14ac:dyDescent="0.25">
      <c r="A3206" s="1">
        <v>46183</v>
      </c>
      <c r="B3206" t="s">
        <v>13</v>
      </c>
      <c r="C3206" t="s">
        <v>22</v>
      </c>
      <c r="D3206" t="str">
        <f>_xlfn.XLOOKUP(tblSales[[#This Row],[Store ID]],tblStores[Store ID],tblStores[Store Name])</f>
        <v>Richards Bay</v>
      </c>
      <c r="E3206" t="str">
        <f>_xlfn.XLOOKUP(tblSales[[#This Row],[Store ID]],tblStores[Store ID],tblStores[Province])</f>
        <v>KZN</v>
      </c>
      <c r="F3206" t="str">
        <f>_xlfn.XLOOKUP(tblSales[[#This Row],[Store ID]],tblStores[Store ID],tblStores[Manager])</f>
        <v>David Green</v>
      </c>
      <c r="G3206" t="str">
        <f>_xlfn.XLOOKUP(tblSales[[#This Row],[Category ID]],tblCategories[Category ID],tblCategories[Category])</f>
        <v>Kids</v>
      </c>
      <c r="H3206">
        <v>18480</v>
      </c>
      <c r="I3206">
        <v>17961</v>
      </c>
      <c r="J3206">
        <v>77</v>
      </c>
      <c r="K3206">
        <f>tblSales[[#This Row],[Sales]]-tblSales[[#This Row],[Budget]]</f>
        <v>519</v>
      </c>
      <c r="L3206" s="3">
        <f>(tblSales[[#This Row],[Sales]]-tblSales[[#This Row],[Budget]])/tblSales[[#This Row],[Budget]]</f>
        <v>2.8895941205946216E-2</v>
      </c>
      <c r="M3206" s="2">
        <f>tblSales[[#This Row],[Sales]]/tblSales[[#This Row],[Transactions]]</f>
        <v>240</v>
      </c>
    </row>
    <row r="3207" spans="1:13" x14ac:dyDescent="0.25">
      <c r="A3207" s="1">
        <v>46183</v>
      </c>
      <c r="B3207" t="s">
        <v>14</v>
      </c>
      <c r="C3207" t="s">
        <v>11</v>
      </c>
      <c r="D3207" t="str">
        <f>_xlfn.XLOOKUP(tblSales[[#This Row],[Store ID]],tblStores[Store ID],tblStores[Store Name])</f>
        <v>Sandton</v>
      </c>
      <c r="E3207" t="str">
        <f>_xlfn.XLOOKUP(tblSales[[#This Row],[Store ID]],tblStores[Store ID],tblStores[Province])</f>
        <v>Gauteng</v>
      </c>
      <c r="F3207" t="str">
        <f>_xlfn.XLOOKUP(tblSales[[#This Row],[Store ID]],tblStores[Store ID],tblStores[Manager])</f>
        <v>Karen White</v>
      </c>
      <c r="G3207" t="str">
        <f>_xlfn.XLOOKUP(tblSales[[#This Row],[Category ID]],tblCategories[Category ID],tblCategories[Category])</f>
        <v>Footwear</v>
      </c>
      <c r="H3207">
        <v>43218</v>
      </c>
      <c r="I3207">
        <v>48461</v>
      </c>
      <c r="J3207">
        <v>147</v>
      </c>
      <c r="K3207">
        <f>tblSales[[#This Row],[Sales]]-tblSales[[#This Row],[Budget]]</f>
        <v>-5243</v>
      </c>
      <c r="L3207" s="3">
        <f>(tblSales[[#This Row],[Sales]]-tblSales[[#This Row],[Budget]])/tblSales[[#This Row],[Budget]]</f>
        <v>-0.10819009100101112</v>
      </c>
      <c r="M3207" s="2">
        <f>tblSales[[#This Row],[Sales]]/tblSales[[#This Row],[Transactions]]</f>
        <v>294</v>
      </c>
    </row>
    <row r="3208" spans="1:13" x14ac:dyDescent="0.25">
      <c r="A3208" s="1">
        <v>46183</v>
      </c>
      <c r="B3208" t="s">
        <v>15</v>
      </c>
      <c r="C3208" t="s">
        <v>22</v>
      </c>
      <c r="D3208" t="str">
        <f>_xlfn.XLOOKUP(tblSales[[#This Row],[Store ID]],tblStores[Store ID],tblStores[Store Name])</f>
        <v>Rosebank</v>
      </c>
      <c r="E3208" t="str">
        <f>_xlfn.XLOOKUP(tblSales[[#This Row],[Store ID]],tblStores[Store ID],tblStores[Province])</f>
        <v>Gauteng</v>
      </c>
      <c r="F3208" t="str">
        <f>_xlfn.XLOOKUP(tblSales[[#This Row],[Store ID]],tblStores[Store ID],tblStores[Manager])</f>
        <v>James Taylor</v>
      </c>
      <c r="G3208" t="str">
        <f>_xlfn.XLOOKUP(tblSales[[#This Row],[Category ID]],tblCategories[Category ID],tblCategories[Category])</f>
        <v>Kids</v>
      </c>
      <c r="H3208">
        <v>49490</v>
      </c>
      <c r="I3208">
        <v>53863</v>
      </c>
      <c r="J3208">
        <v>101</v>
      </c>
      <c r="K3208">
        <f>tblSales[[#This Row],[Sales]]-tblSales[[#This Row],[Budget]]</f>
        <v>-4373</v>
      </c>
      <c r="L3208" s="3">
        <f>(tblSales[[#This Row],[Sales]]-tblSales[[#This Row],[Budget]])/tblSales[[#This Row],[Budget]]</f>
        <v>-8.1187457067003324E-2</v>
      </c>
      <c r="M3208" s="2">
        <f>tblSales[[#This Row],[Sales]]/tblSales[[#This Row],[Transactions]]</f>
        <v>490</v>
      </c>
    </row>
    <row r="3209" spans="1:13" x14ac:dyDescent="0.25">
      <c r="A3209" s="1">
        <v>46183</v>
      </c>
      <c r="B3209" t="s">
        <v>16</v>
      </c>
      <c r="C3209" t="s">
        <v>9</v>
      </c>
      <c r="D3209" t="str">
        <f>_xlfn.XLOOKUP(tblSales[[#This Row],[Store ID]],tblStores[Store ID],tblStores[Store Name])</f>
        <v>Pretoria</v>
      </c>
      <c r="E3209" t="str">
        <f>_xlfn.XLOOKUP(tblSales[[#This Row],[Store ID]],tblStores[Store ID],tblStores[Province])</f>
        <v>Gauteng</v>
      </c>
      <c r="F3209" t="str">
        <f>_xlfn.XLOOKUP(tblSales[[#This Row],[Store ID]],tblStores[Store ID],tblStores[Manager])</f>
        <v>Susan Clark</v>
      </c>
      <c r="G3209" t="str">
        <f>_xlfn.XLOOKUP(tblSales[[#This Row],[Category ID]],tblCategories[Category ID],tblCategories[Category])</f>
        <v>Ladieswear</v>
      </c>
      <c r="H3209">
        <v>66010</v>
      </c>
      <c r="I3209">
        <v>61735</v>
      </c>
      <c r="J3209">
        <v>205</v>
      </c>
      <c r="K3209">
        <f>tblSales[[#This Row],[Sales]]-tblSales[[#This Row],[Budget]]</f>
        <v>4275</v>
      </c>
      <c r="L3209" s="3">
        <f>(tblSales[[#This Row],[Sales]]-tblSales[[#This Row],[Budget]])/tblSales[[#This Row],[Budget]]</f>
        <v>6.9247590507815662E-2</v>
      </c>
      <c r="M3209" s="2">
        <f>tblSales[[#This Row],[Sales]]/tblSales[[#This Row],[Transactions]]</f>
        <v>322</v>
      </c>
    </row>
    <row r="3210" spans="1:13" x14ac:dyDescent="0.25">
      <c r="A3210" s="1">
        <v>46183</v>
      </c>
      <c r="B3210" t="s">
        <v>17</v>
      </c>
      <c r="C3210" t="s">
        <v>9</v>
      </c>
      <c r="D3210" t="str">
        <f>_xlfn.XLOOKUP(tblSales[[#This Row],[Store ID]],tblStores[Store ID],tblStores[Store Name])</f>
        <v>Centurion</v>
      </c>
      <c r="E3210" t="str">
        <f>_xlfn.XLOOKUP(tblSales[[#This Row],[Store ID]],tblStores[Store ID],tblStores[Province])</f>
        <v>Gauteng</v>
      </c>
      <c r="F3210" t="str">
        <f>_xlfn.XLOOKUP(tblSales[[#This Row],[Store ID]],tblStores[Store ID],tblStores[Manager])</f>
        <v>Mark Wilson</v>
      </c>
      <c r="G3210" t="str">
        <f>_xlfn.XLOOKUP(tblSales[[#This Row],[Category ID]],tblCategories[Category ID],tblCategories[Category])</f>
        <v>Ladieswear</v>
      </c>
      <c r="H3210">
        <v>77440</v>
      </c>
      <c r="I3210">
        <v>84310</v>
      </c>
      <c r="J3210">
        <v>176</v>
      </c>
      <c r="K3210">
        <f>tblSales[[#This Row],[Sales]]-tblSales[[#This Row],[Budget]]</f>
        <v>-6870</v>
      </c>
      <c r="L3210" s="3">
        <f>(tblSales[[#This Row],[Sales]]-tblSales[[#This Row],[Budget]])/tblSales[[#This Row],[Budget]]</f>
        <v>-8.1484995848653777E-2</v>
      </c>
      <c r="M3210" s="2">
        <f>tblSales[[#This Row],[Sales]]/tblSales[[#This Row],[Transactions]]</f>
        <v>440</v>
      </c>
    </row>
    <row r="3211" spans="1:13" x14ac:dyDescent="0.25">
      <c r="A3211" s="1">
        <v>46183</v>
      </c>
      <c r="B3211" t="s">
        <v>18</v>
      </c>
      <c r="C3211" t="s">
        <v>7</v>
      </c>
      <c r="D3211" t="str">
        <f>_xlfn.XLOOKUP(tblSales[[#This Row],[Store ID]],tblStores[Store ID],tblStores[Store Name])</f>
        <v>East Rand</v>
      </c>
      <c r="E3211" t="str">
        <f>_xlfn.XLOOKUP(tblSales[[#This Row],[Store ID]],tblStores[Store ID],tblStores[Province])</f>
        <v>Gauteng</v>
      </c>
      <c r="F3211" t="str">
        <f>_xlfn.XLOOKUP(tblSales[[#This Row],[Store ID]],tblStores[Store ID],tblStores[Manager])</f>
        <v>Lisa Young</v>
      </c>
      <c r="G3211" t="str">
        <f>_xlfn.XLOOKUP(tblSales[[#This Row],[Category ID]],tblCategories[Category ID],tblCategories[Category])</f>
        <v>Menswear</v>
      </c>
      <c r="H3211">
        <v>37600</v>
      </c>
      <c r="I3211">
        <v>42862</v>
      </c>
      <c r="J3211">
        <v>188</v>
      </c>
      <c r="K3211">
        <f>tblSales[[#This Row],[Sales]]-tblSales[[#This Row],[Budget]]</f>
        <v>-5262</v>
      </c>
      <c r="L3211" s="3">
        <f>(tblSales[[#This Row],[Sales]]-tblSales[[#This Row],[Budget]])/tblSales[[#This Row],[Budget]]</f>
        <v>-0.12276608651019551</v>
      </c>
      <c r="M3211" s="2">
        <f>tblSales[[#This Row],[Sales]]/tblSales[[#This Row],[Transactions]]</f>
        <v>200</v>
      </c>
    </row>
    <row r="3212" spans="1:13" x14ac:dyDescent="0.25">
      <c r="A3212" s="1">
        <v>46183</v>
      </c>
      <c r="B3212" t="s">
        <v>20</v>
      </c>
      <c r="C3212" t="s">
        <v>19</v>
      </c>
      <c r="D3212" t="str">
        <f>_xlfn.XLOOKUP(tblSales[[#This Row],[Store ID]],tblStores[Store ID],tblStores[Store Name])</f>
        <v>Cape Town CBD</v>
      </c>
      <c r="E3212" t="str">
        <f>_xlfn.XLOOKUP(tblSales[[#This Row],[Store ID]],tblStores[Store ID],tblStores[Province])</f>
        <v>Western Cape</v>
      </c>
      <c r="F3212" t="str">
        <f>_xlfn.XLOOKUP(tblSales[[#This Row],[Store ID]],tblStores[Store ID],tblStores[Manager])</f>
        <v>Brian Hall</v>
      </c>
      <c r="G3212" t="str">
        <f>_xlfn.XLOOKUP(tblSales[[#This Row],[Category ID]],tblCategories[Category ID],tblCategories[Category])</f>
        <v>Accessories</v>
      </c>
      <c r="H3212">
        <v>47988</v>
      </c>
      <c r="I3212">
        <v>43269</v>
      </c>
      <c r="J3212">
        <v>172</v>
      </c>
      <c r="K3212">
        <f>tblSales[[#This Row],[Sales]]-tblSales[[#This Row],[Budget]]</f>
        <v>4719</v>
      </c>
      <c r="L3212" s="3">
        <f>(tblSales[[#This Row],[Sales]]-tblSales[[#This Row],[Budget]])/tblSales[[#This Row],[Budget]]</f>
        <v>0.10906191499687998</v>
      </c>
      <c r="M3212" s="2">
        <f>tblSales[[#This Row],[Sales]]/tblSales[[#This Row],[Transactions]]</f>
        <v>279</v>
      </c>
    </row>
    <row r="3213" spans="1:13" x14ac:dyDescent="0.25">
      <c r="A3213" s="1">
        <v>46183</v>
      </c>
      <c r="B3213" t="s">
        <v>21</v>
      </c>
      <c r="C3213" t="s">
        <v>7</v>
      </c>
      <c r="D3213" t="str">
        <f>_xlfn.XLOOKUP(tblSales[[#This Row],[Store ID]],tblStores[Store ID],tblStores[Store Name])</f>
        <v>Canal Walk</v>
      </c>
      <c r="E3213" t="str">
        <f>_xlfn.XLOOKUP(tblSales[[#This Row],[Store ID]],tblStores[Store ID],tblStores[Province])</f>
        <v>Western Cape</v>
      </c>
      <c r="F3213" t="str">
        <f>_xlfn.XLOOKUP(tblSales[[#This Row],[Store ID]],tblStores[Store ID],tblStores[Manager])</f>
        <v>Megan Scott</v>
      </c>
      <c r="G3213" t="str">
        <f>_xlfn.XLOOKUP(tblSales[[#This Row],[Category ID]],tblCategories[Category ID],tblCategories[Category])</f>
        <v>Menswear</v>
      </c>
      <c r="H3213">
        <v>36636</v>
      </c>
      <c r="I3213">
        <v>35553</v>
      </c>
      <c r="J3213">
        <v>129</v>
      </c>
      <c r="K3213">
        <f>tblSales[[#This Row],[Sales]]-tblSales[[#This Row],[Budget]]</f>
        <v>1083</v>
      </c>
      <c r="L3213" s="3">
        <f>(tblSales[[#This Row],[Sales]]-tblSales[[#This Row],[Budget]])/tblSales[[#This Row],[Budget]]</f>
        <v>3.0461564424943043E-2</v>
      </c>
      <c r="M3213" s="2">
        <f>tblSales[[#This Row],[Sales]]/tblSales[[#This Row],[Transactions]]</f>
        <v>284</v>
      </c>
    </row>
    <row r="3214" spans="1:13" x14ac:dyDescent="0.25">
      <c r="A3214" s="1">
        <v>46183</v>
      </c>
      <c r="B3214" t="s">
        <v>23</v>
      </c>
      <c r="C3214" t="s">
        <v>19</v>
      </c>
      <c r="D3214" t="str">
        <f>_xlfn.XLOOKUP(tblSales[[#This Row],[Store ID]],tblStores[Store ID],tblStores[Store Name])</f>
        <v>Stellenbosch</v>
      </c>
      <c r="E3214" t="str">
        <f>_xlfn.XLOOKUP(tblSales[[#This Row],[Store ID]],tblStores[Store ID],tblStores[Province])</f>
        <v>Western Cape</v>
      </c>
      <c r="F3214" t="str">
        <f>_xlfn.XLOOKUP(tblSales[[#This Row],[Store ID]],tblStores[Store ID],tblStores[Manager])</f>
        <v>Jason King</v>
      </c>
      <c r="G3214" t="str">
        <f>_xlfn.XLOOKUP(tblSales[[#This Row],[Category ID]],tblCategories[Category ID],tblCategories[Category])</f>
        <v>Accessories</v>
      </c>
      <c r="H3214">
        <v>58608</v>
      </c>
      <c r="I3214">
        <v>60379</v>
      </c>
      <c r="J3214">
        <v>144</v>
      </c>
      <c r="K3214">
        <f>tblSales[[#This Row],[Sales]]-tblSales[[#This Row],[Budget]]</f>
        <v>-1771</v>
      </c>
      <c r="L3214" s="3">
        <f>(tblSales[[#This Row],[Sales]]-tblSales[[#This Row],[Budget]])/tblSales[[#This Row],[Budget]]</f>
        <v>-2.9331390052832938E-2</v>
      </c>
      <c r="M3214" s="2">
        <f>tblSales[[#This Row],[Sales]]/tblSales[[#This Row],[Transactions]]</f>
        <v>407</v>
      </c>
    </row>
    <row r="3215" spans="1:13" x14ac:dyDescent="0.25">
      <c r="A3215" s="1">
        <v>46183</v>
      </c>
      <c r="B3215" t="s">
        <v>24</v>
      </c>
      <c r="C3215" t="s">
        <v>11</v>
      </c>
      <c r="D3215" t="str">
        <f>_xlfn.XLOOKUP(tblSales[[#This Row],[Store ID]],tblStores[Store ID],tblStores[Store Name])</f>
        <v>George</v>
      </c>
      <c r="E3215" t="str">
        <f>_xlfn.XLOOKUP(tblSales[[#This Row],[Store ID]],tblStores[Store ID],tblStores[Province])</f>
        <v>Western Cape</v>
      </c>
      <c r="F3215" t="str">
        <f>_xlfn.XLOOKUP(tblSales[[#This Row],[Store ID]],tblStores[Store ID],tblStores[Manager])</f>
        <v>Chloe Hill</v>
      </c>
      <c r="G3215" t="str">
        <f>_xlfn.XLOOKUP(tblSales[[#This Row],[Category ID]],tblCategories[Category ID],tblCategories[Category])</f>
        <v>Footwear</v>
      </c>
      <c r="H3215">
        <v>25960</v>
      </c>
      <c r="I3215">
        <v>28012</v>
      </c>
      <c r="J3215">
        <v>110</v>
      </c>
      <c r="K3215">
        <f>tblSales[[#This Row],[Sales]]-tblSales[[#This Row],[Budget]]</f>
        <v>-2052</v>
      </c>
      <c r="L3215" s="3">
        <f>(tblSales[[#This Row],[Sales]]-tblSales[[#This Row],[Budget]])/tblSales[[#This Row],[Budget]]</f>
        <v>-7.3254319577324006E-2</v>
      </c>
      <c r="M3215" s="2">
        <f>tblSales[[#This Row],[Sales]]/tblSales[[#This Row],[Transactions]]</f>
        <v>236</v>
      </c>
    </row>
    <row r="3216" spans="1:13" x14ac:dyDescent="0.25">
      <c r="A3216" s="1">
        <v>46183</v>
      </c>
      <c r="B3216" t="s">
        <v>25</v>
      </c>
      <c r="C3216" t="s">
        <v>7</v>
      </c>
      <c r="D3216" t="str">
        <f>_xlfn.XLOOKUP(tblSales[[#This Row],[Store ID]],tblStores[Store ID],tblStores[Store Name])</f>
        <v>Paarl</v>
      </c>
      <c r="E3216" t="str">
        <f>_xlfn.XLOOKUP(tblSales[[#This Row],[Store ID]],tblStores[Store ID],tblStores[Province])</f>
        <v>Western Cape</v>
      </c>
      <c r="F3216" t="str">
        <f>_xlfn.XLOOKUP(tblSales[[#This Row],[Store ID]],tblStores[Store ID],tblStores[Manager])</f>
        <v>Andrew Lee</v>
      </c>
      <c r="G3216" t="str">
        <f>_xlfn.XLOOKUP(tblSales[[#This Row],[Category ID]],tblCategories[Category ID],tblCategories[Category])</f>
        <v>Menswear</v>
      </c>
      <c r="H3216">
        <v>59348</v>
      </c>
      <c r="I3216">
        <v>60731</v>
      </c>
      <c r="J3216">
        <v>148</v>
      </c>
      <c r="K3216">
        <f>tblSales[[#This Row],[Sales]]-tblSales[[#This Row],[Budget]]</f>
        <v>-1383</v>
      </c>
      <c r="L3216" s="3">
        <f>(tblSales[[#This Row],[Sales]]-tblSales[[#This Row],[Budget]])/tblSales[[#This Row],[Budget]]</f>
        <v>-2.2772554379147388E-2</v>
      </c>
      <c r="M3216" s="2">
        <f>tblSales[[#This Row],[Sales]]/tblSales[[#This Row],[Transactions]]</f>
        <v>401</v>
      </c>
    </row>
    <row r="3217" spans="1:13" x14ac:dyDescent="0.25">
      <c r="A3217" s="1">
        <v>46183</v>
      </c>
      <c r="B3217" t="s">
        <v>26</v>
      </c>
      <c r="C3217" t="s">
        <v>7</v>
      </c>
      <c r="D3217" t="str">
        <f>_xlfn.XLOOKUP(tblSales[[#This Row],[Store ID]],tblStores[Store ID],tblStores[Store Name])</f>
        <v>Gqeberha</v>
      </c>
      <c r="E3217" t="str">
        <f>_xlfn.XLOOKUP(tblSales[[#This Row],[Store ID]],tblStores[Store ID],tblStores[Province])</f>
        <v>Eastern Cape</v>
      </c>
      <c r="F3217" t="str">
        <f>_xlfn.XLOOKUP(tblSales[[#This Row],[Store ID]],tblStores[Store ID],tblStores[Manager])</f>
        <v>Emma Baker</v>
      </c>
      <c r="G3217" t="str">
        <f>_xlfn.XLOOKUP(tblSales[[#This Row],[Category ID]],tblCategories[Category ID],tblCategories[Category])</f>
        <v>Menswear</v>
      </c>
      <c r="H3217">
        <v>22540</v>
      </c>
      <c r="I3217">
        <v>24408</v>
      </c>
      <c r="J3217">
        <v>70</v>
      </c>
      <c r="K3217">
        <f>tblSales[[#This Row],[Sales]]-tblSales[[#This Row],[Budget]]</f>
        <v>-1868</v>
      </c>
      <c r="L3217" s="3">
        <f>(tblSales[[#This Row],[Sales]]-tblSales[[#This Row],[Budget]])/tblSales[[#This Row],[Budget]]</f>
        <v>-7.653228449688626E-2</v>
      </c>
      <c r="M3217" s="2">
        <f>tblSales[[#This Row],[Sales]]/tblSales[[#This Row],[Transactions]]</f>
        <v>322</v>
      </c>
    </row>
    <row r="3218" spans="1:13" x14ac:dyDescent="0.25">
      <c r="A3218" s="1">
        <v>46183</v>
      </c>
      <c r="B3218" t="s">
        <v>27</v>
      </c>
      <c r="C3218" t="s">
        <v>7</v>
      </c>
      <c r="D3218" t="str">
        <f>_xlfn.XLOOKUP(tblSales[[#This Row],[Store ID]],tblStores[Store ID],tblStores[Store Name])</f>
        <v>East London</v>
      </c>
      <c r="E3218" t="str">
        <f>_xlfn.XLOOKUP(tblSales[[#This Row],[Store ID]],tblStores[Store ID],tblStores[Province])</f>
        <v>Eastern Cape</v>
      </c>
      <c r="F3218" t="str">
        <f>_xlfn.XLOOKUP(tblSales[[#This Row],[Store ID]],tblStores[Store ID],tblStores[Manager])</f>
        <v>Daniel Evans</v>
      </c>
      <c r="G3218" t="str">
        <f>_xlfn.XLOOKUP(tblSales[[#This Row],[Category ID]],tblCategories[Category ID],tblCategories[Category])</f>
        <v>Menswear</v>
      </c>
      <c r="H3218">
        <v>27500</v>
      </c>
      <c r="I3218">
        <v>29866</v>
      </c>
      <c r="J3218">
        <v>125</v>
      </c>
      <c r="K3218">
        <f>tblSales[[#This Row],[Sales]]-tblSales[[#This Row],[Budget]]</f>
        <v>-2366</v>
      </c>
      <c r="L3218" s="3">
        <f>(tblSales[[#This Row],[Sales]]-tblSales[[#This Row],[Budget]])/tblSales[[#This Row],[Budget]]</f>
        <v>-7.9220518315140959E-2</v>
      </c>
      <c r="M3218" s="2">
        <f>tblSales[[#This Row],[Sales]]/tblSales[[#This Row],[Transactions]]</f>
        <v>220</v>
      </c>
    </row>
    <row r="3219" spans="1:13" x14ac:dyDescent="0.25">
      <c r="A3219" s="1">
        <v>46183</v>
      </c>
      <c r="B3219" t="s">
        <v>28</v>
      </c>
      <c r="C3219" t="s">
        <v>9</v>
      </c>
      <c r="D3219" t="str">
        <f>_xlfn.XLOOKUP(tblSales[[#This Row],[Store ID]],tblStores[Store ID],tblStores[Store Name])</f>
        <v>Bloemfontein</v>
      </c>
      <c r="E3219" t="str">
        <f>_xlfn.XLOOKUP(tblSales[[#This Row],[Store ID]],tblStores[Store ID],tblStores[Province])</f>
        <v>Free State</v>
      </c>
      <c r="F3219" t="str">
        <f>_xlfn.XLOOKUP(tblSales[[#This Row],[Store ID]],tblStores[Store ID],tblStores[Manager])</f>
        <v>Rachel Moore</v>
      </c>
      <c r="G3219" t="str">
        <f>_xlfn.XLOOKUP(tblSales[[#This Row],[Category ID]],tblCategories[Category ID],tblCategories[Category])</f>
        <v>Ladieswear</v>
      </c>
      <c r="H3219">
        <v>18738</v>
      </c>
      <c r="I3219">
        <v>17598</v>
      </c>
      <c r="J3219">
        <v>54</v>
      </c>
      <c r="K3219">
        <f>tblSales[[#This Row],[Sales]]-tblSales[[#This Row],[Budget]]</f>
        <v>1140</v>
      </c>
      <c r="L3219" s="3">
        <f>(tblSales[[#This Row],[Sales]]-tblSales[[#This Row],[Budget]])/tblSales[[#This Row],[Budget]]</f>
        <v>6.4780088646437098E-2</v>
      </c>
      <c r="M3219" s="2">
        <f>tblSales[[#This Row],[Sales]]/tblSales[[#This Row],[Transactions]]</f>
        <v>347</v>
      </c>
    </row>
    <row r="3220" spans="1:13" x14ac:dyDescent="0.25">
      <c r="A3220" s="1">
        <v>46183</v>
      </c>
      <c r="B3220" t="s">
        <v>29</v>
      </c>
      <c r="C3220" t="s">
        <v>22</v>
      </c>
      <c r="D3220" t="str">
        <f>_xlfn.XLOOKUP(tblSales[[#This Row],[Store ID]],tblStores[Store ID],tblStores[Store Name])</f>
        <v>Polokwane</v>
      </c>
      <c r="E3220" t="str">
        <f>_xlfn.XLOOKUP(tblSales[[#This Row],[Store ID]],tblStores[Store ID],tblStores[Province])</f>
        <v>Limpopo</v>
      </c>
      <c r="F3220" t="str">
        <f>_xlfn.XLOOKUP(tblSales[[#This Row],[Store ID]],tblStores[Store ID],tblStores[Manager])</f>
        <v>Kevin Harris</v>
      </c>
      <c r="G3220" t="str">
        <f>_xlfn.XLOOKUP(tblSales[[#This Row],[Category ID]],tblCategories[Category ID],tblCategories[Category])</f>
        <v>Kids</v>
      </c>
      <c r="H3220">
        <v>43260</v>
      </c>
      <c r="I3220">
        <v>45754</v>
      </c>
      <c r="J3220">
        <v>105</v>
      </c>
      <c r="K3220">
        <f>tblSales[[#This Row],[Sales]]-tblSales[[#This Row],[Budget]]</f>
        <v>-2494</v>
      </c>
      <c r="L3220" s="3">
        <f>(tblSales[[#This Row],[Sales]]-tblSales[[#This Row],[Budget]])/tblSales[[#This Row],[Budget]]</f>
        <v>-5.4508895397123752E-2</v>
      </c>
      <c r="M3220" s="2">
        <f>tblSales[[#This Row],[Sales]]/tblSales[[#This Row],[Transactions]]</f>
        <v>412</v>
      </c>
    </row>
    <row r="3221" spans="1:13" x14ac:dyDescent="0.25">
      <c r="A3221" s="1">
        <v>46183</v>
      </c>
      <c r="B3221" t="s">
        <v>30</v>
      </c>
      <c r="C3221" t="s">
        <v>19</v>
      </c>
      <c r="D3221" t="str">
        <f>_xlfn.XLOOKUP(tblSales[[#This Row],[Store ID]],tblStores[Store ID],tblStores[Store Name])</f>
        <v>Nelspruit</v>
      </c>
      <c r="E3221" t="str">
        <f>_xlfn.XLOOKUP(tblSales[[#This Row],[Store ID]],tblStores[Store ID],tblStores[Province])</f>
        <v>Mpumalanga</v>
      </c>
      <c r="F3221" t="str">
        <f>_xlfn.XLOOKUP(tblSales[[#This Row],[Store ID]],tblStores[Store ID],tblStores[Manager])</f>
        <v>Olivia Turner</v>
      </c>
      <c r="G3221" t="str">
        <f>_xlfn.XLOOKUP(tblSales[[#This Row],[Category ID]],tblCategories[Category ID],tblCategories[Category])</f>
        <v>Accessories</v>
      </c>
      <c r="H3221">
        <v>44919</v>
      </c>
      <c r="I3221">
        <v>48364</v>
      </c>
      <c r="J3221">
        <v>207</v>
      </c>
      <c r="K3221">
        <f>tblSales[[#This Row],[Sales]]-tblSales[[#This Row],[Budget]]</f>
        <v>-3445</v>
      </c>
      <c r="L3221" s="3">
        <f>(tblSales[[#This Row],[Sales]]-tblSales[[#This Row],[Budget]])/tblSales[[#This Row],[Budget]]</f>
        <v>-7.1230667438590689E-2</v>
      </c>
      <c r="M3221" s="2">
        <f>tblSales[[#This Row],[Sales]]/tblSales[[#This Row],[Transactions]]</f>
        <v>217</v>
      </c>
    </row>
    <row r="3222" spans="1:13" x14ac:dyDescent="0.25">
      <c r="A3222" s="1">
        <v>46184</v>
      </c>
      <c r="B3222" t="s">
        <v>6</v>
      </c>
      <c r="C3222" t="s">
        <v>22</v>
      </c>
      <c r="D3222" t="str">
        <f>_xlfn.XLOOKUP(tblSales[[#This Row],[Store ID]],tblStores[Store ID],tblStores[Store Name])</f>
        <v>Durban CBD</v>
      </c>
      <c r="E3222" t="str">
        <f>_xlfn.XLOOKUP(tblSales[[#This Row],[Store ID]],tblStores[Store ID],tblStores[Province])</f>
        <v>KZN</v>
      </c>
      <c r="F3222" t="str">
        <f>_xlfn.XLOOKUP(tblSales[[#This Row],[Store ID]],tblStores[Store ID],tblStores[Manager])</f>
        <v>Sarah Adams</v>
      </c>
      <c r="G3222" t="str">
        <f>_xlfn.XLOOKUP(tblSales[[#This Row],[Category ID]],tblCategories[Category ID],tblCategories[Category])</f>
        <v>Kids</v>
      </c>
      <c r="H3222">
        <v>17644</v>
      </c>
      <c r="I3222">
        <v>16322</v>
      </c>
      <c r="J3222">
        <v>44</v>
      </c>
      <c r="K3222">
        <f>tblSales[[#This Row],[Sales]]-tblSales[[#This Row],[Budget]]</f>
        <v>1322</v>
      </c>
      <c r="L3222" s="3">
        <f>(tblSales[[#This Row],[Sales]]-tblSales[[#This Row],[Budget]])/tblSales[[#This Row],[Budget]]</f>
        <v>8.0994976105869379E-2</v>
      </c>
      <c r="M3222" s="2">
        <f>tblSales[[#This Row],[Sales]]/tblSales[[#This Row],[Transactions]]</f>
        <v>401</v>
      </c>
    </row>
    <row r="3223" spans="1:13" x14ac:dyDescent="0.25">
      <c r="A3223" s="1">
        <v>46184</v>
      </c>
      <c r="B3223" t="s">
        <v>8</v>
      </c>
      <c r="C3223" t="s">
        <v>19</v>
      </c>
      <c r="D3223" t="str">
        <f>_xlfn.XLOOKUP(tblSales[[#This Row],[Store ID]],tblStores[Store ID],tblStores[Store Name])</f>
        <v>Gateway</v>
      </c>
      <c r="E3223" t="str">
        <f>_xlfn.XLOOKUP(tblSales[[#This Row],[Store ID]],tblStores[Store ID],tblStores[Province])</f>
        <v>KZN</v>
      </c>
      <c r="F3223" t="str">
        <f>_xlfn.XLOOKUP(tblSales[[#This Row],[Store ID]],tblStores[Store ID],tblStores[Manager])</f>
        <v>Michael Jones</v>
      </c>
      <c r="G3223" t="str">
        <f>_xlfn.XLOOKUP(tblSales[[#This Row],[Category ID]],tblCategories[Category ID],tblCategories[Category])</f>
        <v>Accessories</v>
      </c>
      <c r="H3223">
        <v>32132</v>
      </c>
      <c r="I3223">
        <v>35678</v>
      </c>
      <c r="J3223">
        <v>116</v>
      </c>
      <c r="K3223">
        <f>tblSales[[#This Row],[Sales]]-tblSales[[#This Row],[Budget]]</f>
        <v>-3546</v>
      </c>
      <c r="L3223" s="3">
        <f>(tblSales[[#This Row],[Sales]]-tblSales[[#This Row],[Budget]])/tblSales[[#This Row],[Budget]]</f>
        <v>-9.9388979202870112E-2</v>
      </c>
      <c r="M3223" s="2">
        <f>tblSales[[#This Row],[Sales]]/tblSales[[#This Row],[Transactions]]</f>
        <v>277</v>
      </c>
    </row>
    <row r="3224" spans="1:13" x14ac:dyDescent="0.25">
      <c r="A3224" s="1">
        <v>46184</v>
      </c>
      <c r="B3224" t="s">
        <v>10</v>
      </c>
      <c r="C3224" t="s">
        <v>7</v>
      </c>
      <c r="D3224" t="str">
        <f>_xlfn.XLOOKUP(tblSales[[#This Row],[Store ID]],tblStores[Store ID],tblStores[Store Name])</f>
        <v>Ballito</v>
      </c>
      <c r="E3224" t="str">
        <f>_xlfn.XLOOKUP(tblSales[[#This Row],[Store ID]],tblStores[Store ID],tblStores[Province])</f>
        <v>KZN</v>
      </c>
      <c r="F3224" t="str">
        <f>_xlfn.XLOOKUP(tblSales[[#This Row],[Store ID]],tblStores[Store ID],tblStores[Manager])</f>
        <v>Linda Smith</v>
      </c>
      <c r="G3224" t="str">
        <f>_xlfn.XLOOKUP(tblSales[[#This Row],[Category ID]],tblCategories[Category ID],tblCategories[Category])</f>
        <v>Menswear</v>
      </c>
      <c r="H3224">
        <v>98697</v>
      </c>
      <c r="I3224">
        <v>89023</v>
      </c>
      <c r="J3224">
        <v>197</v>
      </c>
      <c r="K3224">
        <f>tblSales[[#This Row],[Sales]]-tblSales[[#This Row],[Budget]]</f>
        <v>9674</v>
      </c>
      <c r="L3224" s="3">
        <f>(tblSales[[#This Row],[Sales]]-tblSales[[#This Row],[Budget]])/tblSales[[#This Row],[Budget]]</f>
        <v>0.10866854633072352</v>
      </c>
      <c r="M3224" s="2">
        <f>tblSales[[#This Row],[Sales]]/tblSales[[#This Row],[Transactions]]</f>
        <v>501</v>
      </c>
    </row>
    <row r="3225" spans="1:13" x14ac:dyDescent="0.25">
      <c r="A3225" s="1">
        <v>46184</v>
      </c>
      <c r="B3225" t="s">
        <v>12</v>
      </c>
      <c r="C3225" t="s">
        <v>9</v>
      </c>
      <c r="D3225" t="str">
        <f>_xlfn.XLOOKUP(tblSales[[#This Row],[Store ID]],tblStores[Store ID],tblStores[Store Name])</f>
        <v>Pietermaritzburg</v>
      </c>
      <c r="E3225" t="str">
        <f>_xlfn.XLOOKUP(tblSales[[#This Row],[Store ID]],tblStores[Store ID],tblStores[Province])</f>
        <v>KZN</v>
      </c>
      <c r="F3225" t="str">
        <f>_xlfn.XLOOKUP(tblSales[[#This Row],[Store ID]],tblStores[Store ID],tblStores[Manager])</f>
        <v>Peter Brown</v>
      </c>
      <c r="G3225" t="str">
        <f>_xlfn.XLOOKUP(tblSales[[#This Row],[Category ID]],tblCategories[Category ID],tblCategories[Category])</f>
        <v>Ladieswear</v>
      </c>
      <c r="H3225">
        <v>68820</v>
      </c>
      <c r="I3225">
        <v>76942</v>
      </c>
      <c r="J3225">
        <v>185</v>
      </c>
      <c r="K3225">
        <f>tblSales[[#This Row],[Sales]]-tblSales[[#This Row],[Budget]]</f>
        <v>-8122</v>
      </c>
      <c r="L3225" s="3">
        <f>(tblSales[[#This Row],[Sales]]-tblSales[[#This Row],[Budget]])/tblSales[[#This Row],[Budget]]</f>
        <v>-0.10556003223207092</v>
      </c>
      <c r="M3225" s="2">
        <f>tblSales[[#This Row],[Sales]]/tblSales[[#This Row],[Transactions]]</f>
        <v>372</v>
      </c>
    </row>
    <row r="3226" spans="1:13" x14ac:dyDescent="0.25">
      <c r="A3226" s="1">
        <v>46184</v>
      </c>
      <c r="B3226" t="s">
        <v>13</v>
      </c>
      <c r="C3226" t="s">
        <v>9</v>
      </c>
      <c r="D3226" t="str">
        <f>_xlfn.XLOOKUP(tblSales[[#This Row],[Store ID]],tblStores[Store ID],tblStores[Store Name])</f>
        <v>Richards Bay</v>
      </c>
      <c r="E3226" t="str">
        <f>_xlfn.XLOOKUP(tblSales[[#This Row],[Store ID]],tblStores[Store ID],tblStores[Province])</f>
        <v>KZN</v>
      </c>
      <c r="F3226" t="str">
        <f>_xlfn.XLOOKUP(tblSales[[#This Row],[Store ID]],tblStores[Store ID],tblStores[Manager])</f>
        <v>David Green</v>
      </c>
      <c r="G3226" t="str">
        <f>_xlfn.XLOOKUP(tblSales[[#This Row],[Category ID]],tblCategories[Category ID],tblCategories[Category])</f>
        <v>Ladieswear</v>
      </c>
      <c r="H3226">
        <v>57960</v>
      </c>
      <c r="I3226">
        <v>56007</v>
      </c>
      <c r="J3226">
        <v>207</v>
      </c>
      <c r="K3226">
        <f>tblSales[[#This Row],[Sales]]-tblSales[[#This Row],[Budget]]</f>
        <v>1953</v>
      </c>
      <c r="L3226" s="3">
        <f>(tblSales[[#This Row],[Sales]]-tblSales[[#This Row],[Budget]])/tblSales[[#This Row],[Budget]]</f>
        <v>3.4870641169853771E-2</v>
      </c>
      <c r="M3226" s="2">
        <f>tblSales[[#This Row],[Sales]]/tblSales[[#This Row],[Transactions]]</f>
        <v>280</v>
      </c>
    </row>
    <row r="3227" spans="1:13" x14ac:dyDescent="0.25">
      <c r="A3227" s="1">
        <v>46184</v>
      </c>
      <c r="B3227" t="s">
        <v>14</v>
      </c>
      <c r="C3227" t="s">
        <v>9</v>
      </c>
      <c r="D3227" t="str">
        <f>_xlfn.XLOOKUP(tblSales[[#This Row],[Store ID]],tblStores[Store ID],tblStores[Store Name])</f>
        <v>Sandton</v>
      </c>
      <c r="E3227" t="str">
        <f>_xlfn.XLOOKUP(tblSales[[#This Row],[Store ID]],tblStores[Store ID],tblStores[Province])</f>
        <v>Gauteng</v>
      </c>
      <c r="F3227" t="str">
        <f>_xlfn.XLOOKUP(tblSales[[#This Row],[Store ID]],tblStores[Store ID],tblStores[Manager])</f>
        <v>Karen White</v>
      </c>
      <c r="G3227" t="str">
        <f>_xlfn.XLOOKUP(tblSales[[#This Row],[Category ID]],tblCategories[Category ID],tblCategories[Category])</f>
        <v>Ladieswear</v>
      </c>
      <c r="H3227">
        <v>43725</v>
      </c>
      <c r="I3227">
        <v>47371</v>
      </c>
      <c r="J3227">
        <v>159</v>
      </c>
      <c r="K3227">
        <f>tblSales[[#This Row],[Sales]]-tblSales[[#This Row],[Budget]]</f>
        <v>-3646</v>
      </c>
      <c r="L3227" s="3">
        <f>(tblSales[[#This Row],[Sales]]-tblSales[[#This Row],[Budget]])/tblSales[[#This Row],[Budget]]</f>
        <v>-7.6966920689873555E-2</v>
      </c>
      <c r="M3227" s="2">
        <f>tblSales[[#This Row],[Sales]]/tblSales[[#This Row],[Transactions]]</f>
        <v>275</v>
      </c>
    </row>
    <row r="3228" spans="1:13" x14ac:dyDescent="0.25">
      <c r="A3228" s="1">
        <v>46184</v>
      </c>
      <c r="B3228" t="s">
        <v>15</v>
      </c>
      <c r="C3228" t="s">
        <v>22</v>
      </c>
      <c r="D3228" t="str">
        <f>_xlfn.XLOOKUP(tblSales[[#This Row],[Store ID]],tblStores[Store ID],tblStores[Store Name])</f>
        <v>Rosebank</v>
      </c>
      <c r="E3228" t="str">
        <f>_xlfn.XLOOKUP(tblSales[[#This Row],[Store ID]],tblStores[Store ID],tblStores[Province])</f>
        <v>Gauteng</v>
      </c>
      <c r="F3228" t="str">
        <f>_xlfn.XLOOKUP(tblSales[[#This Row],[Store ID]],tblStores[Store ID],tblStores[Manager])</f>
        <v>James Taylor</v>
      </c>
      <c r="G3228" t="str">
        <f>_xlfn.XLOOKUP(tblSales[[#This Row],[Category ID]],tblCategories[Category ID],tblCategories[Category])</f>
        <v>Kids</v>
      </c>
      <c r="H3228">
        <v>19108</v>
      </c>
      <c r="I3228">
        <v>20229</v>
      </c>
      <c r="J3228">
        <v>68</v>
      </c>
      <c r="K3228">
        <f>tblSales[[#This Row],[Sales]]-tblSales[[#This Row],[Budget]]</f>
        <v>-1121</v>
      </c>
      <c r="L3228" s="3">
        <f>(tblSales[[#This Row],[Sales]]-tblSales[[#This Row],[Budget]])/tblSales[[#This Row],[Budget]]</f>
        <v>-5.5415492609619851E-2</v>
      </c>
      <c r="M3228" s="2">
        <f>tblSales[[#This Row],[Sales]]/tblSales[[#This Row],[Transactions]]</f>
        <v>281</v>
      </c>
    </row>
    <row r="3229" spans="1:13" x14ac:dyDescent="0.25">
      <c r="A3229" s="1">
        <v>46184</v>
      </c>
      <c r="B3229" t="s">
        <v>16</v>
      </c>
      <c r="C3229" t="s">
        <v>7</v>
      </c>
      <c r="D3229" t="str">
        <f>_xlfn.XLOOKUP(tblSales[[#This Row],[Store ID]],tblStores[Store ID],tblStores[Store Name])</f>
        <v>Pretoria</v>
      </c>
      <c r="E3229" t="str">
        <f>_xlfn.XLOOKUP(tblSales[[#This Row],[Store ID]],tblStores[Store ID],tblStores[Province])</f>
        <v>Gauteng</v>
      </c>
      <c r="F3229" t="str">
        <f>_xlfn.XLOOKUP(tblSales[[#This Row],[Store ID]],tblStores[Store ID],tblStores[Manager])</f>
        <v>Susan Clark</v>
      </c>
      <c r="G3229" t="str">
        <f>_xlfn.XLOOKUP(tblSales[[#This Row],[Category ID]],tblCategories[Category ID],tblCategories[Category])</f>
        <v>Menswear</v>
      </c>
      <c r="H3229">
        <v>48263</v>
      </c>
      <c r="I3229">
        <v>43475</v>
      </c>
      <c r="J3229">
        <v>167</v>
      </c>
      <c r="K3229">
        <f>tblSales[[#This Row],[Sales]]-tblSales[[#This Row],[Budget]]</f>
        <v>4788</v>
      </c>
      <c r="L3229" s="3">
        <f>(tblSales[[#This Row],[Sales]]-tblSales[[#This Row],[Budget]])/tblSales[[#This Row],[Budget]]</f>
        <v>0.11013225991949396</v>
      </c>
      <c r="M3229" s="2">
        <f>tblSales[[#This Row],[Sales]]/tblSales[[#This Row],[Transactions]]</f>
        <v>289</v>
      </c>
    </row>
    <row r="3230" spans="1:13" x14ac:dyDescent="0.25">
      <c r="A3230" s="1">
        <v>46184</v>
      </c>
      <c r="B3230" t="s">
        <v>17</v>
      </c>
      <c r="C3230" t="s">
        <v>7</v>
      </c>
      <c r="D3230" t="str">
        <f>_xlfn.XLOOKUP(tblSales[[#This Row],[Store ID]],tblStores[Store ID],tblStores[Store Name])</f>
        <v>Centurion</v>
      </c>
      <c r="E3230" t="str">
        <f>_xlfn.XLOOKUP(tblSales[[#This Row],[Store ID]],tblStores[Store ID],tblStores[Province])</f>
        <v>Gauteng</v>
      </c>
      <c r="F3230" t="str">
        <f>_xlfn.XLOOKUP(tblSales[[#This Row],[Store ID]],tblStores[Store ID],tblStores[Manager])</f>
        <v>Mark Wilson</v>
      </c>
      <c r="G3230" t="str">
        <f>_xlfn.XLOOKUP(tblSales[[#This Row],[Category ID]],tblCategories[Category ID],tblCategories[Category])</f>
        <v>Menswear</v>
      </c>
      <c r="H3230">
        <v>74400</v>
      </c>
      <c r="I3230">
        <v>78328</v>
      </c>
      <c r="J3230">
        <v>160</v>
      </c>
      <c r="K3230">
        <f>tblSales[[#This Row],[Sales]]-tblSales[[#This Row],[Budget]]</f>
        <v>-3928</v>
      </c>
      <c r="L3230" s="3">
        <f>(tblSales[[#This Row],[Sales]]-tblSales[[#This Row],[Budget]])/tblSales[[#This Row],[Budget]]</f>
        <v>-5.0148095189459709E-2</v>
      </c>
      <c r="M3230" s="2">
        <f>tblSales[[#This Row],[Sales]]/tblSales[[#This Row],[Transactions]]</f>
        <v>465</v>
      </c>
    </row>
    <row r="3231" spans="1:13" x14ac:dyDescent="0.25">
      <c r="A3231" s="1">
        <v>46184</v>
      </c>
      <c r="B3231" t="s">
        <v>18</v>
      </c>
      <c r="C3231" t="s">
        <v>9</v>
      </c>
      <c r="D3231" t="str">
        <f>_xlfn.XLOOKUP(tblSales[[#This Row],[Store ID]],tblStores[Store ID],tblStores[Store Name])</f>
        <v>East Rand</v>
      </c>
      <c r="E3231" t="str">
        <f>_xlfn.XLOOKUP(tblSales[[#This Row],[Store ID]],tblStores[Store ID],tblStores[Province])</f>
        <v>Gauteng</v>
      </c>
      <c r="F3231" t="str">
        <f>_xlfn.XLOOKUP(tblSales[[#This Row],[Store ID]],tblStores[Store ID],tblStores[Manager])</f>
        <v>Lisa Young</v>
      </c>
      <c r="G3231" t="str">
        <f>_xlfn.XLOOKUP(tblSales[[#This Row],[Category ID]],tblCategories[Category ID],tblCategories[Category])</f>
        <v>Ladieswear</v>
      </c>
      <c r="H3231">
        <v>17336</v>
      </c>
      <c r="I3231">
        <v>18584</v>
      </c>
      <c r="J3231">
        <v>44</v>
      </c>
      <c r="K3231">
        <f>tblSales[[#This Row],[Sales]]-tblSales[[#This Row],[Budget]]</f>
        <v>-1248</v>
      </c>
      <c r="L3231" s="3">
        <f>(tblSales[[#This Row],[Sales]]-tblSales[[#This Row],[Budget]])/tblSales[[#This Row],[Budget]]</f>
        <v>-6.7154541541110627E-2</v>
      </c>
      <c r="M3231" s="2">
        <f>tblSales[[#This Row],[Sales]]/tblSales[[#This Row],[Transactions]]</f>
        <v>394</v>
      </c>
    </row>
    <row r="3232" spans="1:13" x14ac:dyDescent="0.25">
      <c r="A3232" s="1">
        <v>46184</v>
      </c>
      <c r="B3232" t="s">
        <v>20</v>
      </c>
      <c r="C3232" t="s">
        <v>19</v>
      </c>
      <c r="D3232" t="str">
        <f>_xlfn.XLOOKUP(tblSales[[#This Row],[Store ID]],tblStores[Store ID],tblStores[Store Name])</f>
        <v>Cape Town CBD</v>
      </c>
      <c r="E3232" t="str">
        <f>_xlfn.XLOOKUP(tblSales[[#This Row],[Store ID]],tblStores[Store ID],tblStores[Province])</f>
        <v>Western Cape</v>
      </c>
      <c r="F3232" t="str">
        <f>_xlfn.XLOOKUP(tblSales[[#This Row],[Store ID]],tblStores[Store ID],tblStores[Manager])</f>
        <v>Brian Hall</v>
      </c>
      <c r="G3232" t="str">
        <f>_xlfn.XLOOKUP(tblSales[[#This Row],[Category ID]],tblCategories[Category ID],tblCategories[Category])</f>
        <v>Accessories</v>
      </c>
      <c r="H3232">
        <v>66396</v>
      </c>
      <c r="I3232">
        <v>69448</v>
      </c>
      <c r="J3232">
        <v>132</v>
      </c>
      <c r="K3232">
        <f>tblSales[[#This Row],[Sales]]-tblSales[[#This Row],[Budget]]</f>
        <v>-3052</v>
      </c>
      <c r="L3232" s="3">
        <f>(tblSales[[#This Row],[Sales]]-tblSales[[#This Row],[Budget]])/tblSales[[#This Row],[Budget]]</f>
        <v>-4.3946549936643244E-2</v>
      </c>
      <c r="M3232" s="2">
        <f>tblSales[[#This Row],[Sales]]/tblSales[[#This Row],[Transactions]]</f>
        <v>503</v>
      </c>
    </row>
    <row r="3233" spans="1:13" x14ac:dyDescent="0.25">
      <c r="A3233" s="1">
        <v>46184</v>
      </c>
      <c r="B3233" t="s">
        <v>21</v>
      </c>
      <c r="C3233" t="s">
        <v>22</v>
      </c>
      <c r="D3233" t="str">
        <f>_xlfn.XLOOKUP(tblSales[[#This Row],[Store ID]],tblStores[Store ID],tblStores[Store Name])</f>
        <v>Canal Walk</v>
      </c>
      <c r="E3233" t="str">
        <f>_xlfn.XLOOKUP(tblSales[[#This Row],[Store ID]],tblStores[Store ID],tblStores[Province])</f>
        <v>Western Cape</v>
      </c>
      <c r="F3233" t="str">
        <f>_xlfn.XLOOKUP(tblSales[[#This Row],[Store ID]],tblStores[Store ID],tblStores[Manager])</f>
        <v>Megan Scott</v>
      </c>
      <c r="G3233" t="str">
        <f>_xlfn.XLOOKUP(tblSales[[#This Row],[Category ID]],tblCategories[Category ID],tblCategories[Category])</f>
        <v>Kids</v>
      </c>
      <c r="H3233">
        <v>71258</v>
      </c>
      <c r="I3233">
        <v>75835</v>
      </c>
      <c r="J3233">
        <v>158</v>
      </c>
      <c r="K3233">
        <f>tblSales[[#This Row],[Sales]]-tblSales[[#This Row],[Budget]]</f>
        <v>-4577</v>
      </c>
      <c r="L3233" s="3">
        <f>(tblSales[[#This Row],[Sales]]-tblSales[[#This Row],[Budget]])/tblSales[[#This Row],[Budget]]</f>
        <v>-6.0354717478736733E-2</v>
      </c>
      <c r="M3233" s="2">
        <f>tblSales[[#This Row],[Sales]]/tblSales[[#This Row],[Transactions]]</f>
        <v>451</v>
      </c>
    </row>
    <row r="3234" spans="1:13" x14ac:dyDescent="0.25">
      <c r="A3234" s="1">
        <v>46184</v>
      </c>
      <c r="B3234" t="s">
        <v>23</v>
      </c>
      <c r="C3234" t="s">
        <v>9</v>
      </c>
      <c r="D3234" t="str">
        <f>_xlfn.XLOOKUP(tblSales[[#This Row],[Store ID]],tblStores[Store ID],tblStores[Store Name])</f>
        <v>Stellenbosch</v>
      </c>
      <c r="E3234" t="str">
        <f>_xlfn.XLOOKUP(tblSales[[#This Row],[Store ID]],tblStores[Store ID],tblStores[Province])</f>
        <v>Western Cape</v>
      </c>
      <c r="F3234" t="str">
        <f>_xlfn.XLOOKUP(tblSales[[#This Row],[Store ID]],tblStores[Store ID],tblStores[Manager])</f>
        <v>Jason King</v>
      </c>
      <c r="G3234" t="str">
        <f>_xlfn.XLOOKUP(tblSales[[#This Row],[Category ID]],tblCategories[Category ID],tblCategories[Category])</f>
        <v>Ladieswear</v>
      </c>
      <c r="H3234">
        <v>33078</v>
      </c>
      <c r="I3234">
        <v>37006</v>
      </c>
      <c r="J3234">
        <v>111</v>
      </c>
      <c r="K3234">
        <f>tblSales[[#This Row],[Sales]]-tblSales[[#This Row],[Budget]]</f>
        <v>-3928</v>
      </c>
      <c r="L3234" s="3">
        <f>(tblSales[[#This Row],[Sales]]-tblSales[[#This Row],[Budget]])/tblSales[[#This Row],[Budget]]</f>
        <v>-0.10614494946765389</v>
      </c>
      <c r="M3234" s="2">
        <f>tblSales[[#This Row],[Sales]]/tblSales[[#This Row],[Transactions]]</f>
        <v>298</v>
      </c>
    </row>
    <row r="3235" spans="1:13" x14ac:dyDescent="0.25">
      <c r="A3235" s="1">
        <v>46184</v>
      </c>
      <c r="B3235" t="s">
        <v>24</v>
      </c>
      <c r="C3235" t="s">
        <v>11</v>
      </c>
      <c r="D3235" t="str">
        <f>_xlfn.XLOOKUP(tblSales[[#This Row],[Store ID]],tblStores[Store ID],tblStores[Store Name])</f>
        <v>George</v>
      </c>
      <c r="E3235" t="str">
        <f>_xlfn.XLOOKUP(tblSales[[#This Row],[Store ID]],tblStores[Store ID],tblStores[Province])</f>
        <v>Western Cape</v>
      </c>
      <c r="F3235" t="str">
        <f>_xlfn.XLOOKUP(tblSales[[#This Row],[Store ID]],tblStores[Store ID],tblStores[Manager])</f>
        <v>Chloe Hill</v>
      </c>
      <c r="G3235" t="str">
        <f>_xlfn.XLOOKUP(tblSales[[#This Row],[Category ID]],tblCategories[Category ID],tblCategories[Category])</f>
        <v>Footwear</v>
      </c>
      <c r="H3235">
        <v>80320</v>
      </c>
      <c r="I3235">
        <v>80163</v>
      </c>
      <c r="J3235">
        <v>160</v>
      </c>
      <c r="K3235">
        <f>tblSales[[#This Row],[Sales]]-tblSales[[#This Row],[Budget]]</f>
        <v>157</v>
      </c>
      <c r="L3235" s="3">
        <f>(tblSales[[#This Row],[Sales]]-tblSales[[#This Row],[Budget]])/tblSales[[#This Row],[Budget]]</f>
        <v>1.958509536818732E-3</v>
      </c>
      <c r="M3235" s="2">
        <f>tblSales[[#This Row],[Sales]]/tblSales[[#This Row],[Transactions]]</f>
        <v>502</v>
      </c>
    </row>
    <row r="3236" spans="1:13" x14ac:dyDescent="0.25">
      <c r="A3236" s="1">
        <v>46184</v>
      </c>
      <c r="B3236" t="s">
        <v>25</v>
      </c>
      <c r="C3236" t="s">
        <v>22</v>
      </c>
      <c r="D3236" t="str">
        <f>_xlfn.XLOOKUP(tblSales[[#This Row],[Store ID]],tblStores[Store ID],tblStores[Store Name])</f>
        <v>Paarl</v>
      </c>
      <c r="E3236" t="str">
        <f>_xlfn.XLOOKUP(tblSales[[#This Row],[Store ID]],tblStores[Store ID],tblStores[Province])</f>
        <v>Western Cape</v>
      </c>
      <c r="F3236" t="str">
        <f>_xlfn.XLOOKUP(tblSales[[#This Row],[Store ID]],tblStores[Store ID],tblStores[Manager])</f>
        <v>Andrew Lee</v>
      </c>
      <c r="G3236" t="str">
        <f>_xlfn.XLOOKUP(tblSales[[#This Row],[Category ID]],tblCategories[Category ID],tblCategories[Category])</f>
        <v>Kids</v>
      </c>
      <c r="H3236">
        <v>74124</v>
      </c>
      <c r="I3236">
        <v>72185</v>
      </c>
      <c r="J3236">
        <v>174</v>
      </c>
      <c r="K3236">
        <f>tblSales[[#This Row],[Sales]]-tblSales[[#This Row],[Budget]]</f>
        <v>1939</v>
      </c>
      <c r="L3236" s="3">
        <f>(tblSales[[#This Row],[Sales]]-tblSales[[#This Row],[Budget]])/tblSales[[#This Row],[Budget]]</f>
        <v>2.6861536330262521E-2</v>
      </c>
      <c r="M3236" s="2">
        <f>tblSales[[#This Row],[Sales]]/tblSales[[#This Row],[Transactions]]</f>
        <v>426</v>
      </c>
    </row>
    <row r="3237" spans="1:13" x14ac:dyDescent="0.25">
      <c r="A3237" s="1">
        <v>46184</v>
      </c>
      <c r="B3237" t="s">
        <v>26</v>
      </c>
      <c r="C3237" t="s">
        <v>9</v>
      </c>
      <c r="D3237" t="str">
        <f>_xlfn.XLOOKUP(tblSales[[#This Row],[Store ID]],tblStores[Store ID],tblStores[Store Name])</f>
        <v>Gqeberha</v>
      </c>
      <c r="E3237" t="str">
        <f>_xlfn.XLOOKUP(tblSales[[#This Row],[Store ID]],tblStores[Store ID],tblStores[Province])</f>
        <v>Eastern Cape</v>
      </c>
      <c r="F3237" t="str">
        <f>_xlfn.XLOOKUP(tblSales[[#This Row],[Store ID]],tblStores[Store ID],tblStores[Manager])</f>
        <v>Emma Baker</v>
      </c>
      <c r="G3237" t="str">
        <f>_xlfn.XLOOKUP(tblSales[[#This Row],[Category ID]],tblCategories[Category ID],tblCategories[Category])</f>
        <v>Ladieswear</v>
      </c>
      <c r="H3237">
        <v>20601</v>
      </c>
      <c r="I3237">
        <v>20701</v>
      </c>
      <c r="J3237">
        <v>63</v>
      </c>
      <c r="K3237">
        <f>tblSales[[#This Row],[Sales]]-tblSales[[#This Row],[Budget]]</f>
        <v>-100</v>
      </c>
      <c r="L3237" s="3">
        <f>(tblSales[[#This Row],[Sales]]-tblSales[[#This Row],[Budget]])/tblSales[[#This Row],[Budget]]</f>
        <v>-4.8306845079947825E-3</v>
      </c>
      <c r="M3237" s="2">
        <f>tblSales[[#This Row],[Sales]]/tblSales[[#This Row],[Transactions]]</f>
        <v>327</v>
      </c>
    </row>
    <row r="3238" spans="1:13" x14ac:dyDescent="0.25">
      <c r="A3238" s="1">
        <v>46184</v>
      </c>
      <c r="B3238" t="s">
        <v>27</v>
      </c>
      <c r="C3238" t="s">
        <v>11</v>
      </c>
      <c r="D3238" t="str">
        <f>_xlfn.XLOOKUP(tblSales[[#This Row],[Store ID]],tblStores[Store ID],tblStores[Store Name])</f>
        <v>East London</v>
      </c>
      <c r="E3238" t="str">
        <f>_xlfn.XLOOKUP(tblSales[[#This Row],[Store ID]],tblStores[Store ID],tblStores[Province])</f>
        <v>Eastern Cape</v>
      </c>
      <c r="F3238" t="str">
        <f>_xlfn.XLOOKUP(tblSales[[#This Row],[Store ID]],tblStores[Store ID],tblStores[Manager])</f>
        <v>Daniel Evans</v>
      </c>
      <c r="G3238" t="str">
        <f>_xlfn.XLOOKUP(tblSales[[#This Row],[Category ID]],tblCategories[Category ID],tblCategories[Category])</f>
        <v>Footwear</v>
      </c>
      <c r="H3238">
        <v>36108</v>
      </c>
      <c r="I3238">
        <v>38476</v>
      </c>
      <c r="J3238">
        <v>118</v>
      </c>
      <c r="K3238">
        <f>tblSales[[#This Row],[Sales]]-tblSales[[#This Row],[Budget]]</f>
        <v>-2368</v>
      </c>
      <c r="L3238" s="3">
        <f>(tblSales[[#This Row],[Sales]]-tblSales[[#This Row],[Budget]])/tblSales[[#This Row],[Budget]]</f>
        <v>-6.1544859132966007E-2</v>
      </c>
      <c r="M3238" s="2">
        <f>tblSales[[#This Row],[Sales]]/tblSales[[#This Row],[Transactions]]</f>
        <v>306</v>
      </c>
    </row>
    <row r="3239" spans="1:13" x14ac:dyDescent="0.25">
      <c r="A3239" s="1">
        <v>46184</v>
      </c>
      <c r="B3239" t="s">
        <v>28</v>
      </c>
      <c r="C3239" t="s">
        <v>7</v>
      </c>
      <c r="D3239" t="str">
        <f>_xlfn.XLOOKUP(tblSales[[#This Row],[Store ID]],tblStores[Store ID],tblStores[Store Name])</f>
        <v>Bloemfontein</v>
      </c>
      <c r="E3239" t="str">
        <f>_xlfn.XLOOKUP(tblSales[[#This Row],[Store ID]],tblStores[Store ID],tblStores[Province])</f>
        <v>Free State</v>
      </c>
      <c r="F3239" t="str">
        <f>_xlfn.XLOOKUP(tblSales[[#This Row],[Store ID]],tblStores[Store ID],tblStores[Manager])</f>
        <v>Rachel Moore</v>
      </c>
      <c r="G3239" t="str">
        <f>_xlfn.XLOOKUP(tblSales[[#This Row],[Category ID]],tblCategories[Category ID],tblCategories[Category])</f>
        <v>Menswear</v>
      </c>
      <c r="H3239">
        <v>33360</v>
      </c>
      <c r="I3239">
        <v>37999</v>
      </c>
      <c r="J3239">
        <v>80</v>
      </c>
      <c r="K3239">
        <f>tblSales[[#This Row],[Sales]]-tblSales[[#This Row],[Budget]]</f>
        <v>-4639</v>
      </c>
      <c r="L3239" s="3">
        <f>(tblSales[[#This Row],[Sales]]-tblSales[[#This Row],[Budget]])/tblSales[[#This Row],[Budget]]</f>
        <v>-0.12208216005684359</v>
      </c>
      <c r="M3239" s="2">
        <f>tblSales[[#This Row],[Sales]]/tblSales[[#This Row],[Transactions]]</f>
        <v>417</v>
      </c>
    </row>
    <row r="3240" spans="1:13" x14ac:dyDescent="0.25">
      <c r="A3240" s="1">
        <v>46184</v>
      </c>
      <c r="B3240" t="s">
        <v>29</v>
      </c>
      <c r="C3240" t="s">
        <v>7</v>
      </c>
      <c r="D3240" t="str">
        <f>_xlfn.XLOOKUP(tblSales[[#This Row],[Store ID]],tblStores[Store ID],tblStores[Store Name])</f>
        <v>Polokwane</v>
      </c>
      <c r="E3240" t="str">
        <f>_xlfn.XLOOKUP(tblSales[[#This Row],[Store ID]],tblStores[Store ID],tblStores[Province])</f>
        <v>Limpopo</v>
      </c>
      <c r="F3240" t="str">
        <f>_xlfn.XLOOKUP(tblSales[[#This Row],[Store ID]],tblStores[Store ID],tblStores[Manager])</f>
        <v>Kevin Harris</v>
      </c>
      <c r="G3240" t="str">
        <f>_xlfn.XLOOKUP(tblSales[[#This Row],[Category ID]],tblCategories[Category ID],tblCategories[Category])</f>
        <v>Menswear</v>
      </c>
      <c r="H3240">
        <v>47109</v>
      </c>
      <c r="I3240">
        <v>50698</v>
      </c>
      <c r="J3240">
        <v>123</v>
      </c>
      <c r="K3240">
        <f>tblSales[[#This Row],[Sales]]-tblSales[[#This Row],[Budget]]</f>
        <v>-3589</v>
      </c>
      <c r="L3240" s="3">
        <f>(tblSales[[#This Row],[Sales]]-tblSales[[#This Row],[Budget]])/tblSales[[#This Row],[Budget]]</f>
        <v>-7.0791747208962877E-2</v>
      </c>
      <c r="M3240" s="2">
        <f>tblSales[[#This Row],[Sales]]/tblSales[[#This Row],[Transactions]]</f>
        <v>383</v>
      </c>
    </row>
    <row r="3241" spans="1:13" x14ac:dyDescent="0.25">
      <c r="A3241" s="1">
        <v>46184</v>
      </c>
      <c r="B3241" t="s">
        <v>30</v>
      </c>
      <c r="C3241" t="s">
        <v>11</v>
      </c>
      <c r="D3241" t="str">
        <f>_xlfn.XLOOKUP(tblSales[[#This Row],[Store ID]],tblStores[Store ID],tblStores[Store Name])</f>
        <v>Nelspruit</v>
      </c>
      <c r="E3241" t="str">
        <f>_xlfn.XLOOKUP(tblSales[[#This Row],[Store ID]],tblStores[Store ID],tblStores[Province])</f>
        <v>Mpumalanga</v>
      </c>
      <c r="F3241" t="str">
        <f>_xlfn.XLOOKUP(tblSales[[#This Row],[Store ID]],tblStores[Store ID],tblStores[Manager])</f>
        <v>Olivia Turner</v>
      </c>
      <c r="G3241" t="str">
        <f>_xlfn.XLOOKUP(tblSales[[#This Row],[Category ID]],tblCategories[Category ID],tblCategories[Category])</f>
        <v>Footwear</v>
      </c>
      <c r="H3241">
        <v>77920</v>
      </c>
      <c r="I3241">
        <v>78153</v>
      </c>
      <c r="J3241">
        <v>160</v>
      </c>
      <c r="K3241">
        <f>tblSales[[#This Row],[Sales]]-tblSales[[#This Row],[Budget]]</f>
        <v>-233</v>
      </c>
      <c r="L3241" s="3">
        <f>(tblSales[[#This Row],[Sales]]-tblSales[[#This Row],[Budget]])/tblSales[[#This Row],[Budget]]</f>
        <v>-2.9813314907936993E-3</v>
      </c>
      <c r="M3241" s="2">
        <f>tblSales[[#This Row],[Sales]]/tblSales[[#This Row],[Transactions]]</f>
        <v>487</v>
      </c>
    </row>
    <row r="3242" spans="1:13" x14ac:dyDescent="0.25">
      <c r="A3242" s="1">
        <v>46185</v>
      </c>
      <c r="B3242" t="s">
        <v>6</v>
      </c>
      <c r="C3242" t="s">
        <v>9</v>
      </c>
      <c r="D3242" t="str">
        <f>_xlfn.XLOOKUP(tblSales[[#This Row],[Store ID]],tblStores[Store ID],tblStores[Store Name])</f>
        <v>Durban CBD</v>
      </c>
      <c r="E3242" t="str">
        <f>_xlfn.XLOOKUP(tblSales[[#This Row],[Store ID]],tblStores[Store ID],tblStores[Province])</f>
        <v>KZN</v>
      </c>
      <c r="F3242" t="str">
        <f>_xlfn.XLOOKUP(tblSales[[#This Row],[Store ID]],tblStores[Store ID],tblStores[Manager])</f>
        <v>Sarah Adams</v>
      </c>
      <c r="G3242" t="str">
        <f>_xlfn.XLOOKUP(tblSales[[#This Row],[Category ID]],tblCategories[Category ID],tblCategories[Category])</f>
        <v>Ladieswear</v>
      </c>
      <c r="H3242">
        <v>13776</v>
      </c>
      <c r="I3242">
        <v>13321</v>
      </c>
      <c r="J3242">
        <v>42</v>
      </c>
      <c r="K3242">
        <f>tblSales[[#This Row],[Sales]]-tblSales[[#This Row],[Budget]]</f>
        <v>455</v>
      </c>
      <c r="L3242" s="3">
        <f>(tblSales[[#This Row],[Sales]]-tblSales[[#This Row],[Budget]])/tblSales[[#This Row],[Budget]]</f>
        <v>3.415659485023647E-2</v>
      </c>
      <c r="M3242" s="2">
        <f>tblSales[[#This Row],[Sales]]/tblSales[[#This Row],[Transactions]]</f>
        <v>328</v>
      </c>
    </row>
    <row r="3243" spans="1:13" x14ac:dyDescent="0.25">
      <c r="A3243" s="1">
        <v>46185</v>
      </c>
      <c r="B3243" t="s">
        <v>8</v>
      </c>
      <c r="C3243" t="s">
        <v>9</v>
      </c>
      <c r="D3243" t="str">
        <f>_xlfn.XLOOKUP(tblSales[[#This Row],[Store ID]],tblStores[Store ID],tblStores[Store Name])</f>
        <v>Gateway</v>
      </c>
      <c r="E3243" t="str">
        <f>_xlfn.XLOOKUP(tblSales[[#This Row],[Store ID]],tblStores[Store ID],tblStores[Province])</f>
        <v>KZN</v>
      </c>
      <c r="F3243" t="str">
        <f>_xlfn.XLOOKUP(tblSales[[#This Row],[Store ID]],tblStores[Store ID],tblStores[Manager])</f>
        <v>Michael Jones</v>
      </c>
      <c r="G3243" t="str">
        <f>_xlfn.XLOOKUP(tblSales[[#This Row],[Category ID]],tblCategories[Category ID],tblCategories[Category])</f>
        <v>Ladieswear</v>
      </c>
      <c r="H3243">
        <v>29329</v>
      </c>
      <c r="I3243">
        <v>30518</v>
      </c>
      <c r="J3243">
        <v>139</v>
      </c>
      <c r="K3243">
        <f>tblSales[[#This Row],[Sales]]-tblSales[[#This Row],[Budget]]</f>
        <v>-1189</v>
      </c>
      <c r="L3243" s="3">
        <f>(tblSales[[#This Row],[Sales]]-tblSales[[#This Row],[Budget]])/tblSales[[#This Row],[Budget]]</f>
        <v>-3.8960613408480241E-2</v>
      </c>
      <c r="M3243" s="2">
        <f>tblSales[[#This Row],[Sales]]/tblSales[[#This Row],[Transactions]]</f>
        <v>211</v>
      </c>
    </row>
    <row r="3244" spans="1:13" x14ac:dyDescent="0.25">
      <c r="A3244" s="1">
        <v>46185</v>
      </c>
      <c r="B3244" t="s">
        <v>10</v>
      </c>
      <c r="C3244" t="s">
        <v>22</v>
      </c>
      <c r="D3244" t="str">
        <f>_xlfn.XLOOKUP(tblSales[[#This Row],[Store ID]],tblStores[Store ID],tblStores[Store Name])</f>
        <v>Ballito</v>
      </c>
      <c r="E3244" t="str">
        <f>_xlfn.XLOOKUP(tblSales[[#This Row],[Store ID]],tblStores[Store ID],tblStores[Province])</f>
        <v>KZN</v>
      </c>
      <c r="F3244" t="str">
        <f>_xlfn.XLOOKUP(tblSales[[#This Row],[Store ID]],tblStores[Store ID],tblStores[Manager])</f>
        <v>Linda Smith</v>
      </c>
      <c r="G3244" t="str">
        <f>_xlfn.XLOOKUP(tblSales[[#This Row],[Category ID]],tblCategories[Category ID],tblCategories[Category])</f>
        <v>Kids</v>
      </c>
      <c r="H3244">
        <v>34542</v>
      </c>
      <c r="I3244">
        <v>34638</v>
      </c>
      <c r="J3244">
        <v>101</v>
      </c>
      <c r="K3244">
        <f>tblSales[[#This Row],[Sales]]-tblSales[[#This Row],[Budget]]</f>
        <v>-96</v>
      </c>
      <c r="L3244" s="3">
        <f>(tblSales[[#This Row],[Sales]]-tblSales[[#This Row],[Budget]])/tblSales[[#This Row],[Budget]]</f>
        <v>-2.771522605231249E-3</v>
      </c>
      <c r="M3244" s="2">
        <f>tblSales[[#This Row],[Sales]]/tblSales[[#This Row],[Transactions]]</f>
        <v>342</v>
      </c>
    </row>
    <row r="3245" spans="1:13" x14ac:dyDescent="0.25">
      <c r="A3245" s="1">
        <v>46185</v>
      </c>
      <c r="B3245" t="s">
        <v>12</v>
      </c>
      <c r="C3245" t="s">
        <v>11</v>
      </c>
      <c r="D3245" t="str">
        <f>_xlfn.XLOOKUP(tblSales[[#This Row],[Store ID]],tblStores[Store ID],tblStores[Store Name])</f>
        <v>Pietermaritzburg</v>
      </c>
      <c r="E3245" t="str">
        <f>_xlfn.XLOOKUP(tblSales[[#This Row],[Store ID]],tblStores[Store ID],tblStores[Province])</f>
        <v>KZN</v>
      </c>
      <c r="F3245" t="str">
        <f>_xlfn.XLOOKUP(tblSales[[#This Row],[Store ID]],tblStores[Store ID],tblStores[Manager])</f>
        <v>Peter Brown</v>
      </c>
      <c r="G3245" t="str">
        <f>_xlfn.XLOOKUP(tblSales[[#This Row],[Category ID]],tblCategories[Category ID],tblCategories[Category])</f>
        <v>Footwear</v>
      </c>
      <c r="H3245">
        <v>54912</v>
      </c>
      <c r="I3245">
        <v>52999</v>
      </c>
      <c r="J3245">
        <v>143</v>
      </c>
      <c r="K3245">
        <f>tblSales[[#This Row],[Sales]]-tblSales[[#This Row],[Budget]]</f>
        <v>1913</v>
      </c>
      <c r="L3245" s="3">
        <f>(tblSales[[#This Row],[Sales]]-tblSales[[#This Row],[Budget]])/tblSales[[#This Row],[Budget]]</f>
        <v>3.6095020660767183E-2</v>
      </c>
      <c r="M3245" s="2">
        <f>tblSales[[#This Row],[Sales]]/tblSales[[#This Row],[Transactions]]</f>
        <v>384</v>
      </c>
    </row>
    <row r="3246" spans="1:13" x14ac:dyDescent="0.25">
      <c r="A3246" s="1">
        <v>46185</v>
      </c>
      <c r="B3246" t="s">
        <v>13</v>
      </c>
      <c r="C3246" t="s">
        <v>7</v>
      </c>
      <c r="D3246" t="str">
        <f>_xlfn.XLOOKUP(tblSales[[#This Row],[Store ID]],tblStores[Store ID],tblStores[Store Name])</f>
        <v>Richards Bay</v>
      </c>
      <c r="E3246" t="str">
        <f>_xlfn.XLOOKUP(tblSales[[#This Row],[Store ID]],tblStores[Store ID],tblStores[Province])</f>
        <v>KZN</v>
      </c>
      <c r="F3246" t="str">
        <f>_xlfn.XLOOKUP(tblSales[[#This Row],[Store ID]],tblStores[Store ID],tblStores[Manager])</f>
        <v>David Green</v>
      </c>
      <c r="G3246" t="str">
        <f>_xlfn.XLOOKUP(tblSales[[#This Row],[Category ID]],tblCategories[Category ID],tblCategories[Category])</f>
        <v>Menswear</v>
      </c>
      <c r="H3246">
        <v>44084</v>
      </c>
      <c r="I3246">
        <v>47700</v>
      </c>
      <c r="J3246">
        <v>103</v>
      </c>
      <c r="K3246">
        <f>tblSales[[#This Row],[Sales]]-tblSales[[#This Row],[Budget]]</f>
        <v>-3616</v>
      </c>
      <c r="L3246" s="3">
        <f>(tblSales[[#This Row],[Sales]]-tblSales[[#This Row],[Budget]])/tblSales[[#This Row],[Budget]]</f>
        <v>-7.5807127882599579E-2</v>
      </c>
      <c r="M3246" s="2">
        <f>tblSales[[#This Row],[Sales]]/tblSales[[#This Row],[Transactions]]</f>
        <v>428</v>
      </c>
    </row>
    <row r="3247" spans="1:13" x14ac:dyDescent="0.25">
      <c r="A3247" s="1">
        <v>46185</v>
      </c>
      <c r="B3247" t="s">
        <v>14</v>
      </c>
      <c r="C3247" t="s">
        <v>22</v>
      </c>
      <c r="D3247" t="str">
        <f>_xlfn.XLOOKUP(tblSales[[#This Row],[Store ID]],tblStores[Store ID],tblStores[Store Name])</f>
        <v>Sandton</v>
      </c>
      <c r="E3247" t="str">
        <f>_xlfn.XLOOKUP(tblSales[[#This Row],[Store ID]],tblStores[Store ID],tblStores[Province])</f>
        <v>Gauteng</v>
      </c>
      <c r="F3247" t="str">
        <f>_xlfn.XLOOKUP(tblSales[[#This Row],[Store ID]],tblStores[Store ID],tblStores[Manager])</f>
        <v>Karen White</v>
      </c>
      <c r="G3247" t="str">
        <f>_xlfn.XLOOKUP(tblSales[[#This Row],[Category ID]],tblCategories[Category ID],tblCategories[Category])</f>
        <v>Kids</v>
      </c>
      <c r="H3247">
        <v>39991</v>
      </c>
      <c r="I3247">
        <v>39076</v>
      </c>
      <c r="J3247">
        <v>197</v>
      </c>
      <c r="K3247">
        <f>tblSales[[#This Row],[Sales]]-tblSales[[#This Row],[Budget]]</f>
        <v>915</v>
      </c>
      <c r="L3247" s="3">
        <f>(tblSales[[#This Row],[Sales]]-tblSales[[#This Row],[Budget]])/tblSales[[#This Row],[Budget]]</f>
        <v>2.3415907462381001E-2</v>
      </c>
      <c r="M3247" s="2">
        <f>tblSales[[#This Row],[Sales]]/tblSales[[#This Row],[Transactions]]</f>
        <v>203</v>
      </c>
    </row>
    <row r="3248" spans="1:13" x14ac:dyDescent="0.25">
      <c r="A3248" s="1">
        <v>46185</v>
      </c>
      <c r="B3248" t="s">
        <v>15</v>
      </c>
      <c r="C3248" t="s">
        <v>11</v>
      </c>
      <c r="D3248" t="str">
        <f>_xlfn.XLOOKUP(tblSales[[#This Row],[Store ID]],tblStores[Store ID],tblStores[Store Name])</f>
        <v>Rosebank</v>
      </c>
      <c r="E3248" t="str">
        <f>_xlfn.XLOOKUP(tblSales[[#This Row],[Store ID]],tblStores[Store ID],tblStores[Province])</f>
        <v>Gauteng</v>
      </c>
      <c r="F3248" t="str">
        <f>_xlfn.XLOOKUP(tblSales[[#This Row],[Store ID]],tblStores[Store ID],tblStores[Manager])</f>
        <v>James Taylor</v>
      </c>
      <c r="G3248" t="str">
        <f>_xlfn.XLOOKUP(tblSales[[#This Row],[Category ID]],tblCategories[Category ID],tblCategories[Category])</f>
        <v>Footwear</v>
      </c>
      <c r="H3248">
        <v>43043</v>
      </c>
      <c r="I3248">
        <v>48161</v>
      </c>
      <c r="J3248">
        <v>91</v>
      </c>
      <c r="K3248">
        <f>tblSales[[#This Row],[Sales]]-tblSales[[#This Row],[Budget]]</f>
        <v>-5118</v>
      </c>
      <c r="L3248" s="3">
        <f>(tblSales[[#This Row],[Sales]]-tblSales[[#This Row],[Budget]])/tblSales[[#This Row],[Budget]]</f>
        <v>-0.10626855754656257</v>
      </c>
      <c r="M3248" s="2">
        <f>tblSales[[#This Row],[Sales]]/tblSales[[#This Row],[Transactions]]</f>
        <v>473</v>
      </c>
    </row>
    <row r="3249" spans="1:13" x14ac:dyDescent="0.25">
      <c r="A3249" s="1">
        <v>46185</v>
      </c>
      <c r="B3249" t="s">
        <v>16</v>
      </c>
      <c r="C3249" t="s">
        <v>19</v>
      </c>
      <c r="D3249" t="str">
        <f>_xlfn.XLOOKUP(tblSales[[#This Row],[Store ID]],tblStores[Store ID],tblStores[Store Name])</f>
        <v>Pretoria</v>
      </c>
      <c r="E3249" t="str">
        <f>_xlfn.XLOOKUP(tblSales[[#This Row],[Store ID]],tblStores[Store ID],tblStores[Province])</f>
        <v>Gauteng</v>
      </c>
      <c r="F3249" t="str">
        <f>_xlfn.XLOOKUP(tblSales[[#This Row],[Store ID]],tblStores[Store ID],tblStores[Manager])</f>
        <v>Susan Clark</v>
      </c>
      <c r="G3249" t="str">
        <f>_xlfn.XLOOKUP(tblSales[[#This Row],[Category ID]],tblCategories[Category ID],tblCategories[Category])</f>
        <v>Accessories</v>
      </c>
      <c r="H3249">
        <v>43500</v>
      </c>
      <c r="I3249">
        <v>40349</v>
      </c>
      <c r="J3249">
        <v>87</v>
      </c>
      <c r="K3249">
        <f>tblSales[[#This Row],[Sales]]-tblSales[[#This Row],[Budget]]</f>
        <v>3151</v>
      </c>
      <c r="L3249" s="3">
        <f>(tblSales[[#This Row],[Sales]]-tblSales[[#This Row],[Budget]])/tblSales[[#This Row],[Budget]]</f>
        <v>7.8093633051624575E-2</v>
      </c>
      <c r="M3249" s="2">
        <f>tblSales[[#This Row],[Sales]]/tblSales[[#This Row],[Transactions]]</f>
        <v>500</v>
      </c>
    </row>
    <row r="3250" spans="1:13" x14ac:dyDescent="0.25">
      <c r="A3250" s="1">
        <v>46185</v>
      </c>
      <c r="B3250" t="s">
        <v>17</v>
      </c>
      <c r="C3250" t="s">
        <v>19</v>
      </c>
      <c r="D3250" t="str">
        <f>_xlfn.XLOOKUP(tblSales[[#This Row],[Store ID]],tblStores[Store ID],tblStores[Store Name])</f>
        <v>Centurion</v>
      </c>
      <c r="E3250" t="str">
        <f>_xlfn.XLOOKUP(tblSales[[#This Row],[Store ID]],tblStores[Store ID],tblStores[Province])</f>
        <v>Gauteng</v>
      </c>
      <c r="F3250" t="str">
        <f>_xlfn.XLOOKUP(tblSales[[#This Row],[Store ID]],tblStores[Store ID],tblStores[Manager])</f>
        <v>Mark Wilson</v>
      </c>
      <c r="G3250" t="str">
        <f>_xlfn.XLOOKUP(tblSales[[#This Row],[Category ID]],tblCategories[Category ID],tblCategories[Category])</f>
        <v>Accessories</v>
      </c>
      <c r="H3250">
        <v>66468</v>
      </c>
      <c r="I3250">
        <v>61968</v>
      </c>
      <c r="J3250">
        <v>191</v>
      </c>
      <c r="K3250">
        <f>tblSales[[#This Row],[Sales]]-tblSales[[#This Row],[Budget]]</f>
        <v>4500</v>
      </c>
      <c r="L3250" s="3">
        <f>(tblSales[[#This Row],[Sales]]-tblSales[[#This Row],[Budget]])/tblSales[[#This Row],[Budget]]</f>
        <v>7.2618125484120832E-2</v>
      </c>
      <c r="M3250" s="2">
        <f>tblSales[[#This Row],[Sales]]/tblSales[[#This Row],[Transactions]]</f>
        <v>348</v>
      </c>
    </row>
    <row r="3251" spans="1:13" x14ac:dyDescent="0.25">
      <c r="A3251" s="1">
        <v>46185</v>
      </c>
      <c r="B3251" t="s">
        <v>18</v>
      </c>
      <c r="C3251" t="s">
        <v>19</v>
      </c>
      <c r="D3251" t="str">
        <f>_xlfn.XLOOKUP(tblSales[[#This Row],[Store ID]],tblStores[Store ID],tblStores[Store Name])</f>
        <v>East Rand</v>
      </c>
      <c r="E3251" t="str">
        <f>_xlfn.XLOOKUP(tblSales[[#This Row],[Store ID]],tblStores[Store ID],tblStores[Province])</f>
        <v>Gauteng</v>
      </c>
      <c r="F3251" t="str">
        <f>_xlfn.XLOOKUP(tblSales[[#This Row],[Store ID]],tblStores[Store ID],tblStores[Manager])</f>
        <v>Lisa Young</v>
      </c>
      <c r="G3251" t="str">
        <f>_xlfn.XLOOKUP(tblSales[[#This Row],[Category ID]],tblCategories[Category ID],tblCategories[Category])</f>
        <v>Accessories</v>
      </c>
      <c r="H3251">
        <v>7600</v>
      </c>
      <c r="I3251">
        <v>8364</v>
      </c>
      <c r="J3251">
        <v>40</v>
      </c>
      <c r="K3251">
        <f>tblSales[[#This Row],[Sales]]-tblSales[[#This Row],[Budget]]</f>
        <v>-764</v>
      </c>
      <c r="L3251" s="3">
        <f>(tblSales[[#This Row],[Sales]]-tblSales[[#This Row],[Budget]])/tblSales[[#This Row],[Budget]]</f>
        <v>-9.1343854615016734E-2</v>
      </c>
      <c r="M3251" s="2">
        <f>tblSales[[#This Row],[Sales]]/tblSales[[#This Row],[Transactions]]</f>
        <v>190</v>
      </c>
    </row>
    <row r="3252" spans="1:13" x14ac:dyDescent="0.25">
      <c r="A3252" s="1">
        <v>46185</v>
      </c>
      <c r="B3252" t="s">
        <v>20</v>
      </c>
      <c r="C3252" t="s">
        <v>7</v>
      </c>
      <c r="D3252" t="str">
        <f>_xlfn.XLOOKUP(tblSales[[#This Row],[Store ID]],tblStores[Store ID],tblStores[Store Name])</f>
        <v>Cape Town CBD</v>
      </c>
      <c r="E3252" t="str">
        <f>_xlfn.XLOOKUP(tblSales[[#This Row],[Store ID]],tblStores[Store ID],tblStores[Province])</f>
        <v>Western Cape</v>
      </c>
      <c r="F3252" t="str">
        <f>_xlfn.XLOOKUP(tblSales[[#This Row],[Store ID]],tblStores[Store ID],tblStores[Manager])</f>
        <v>Brian Hall</v>
      </c>
      <c r="G3252" t="str">
        <f>_xlfn.XLOOKUP(tblSales[[#This Row],[Category ID]],tblCategories[Category ID],tblCategories[Category])</f>
        <v>Menswear</v>
      </c>
      <c r="H3252">
        <v>75250</v>
      </c>
      <c r="I3252">
        <v>84886</v>
      </c>
      <c r="J3252">
        <v>215</v>
      </c>
      <c r="K3252">
        <f>tblSales[[#This Row],[Sales]]-tblSales[[#This Row],[Budget]]</f>
        <v>-9636</v>
      </c>
      <c r="L3252" s="3">
        <f>(tblSales[[#This Row],[Sales]]-tblSales[[#This Row],[Budget]])/tblSales[[#This Row],[Budget]]</f>
        <v>-0.11351695214758617</v>
      </c>
      <c r="M3252" s="2">
        <f>tblSales[[#This Row],[Sales]]/tblSales[[#This Row],[Transactions]]</f>
        <v>350</v>
      </c>
    </row>
    <row r="3253" spans="1:13" x14ac:dyDescent="0.25">
      <c r="A3253" s="1">
        <v>46185</v>
      </c>
      <c r="B3253" t="s">
        <v>21</v>
      </c>
      <c r="C3253" t="s">
        <v>19</v>
      </c>
      <c r="D3253" t="str">
        <f>_xlfn.XLOOKUP(tblSales[[#This Row],[Store ID]],tblStores[Store ID],tblStores[Store Name])</f>
        <v>Canal Walk</v>
      </c>
      <c r="E3253" t="str">
        <f>_xlfn.XLOOKUP(tblSales[[#This Row],[Store ID]],tblStores[Store ID],tblStores[Province])</f>
        <v>Western Cape</v>
      </c>
      <c r="F3253" t="str">
        <f>_xlfn.XLOOKUP(tblSales[[#This Row],[Store ID]],tblStores[Store ID],tblStores[Manager])</f>
        <v>Megan Scott</v>
      </c>
      <c r="G3253" t="str">
        <f>_xlfn.XLOOKUP(tblSales[[#This Row],[Category ID]],tblCategories[Category ID],tblCategories[Category])</f>
        <v>Accessories</v>
      </c>
      <c r="H3253">
        <v>26265</v>
      </c>
      <c r="I3253">
        <v>23961</v>
      </c>
      <c r="J3253">
        <v>51</v>
      </c>
      <c r="K3253">
        <f>tblSales[[#This Row],[Sales]]-tblSales[[#This Row],[Budget]]</f>
        <v>2304</v>
      </c>
      <c r="L3253" s="3">
        <f>(tblSales[[#This Row],[Sales]]-tblSales[[#This Row],[Budget]])/tblSales[[#This Row],[Budget]]</f>
        <v>9.6156253912607986E-2</v>
      </c>
      <c r="M3253" s="2">
        <f>tblSales[[#This Row],[Sales]]/tblSales[[#This Row],[Transactions]]</f>
        <v>515</v>
      </c>
    </row>
    <row r="3254" spans="1:13" x14ac:dyDescent="0.25">
      <c r="A3254" s="1">
        <v>46185</v>
      </c>
      <c r="B3254" t="s">
        <v>23</v>
      </c>
      <c r="C3254" t="s">
        <v>9</v>
      </c>
      <c r="D3254" t="str">
        <f>_xlfn.XLOOKUP(tblSales[[#This Row],[Store ID]],tblStores[Store ID],tblStores[Store Name])</f>
        <v>Stellenbosch</v>
      </c>
      <c r="E3254" t="str">
        <f>_xlfn.XLOOKUP(tblSales[[#This Row],[Store ID]],tblStores[Store ID],tblStores[Province])</f>
        <v>Western Cape</v>
      </c>
      <c r="F3254" t="str">
        <f>_xlfn.XLOOKUP(tblSales[[#This Row],[Store ID]],tblStores[Store ID],tblStores[Manager])</f>
        <v>Jason King</v>
      </c>
      <c r="G3254" t="str">
        <f>_xlfn.XLOOKUP(tblSales[[#This Row],[Category ID]],tblCategories[Category ID],tblCategories[Category])</f>
        <v>Ladieswear</v>
      </c>
      <c r="H3254">
        <v>57658</v>
      </c>
      <c r="I3254">
        <v>54752</v>
      </c>
      <c r="J3254">
        <v>127</v>
      </c>
      <c r="K3254">
        <f>tblSales[[#This Row],[Sales]]-tblSales[[#This Row],[Budget]]</f>
        <v>2906</v>
      </c>
      <c r="L3254" s="3">
        <f>(tblSales[[#This Row],[Sales]]-tblSales[[#This Row],[Budget]])/tblSales[[#This Row],[Budget]]</f>
        <v>5.3075686732904734E-2</v>
      </c>
      <c r="M3254" s="2">
        <f>tblSales[[#This Row],[Sales]]/tblSales[[#This Row],[Transactions]]</f>
        <v>454</v>
      </c>
    </row>
    <row r="3255" spans="1:13" x14ac:dyDescent="0.25">
      <c r="A3255" s="1">
        <v>46185</v>
      </c>
      <c r="B3255" t="s">
        <v>24</v>
      </c>
      <c r="C3255" t="s">
        <v>9</v>
      </c>
      <c r="D3255" t="str">
        <f>_xlfn.XLOOKUP(tblSales[[#This Row],[Store ID]],tblStores[Store ID],tblStores[Store Name])</f>
        <v>George</v>
      </c>
      <c r="E3255" t="str">
        <f>_xlfn.XLOOKUP(tblSales[[#This Row],[Store ID]],tblStores[Store ID],tblStores[Province])</f>
        <v>Western Cape</v>
      </c>
      <c r="F3255" t="str">
        <f>_xlfn.XLOOKUP(tblSales[[#This Row],[Store ID]],tblStores[Store ID],tblStores[Manager])</f>
        <v>Chloe Hill</v>
      </c>
      <c r="G3255" t="str">
        <f>_xlfn.XLOOKUP(tblSales[[#This Row],[Category ID]],tblCategories[Category ID],tblCategories[Category])</f>
        <v>Ladieswear</v>
      </c>
      <c r="H3255">
        <v>65704</v>
      </c>
      <c r="I3255">
        <v>73255</v>
      </c>
      <c r="J3255">
        <v>172</v>
      </c>
      <c r="K3255">
        <f>tblSales[[#This Row],[Sales]]-tblSales[[#This Row],[Budget]]</f>
        <v>-7551</v>
      </c>
      <c r="L3255" s="3">
        <f>(tblSales[[#This Row],[Sales]]-tblSales[[#This Row],[Budget]])/tblSales[[#This Row],[Budget]]</f>
        <v>-0.10307828817145587</v>
      </c>
      <c r="M3255" s="2">
        <f>tblSales[[#This Row],[Sales]]/tblSales[[#This Row],[Transactions]]</f>
        <v>382</v>
      </c>
    </row>
    <row r="3256" spans="1:13" x14ac:dyDescent="0.25">
      <c r="A3256" s="1">
        <v>46185</v>
      </c>
      <c r="B3256" t="s">
        <v>25</v>
      </c>
      <c r="C3256" t="s">
        <v>9</v>
      </c>
      <c r="D3256" t="str">
        <f>_xlfn.XLOOKUP(tblSales[[#This Row],[Store ID]],tblStores[Store ID],tblStores[Store Name])</f>
        <v>Paarl</v>
      </c>
      <c r="E3256" t="str">
        <f>_xlfn.XLOOKUP(tblSales[[#This Row],[Store ID]],tblStores[Store ID],tblStores[Province])</f>
        <v>Western Cape</v>
      </c>
      <c r="F3256" t="str">
        <f>_xlfn.XLOOKUP(tblSales[[#This Row],[Store ID]],tblStores[Store ID],tblStores[Manager])</f>
        <v>Andrew Lee</v>
      </c>
      <c r="G3256" t="str">
        <f>_xlfn.XLOOKUP(tblSales[[#This Row],[Category ID]],tblCategories[Category ID],tblCategories[Category])</f>
        <v>Ladieswear</v>
      </c>
      <c r="H3256">
        <v>28558</v>
      </c>
      <c r="I3256">
        <v>32203</v>
      </c>
      <c r="J3256">
        <v>109</v>
      </c>
      <c r="K3256">
        <f>tblSales[[#This Row],[Sales]]-tblSales[[#This Row],[Budget]]</f>
        <v>-3645</v>
      </c>
      <c r="L3256" s="3">
        <f>(tblSales[[#This Row],[Sales]]-tblSales[[#This Row],[Budget]])/tblSales[[#This Row],[Budget]]</f>
        <v>-0.11318821227835917</v>
      </c>
      <c r="M3256" s="2">
        <f>tblSales[[#This Row],[Sales]]/tblSales[[#This Row],[Transactions]]</f>
        <v>262</v>
      </c>
    </row>
    <row r="3257" spans="1:13" x14ac:dyDescent="0.25">
      <c r="A3257" s="1">
        <v>46185</v>
      </c>
      <c r="B3257" t="s">
        <v>26</v>
      </c>
      <c r="C3257" t="s">
        <v>22</v>
      </c>
      <c r="D3257" t="str">
        <f>_xlfn.XLOOKUP(tblSales[[#This Row],[Store ID]],tblStores[Store ID],tblStores[Store Name])</f>
        <v>Gqeberha</v>
      </c>
      <c r="E3257" t="str">
        <f>_xlfn.XLOOKUP(tblSales[[#This Row],[Store ID]],tblStores[Store ID],tblStores[Province])</f>
        <v>Eastern Cape</v>
      </c>
      <c r="F3257" t="str">
        <f>_xlfn.XLOOKUP(tblSales[[#This Row],[Store ID]],tblStores[Store ID],tblStores[Manager])</f>
        <v>Emma Baker</v>
      </c>
      <c r="G3257" t="str">
        <f>_xlfn.XLOOKUP(tblSales[[#This Row],[Category ID]],tblCategories[Category ID],tblCategories[Category])</f>
        <v>Kids</v>
      </c>
      <c r="H3257">
        <v>40600</v>
      </c>
      <c r="I3257">
        <v>42152</v>
      </c>
      <c r="J3257">
        <v>140</v>
      </c>
      <c r="K3257">
        <f>tblSales[[#This Row],[Sales]]-tblSales[[#This Row],[Budget]]</f>
        <v>-1552</v>
      </c>
      <c r="L3257" s="3">
        <f>(tblSales[[#This Row],[Sales]]-tblSales[[#This Row],[Budget]])/tblSales[[#This Row],[Budget]]</f>
        <v>-3.6819130764851014E-2</v>
      </c>
      <c r="M3257" s="2">
        <f>tblSales[[#This Row],[Sales]]/tblSales[[#This Row],[Transactions]]</f>
        <v>290</v>
      </c>
    </row>
    <row r="3258" spans="1:13" x14ac:dyDescent="0.25">
      <c r="A3258" s="1">
        <v>46185</v>
      </c>
      <c r="B3258" t="s">
        <v>27</v>
      </c>
      <c r="C3258" t="s">
        <v>9</v>
      </c>
      <c r="D3258" t="str">
        <f>_xlfn.XLOOKUP(tblSales[[#This Row],[Store ID]],tblStores[Store ID],tblStores[Store Name])</f>
        <v>East London</v>
      </c>
      <c r="E3258" t="str">
        <f>_xlfn.XLOOKUP(tblSales[[#This Row],[Store ID]],tblStores[Store ID],tblStores[Province])</f>
        <v>Eastern Cape</v>
      </c>
      <c r="F3258" t="str">
        <f>_xlfn.XLOOKUP(tblSales[[#This Row],[Store ID]],tblStores[Store ID],tblStores[Manager])</f>
        <v>Daniel Evans</v>
      </c>
      <c r="G3258" t="str">
        <f>_xlfn.XLOOKUP(tblSales[[#This Row],[Category ID]],tblCategories[Category ID],tblCategories[Category])</f>
        <v>Ladieswear</v>
      </c>
      <c r="H3258">
        <v>7524</v>
      </c>
      <c r="I3258">
        <v>8361</v>
      </c>
      <c r="J3258">
        <v>38</v>
      </c>
      <c r="K3258">
        <f>tblSales[[#This Row],[Sales]]-tblSales[[#This Row],[Budget]]</f>
        <v>-837</v>
      </c>
      <c r="L3258" s="3">
        <f>(tblSales[[#This Row],[Sales]]-tblSales[[#This Row],[Budget]])/tblSales[[#This Row],[Budget]]</f>
        <v>-0.10010764262648009</v>
      </c>
      <c r="M3258" s="2">
        <f>tblSales[[#This Row],[Sales]]/tblSales[[#This Row],[Transactions]]</f>
        <v>198</v>
      </c>
    </row>
    <row r="3259" spans="1:13" x14ac:dyDescent="0.25">
      <c r="A3259" s="1">
        <v>46185</v>
      </c>
      <c r="B3259" t="s">
        <v>28</v>
      </c>
      <c r="C3259" t="s">
        <v>19</v>
      </c>
      <c r="D3259" t="str">
        <f>_xlfn.XLOOKUP(tblSales[[#This Row],[Store ID]],tblStores[Store ID],tblStores[Store Name])</f>
        <v>Bloemfontein</v>
      </c>
      <c r="E3259" t="str">
        <f>_xlfn.XLOOKUP(tblSales[[#This Row],[Store ID]],tblStores[Store ID],tblStores[Province])</f>
        <v>Free State</v>
      </c>
      <c r="F3259" t="str">
        <f>_xlfn.XLOOKUP(tblSales[[#This Row],[Store ID]],tblStores[Store ID],tblStores[Manager])</f>
        <v>Rachel Moore</v>
      </c>
      <c r="G3259" t="str">
        <f>_xlfn.XLOOKUP(tblSales[[#This Row],[Category ID]],tblCategories[Category ID],tblCategories[Category])</f>
        <v>Accessories</v>
      </c>
      <c r="H3259">
        <v>26596</v>
      </c>
      <c r="I3259">
        <v>26582</v>
      </c>
      <c r="J3259">
        <v>61</v>
      </c>
      <c r="K3259">
        <f>tblSales[[#This Row],[Sales]]-tblSales[[#This Row],[Budget]]</f>
        <v>14</v>
      </c>
      <c r="L3259" s="3">
        <f>(tblSales[[#This Row],[Sales]]-tblSales[[#This Row],[Budget]])/tblSales[[#This Row],[Budget]]</f>
        <v>5.2667218418478673E-4</v>
      </c>
      <c r="M3259" s="2">
        <f>tblSales[[#This Row],[Sales]]/tblSales[[#This Row],[Transactions]]</f>
        <v>436</v>
      </c>
    </row>
    <row r="3260" spans="1:13" x14ac:dyDescent="0.25">
      <c r="A3260" s="1">
        <v>46185</v>
      </c>
      <c r="B3260" t="s">
        <v>29</v>
      </c>
      <c r="C3260" t="s">
        <v>11</v>
      </c>
      <c r="D3260" t="str">
        <f>_xlfn.XLOOKUP(tblSales[[#This Row],[Store ID]],tblStores[Store ID],tblStores[Store Name])</f>
        <v>Polokwane</v>
      </c>
      <c r="E3260" t="str">
        <f>_xlfn.XLOOKUP(tblSales[[#This Row],[Store ID]],tblStores[Store ID],tblStores[Province])</f>
        <v>Limpopo</v>
      </c>
      <c r="F3260" t="str">
        <f>_xlfn.XLOOKUP(tblSales[[#This Row],[Store ID]],tblStores[Store ID],tblStores[Manager])</f>
        <v>Kevin Harris</v>
      </c>
      <c r="G3260" t="str">
        <f>_xlfn.XLOOKUP(tblSales[[#This Row],[Category ID]],tblCategories[Category ID],tblCategories[Category])</f>
        <v>Footwear</v>
      </c>
      <c r="H3260">
        <v>11700</v>
      </c>
      <c r="I3260">
        <v>11358</v>
      </c>
      <c r="J3260">
        <v>45</v>
      </c>
      <c r="K3260">
        <f>tblSales[[#This Row],[Sales]]-tblSales[[#This Row],[Budget]]</f>
        <v>342</v>
      </c>
      <c r="L3260" s="3">
        <f>(tblSales[[#This Row],[Sales]]-tblSales[[#This Row],[Budget]])/tblSales[[#This Row],[Budget]]</f>
        <v>3.0110935023771792E-2</v>
      </c>
      <c r="M3260" s="2">
        <f>tblSales[[#This Row],[Sales]]/tblSales[[#This Row],[Transactions]]</f>
        <v>260</v>
      </c>
    </row>
    <row r="3261" spans="1:13" x14ac:dyDescent="0.25">
      <c r="A3261" s="1">
        <v>46185</v>
      </c>
      <c r="B3261" t="s">
        <v>30</v>
      </c>
      <c r="C3261" t="s">
        <v>7</v>
      </c>
      <c r="D3261" t="str">
        <f>_xlfn.XLOOKUP(tblSales[[#This Row],[Store ID]],tblStores[Store ID],tblStores[Store Name])</f>
        <v>Nelspruit</v>
      </c>
      <c r="E3261" t="str">
        <f>_xlfn.XLOOKUP(tblSales[[#This Row],[Store ID]],tblStores[Store ID],tblStores[Province])</f>
        <v>Mpumalanga</v>
      </c>
      <c r="F3261" t="str">
        <f>_xlfn.XLOOKUP(tblSales[[#This Row],[Store ID]],tblStores[Store ID],tblStores[Manager])</f>
        <v>Olivia Turner</v>
      </c>
      <c r="G3261" t="str">
        <f>_xlfn.XLOOKUP(tblSales[[#This Row],[Category ID]],tblCategories[Category ID],tblCategories[Category])</f>
        <v>Menswear</v>
      </c>
      <c r="H3261">
        <v>46779</v>
      </c>
      <c r="I3261">
        <v>51134</v>
      </c>
      <c r="J3261">
        <v>93</v>
      </c>
      <c r="K3261">
        <f>tblSales[[#This Row],[Sales]]-tblSales[[#This Row],[Budget]]</f>
        <v>-4355</v>
      </c>
      <c r="L3261" s="3">
        <f>(tblSales[[#This Row],[Sales]]-tblSales[[#This Row],[Budget]])/tblSales[[#This Row],[Budget]]</f>
        <v>-8.5168381116282707E-2</v>
      </c>
      <c r="M3261" s="2">
        <f>tblSales[[#This Row],[Sales]]/tblSales[[#This Row],[Transactions]]</f>
        <v>503</v>
      </c>
    </row>
    <row r="3262" spans="1:13" x14ac:dyDescent="0.25">
      <c r="A3262" s="1">
        <v>46186</v>
      </c>
      <c r="B3262" t="s">
        <v>6</v>
      </c>
      <c r="C3262" t="s">
        <v>9</v>
      </c>
      <c r="D3262" t="str">
        <f>_xlfn.XLOOKUP(tblSales[[#This Row],[Store ID]],tblStores[Store ID],tblStores[Store Name])</f>
        <v>Durban CBD</v>
      </c>
      <c r="E3262" t="str">
        <f>_xlfn.XLOOKUP(tblSales[[#This Row],[Store ID]],tblStores[Store ID],tblStores[Province])</f>
        <v>KZN</v>
      </c>
      <c r="F3262" t="str">
        <f>_xlfn.XLOOKUP(tblSales[[#This Row],[Store ID]],tblStores[Store ID],tblStores[Manager])</f>
        <v>Sarah Adams</v>
      </c>
      <c r="G3262" t="str">
        <f>_xlfn.XLOOKUP(tblSales[[#This Row],[Category ID]],tblCategories[Category ID],tblCategories[Category])</f>
        <v>Ladieswear</v>
      </c>
      <c r="H3262">
        <v>13717</v>
      </c>
      <c r="I3262">
        <v>14916</v>
      </c>
      <c r="J3262">
        <v>43</v>
      </c>
      <c r="K3262">
        <f>tblSales[[#This Row],[Sales]]-tblSales[[#This Row],[Budget]]</f>
        <v>-1199</v>
      </c>
      <c r="L3262" s="3">
        <f>(tblSales[[#This Row],[Sales]]-tblSales[[#This Row],[Budget]])/tblSales[[#This Row],[Budget]]</f>
        <v>-8.0383480825958697E-2</v>
      </c>
      <c r="M3262" s="2">
        <f>tblSales[[#This Row],[Sales]]/tblSales[[#This Row],[Transactions]]</f>
        <v>319</v>
      </c>
    </row>
    <row r="3263" spans="1:13" x14ac:dyDescent="0.25">
      <c r="A3263" s="1">
        <v>46186</v>
      </c>
      <c r="B3263" t="s">
        <v>8</v>
      </c>
      <c r="C3263" t="s">
        <v>11</v>
      </c>
      <c r="D3263" t="str">
        <f>_xlfn.XLOOKUP(tblSales[[#This Row],[Store ID]],tblStores[Store ID],tblStores[Store Name])</f>
        <v>Gateway</v>
      </c>
      <c r="E3263" t="str">
        <f>_xlfn.XLOOKUP(tblSales[[#This Row],[Store ID]],tblStores[Store ID],tblStores[Province])</f>
        <v>KZN</v>
      </c>
      <c r="F3263" t="str">
        <f>_xlfn.XLOOKUP(tblSales[[#This Row],[Store ID]],tblStores[Store ID],tblStores[Manager])</f>
        <v>Michael Jones</v>
      </c>
      <c r="G3263" t="str">
        <f>_xlfn.XLOOKUP(tblSales[[#This Row],[Category ID]],tblCategories[Category ID],tblCategories[Category])</f>
        <v>Footwear</v>
      </c>
      <c r="H3263">
        <v>77770</v>
      </c>
      <c r="I3263">
        <v>72543</v>
      </c>
      <c r="J3263">
        <v>202</v>
      </c>
      <c r="K3263">
        <f>tblSales[[#This Row],[Sales]]-tblSales[[#This Row],[Budget]]</f>
        <v>5227</v>
      </c>
      <c r="L3263" s="3">
        <f>(tblSales[[#This Row],[Sales]]-tblSales[[#This Row],[Budget]])/tblSales[[#This Row],[Budget]]</f>
        <v>7.2053816357195044E-2</v>
      </c>
      <c r="M3263" s="2">
        <f>tblSales[[#This Row],[Sales]]/tblSales[[#This Row],[Transactions]]</f>
        <v>385</v>
      </c>
    </row>
    <row r="3264" spans="1:13" x14ac:dyDescent="0.25">
      <c r="A3264" s="1">
        <v>46186</v>
      </c>
      <c r="B3264" t="s">
        <v>10</v>
      </c>
      <c r="C3264" t="s">
        <v>22</v>
      </c>
      <c r="D3264" t="str">
        <f>_xlfn.XLOOKUP(tblSales[[#This Row],[Store ID]],tblStores[Store ID],tblStores[Store Name])</f>
        <v>Ballito</v>
      </c>
      <c r="E3264" t="str">
        <f>_xlfn.XLOOKUP(tblSales[[#This Row],[Store ID]],tblStores[Store ID],tblStores[Province])</f>
        <v>KZN</v>
      </c>
      <c r="F3264" t="str">
        <f>_xlfn.XLOOKUP(tblSales[[#This Row],[Store ID]],tblStores[Store ID],tblStores[Manager])</f>
        <v>Linda Smith</v>
      </c>
      <c r="G3264" t="str">
        <f>_xlfn.XLOOKUP(tblSales[[#This Row],[Category ID]],tblCategories[Category ID],tblCategories[Category])</f>
        <v>Kids</v>
      </c>
      <c r="H3264">
        <v>12264</v>
      </c>
      <c r="I3264">
        <v>11264</v>
      </c>
      <c r="J3264">
        <v>56</v>
      </c>
      <c r="K3264">
        <f>tblSales[[#This Row],[Sales]]-tblSales[[#This Row],[Budget]]</f>
        <v>1000</v>
      </c>
      <c r="L3264" s="3">
        <f>(tblSales[[#This Row],[Sales]]-tblSales[[#This Row],[Budget]])/tblSales[[#This Row],[Budget]]</f>
        <v>8.8778409090909088E-2</v>
      </c>
      <c r="M3264" s="2">
        <f>tblSales[[#This Row],[Sales]]/tblSales[[#This Row],[Transactions]]</f>
        <v>219</v>
      </c>
    </row>
    <row r="3265" spans="1:13" x14ac:dyDescent="0.25">
      <c r="A3265" s="1">
        <v>46186</v>
      </c>
      <c r="B3265" t="s">
        <v>12</v>
      </c>
      <c r="C3265" t="s">
        <v>11</v>
      </c>
      <c r="D3265" t="str">
        <f>_xlfn.XLOOKUP(tblSales[[#This Row],[Store ID]],tblStores[Store ID],tblStores[Store Name])</f>
        <v>Pietermaritzburg</v>
      </c>
      <c r="E3265" t="str">
        <f>_xlfn.XLOOKUP(tblSales[[#This Row],[Store ID]],tblStores[Store ID],tblStores[Province])</f>
        <v>KZN</v>
      </c>
      <c r="F3265" t="str">
        <f>_xlfn.XLOOKUP(tblSales[[#This Row],[Store ID]],tblStores[Store ID],tblStores[Manager])</f>
        <v>Peter Brown</v>
      </c>
      <c r="G3265" t="str">
        <f>_xlfn.XLOOKUP(tblSales[[#This Row],[Category ID]],tblCategories[Category ID],tblCategories[Category])</f>
        <v>Footwear</v>
      </c>
      <c r="H3265">
        <v>7480</v>
      </c>
      <c r="I3265">
        <v>8120</v>
      </c>
      <c r="J3265">
        <v>40</v>
      </c>
      <c r="K3265">
        <f>tblSales[[#This Row],[Sales]]-tblSales[[#This Row],[Budget]]</f>
        <v>-640</v>
      </c>
      <c r="L3265" s="3">
        <f>(tblSales[[#This Row],[Sales]]-tblSales[[#This Row],[Budget]])/tblSales[[#This Row],[Budget]]</f>
        <v>-7.8817733990147784E-2</v>
      </c>
      <c r="M3265" s="2">
        <f>tblSales[[#This Row],[Sales]]/tblSales[[#This Row],[Transactions]]</f>
        <v>187</v>
      </c>
    </row>
    <row r="3266" spans="1:13" x14ac:dyDescent="0.25">
      <c r="A3266" s="1">
        <v>46186</v>
      </c>
      <c r="B3266" t="s">
        <v>13</v>
      </c>
      <c r="C3266" t="s">
        <v>19</v>
      </c>
      <c r="D3266" t="str">
        <f>_xlfn.XLOOKUP(tblSales[[#This Row],[Store ID]],tblStores[Store ID],tblStores[Store Name])</f>
        <v>Richards Bay</v>
      </c>
      <c r="E3266" t="str">
        <f>_xlfn.XLOOKUP(tblSales[[#This Row],[Store ID]],tblStores[Store ID],tblStores[Province])</f>
        <v>KZN</v>
      </c>
      <c r="F3266" t="str">
        <f>_xlfn.XLOOKUP(tblSales[[#This Row],[Store ID]],tblStores[Store ID],tblStores[Manager])</f>
        <v>David Green</v>
      </c>
      <c r="G3266" t="str">
        <f>_xlfn.XLOOKUP(tblSales[[#This Row],[Category ID]],tblCategories[Category ID],tblCategories[Category])</f>
        <v>Accessories</v>
      </c>
      <c r="H3266">
        <v>48573</v>
      </c>
      <c r="I3266">
        <v>44876</v>
      </c>
      <c r="J3266">
        <v>189</v>
      </c>
      <c r="K3266">
        <f>tblSales[[#This Row],[Sales]]-tblSales[[#This Row],[Budget]]</f>
        <v>3697</v>
      </c>
      <c r="L3266" s="3">
        <f>(tblSales[[#This Row],[Sales]]-tblSales[[#This Row],[Budget]])/tblSales[[#This Row],[Budget]]</f>
        <v>8.2382565291024154E-2</v>
      </c>
      <c r="M3266" s="2">
        <f>tblSales[[#This Row],[Sales]]/tblSales[[#This Row],[Transactions]]</f>
        <v>257</v>
      </c>
    </row>
    <row r="3267" spans="1:13" x14ac:dyDescent="0.25">
      <c r="A3267" s="1">
        <v>46186</v>
      </c>
      <c r="B3267" t="s">
        <v>14</v>
      </c>
      <c r="C3267" t="s">
        <v>19</v>
      </c>
      <c r="D3267" t="str">
        <f>_xlfn.XLOOKUP(tblSales[[#This Row],[Store ID]],tblStores[Store ID],tblStores[Store Name])</f>
        <v>Sandton</v>
      </c>
      <c r="E3267" t="str">
        <f>_xlfn.XLOOKUP(tblSales[[#This Row],[Store ID]],tblStores[Store ID],tblStores[Province])</f>
        <v>Gauteng</v>
      </c>
      <c r="F3267" t="str">
        <f>_xlfn.XLOOKUP(tblSales[[#This Row],[Store ID]],tblStores[Store ID],tblStores[Manager])</f>
        <v>Karen White</v>
      </c>
      <c r="G3267" t="str">
        <f>_xlfn.XLOOKUP(tblSales[[#This Row],[Category ID]],tblCategories[Category ID],tblCategories[Category])</f>
        <v>Accessories</v>
      </c>
      <c r="H3267">
        <v>37665</v>
      </c>
      <c r="I3267">
        <v>41727</v>
      </c>
      <c r="J3267">
        <v>135</v>
      </c>
      <c r="K3267">
        <f>tblSales[[#This Row],[Sales]]-tblSales[[#This Row],[Budget]]</f>
        <v>-4062</v>
      </c>
      <c r="L3267" s="3">
        <f>(tblSales[[#This Row],[Sales]]-tblSales[[#This Row],[Budget]])/tblSales[[#This Row],[Budget]]</f>
        <v>-9.7347041483931265E-2</v>
      </c>
      <c r="M3267" s="2">
        <f>tblSales[[#This Row],[Sales]]/tblSales[[#This Row],[Transactions]]</f>
        <v>279</v>
      </c>
    </row>
    <row r="3268" spans="1:13" x14ac:dyDescent="0.25">
      <c r="A3268" s="1">
        <v>46186</v>
      </c>
      <c r="B3268" t="s">
        <v>15</v>
      </c>
      <c r="C3268" t="s">
        <v>22</v>
      </c>
      <c r="D3268" t="str">
        <f>_xlfn.XLOOKUP(tblSales[[#This Row],[Store ID]],tblStores[Store ID],tblStores[Store Name])</f>
        <v>Rosebank</v>
      </c>
      <c r="E3268" t="str">
        <f>_xlfn.XLOOKUP(tblSales[[#This Row],[Store ID]],tblStores[Store ID],tblStores[Province])</f>
        <v>Gauteng</v>
      </c>
      <c r="F3268" t="str">
        <f>_xlfn.XLOOKUP(tblSales[[#This Row],[Store ID]],tblStores[Store ID],tblStores[Manager])</f>
        <v>James Taylor</v>
      </c>
      <c r="G3268" t="str">
        <f>_xlfn.XLOOKUP(tblSales[[#This Row],[Category ID]],tblCategories[Category ID],tblCategories[Category])</f>
        <v>Kids</v>
      </c>
      <c r="H3268">
        <v>46449</v>
      </c>
      <c r="I3268">
        <v>47753</v>
      </c>
      <c r="J3268">
        <v>117</v>
      </c>
      <c r="K3268">
        <f>tblSales[[#This Row],[Sales]]-tblSales[[#This Row],[Budget]]</f>
        <v>-1304</v>
      </c>
      <c r="L3268" s="3">
        <f>(tblSales[[#This Row],[Sales]]-tblSales[[#This Row],[Budget]])/tblSales[[#This Row],[Budget]]</f>
        <v>-2.7307184888907505E-2</v>
      </c>
      <c r="M3268" s="2">
        <f>tblSales[[#This Row],[Sales]]/tblSales[[#This Row],[Transactions]]</f>
        <v>397</v>
      </c>
    </row>
    <row r="3269" spans="1:13" x14ac:dyDescent="0.25">
      <c r="A3269" s="1">
        <v>46186</v>
      </c>
      <c r="B3269" t="s">
        <v>16</v>
      </c>
      <c r="C3269" t="s">
        <v>7</v>
      </c>
      <c r="D3269" t="str">
        <f>_xlfn.XLOOKUP(tblSales[[#This Row],[Store ID]],tblStores[Store ID],tblStores[Store Name])</f>
        <v>Pretoria</v>
      </c>
      <c r="E3269" t="str">
        <f>_xlfn.XLOOKUP(tblSales[[#This Row],[Store ID]],tblStores[Store ID],tblStores[Province])</f>
        <v>Gauteng</v>
      </c>
      <c r="F3269" t="str">
        <f>_xlfn.XLOOKUP(tblSales[[#This Row],[Store ID]],tblStores[Store ID],tblStores[Manager])</f>
        <v>Susan Clark</v>
      </c>
      <c r="G3269" t="str">
        <f>_xlfn.XLOOKUP(tblSales[[#This Row],[Category ID]],tblCategories[Category ID],tblCategories[Category])</f>
        <v>Menswear</v>
      </c>
      <c r="H3269">
        <v>35840</v>
      </c>
      <c r="I3269">
        <v>36367</v>
      </c>
      <c r="J3269">
        <v>112</v>
      </c>
      <c r="K3269">
        <f>tblSales[[#This Row],[Sales]]-tblSales[[#This Row],[Budget]]</f>
        <v>-527</v>
      </c>
      <c r="L3269" s="3">
        <f>(tblSales[[#This Row],[Sales]]-tblSales[[#This Row],[Budget]])/tblSales[[#This Row],[Budget]]</f>
        <v>-1.4491159567739983E-2</v>
      </c>
      <c r="M3269" s="2">
        <f>tblSales[[#This Row],[Sales]]/tblSales[[#This Row],[Transactions]]</f>
        <v>320</v>
      </c>
    </row>
    <row r="3270" spans="1:13" x14ac:dyDescent="0.25">
      <c r="A3270" s="1">
        <v>46186</v>
      </c>
      <c r="B3270" t="s">
        <v>17</v>
      </c>
      <c r="C3270" t="s">
        <v>7</v>
      </c>
      <c r="D3270" t="str">
        <f>_xlfn.XLOOKUP(tblSales[[#This Row],[Store ID]],tblStores[Store ID],tblStores[Store Name])</f>
        <v>Centurion</v>
      </c>
      <c r="E3270" t="str">
        <f>_xlfn.XLOOKUP(tblSales[[#This Row],[Store ID]],tblStores[Store ID],tblStores[Province])</f>
        <v>Gauteng</v>
      </c>
      <c r="F3270" t="str">
        <f>_xlfn.XLOOKUP(tblSales[[#This Row],[Store ID]],tblStores[Store ID],tblStores[Manager])</f>
        <v>Mark Wilson</v>
      </c>
      <c r="G3270" t="str">
        <f>_xlfn.XLOOKUP(tblSales[[#This Row],[Category ID]],tblCategories[Category ID],tblCategories[Category])</f>
        <v>Menswear</v>
      </c>
      <c r="H3270">
        <v>52530</v>
      </c>
      <c r="I3270">
        <v>54843</v>
      </c>
      <c r="J3270">
        <v>102</v>
      </c>
      <c r="K3270">
        <f>tblSales[[#This Row],[Sales]]-tblSales[[#This Row],[Budget]]</f>
        <v>-2313</v>
      </c>
      <c r="L3270" s="3">
        <f>(tblSales[[#This Row],[Sales]]-tblSales[[#This Row],[Budget]])/tblSales[[#This Row],[Budget]]</f>
        <v>-4.2174935725616758E-2</v>
      </c>
      <c r="M3270" s="2">
        <f>tblSales[[#This Row],[Sales]]/tblSales[[#This Row],[Transactions]]</f>
        <v>515</v>
      </c>
    </row>
    <row r="3271" spans="1:13" x14ac:dyDescent="0.25">
      <c r="A3271" s="1">
        <v>46186</v>
      </c>
      <c r="B3271" t="s">
        <v>18</v>
      </c>
      <c r="C3271" t="s">
        <v>11</v>
      </c>
      <c r="D3271" t="str">
        <f>_xlfn.XLOOKUP(tblSales[[#This Row],[Store ID]],tblStores[Store ID],tblStores[Store Name])</f>
        <v>East Rand</v>
      </c>
      <c r="E3271" t="str">
        <f>_xlfn.XLOOKUP(tblSales[[#This Row],[Store ID]],tblStores[Store ID],tblStores[Province])</f>
        <v>Gauteng</v>
      </c>
      <c r="F3271" t="str">
        <f>_xlfn.XLOOKUP(tblSales[[#This Row],[Store ID]],tblStores[Store ID],tblStores[Manager])</f>
        <v>Lisa Young</v>
      </c>
      <c r="G3271" t="str">
        <f>_xlfn.XLOOKUP(tblSales[[#This Row],[Category ID]],tblCategories[Category ID],tblCategories[Category])</f>
        <v>Footwear</v>
      </c>
      <c r="H3271">
        <v>43491</v>
      </c>
      <c r="I3271">
        <v>40153</v>
      </c>
      <c r="J3271">
        <v>109</v>
      </c>
      <c r="K3271">
        <f>tblSales[[#This Row],[Sales]]-tblSales[[#This Row],[Budget]]</f>
        <v>3338</v>
      </c>
      <c r="L3271" s="3">
        <f>(tblSales[[#This Row],[Sales]]-tblSales[[#This Row],[Budget]])/tblSales[[#This Row],[Budget]]</f>
        <v>8.3132020023410455E-2</v>
      </c>
      <c r="M3271" s="2">
        <f>tblSales[[#This Row],[Sales]]/tblSales[[#This Row],[Transactions]]</f>
        <v>399</v>
      </c>
    </row>
    <row r="3272" spans="1:13" x14ac:dyDescent="0.25">
      <c r="A3272" s="1">
        <v>46186</v>
      </c>
      <c r="B3272" t="s">
        <v>20</v>
      </c>
      <c r="C3272" t="s">
        <v>11</v>
      </c>
      <c r="D3272" t="str">
        <f>_xlfn.XLOOKUP(tblSales[[#This Row],[Store ID]],tblStores[Store ID],tblStores[Store Name])</f>
        <v>Cape Town CBD</v>
      </c>
      <c r="E3272" t="str">
        <f>_xlfn.XLOOKUP(tblSales[[#This Row],[Store ID]],tblStores[Store ID],tblStores[Province])</f>
        <v>Western Cape</v>
      </c>
      <c r="F3272" t="str">
        <f>_xlfn.XLOOKUP(tblSales[[#This Row],[Store ID]],tblStores[Store ID],tblStores[Manager])</f>
        <v>Brian Hall</v>
      </c>
      <c r="G3272" t="str">
        <f>_xlfn.XLOOKUP(tblSales[[#This Row],[Category ID]],tblCategories[Category ID],tblCategories[Category])</f>
        <v>Footwear</v>
      </c>
      <c r="H3272">
        <v>57316</v>
      </c>
      <c r="I3272">
        <v>58510</v>
      </c>
      <c r="J3272">
        <v>178</v>
      </c>
      <c r="K3272">
        <f>tblSales[[#This Row],[Sales]]-tblSales[[#This Row],[Budget]]</f>
        <v>-1194</v>
      </c>
      <c r="L3272" s="3">
        <f>(tblSales[[#This Row],[Sales]]-tblSales[[#This Row],[Budget]])/tblSales[[#This Row],[Budget]]</f>
        <v>-2.0406768073833532E-2</v>
      </c>
      <c r="M3272" s="2">
        <f>tblSales[[#This Row],[Sales]]/tblSales[[#This Row],[Transactions]]</f>
        <v>322</v>
      </c>
    </row>
    <row r="3273" spans="1:13" x14ac:dyDescent="0.25">
      <c r="A3273" s="1">
        <v>46186</v>
      </c>
      <c r="B3273" t="s">
        <v>21</v>
      </c>
      <c r="C3273" t="s">
        <v>19</v>
      </c>
      <c r="D3273" t="str">
        <f>_xlfn.XLOOKUP(tblSales[[#This Row],[Store ID]],tblStores[Store ID],tblStores[Store Name])</f>
        <v>Canal Walk</v>
      </c>
      <c r="E3273" t="str">
        <f>_xlfn.XLOOKUP(tblSales[[#This Row],[Store ID]],tblStores[Store ID],tblStores[Province])</f>
        <v>Western Cape</v>
      </c>
      <c r="F3273" t="str">
        <f>_xlfn.XLOOKUP(tblSales[[#This Row],[Store ID]],tblStores[Store ID],tblStores[Manager])</f>
        <v>Megan Scott</v>
      </c>
      <c r="G3273" t="str">
        <f>_xlfn.XLOOKUP(tblSales[[#This Row],[Category ID]],tblCategories[Category ID],tblCategories[Category])</f>
        <v>Accessories</v>
      </c>
      <c r="H3273">
        <v>50020</v>
      </c>
      <c r="I3273">
        <v>49800</v>
      </c>
      <c r="J3273">
        <v>164</v>
      </c>
      <c r="K3273">
        <f>tblSales[[#This Row],[Sales]]-tblSales[[#This Row],[Budget]]</f>
        <v>220</v>
      </c>
      <c r="L3273" s="3">
        <f>(tblSales[[#This Row],[Sales]]-tblSales[[#This Row],[Budget]])/tblSales[[#This Row],[Budget]]</f>
        <v>4.4176706827309233E-3</v>
      </c>
      <c r="M3273" s="2">
        <f>tblSales[[#This Row],[Sales]]/tblSales[[#This Row],[Transactions]]</f>
        <v>305</v>
      </c>
    </row>
    <row r="3274" spans="1:13" x14ac:dyDescent="0.25">
      <c r="A3274" s="1">
        <v>46186</v>
      </c>
      <c r="B3274" t="s">
        <v>23</v>
      </c>
      <c r="C3274" t="s">
        <v>11</v>
      </c>
      <c r="D3274" t="str">
        <f>_xlfn.XLOOKUP(tblSales[[#This Row],[Store ID]],tblStores[Store ID],tblStores[Store Name])</f>
        <v>Stellenbosch</v>
      </c>
      <c r="E3274" t="str">
        <f>_xlfn.XLOOKUP(tblSales[[#This Row],[Store ID]],tblStores[Store ID],tblStores[Province])</f>
        <v>Western Cape</v>
      </c>
      <c r="F3274" t="str">
        <f>_xlfn.XLOOKUP(tblSales[[#This Row],[Store ID]],tblStores[Store ID],tblStores[Manager])</f>
        <v>Jason King</v>
      </c>
      <c r="G3274" t="str">
        <f>_xlfn.XLOOKUP(tblSales[[#This Row],[Category ID]],tblCategories[Category ID],tblCategories[Category])</f>
        <v>Footwear</v>
      </c>
      <c r="H3274">
        <v>49950</v>
      </c>
      <c r="I3274">
        <v>54479</v>
      </c>
      <c r="J3274">
        <v>135</v>
      </c>
      <c r="K3274">
        <f>tblSales[[#This Row],[Sales]]-tblSales[[#This Row],[Budget]]</f>
        <v>-4529</v>
      </c>
      <c r="L3274" s="3">
        <f>(tblSales[[#This Row],[Sales]]-tblSales[[#This Row],[Budget]])/tblSales[[#This Row],[Budget]]</f>
        <v>-8.3132950311129064E-2</v>
      </c>
      <c r="M3274" s="2">
        <f>tblSales[[#This Row],[Sales]]/tblSales[[#This Row],[Transactions]]</f>
        <v>370</v>
      </c>
    </row>
    <row r="3275" spans="1:13" x14ac:dyDescent="0.25">
      <c r="A3275" s="1">
        <v>46186</v>
      </c>
      <c r="B3275" t="s">
        <v>24</v>
      </c>
      <c r="C3275" t="s">
        <v>7</v>
      </c>
      <c r="D3275" t="str">
        <f>_xlfn.XLOOKUP(tblSales[[#This Row],[Store ID]],tblStores[Store ID],tblStores[Store Name])</f>
        <v>George</v>
      </c>
      <c r="E3275" t="str">
        <f>_xlfn.XLOOKUP(tblSales[[#This Row],[Store ID]],tblStores[Store ID],tblStores[Province])</f>
        <v>Western Cape</v>
      </c>
      <c r="F3275" t="str">
        <f>_xlfn.XLOOKUP(tblSales[[#This Row],[Store ID]],tblStores[Store ID],tblStores[Manager])</f>
        <v>Chloe Hill</v>
      </c>
      <c r="G3275" t="str">
        <f>_xlfn.XLOOKUP(tblSales[[#This Row],[Category ID]],tblCategories[Category ID],tblCategories[Category])</f>
        <v>Menswear</v>
      </c>
      <c r="H3275">
        <v>44100</v>
      </c>
      <c r="I3275">
        <v>46061</v>
      </c>
      <c r="J3275">
        <v>150</v>
      </c>
      <c r="K3275">
        <f>tblSales[[#This Row],[Sales]]-tblSales[[#This Row],[Budget]]</f>
        <v>-1961</v>
      </c>
      <c r="L3275" s="3">
        <f>(tblSales[[#This Row],[Sales]]-tblSales[[#This Row],[Budget]])/tblSales[[#This Row],[Budget]]</f>
        <v>-4.2573977985714599E-2</v>
      </c>
      <c r="M3275" s="2">
        <f>tblSales[[#This Row],[Sales]]/tblSales[[#This Row],[Transactions]]</f>
        <v>294</v>
      </c>
    </row>
    <row r="3276" spans="1:13" x14ac:dyDescent="0.25">
      <c r="A3276" s="1">
        <v>46186</v>
      </c>
      <c r="B3276" t="s">
        <v>25</v>
      </c>
      <c r="C3276" t="s">
        <v>7</v>
      </c>
      <c r="D3276" t="str">
        <f>_xlfn.XLOOKUP(tblSales[[#This Row],[Store ID]],tblStores[Store ID],tblStores[Store Name])</f>
        <v>Paarl</v>
      </c>
      <c r="E3276" t="str">
        <f>_xlfn.XLOOKUP(tblSales[[#This Row],[Store ID]],tblStores[Store ID],tblStores[Province])</f>
        <v>Western Cape</v>
      </c>
      <c r="F3276" t="str">
        <f>_xlfn.XLOOKUP(tblSales[[#This Row],[Store ID]],tblStores[Store ID],tblStores[Manager])</f>
        <v>Andrew Lee</v>
      </c>
      <c r="G3276" t="str">
        <f>_xlfn.XLOOKUP(tblSales[[#This Row],[Category ID]],tblCategories[Category ID],tblCategories[Category])</f>
        <v>Menswear</v>
      </c>
      <c r="H3276">
        <v>40528</v>
      </c>
      <c r="I3276">
        <v>41005</v>
      </c>
      <c r="J3276">
        <v>136</v>
      </c>
      <c r="K3276">
        <f>tblSales[[#This Row],[Sales]]-tblSales[[#This Row],[Budget]]</f>
        <v>-477</v>
      </c>
      <c r="L3276" s="3">
        <f>(tblSales[[#This Row],[Sales]]-tblSales[[#This Row],[Budget]])/tblSales[[#This Row],[Budget]]</f>
        <v>-1.1632727716132179E-2</v>
      </c>
      <c r="M3276" s="2">
        <f>tblSales[[#This Row],[Sales]]/tblSales[[#This Row],[Transactions]]</f>
        <v>298</v>
      </c>
    </row>
    <row r="3277" spans="1:13" x14ac:dyDescent="0.25">
      <c r="A3277" s="1">
        <v>46186</v>
      </c>
      <c r="B3277" t="s">
        <v>26</v>
      </c>
      <c r="C3277" t="s">
        <v>11</v>
      </c>
      <c r="D3277" t="str">
        <f>_xlfn.XLOOKUP(tblSales[[#This Row],[Store ID]],tblStores[Store ID],tblStores[Store Name])</f>
        <v>Gqeberha</v>
      </c>
      <c r="E3277" t="str">
        <f>_xlfn.XLOOKUP(tblSales[[#This Row],[Store ID]],tblStores[Store ID],tblStores[Province])</f>
        <v>Eastern Cape</v>
      </c>
      <c r="F3277" t="str">
        <f>_xlfn.XLOOKUP(tblSales[[#This Row],[Store ID]],tblStores[Store ID],tblStores[Manager])</f>
        <v>Emma Baker</v>
      </c>
      <c r="G3277" t="str">
        <f>_xlfn.XLOOKUP(tblSales[[#This Row],[Category ID]],tblCategories[Category ID],tblCategories[Category])</f>
        <v>Footwear</v>
      </c>
      <c r="H3277">
        <v>42065</v>
      </c>
      <c r="I3277">
        <v>44618</v>
      </c>
      <c r="J3277">
        <v>179</v>
      </c>
      <c r="K3277">
        <f>tblSales[[#This Row],[Sales]]-tblSales[[#This Row],[Budget]]</f>
        <v>-2553</v>
      </c>
      <c r="L3277" s="3">
        <f>(tblSales[[#This Row],[Sales]]-tblSales[[#This Row],[Budget]])/tblSales[[#This Row],[Budget]]</f>
        <v>-5.7219059572369897E-2</v>
      </c>
      <c r="M3277" s="2">
        <f>tblSales[[#This Row],[Sales]]/tblSales[[#This Row],[Transactions]]</f>
        <v>235</v>
      </c>
    </row>
    <row r="3278" spans="1:13" x14ac:dyDescent="0.25">
      <c r="A3278" s="1">
        <v>46186</v>
      </c>
      <c r="B3278" t="s">
        <v>27</v>
      </c>
      <c r="C3278" t="s">
        <v>22</v>
      </c>
      <c r="D3278" t="str">
        <f>_xlfn.XLOOKUP(tblSales[[#This Row],[Store ID]],tblStores[Store ID],tblStores[Store Name])</f>
        <v>East London</v>
      </c>
      <c r="E3278" t="str">
        <f>_xlfn.XLOOKUP(tblSales[[#This Row],[Store ID]],tblStores[Store ID],tblStores[Province])</f>
        <v>Eastern Cape</v>
      </c>
      <c r="F3278" t="str">
        <f>_xlfn.XLOOKUP(tblSales[[#This Row],[Store ID]],tblStores[Store ID],tblStores[Manager])</f>
        <v>Daniel Evans</v>
      </c>
      <c r="G3278" t="str">
        <f>_xlfn.XLOOKUP(tblSales[[#This Row],[Category ID]],tblCategories[Category ID],tblCategories[Category])</f>
        <v>Kids</v>
      </c>
      <c r="H3278">
        <v>35642</v>
      </c>
      <c r="I3278">
        <v>40772</v>
      </c>
      <c r="J3278">
        <v>71</v>
      </c>
      <c r="K3278">
        <f>tblSales[[#This Row],[Sales]]-tblSales[[#This Row],[Budget]]</f>
        <v>-5130</v>
      </c>
      <c r="L3278" s="3">
        <f>(tblSales[[#This Row],[Sales]]-tblSales[[#This Row],[Budget]])/tblSales[[#This Row],[Budget]]</f>
        <v>-0.12582164230354165</v>
      </c>
      <c r="M3278" s="2">
        <f>tblSales[[#This Row],[Sales]]/tblSales[[#This Row],[Transactions]]</f>
        <v>502</v>
      </c>
    </row>
    <row r="3279" spans="1:13" x14ac:dyDescent="0.25">
      <c r="A3279" s="1">
        <v>46186</v>
      </c>
      <c r="B3279" t="s">
        <v>28</v>
      </c>
      <c r="C3279" t="s">
        <v>7</v>
      </c>
      <c r="D3279" t="str">
        <f>_xlfn.XLOOKUP(tblSales[[#This Row],[Store ID]],tblStores[Store ID],tblStores[Store Name])</f>
        <v>Bloemfontein</v>
      </c>
      <c r="E3279" t="str">
        <f>_xlfn.XLOOKUP(tblSales[[#This Row],[Store ID]],tblStores[Store ID],tblStores[Province])</f>
        <v>Free State</v>
      </c>
      <c r="F3279" t="str">
        <f>_xlfn.XLOOKUP(tblSales[[#This Row],[Store ID]],tblStores[Store ID],tblStores[Manager])</f>
        <v>Rachel Moore</v>
      </c>
      <c r="G3279" t="str">
        <f>_xlfn.XLOOKUP(tblSales[[#This Row],[Category ID]],tblCategories[Category ID],tblCategories[Category])</f>
        <v>Menswear</v>
      </c>
      <c r="H3279">
        <v>47348</v>
      </c>
      <c r="I3279">
        <v>45071</v>
      </c>
      <c r="J3279">
        <v>178</v>
      </c>
      <c r="K3279">
        <f>tblSales[[#This Row],[Sales]]-tblSales[[#This Row],[Budget]]</f>
        <v>2277</v>
      </c>
      <c r="L3279" s="3">
        <f>(tblSales[[#This Row],[Sales]]-tblSales[[#This Row],[Budget]])/tblSales[[#This Row],[Budget]]</f>
        <v>5.0520290208781703E-2</v>
      </c>
      <c r="M3279" s="2">
        <f>tblSales[[#This Row],[Sales]]/tblSales[[#This Row],[Transactions]]</f>
        <v>266</v>
      </c>
    </row>
    <row r="3280" spans="1:13" x14ac:dyDescent="0.25">
      <c r="A3280" s="1">
        <v>46186</v>
      </c>
      <c r="B3280" t="s">
        <v>29</v>
      </c>
      <c r="C3280" t="s">
        <v>11</v>
      </c>
      <c r="D3280" t="str">
        <f>_xlfn.XLOOKUP(tblSales[[#This Row],[Store ID]],tblStores[Store ID],tblStores[Store Name])</f>
        <v>Polokwane</v>
      </c>
      <c r="E3280" t="str">
        <f>_xlfn.XLOOKUP(tblSales[[#This Row],[Store ID]],tblStores[Store ID],tblStores[Province])</f>
        <v>Limpopo</v>
      </c>
      <c r="F3280" t="str">
        <f>_xlfn.XLOOKUP(tblSales[[#This Row],[Store ID]],tblStores[Store ID],tblStores[Manager])</f>
        <v>Kevin Harris</v>
      </c>
      <c r="G3280" t="str">
        <f>_xlfn.XLOOKUP(tblSales[[#This Row],[Category ID]],tblCategories[Category ID],tblCategories[Category])</f>
        <v>Footwear</v>
      </c>
      <c r="H3280">
        <v>57102</v>
      </c>
      <c r="I3280">
        <v>52589</v>
      </c>
      <c r="J3280">
        <v>186</v>
      </c>
      <c r="K3280">
        <f>tblSales[[#This Row],[Sales]]-tblSales[[#This Row],[Budget]]</f>
        <v>4513</v>
      </c>
      <c r="L3280" s="3">
        <f>(tblSales[[#This Row],[Sales]]-tblSales[[#This Row],[Budget]])/tblSales[[#This Row],[Budget]]</f>
        <v>8.5816425488219966E-2</v>
      </c>
      <c r="M3280" s="2">
        <f>tblSales[[#This Row],[Sales]]/tblSales[[#This Row],[Transactions]]</f>
        <v>307</v>
      </c>
    </row>
    <row r="3281" spans="1:13" x14ac:dyDescent="0.25">
      <c r="A3281" s="1">
        <v>46186</v>
      </c>
      <c r="B3281" t="s">
        <v>30</v>
      </c>
      <c r="C3281" t="s">
        <v>11</v>
      </c>
      <c r="D3281" t="str">
        <f>_xlfn.XLOOKUP(tblSales[[#This Row],[Store ID]],tblStores[Store ID],tblStores[Store Name])</f>
        <v>Nelspruit</v>
      </c>
      <c r="E3281" t="str">
        <f>_xlfn.XLOOKUP(tblSales[[#This Row],[Store ID]],tblStores[Store ID],tblStores[Province])</f>
        <v>Mpumalanga</v>
      </c>
      <c r="F3281" t="str">
        <f>_xlfn.XLOOKUP(tblSales[[#This Row],[Store ID]],tblStores[Store ID],tblStores[Manager])</f>
        <v>Olivia Turner</v>
      </c>
      <c r="G3281" t="str">
        <f>_xlfn.XLOOKUP(tblSales[[#This Row],[Category ID]],tblCategories[Category ID],tblCategories[Category])</f>
        <v>Footwear</v>
      </c>
      <c r="H3281">
        <v>81024</v>
      </c>
      <c r="I3281">
        <v>83523</v>
      </c>
      <c r="J3281">
        <v>192</v>
      </c>
      <c r="K3281">
        <f>tblSales[[#This Row],[Sales]]-tblSales[[#This Row],[Budget]]</f>
        <v>-2499</v>
      </c>
      <c r="L3281" s="3">
        <f>(tblSales[[#This Row],[Sales]]-tblSales[[#This Row],[Budget]])/tblSales[[#This Row],[Budget]]</f>
        <v>-2.991990230235983E-2</v>
      </c>
      <c r="M3281" s="2">
        <f>tblSales[[#This Row],[Sales]]/tblSales[[#This Row],[Transactions]]</f>
        <v>422</v>
      </c>
    </row>
    <row r="3282" spans="1:13" x14ac:dyDescent="0.25">
      <c r="A3282" s="1">
        <v>46187</v>
      </c>
      <c r="B3282" t="s">
        <v>6</v>
      </c>
      <c r="C3282" t="s">
        <v>19</v>
      </c>
      <c r="D3282" t="str">
        <f>_xlfn.XLOOKUP(tblSales[[#This Row],[Store ID]],tblStores[Store ID],tblStores[Store Name])</f>
        <v>Durban CBD</v>
      </c>
      <c r="E3282" t="str">
        <f>_xlfn.XLOOKUP(tblSales[[#This Row],[Store ID]],tblStores[Store ID],tblStores[Province])</f>
        <v>KZN</v>
      </c>
      <c r="F3282" t="str">
        <f>_xlfn.XLOOKUP(tblSales[[#This Row],[Store ID]],tblStores[Store ID],tblStores[Manager])</f>
        <v>Sarah Adams</v>
      </c>
      <c r="G3282" t="str">
        <f>_xlfn.XLOOKUP(tblSales[[#This Row],[Category ID]],tblCategories[Category ID],tblCategories[Category])</f>
        <v>Accessories</v>
      </c>
      <c r="H3282">
        <v>19740</v>
      </c>
      <c r="I3282">
        <v>21553</v>
      </c>
      <c r="J3282">
        <v>94</v>
      </c>
      <c r="K3282">
        <f>tblSales[[#This Row],[Sales]]-tblSales[[#This Row],[Budget]]</f>
        <v>-1813</v>
      </c>
      <c r="L3282" s="3">
        <f>(tblSales[[#This Row],[Sales]]-tblSales[[#This Row],[Budget]])/tblSales[[#This Row],[Budget]]</f>
        <v>-8.4118220201364086E-2</v>
      </c>
      <c r="M3282" s="2">
        <f>tblSales[[#This Row],[Sales]]/tblSales[[#This Row],[Transactions]]</f>
        <v>210</v>
      </c>
    </row>
    <row r="3283" spans="1:13" x14ac:dyDescent="0.25">
      <c r="A3283" s="1">
        <v>46187</v>
      </c>
      <c r="B3283" t="s">
        <v>8</v>
      </c>
      <c r="C3283" t="s">
        <v>22</v>
      </c>
      <c r="D3283" t="str">
        <f>_xlfn.XLOOKUP(tblSales[[#This Row],[Store ID]],tblStores[Store ID],tblStores[Store Name])</f>
        <v>Gateway</v>
      </c>
      <c r="E3283" t="str">
        <f>_xlfn.XLOOKUP(tblSales[[#This Row],[Store ID]],tblStores[Store ID],tblStores[Province])</f>
        <v>KZN</v>
      </c>
      <c r="F3283" t="str">
        <f>_xlfn.XLOOKUP(tblSales[[#This Row],[Store ID]],tblStores[Store ID],tblStores[Manager])</f>
        <v>Michael Jones</v>
      </c>
      <c r="G3283" t="str">
        <f>_xlfn.XLOOKUP(tblSales[[#This Row],[Category ID]],tblCategories[Category ID],tblCategories[Category])</f>
        <v>Kids</v>
      </c>
      <c r="H3283">
        <v>47460</v>
      </c>
      <c r="I3283">
        <v>51500</v>
      </c>
      <c r="J3283">
        <v>140</v>
      </c>
      <c r="K3283">
        <f>tblSales[[#This Row],[Sales]]-tblSales[[#This Row],[Budget]]</f>
        <v>-4040</v>
      </c>
      <c r="L3283" s="3">
        <f>(tblSales[[#This Row],[Sales]]-tblSales[[#This Row],[Budget]])/tblSales[[#This Row],[Budget]]</f>
        <v>-7.8446601941747574E-2</v>
      </c>
      <c r="M3283" s="2">
        <f>tblSales[[#This Row],[Sales]]/tblSales[[#This Row],[Transactions]]</f>
        <v>339</v>
      </c>
    </row>
    <row r="3284" spans="1:13" x14ac:dyDescent="0.25">
      <c r="A3284" s="1">
        <v>46187</v>
      </c>
      <c r="B3284" t="s">
        <v>10</v>
      </c>
      <c r="C3284" t="s">
        <v>9</v>
      </c>
      <c r="D3284" t="str">
        <f>_xlfn.XLOOKUP(tblSales[[#This Row],[Store ID]],tblStores[Store ID],tblStores[Store Name])</f>
        <v>Ballito</v>
      </c>
      <c r="E3284" t="str">
        <f>_xlfn.XLOOKUP(tblSales[[#This Row],[Store ID]],tblStores[Store ID],tblStores[Province])</f>
        <v>KZN</v>
      </c>
      <c r="F3284" t="str">
        <f>_xlfn.XLOOKUP(tblSales[[#This Row],[Store ID]],tblStores[Store ID],tblStores[Manager])</f>
        <v>Linda Smith</v>
      </c>
      <c r="G3284" t="str">
        <f>_xlfn.XLOOKUP(tblSales[[#This Row],[Category ID]],tblCategories[Category ID],tblCategories[Category])</f>
        <v>Ladieswear</v>
      </c>
      <c r="H3284">
        <v>15136</v>
      </c>
      <c r="I3284">
        <v>16229</v>
      </c>
      <c r="J3284">
        <v>44</v>
      </c>
      <c r="K3284">
        <f>tblSales[[#This Row],[Sales]]-tblSales[[#This Row],[Budget]]</f>
        <v>-1093</v>
      </c>
      <c r="L3284" s="3">
        <f>(tblSales[[#This Row],[Sales]]-tblSales[[#This Row],[Budget]])/tblSales[[#This Row],[Budget]]</f>
        <v>-6.7348573541191697E-2</v>
      </c>
      <c r="M3284" s="2">
        <f>tblSales[[#This Row],[Sales]]/tblSales[[#This Row],[Transactions]]</f>
        <v>344</v>
      </c>
    </row>
    <row r="3285" spans="1:13" x14ac:dyDescent="0.25">
      <c r="A3285" s="1">
        <v>46187</v>
      </c>
      <c r="B3285" t="s">
        <v>12</v>
      </c>
      <c r="C3285" t="s">
        <v>19</v>
      </c>
      <c r="D3285" t="str">
        <f>_xlfn.XLOOKUP(tblSales[[#This Row],[Store ID]],tblStores[Store ID],tblStores[Store Name])</f>
        <v>Pietermaritzburg</v>
      </c>
      <c r="E3285" t="str">
        <f>_xlfn.XLOOKUP(tblSales[[#This Row],[Store ID]],tblStores[Store ID],tblStores[Province])</f>
        <v>KZN</v>
      </c>
      <c r="F3285" t="str">
        <f>_xlfn.XLOOKUP(tblSales[[#This Row],[Store ID]],tblStores[Store ID],tblStores[Manager])</f>
        <v>Peter Brown</v>
      </c>
      <c r="G3285" t="str">
        <f>_xlfn.XLOOKUP(tblSales[[#This Row],[Category ID]],tblCategories[Category ID],tblCategories[Category])</f>
        <v>Accessories</v>
      </c>
      <c r="H3285">
        <v>25298</v>
      </c>
      <c r="I3285">
        <v>24464</v>
      </c>
      <c r="J3285">
        <v>139</v>
      </c>
      <c r="K3285">
        <f>tblSales[[#This Row],[Sales]]-tblSales[[#This Row],[Budget]]</f>
        <v>834</v>
      </c>
      <c r="L3285" s="3">
        <f>(tblSales[[#This Row],[Sales]]-tblSales[[#This Row],[Budget]])/tblSales[[#This Row],[Budget]]</f>
        <v>3.4090909090909088E-2</v>
      </c>
      <c r="M3285" s="2">
        <f>tblSales[[#This Row],[Sales]]/tblSales[[#This Row],[Transactions]]</f>
        <v>182</v>
      </c>
    </row>
    <row r="3286" spans="1:13" x14ac:dyDescent="0.25">
      <c r="A3286" s="1">
        <v>46187</v>
      </c>
      <c r="B3286" t="s">
        <v>13</v>
      </c>
      <c r="C3286" t="s">
        <v>9</v>
      </c>
      <c r="D3286" t="str">
        <f>_xlfn.XLOOKUP(tblSales[[#This Row],[Store ID]],tblStores[Store ID],tblStores[Store Name])</f>
        <v>Richards Bay</v>
      </c>
      <c r="E3286" t="str">
        <f>_xlfn.XLOOKUP(tblSales[[#This Row],[Store ID]],tblStores[Store ID],tblStores[Province])</f>
        <v>KZN</v>
      </c>
      <c r="F3286" t="str">
        <f>_xlfn.XLOOKUP(tblSales[[#This Row],[Store ID]],tblStores[Store ID],tblStores[Manager])</f>
        <v>David Green</v>
      </c>
      <c r="G3286" t="str">
        <f>_xlfn.XLOOKUP(tblSales[[#This Row],[Category ID]],tblCategories[Category ID],tblCategories[Category])</f>
        <v>Ladieswear</v>
      </c>
      <c r="H3286">
        <v>76540</v>
      </c>
      <c r="I3286">
        <v>79325</v>
      </c>
      <c r="J3286">
        <v>178</v>
      </c>
      <c r="K3286">
        <f>tblSales[[#This Row],[Sales]]-tblSales[[#This Row],[Budget]]</f>
        <v>-2785</v>
      </c>
      <c r="L3286" s="3">
        <f>(tblSales[[#This Row],[Sales]]-tblSales[[#This Row],[Budget]])/tblSales[[#This Row],[Budget]]</f>
        <v>-3.5108729908603843E-2</v>
      </c>
      <c r="M3286" s="2">
        <f>tblSales[[#This Row],[Sales]]/tblSales[[#This Row],[Transactions]]</f>
        <v>430</v>
      </c>
    </row>
    <row r="3287" spans="1:13" x14ac:dyDescent="0.25">
      <c r="A3287" s="1">
        <v>46187</v>
      </c>
      <c r="B3287" t="s">
        <v>14</v>
      </c>
      <c r="C3287" t="s">
        <v>22</v>
      </c>
      <c r="D3287" t="str">
        <f>_xlfn.XLOOKUP(tblSales[[#This Row],[Store ID]],tblStores[Store ID],tblStores[Store Name])</f>
        <v>Sandton</v>
      </c>
      <c r="E3287" t="str">
        <f>_xlfn.XLOOKUP(tblSales[[#This Row],[Store ID]],tblStores[Store ID],tblStores[Province])</f>
        <v>Gauteng</v>
      </c>
      <c r="F3287" t="str">
        <f>_xlfn.XLOOKUP(tblSales[[#This Row],[Store ID]],tblStores[Store ID],tblStores[Manager])</f>
        <v>Karen White</v>
      </c>
      <c r="G3287" t="str">
        <f>_xlfn.XLOOKUP(tblSales[[#This Row],[Category ID]],tblCategories[Category ID],tblCategories[Category])</f>
        <v>Kids</v>
      </c>
      <c r="H3287">
        <v>60300</v>
      </c>
      <c r="I3287">
        <v>59121</v>
      </c>
      <c r="J3287">
        <v>201</v>
      </c>
      <c r="K3287">
        <f>tblSales[[#This Row],[Sales]]-tblSales[[#This Row],[Budget]]</f>
        <v>1179</v>
      </c>
      <c r="L3287" s="3">
        <f>(tblSales[[#This Row],[Sales]]-tblSales[[#This Row],[Budget]])/tblSales[[#This Row],[Budget]]</f>
        <v>1.9942152534632364E-2</v>
      </c>
      <c r="M3287" s="2">
        <f>tblSales[[#This Row],[Sales]]/tblSales[[#This Row],[Transactions]]</f>
        <v>300</v>
      </c>
    </row>
    <row r="3288" spans="1:13" x14ac:dyDescent="0.25">
      <c r="A3288" s="1">
        <v>46187</v>
      </c>
      <c r="B3288" t="s">
        <v>15</v>
      </c>
      <c r="C3288" t="s">
        <v>11</v>
      </c>
      <c r="D3288" t="str">
        <f>_xlfn.XLOOKUP(tblSales[[#This Row],[Store ID]],tblStores[Store ID],tblStores[Store Name])</f>
        <v>Rosebank</v>
      </c>
      <c r="E3288" t="str">
        <f>_xlfn.XLOOKUP(tblSales[[#This Row],[Store ID]],tblStores[Store ID],tblStores[Province])</f>
        <v>Gauteng</v>
      </c>
      <c r="F3288" t="str">
        <f>_xlfn.XLOOKUP(tblSales[[#This Row],[Store ID]],tblStores[Store ID],tblStores[Manager])</f>
        <v>James Taylor</v>
      </c>
      <c r="G3288" t="str">
        <f>_xlfn.XLOOKUP(tblSales[[#This Row],[Category ID]],tblCategories[Category ID],tblCategories[Category])</f>
        <v>Footwear</v>
      </c>
      <c r="H3288">
        <v>77024</v>
      </c>
      <c r="I3288">
        <v>85855</v>
      </c>
      <c r="J3288">
        <v>166</v>
      </c>
      <c r="K3288">
        <f>tblSales[[#This Row],[Sales]]-tblSales[[#This Row],[Budget]]</f>
        <v>-8831</v>
      </c>
      <c r="L3288" s="3">
        <f>(tblSales[[#This Row],[Sales]]-tblSales[[#This Row],[Budget]])/tblSales[[#This Row],[Budget]]</f>
        <v>-0.10285947236619883</v>
      </c>
      <c r="M3288" s="2">
        <f>tblSales[[#This Row],[Sales]]/tblSales[[#This Row],[Transactions]]</f>
        <v>464</v>
      </c>
    </row>
    <row r="3289" spans="1:13" x14ac:dyDescent="0.25">
      <c r="A3289" s="1">
        <v>46187</v>
      </c>
      <c r="B3289" t="s">
        <v>16</v>
      </c>
      <c r="C3289" t="s">
        <v>7</v>
      </c>
      <c r="D3289" t="str">
        <f>_xlfn.XLOOKUP(tblSales[[#This Row],[Store ID]],tblStores[Store ID],tblStores[Store Name])</f>
        <v>Pretoria</v>
      </c>
      <c r="E3289" t="str">
        <f>_xlfn.XLOOKUP(tblSales[[#This Row],[Store ID]],tblStores[Store ID],tblStores[Province])</f>
        <v>Gauteng</v>
      </c>
      <c r="F3289" t="str">
        <f>_xlfn.XLOOKUP(tblSales[[#This Row],[Store ID]],tblStores[Store ID],tblStores[Manager])</f>
        <v>Susan Clark</v>
      </c>
      <c r="G3289" t="str">
        <f>_xlfn.XLOOKUP(tblSales[[#This Row],[Category ID]],tblCategories[Category ID],tblCategories[Category])</f>
        <v>Menswear</v>
      </c>
      <c r="H3289">
        <v>24217</v>
      </c>
      <c r="I3289">
        <v>26028</v>
      </c>
      <c r="J3289">
        <v>61</v>
      </c>
      <c r="K3289">
        <f>tblSales[[#This Row],[Sales]]-tblSales[[#This Row],[Budget]]</f>
        <v>-1811</v>
      </c>
      <c r="L3289" s="3">
        <f>(tblSales[[#This Row],[Sales]]-tblSales[[#This Row],[Budget]])/tblSales[[#This Row],[Budget]]</f>
        <v>-6.957891501459966E-2</v>
      </c>
      <c r="M3289" s="2">
        <f>tblSales[[#This Row],[Sales]]/tblSales[[#This Row],[Transactions]]</f>
        <v>397</v>
      </c>
    </row>
    <row r="3290" spans="1:13" x14ac:dyDescent="0.25">
      <c r="A3290" s="1">
        <v>46187</v>
      </c>
      <c r="B3290" t="s">
        <v>17</v>
      </c>
      <c r="C3290" t="s">
        <v>11</v>
      </c>
      <c r="D3290" t="str">
        <f>_xlfn.XLOOKUP(tblSales[[#This Row],[Store ID]],tblStores[Store ID],tblStores[Store Name])</f>
        <v>Centurion</v>
      </c>
      <c r="E3290" t="str">
        <f>_xlfn.XLOOKUP(tblSales[[#This Row],[Store ID]],tblStores[Store ID],tblStores[Province])</f>
        <v>Gauteng</v>
      </c>
      <c r="F3290" t="str">
        <f>_xlfn.XLOOKUP(tblSales[[#This Row],[Store ID]],tblStores[Store ID],tblStores[Manager])</f>
        <v>Mark Wilson</v>
      </c>
      <c r="G3290" t="str">
        <f>_xlfn.XLOOKUP(tblSales[[#This Row],[Category ID]],tblCategories[Category ID],tblCategories[Category])</f>
        <v>Footwear</v>
      </c>
      <c r="H3290">
        <v>12462</v>
      </c>
      <c r="I3290">
        <v>11720</v>
      </c>
      <c r="J3290">
        <v>67</v>
      </c>
      <c r="K3290">
        <f>tblSales[[#This Row],[Sales]]-tblSales[[#This Row],[Budget]]</f>
        <v>742</v>
      </c>
      <c r="L3290" s="3">
        <f>(tblSales[[#This Row],[Sales]]-tblSales[[#This Row],[Budget]])/tblSales[[#This Row],[Budget]]</f>
        <v>6.3310580204778158E-2</v>
      </c>
      <c r="M3290" s="2">
        <f>tblSales[[#This Row],[Sales]]/tblSales[[#This Row],[Transactions]]</f>
        <v>186</v>
      </c>
    </row>
    <row r="3291" spans="1:13" x14ac:dyDescent="0.25">
      <c r="A3291" s="1">
        <v>46187</v>
      </c>
      <c r="B3291" t="s">
        <v>18</v>
      </c>
      <c r="C3291" t="s">
        <v>7</v>
      </c>
      <c r="D3291" t="str">
        <f>_xlfn.XLOOKUP(tblSales[[#This Row],[Store ID]],tblStores[Store ID],tblStores[Store Name])</f>
        <v>East Rand</v>
      </c>
      <c r="E3291" t="str">
        <f>_xlfn.XLOOKUP(tblSales[[#This Row],[Store ID]],tblStores[Store ID],tblStores[Province])</f>
        <v>Gauteng</v>
      </c>
      <c r="F3291" t="str">
        <f>_xlfn.XLOOKUP(tblSales[[#This Row],[Store ID]],tblStores[Store ID],tblStores[Manager])</f>
        <v>Lisa Young</v>
      </c>
      <c r="G3291" t="str">
        <f>_xlfn.XLOOKUP(tblSales[[#This Row],[Category ID]],tblCategories[Category ID],tblCategories[Category])</f>
        <v>Menswear</v>
      </c>
      <c r="H3291">
        <v>21637</v>
      </c>
      <c r="I3291">
        <v>21840</v>
      </c>
      <c r="J3291">
        <v>77</v>
      </c>
      <c r="K3291">
        <f>tblSales[[#This Row],[Sales]]-tblSales[[#This Row],[Budget]]</f>
        <v>-203</v>
      </c>
      <c r="L3291" s="3">
        <f>(tblSales[[#This Row],[Sales]]-tblSales[[#This Row],[Budget]])/tblSales[[#This Row],[Budget]]</f>
        <v>-9.2948717948717948E-3</v>
      </c>
      <c r="M3291" s="2">
        <f>tblSales[[#This Row],[Sales]]/tblSales[[#This Row],[Transactions]]</f>
        <v>281</v>
      </c>
    </row>
    <row r="3292" spans="1:13" x14ac:dyDescent="0.25">
      <c r="A3292" s="1">
        <v>46187</v>
      </c>
      <c r="B3292" t="s">
        <v>20</v>
      </c>
      <c r="C3292" t="s">
        <v>7</v>
      </c>
      <c r="D3292" t="str">
        <f>_xlfn.XLOOKUP(tblSales[[#This Row],[Store ID]],tblStores[Store ID],tblStores[Store Name])</f>
        <v>Cape Town CBD</v>
      </c>
      <c r="E3292" t="str">
        <f>_xlfn.XLOOKUP(tblSales[[#This Row],[Store ID]],tblStores[Store ID],tblStores[Province])</f>
        <v>Western Cape</v>
      </c>
      <c r="F3292" t="str">
        <f>_xlfn.XLOOKUP(tblSales[[#This Row],[Store ID]],tblStores[Store ID],tblStores[Manager])</f>
        <v>Brian Hall</v>
      </c>
      <c r="G3292" t="str">
        <f>_xlfn.XLOOKUP(tblSales[[#This Row],[Category ID]],tblCategories[Category ID],tblCategories[Category])</f>
        <v>Menswear</v>
      </c>
      <c r="H3292">
        <v>17468</v>
      </c>
      <c r="I3292">
        <v>17883</v>
      </c>
      <c r="J3292">
        <v>44</v>
      </c>
      <c r="K3292">
        <f>tblSales[[#This Row],[Sales]]-tblSales[[#This Row],[Budget]]</f>
        <v>-415</v>
      </c>
      <c r="L3292" s="3">
        <f>(tblSales[[#This Row],[Sales]]-tblSales[[#This Row],[Budget]])/tblSales[[#This Row],[Budget]]</f>
        <v>-2.3206397136945701E-2</v>
      </c>
      <c r="M3292" s="2">
        <f>tblSales[[#This Row],[Sales]]/tblSales[[#This Row],[Transactions]]</f>
        <v>397</v>
      </c>
    </row>
    <row r="3293" spans="1:13" x14ac:dyDescent="0.25">
      <c r="A3293" s="1">
        <v>46187</v>
      </c>
      <c r="B3293" t="s">
        <v>21</v>
      </c>
      <c r="C3293" t="s">
        <v>19</v>
      </c>
      <c r="D3293" t="str">
        <f>_xlfn.XLOOKUP(tblSales[[#This Row],[Store ID]],tblStores[Store ID],tblStores[Store Name])</f>
        <v>Canal Walk</v>
      </c>
      <c r="E3293" t="str">
        <f>_xlfn.XLOOKUP(tblSales[[#This Row],[Store ID]],tblStores[Store ID],tblStores[Province])</f>
        <v>Western Cape</v>
      </c>
      <c r="F3293" t="str">
        <f>_xlfn.XLOOKUP(tblSales[[#This Row],[Store ID]],tblStores[Store ID],tblStores[Manager])</f>
        <v>Megan Scott</v>
      </c>
      <c r="G3293" t="str">
        <f>_xlfn.XLOOKUP(tblSales[[#This Row],[Category ID]],tblCategories[Category ID],tblCategories[Category])</f>
        <v>Accessories</v>
      </c>
      <c r="H3293">
        <v>39909</v>
      </c>
      <c r="I3293">
        <v>43390</v>
      </c>
      <c r="J3293">
        <v>159</v>
      </c>
      <c r="K3293">
        <f>tblSales[[#This Row],[Sales]]-tblSales[[#This Row],[Budget]]</f>
        <v>-3481</v>
      </c>
      <c r="L3293" s="3">
        <f>(tblSales[[#This Row],[Sales]]-tblSales[[#This Row],[Budget]])/tblSales[[#This Row],[Budget]]</f>
        <v>-8.0225858492740262E-2</v>
      </c>
      <c r="M3293" s="2">
        <f>tblSales[[#This Row],[Sales]]/tblSales[[#This Row],[Transactions]]</f>
        <v>251</v>
      </c>
    </row>
    <row r="3294" spans="1:13" x14ac:dyDescent="0.25">
      <c r="A3294" s="1">
        <v>46187</v>
      </c>
      <c r="B3294" t="s">
        <v>23</v>
      </c>
      <c r="C3294" t="s">
        <v>19</v>
      </c>
      <c r="D3294" t="str">
        <f>_xlfn.XLOOKUP(tblSales[[#This Row],[Store ID]],tblStores[Store ID],tblStores[Store Name])</f>
        <v>Stellenbosch</v>
      </c>
      <c r="E3294" t="str">
        <f>_xlfn.XLOOKUP(tblSales[[#This Row],[Store ID]],tblStores[Store ID],tblStores[Province])</f>
        <v>Western Cape</v>
      </c>
      <c r="F3294" t="str">
        <f>_xlfn.XLOOKUP(tblSales[[#This Row],[Store ID]],tblStores[Store ID],tblStores[Manager])</f>
        <v>Jason King</v>
      </c>
      <c r="G3294" t="str">
        <f>_xlfn.XLOOKUP(tblSales[[#This Row],[Category ID]],tblCategories[Category ID],tblCategories[Category])</f>
        <v>Accessories</v>
      </c>
      <c r="H3294">
        <v>54528</v>
      </c>
      <c r="I3294">
        <v>49201</v>
      </c>
      <c r="J3294">
        <v>142</v>
      </c>
      <c r="K3294">
        <f>tblSales[[#This Row],[Sales]]-tblSales[[#This Row],[Budget]]</f>
        <v>5327</v>
      </c>
      <c r="L3294" s="3">
        <f>(tblSales[[#This Row],[Sales]]-tblSales[[#This Row],[Budget]])/tblSales[[#This Row],[Budget]]</f>
        <v>0.10827015711062783</v>
      </c>
      <c r="M3294" s="2">
        <f>tblSales[[#This Row],[Sales]]/tblSales[[#This Row],[Transactions]]</f>
        <v>384</v>
      </c>
    </row>
    <row r="3295" spans="1:13" x14ac:dyDescent="0.25">
      <c r="A3295" s="1">
        <v>46187</v>
      </c>
      <c r="B3295" t="s">
        <v>24</v>
      </c>
      <c r="C3295" t="s">
        <v>7</v>
      </c>
      <c r="D3295" t="str">
        <f>_xlfn.XLOOKUP(tblSales[[#This Row],[Store ID]],tblStores[Store ID],tblStores[Store Name])</f>
        <v>George</v>
      </c>
      <c r="E3295" t="str">
        <f>_xlfn.XLOOKUP(tblSales[[#This Row],[Store ID]],tblStores[Store ID],tblStores[Province])</f>
        <v>Western Cape</v>
      </c>
      <c r="F3295" t="str">
        <f>_xlfn.XLOOKUP(tblSales[[#This Row],[Store ID]],tblStores[Store ID],tblStores[Manager])</f>
        <v>Chloe Hill</v>
      </c>
      <c r="G3295" t="str">
        <f>_xlfn.XLOOKUP(tblSales[[#This Row],[Category ID]],tblCategories[Category ID],tblCategories[Category])</f>
        <v>Menswear</v>
      </c>
      <c r="H3295">
        <v>48180</v>
      </c>
      <c r="I3295">
        <v>52033</v>
      </c>
      <c r="J3295">
        <v>146</v>
      </c>
      <c r="K3295">
        <f>tblSales[[#This Row],[Sales]]-tblSales[[#This Row],[Budget]]</f>
        <v>-3853</v>
      </c>
      <c r="L3295" s="3">
        <f>(tblSales[[#This Row],[Sales]]-tblSales[[#This Row],[Budget]])/tblSales[[#This Row],[Budget]]</f>
        <v>-7.4049161109296019E-2</v>
      </c>
      <c r="M3295" s="2">
        <f>tblSales[[#This Row],[Sales]]/tblSales[[#This Row],[Transactions]]</f>
        <v>330</v>
      </c>
    </row>
    <row r="3296" spans="1:13" x14ac:dyDescent="0.25">
      <c r="A3296" s="1">
        <v>46187</v>
      </c>
      <c r="B3296" t="s">
        <v>25</v>
      </c>
      <c r="C3296" t="s">
        <v>22</v>
      </c>
      <c r="D3296" t="str">
        <f>_xlfn.XLOOKUP(tblSales[[#This Row],[Store ID]],tblStores[Store ID],tblStores[Store Name])</f>
        <v>Paarl</v>
      </c>
      <c r="E3296" t="str">
        <f>_xlfn.XLOOKUP(tblSales[[#This Row],[Store ID]],tblStores[Store ID],tblStores[Province])</f>
        <v>Western Cape</v>
      </c>
      <c r="F3296" t="str">
        <f>_xlfn.XLOOKUP(tblSales[[#This Row],[Store ID]],tblStores[Store ID],tblStores[Manager])</f>
        <v>Andrew Lee</v>
      </c>
      <c r="G3296" t="str">
        <f>_xlfn.XLOOKUP(tblSales[[#This Row],[Category ID]],tblCategories[Category ID],tblCategories[Category])</f>
        <v>Kids</v>
      </c>
      <c r="H3296">
        <v>57960</v>
      </c>
      <c r="I3296">
        <v>61076</v>
      </c>
      <c r="J3296">
        <v>168</v>
      </c>
      <c r="K3296">
        <f>tblSales[[#This Row],[Sales]]-tblSales[[#This Row],[Budget]]</f>
        <v>-3116</v>
      </c>
      <c r="L3296" s="3">
        <f>(tblSales[[#This Row],[Sales]]-tblSales[[#This Row],[Budget]])/tblSales[[#This Row],[Budget]]</f>
        <v>-5.1018403300805551E-2</v>
      </c>
      <c r="M3296" s="2">
        <f>tblSales[[#This Row],[Sales]]/tblSales[[#This Row],[Transactions]]</f>
        <v>345</v>
      </c>
    </row>
    <row r="3297" spans="1:13" x14ac:dyDescent="0.25">
      <c r="A3297" s="1">
        <v>46187</v>
      </c>
      <c r="B3297" t="s">
        <v>26</v>
      </c>
      <c r="C3297" t="s">
        <v>22</v>
      </c>
      <c r="D3297" t="str">
        <f>_xlfn.XLOOKUP(tblSales[[#This Row],[Store ID]],tblStores[Store ID],tblStores[Store Name])</f>
        <v>Gqeberha</v>
      </c>
      <c r="E3297" t="str">
        <f>_xlfn.XLOOKUP(tblSales[[#This Row],[Store ID]],tblStores[Store ID],tblStores[Province])</f>
        <v>Eastern Cape</v>
      </c>
      <c r="F3297" t="str">
        <f>_xlfn.XLOOKUP(tblSales[[#This Row],[Store ID]],tblStores[Store ID],tblStores[Manager])</f>
        <v>Emma Baker</v>
      </c>
      <c r="G3297" t="str">
        <f>_xlfn.XLOOKUP(tblSales[[#This Row],[Category ID]],tblCategories[Category ID],tblCategories[Category])</f>
        <v>Kids</v>
      </c>
      <c r="H3297">
        <v>91648</v>
      </c>
      <c r="I3297">
        <v>86285</v>
      </c>
      <c r="J3297">
        <v>179</v>
      </c>
      <c r="K3297">
        <f>tblSales[[#This Row],[Sales]]-tblSales[[#This Row],[Budget]]</f>
        <v>5363</v>
      </c>
      <c r="L3297" s="3">
        <f>(tblSales[[#This Row],[Sales]]-tblSales[[#This Row],[Budget]])/tblSales[[#This Row],[Budget]]</f>
        <v>6.215448803384134E-2</v>
      </c>
      <c r="M3297" s="2">
        <f>tblSales[[#This Row],[Sales]]/tblSales[[#This Row],[Transactions]]</f>
        <v>512</v>
      </c>
    </row>
    <row r="3298" spans="1:13" x14ac:dyDescent="0.25">
      <c r="A3298" s="1">
        <v>46187</v>
      </c>
      <c r="B3298" t="s">
        <v>27</v>
      </c>
      <c r="C3298" t="s">
        <v>22</v>
      </c>
      <c r="D3298" t="str">
        <f>_xlfn.XLOOKUP(tblSales[[#This Row],[Store ID]],tblStores[Store ID],tblStores[Store Name])</f>
        <v>East London</v>
      </c>
      <c r="E3298" t="str">
        <f>_xlfn.XLOOKUP(tblSales[[#This Row],[Store ID]],tblStores[Store ID],tblStores[Province])</f>
        <v>Eastern Cape</v>
      </c>
      <c r="F3298" t="str">
        <f>_xlfn.XLOOKUP(tblSales[[#This Row],[Store ID]],tblStores[Store ID],tblStores[Manager])</f>
        <v>Daniel Evans</v>
      </c>
      <c r="G3298" t="str">
        <f>_xlfn.XLOOKUP(tblSales[[#This Row],[Category ID]],tblCategories[Category ID],tblCategories[Category])</f>
        <v>Kids</v>
      </c>
      <c r="H3298">
        <v>47712</v>
      </c>
      <c r="I3298">
        <v>52516</v>
      </c>
      <c r="J3298">
        <v>168</v>
      </c>
      <c r="K3298">
        <f>tblSales[[#This Row],[Sales]]-tblSales[[#This Row],[Budget]]</f>
        <v>-4804</v>
      </c>
      <c r="L3298" s="3">
        <f>(tblSales[[#This Row],[Sales]]-tblSales[[#This Row],[Budget]])/tblSales[[#This Row],[Budget]]</f>
        <v>-9.1476883235585352E-2</v>
      </c>
      <c r="M3298" s="2">
        <f>tblSales[[#This Row],[Sales]]/tblSales[[#This Row],[Transactions]]</f>
        <v>284</v>
      </c>
    </row>
    <row r="3299" spans="1:13" x14ac:dyDescent="0.25">
      <c r="A3299" s="1">
        <v>46187</v>
      </c>
      <c r="B3299" t="s">
        <v>28</v>
      </c>
      <c r="C3299" t="s">
        <v>22</v>
      </c>
      <c r="D3299" t="str">
        <f>_xlfn.XLOOKUP(tblSales[[#This Row],[Store ID]],tblStores[Store ID],tblStores[Store Name])</f>
        <v>Bloemfontein</v>
      </c>
      <c r="E3299" t="str">
        <f>_xlfn.XLOOKUP(tblSales[[#This Row],[Store ID]],tblStores[Store ID],tblStores[Province])</f>
        <v>Free State</v>
      </c>
      <c r="F3299" t="str">
        <f>_xlfn.XLOOKUP(tblSales[[#This Row],[Store ID]],tblStores[Store ID],tblStores[Manager])</f>
        <v>Rachel Moore</v>
      </c>
      <c r="G3299" t="str">
        <f>_xlfn.XLOOKUP(tblSales[[#This Row],[Category ID]],tblCategories[Category ID],tblCategories[Category])</f>
        <v>Kids</v>
      </c>
      <c r="H3299">
        <v>81663</v>
      </c>
      <c r="I3299">
        <v>78625</v>
      </c>
      <c r="J3299">
        <v>167</v>
      </c>
      <c r="K3299">
        <f>tblSales[[#This Row],[Sales]]-tblSales[[#This Row],[Budget]]</f>
        <v>3038</v>
      </c>
      <c r="L3299" s="3">
        <f>(tblSales[[#This Row],[Sales]]-tblSales[[#This Row],[Budget]])/tblSales[[#This Row],[Budget]]</f>
        <v>3.863910969793323E-2</v>
      </c>
      <c r="M3299" s="2">
        <f>tblSales[[#This Row],[Sales]]/tblSales[[#This Row],[Transactions]]</f>
        <v>489</v>
      </c>
    </row>
    <row r="3300" spans="1:13" x14ac:dyDescent="0.25">
      <c r="A3300" s="1">
        <v>46187</v>
      </c>
      <c r="B3300" t="s">
        <v>29</v>
      </c>
      <c r="C3300" t="s">
        <v>11</v>
      </c>
      <c r="D3300" t="str">
        <f>_xlfn.XLOOKUP(tblSales[[#This Row],[Store ID]],tblStores[Store ID],tblStores[Store Name])</f>
        <v>Polokwane</v>
      </c>
      <c r="E3300" t="str">
        <f>_xlfn.XLOOKUP(tblSales[[#This Row],[Store ID]],tblStores[Store ID],tblStores[Province])</f>
        <v>Limpopo</v>
      </c>
      <c r="F3300" t="str">
        <f>_xlfn.XLOOKUP(tblSales[[#This Row],[Store ID]],tblStores[Store ID],tblStores[Manager])</f>
        <v>Kevin Harris</v>
      </c>
      <c r="G3300" t="str">
        <f>_xlfn.XLOOKUP(tblSales[[#This Row],[Category ID]],tblCategories[Category ID],tblCategories[Category])</f>
        <v>Footwear</v>
      </c>
      <c r="H3300">
        <v>30712</v>
      </c>
      <c r="I3300">
        <v>34758</v>
      </c>
      <c r="J3300">
        <v>88</v>
      </c>
      <c r="K3300">
        <f>tblSales[[#This Row],[Sales]]-tblSales[[#This Row],[Budget]]</f>
        <v>-4046</v>
      </c>
      <c r="L3300" s="3">
        <f>(tblSales[[#This Row],[Sales]]-tblSales[[#This Row],[Budget]])/tblSales[[#This Row],[Budget]]</f>
        <v>-0.11640485643592842</v>
      </c>
      <c r="M3300" s="2">
        <f>tblSales[[#This Row],[Sales]]/tblSales[[#This Row],[Transactions]]</f>
        <v>349</v>
      </c>
    </row>
    <row r="3301" spans="1:13" x14ac:dyDescent="0.25">
      <c r="A3301" s="1">
        <v>46187</v>
      </c>
      <c r="B3301" t="s">
        <v>30</v>
      </c>
      <c r="C3301" t="s">
        <v>9</v>
      </c>
      <c r="D3301" t="str">
        <f>_xlfn.XLOOKUP(tblSales[[#This Row],[Store ID]],tblStores[Store ID],tblStores[Store Name])</f>
        <v>Nelspruit</v>
      </c>
      <c r="E3301" t="str">
        <f>_xlfn.XLOOKUP(tblSales[[#This Row],[Store ID]],tblStores[Store ID],tblStores[Province])</f>
        <v>Mpumalanga</v>
      </c>
      <c r="F3301" t="str">
        <f>_xlfn.XLOOKUP(tblSales[[#This Row],[Store ID]],tblStores[Store ID],tblStores[Manager])</f>
        <v>Olivia Turner</v>
      </c>
      <c r="G3301" t="str">
        <f>_xlfn.XLOOKUP(tblSales[[#This Row],[Category ID]],tblCategories[Category ID],tblCategories[Category])</f>
        <v>Ladieswear</v>
      </c>
      <c r="H3301">
        <v>34496</v>
      </c>
      <c r="I3301">
        <v>37213</v>
      </c>
      <c r="J3301">
        <v>77</v>
      </c>
      <c r="K3301">
        <f>tblSales[[#This Row],[Sales]]-tblSales[[#This Row],[Budget]]</f>
        <v>-2717</v>
      </c>
      <c r="L3301" s="3">
        <f>(tblSales[[#This Row],[Sales]]-tblSales[[#This Row],[Budget]])/tblSales[[#This Row],[Budget]]</f>
        <v>-7.3012119420632571E-2</v>
      </c>
      <c r="M3301" s="2">
        <f>tblSales[[#This Row],[Sales]]/tblSales[[#This Row],[Transactions]]</f>
        <v>448</v>
      </c>
    </row>
    <row r="3302" spans="1:13" x14ac:dyDescent="0.25">
      <c r="A3302" s="1">
        <v>46188</v>
      </c>
      <c r="B3302" t="s">
        <v>6</v>
      </c>
      <c r="C3302" t="s">
        <v>11</v>
      </c>
      <c r="D3302" t="str">
        <f>_xlfn.XLOOKUP(tblSales[[#This Row],[Store ID]],tblStores[Store ID],tblStores[Store Name])</f>
        <v>Durban CBD</v>
      </c>
      <c r="E3302" t="str">
        <f>_xlfn.XLOOKUP(tblSales[[#This Row],[Store ID]],tblStores[Store ID],tblStores[Province])</f>
        <v>KZN</v>
      </c>
      <c r="F3302" t="str">
        <f>_xlfn.XLOOKUP(tblSales[[#This Row],[Store ID]],tblStores[Store ID],tblStores[Manager])</f>
        <v>Sarah Adams</v>
      </c>
      <c r="G3302" t="str">
        <f>_xlfn.XLOOKUP(tblSales[[#This Row],[Category ID]],tblCategories[Category ID],tblCategories[Category])</f>
        <v>Footwear</v>
      </c>
      <c r="H3302">
        <v>12654</v>
      </c>
      <c r="I3302">
        <v>12705</v>
      </c>
      <c r="J3302">
        <v>37</v>
      </c>
      <c r="K3302">
        <f>tblSales[[#This Row],[Sales]]-tblSales[[#This Row],[Budget]]</f>
        <v>-51</v>
      </c>
      <c r="L3302" s="3">
        <f>(tblSales[[#This Row],[Sales]]-tblSales[[#This Row],[Budget]])/tblSales[[#This Row],[Budget]]</f>
        <v>-4.0141676505312867E-3</v>
      </c>
      <c r="M3302" s="2">
        <f>tblSales[[#This Row],[Sales]]/tblSales[[#This Row],[Transactions]]</f>
        <v>342</v>
      </c>
    </row>
    <row r="3303" spans="1:13" x14ac:dyDescent="0.25">
      <c r="A3303" s="1">
        <v>46188</v>
      </c>
      <c r="B3303" t="s">
        <v>8</v>
      </c>
      <c r="C3303" t="s">
        <v>9</v>
      </c>
      <c r="D3303" t="str">
        <f>_xlfn.XLOOKUP(tblSales[[#This Row],[Store ID]],tblStores[Store ID],tblStores[Store Name])</f>
        <v>Gateway</v>
      </c>
      <c r="E3303" t="str">
        <f>_xlfn.XLOOKUP(tblSales[[#This Row],[Store ID]],tblStores[Store ID],tblStores[Province])</f>
        <v>KZN</v>
      </c>
      <c r="F3303" t="str">
        <f>_xlfn.XLOOKUP(tblSales[[#This Row],[Store ID]],tblStores[Store ID],tblStores[Manager])</f>
        <v>Michael Jones</v>
      </c>
      <c r="G3303" t="str">
        <f>_xlfn.XLOOKUP(tblSales[[#This Row],[Category ID]],tblCategories[Category ID],tblCategories[Category])</f>
        <v>Ladieswear</v>
      </c>
      <c r="H3303">
        <v>33170</v>
      </c>
      <c r="I3303">
        <v>38090</v>
      </c>
      <c r="J3303">
        <v>155</v>
      </c>
      <c r="K3303">
        <f>tblSales[[#This Row],[Sales]]-tblSales[[#This Row],[Budget]]</f>
        <v>-4920</v>
      </c>
      <c r="L3303" s="3">
        <f>(tblSales[[#This Row],[Sales]]-tblSales[[#This Row],[Budget]])/tblSales[[#This Row],[Budget]]</f>
        <v>-0.12916776056707796</v>
      </c>
      <c r="M3303" s="2">
        <f>tblSales[[#This Row],[Sales]]/tblSales[[#This Row],[Transactions]]</f>
        <v>214</v>
      </c>
    </row>
    <row r="3304" spans="1:13" x14ac:dyDescent="0.25">
      <c r="A3304" s="1">
        <v>46188</v>
      </c>
      <c r="B3304" t="s">
        <v>10</v>
      </c>
      <c r="C3304" t="s">
        <v>7</v>
      </c>
      <c r="D3304" t="str">
        <f>_xlfn.XLOOKUP(tblSales[[#This Row],[Store ID]],tblStores[Store ID],tblStores[Store Name])</f>
        <v>Ballito</v>
      </c>
      <c r="E3304" t="str">
        <f>_xlfn.XLOOKUP(tblSales[[#This Row],[Store ID]],tblStores[Store ID],tblStores[Province])</f>
        <v>KZN</v>
      </c>
      <c r="F3304" t="str">
        <f>_xlfn.XLOOKUP(tblSales[[#This Row],[Store ID]],tblStores[Store ID],tblStores[Manager])</f>
        <v>Linda Smith</v>
      </c>
      <c r="G3304" t="str">
        <f>_xlfn.XLOOKUP(tblSales[[#This Row],[Category ID]],tblCategories[Category ID],tblCategories[Category])</f>
        <v>Menswear</v>
      </c>
      <c r="H3304">
        <v>31464</v>
      </c>
      <c r="I3304">
        <v>29885</v>
      </c>
      <c r="J3304">
        <v>114</v>
      </c>
      <c r="K3304">
        <f>tblSales[[#This Row],[Sales]]-tblSales[[#This Row],[Budget]]</f>
        <v>1579</v>
      </c>
      <c r="L3304" s="3">
        <f>(tblSales[[#This Row],[Sales]]-tblSales[[#This Row],[Budget]])/tblSales[[#This Row],[Budget]]</f>
        <v>5.2835870838213152E-2</v>
      </c>
      <c r="M3304" s="2">
        <f>tblSales[[#This Row],[Sales]]/tblSales[[#This Row],[Transactions]]</f>
        <v>276</v>
      </c>
    </row>
    <row r="3305" spans="1:13" x14ac:dyDescent="0.25">
      <c r="A3305" s="1">
        <v>46188</v>
      </c>
      <c r="B3305" t="s">
        <v>12</v>
      </c>
      <c r="C3305" t="s">
        <v>7</v>
      </c>
      <c r="D3305" t="str">
        <f>_xlfn.XLOOKUP(tblSales[[#This Row],[Store ID]],tblStores[Store ID],tblStores[Store Name])</f>
        <v>Pietermaritzburg</v>
      </c>
      <c r="E3305" t="str">
        <f>_xlfn.XLOOKUP(tblSales[[#This Row],[Store ID]],tblStores[Store ID],tblStores[Province])</f>
        <v>KZN</v>
      </c>
      <c r="F3305" t="str">
        <f>_xlfn.XLOOKUP(tblSales[[#This Row],[Store ID]],tblStores[Store ID],tblStores[Manager])</f>
        <v>Peter Brown</v>
      </c>
      <c r="G3305" t="str">
        <f>_xlfn.XLOOKUP(tblSales[[#This Row],[Category ID]],tblCategories[Category ID],tblCategories[Category])</f>
        <v>Menswear</v>
      </c>
      <c r="H3305">
        <v>71208</v>
      </c>
      <c r="I3305">
        <v>69980</v>
      </c>
      <c r="J3305">
        <v>172</v>
      </c>
      <c r="K3305">
        <f>tblSales[[#This Row],[Sales]]-tblSales[[#This Row],[Budget]]</f>
        <v>1228</v>
      </c>
      <c r="L3305" s="3">
        <f>(tblSales[[#This Row],[Sales]]-tblSales[[#This Row],[Budget]])/tblSales[[#This Row],[Budget]]</f>
        <v>1.7547870820234353E-2</v>
      </c>
      <c r="M3305" s="2">
        <f>tblSales[[#This Row],[Sales]]/tblSales[[#This Row],[Transactions]]</f>
        <v>414</v>
      </c>
    </row>
    <row r="3306" spans="1:13" x14ac:dyDescent="0.25">
      <c r="A3306" s="1">
        <v>46188</v>
      </c>
      <c r="B3306" t="s">
        <v>13</v>
      </c>
      <c r="C3306" t="s">
        <v>7</v>
      </c>
      <c r="D3306" t="str">
        <f>_xlfn.XLOOKUP(tblSales[[#This Row],[Store ID]],tblStores[Store ID],tblStores[Store Name])</f>
        <v>Richards Bay</v>
      </c>
      <c r="E3306" t="str">
        <f>_xlfn.XLOOKUP(tblSales[[#This Row],[Store ID]],tblStores[Store ID],tblStores[Province])</f>
        <v>KZN</v>
      </c>
      <c r="F3306" t="str">
        <f>_xlfn.XLOOKUP(tblSales[[#This Row],[Store ID]],tblStores[Store ID],tblStores[Manager])</f>
        <v>David Green</v>
      </c>
      <c r="G3306" t="str">
        <f>_xlfn.XLOOKUP(tblSales[[#This Row],[Category ID]],tblCategories[Category ID],tblCategories[Category])</f>
        <v>Menswear</v>
      </c>
      <c r="H3306">
        <v>81286</v>
      </c>
      <c r="I3306">
        <v>85237</v>
      </c>
      <c r="J3306">
        <v>194</v>
      </c>
      <c r="K3306">
        <f>tblSales[[#This Row],[Sales]]-tblSales[[#This Row],[Budget]]</f>
        <v>-3951</v>
      </c>
      <c r="L3306" s="3">
        <f>(tblSales[[#This Row],[Sales]]-tblSales[[#This Row],[Budget]])/tblSales[[#This Row],[Budget]]</f>
        <v>-4.6353109565094967E-2</v>
      </c>
      <c r="M3306" s="2">
        <f>tblSales[[#This Row],[Sales]]/tblSales[[#This Row],[Transactions]]</f>
        <v>419</v>
      </c>
    </row>
    <row r="3307" spans="1:13" x14ac:dyDescent="0.25">
      <c r="A3307" s="1">
        <v>46188</v>
      </c>
      <c r="B3307" t="s">
        <v>14</v>
      </c>
      <c r="C3307" t="s">
        <v>7</v>
      </c>
      <c r="D3307" t="str">
        <f>_xlfn.XLOOKUP(tblSales[[#This Row],[Store ID]],tblStores[Store ID],tblStores[Store Name])</f>
        <v>Sandton</v>
      </c>
      <c r="E3307" t="str">
        <f>_xlfn.XLOOKUP(tblSales[[#This Row],[Store ID]],tblStores[Store ID],tblStores[Province])</f>
        <v>Gauteng</v>
      </c>
      <c r="F3307" t="str">
        <f>_xlfn.XLOOKUP(tblSales[[#This Row],[Store ID]],tblStores[Store ID],tblStores[Manager])</f>
        <v>Karen White</v>
      </c>
      <c r="G3307" t="str">
        <f>_xlfn.XLOOKUP(tblSales[[#This Row],[Category ID]],tblCategories[Category ID],tblCategories[Category])</f>
        <v>Menswear</v>
      </c>
      <c r="H3307">
        <v>62620</v>
      </c>
      <c r="I3307">
        <v>65111</v>
      </c>
      <c r="J3307">
        <v>124</v>
      </c>
      <c r="K3307">
        <f>tblSales[[#This Row],[Sales]]-tblSales[[#This Row],[Budget]]</f>
        <v>-2491</v>
      </c>
      <c r="L3307" s="3">
        <f>(tblSales[[#This Row],[Sales]]-tblSales[[#This Row],[Budget]])/tblSales[[#This Row],[Budget]]</f>
        <v>-3.8257744467140732E-2</v>
      </c>
      <c r="M3307" s="2">
        <f>tblSales[[#This Row],[Sales]]/tblSales[[#This Row],[Transactions]]</f>
        <v>505</v>
      </c>
    </row>
    <row r="3308" spans="1:13" x14ac:dyDescent="0.25">
      <c r="A3308" s="1">
        <v>46188</v>
      </c>
      <c r="B3308" t="s">
        <v>15</v>
      </c>
      <c r="C3308" t="s">
        <v>9</v>
      </c>
      <c r="D3308" t="str">
        <f>_xlfn.XLOOKUP(tblSales[[#This Row],[Store ID]],tblStores[Store ID],tblStores[Store Name])</f>
        <v>Rosebank</v>
      </c>
      <c r="E3308" t="str">
        <f>_xlfn.XLOOKUP(tblSales[[#This Row],[Store ID]],tblStores[Store ID],tblStores[Province])</f>
        <v>Gauteng</v>
      </c>
      <c r="F3308" t="str">
        <f>_xlfn.XLOOKUP(tblSales[[#This Row],[Store ID]],tblStores[Store ID],tblStores[Manager])</f>
        <v>James Taylor</v>
      </c>
      <c r="G3308" t="str">
        <f>_xlfn.XLOOKUP(tblSales[[#This Row],[Category ID]],tblCategories[Category ID],tblCategories[Category])</f>
        <v>Ladieswear</v>
      </c>
      <c r="H3308">
        <v>61623</v>
      </c>
      <c r="I3308">
        <v>55678</v>
      </c>
      <c r="J3308">
        <v>123</v>
      </c>
      <c r="K3308">
        <f>tblSales[[#This Row],[Sales]]-tblSales[[#This Row],[Budget]]</f>
        <v>5945</v>
      </c>
      <c r="L3308" s="3">
        <f>(tblSales[[#This Row],[Sales]]-tblSales[[#This Row],[Budget]])/tblSales[[#This Row],[Budget]]</f>
        <v>0.10677466863033873</v>
      </c>
      <c r="M3308" s="2">
        <f>tblSales[[#This Row],[Sales]]/tblSales[[#This Row],[Transactions]]</f>
        <v>501</v>
      </c>
    </row>
    <row r="3309" spans="1:13" x14ac:dyDescent="0.25">
      <c r="A3309" s="1">
        <v>46188</v>
      </c>
      <c r="B3309" t="s">
        <v>16</v>
      </c>
      <c r="C3309" t="s">
        <v>9</v>
      </c>
      <c r="D3309" t="str">
        <f>_xlfn.XLOOKUP(tblSales[[#This Row],[Store ID]],tblStores[Store ID],tblStores[Store Name])</f>
        <v>Pretoria</v>
      </c>
      <c r="E3309" t="str">
        <f>_xlfn.XLOOKUP(tblSales[[#This Row],[Store ID]],tblStores[Store ID],tblStores[Province])</f>
        <v>Gauteng</v>
      </c>
      <c r="F3309" t="str">
        <f>_xlfn.XLOOKUP(tblSales[[#This Row],[Store ID]],tblStores[Store ID],tblStores[Manager])</f>
        <v>Susan Clark</v>
      </c>
      <c r="G3309" t="str">
        <f>_xlfn.XLOOKUP(tblSales[[#This Row],[Category ID]],tblCategories[Category ID],tblCategories[Category])</f>
        <v>Ladieswear</v>
      </c>
      <c r="H3309">
        <v>34125</v>
      </c>
      <c r="I3309">
        <v>37714</v>
      </c>
      <c r="J3309">
        <v>105</v>
      </c>
      <c r="K3309">
        <f>tblSales[[#This Row],[Sales]]-tblSales[[#This Row],[Budget]]</f>
        <v>-3589</v>
      </c>
      <c r="L3309" s="3">
        <f>(tblSales[[#This Row],[Sales]]-tblSales[[#This Row],[Budget]])/tblSales[[#This Row],[Budget]]</f>
        <v>-9.5163599724240336E-2</v>
      </c>
      <c r="M3309" s="2">
        <f>tblSales[[#This Row],[Sales]]/tblSales[[#This Row],[Transactions]]</f>
        <v>325</v>
      </c>
    </row>
    <row r="3310" spans="1:13" x14ac:dyDescent="0.25">
      <c r="A3310" s="1">
        <v>46188</v>
      </c>
      <c r="B3310" t="s">
        <v>17</v>
      </c>
      <c r="C3310" t="s">
        <v>11</v>
      </c>
      <c r="D3310" t="str">
        <f>_xlfn.XLOOKUP(tblSales[[#This Row],[Store ID]],tblStores[Store ID],tblStores[Store Name])</f>
        <v>Centurion</v>
      </c>
      <c r="E3310" t="str">
        <f>_xlfn.XLOOKUP(tblSales[[#This Row],[Store ID]],tblStores[Store ID],tblStores[Province])</f>
        <v>Gauteng</v>
      </c>
      <c r="F3310" t="str">
        <f>_xlfn.XLOOKUP(tblSales[[#This Row],[Store ID]],tblStores[Store ID],tblStores[Manager])</f>
        <v>Mark Wilson</v>
      </c>
      <c r="G3310" t="str">
        <f>_xlfn.XLOOKUP(tblSales[[#This Row],[Category ID]],tblCategories[Category ID],tblCategories[Category])</f>
        <v>Footwear</v>
      </c>
      <c r="H3310">
        <v>61824</v>
      </c>
      <c r="I3310">
        <v>61318</v>
      </c>
      <c r="J3310">
        <v>184</v>
      </c>
      <c r="K3310">
        <f>tblSales[[#This Row],[Sales]]-tblSales[[#This Row],[Budget]]</f>
        <v>506</v>
      </c>
      <c r="L3310" s="3">
        <f>(tblSales[[#This Row],[Sales]]-tblSales[[#This Row],[Budget]])/tblSales[[#This Row],[Budget]]</f>
        <v>8.2520630157539385E-3</v>
      </c>
      <c r="M3310" s="2">
        <f>tblSales[[#This Row],[Sales]]/tblSales[[#This Row],[Transactions]]</f>
        <v>336</v>
      </c>
    </row>
    <row r="3311" spans="1:13" x14ac:dyDescent="0.25">
      <c r="A3311" s="1">
        <v>46188</v>
      </c>
      <c r="B3311" t="s">
        <v>18</v>
      </c>
      <c r="C3311" t="s">
        <v>11</v>
      </c>
      <c r="D3311" t="str">
        <f>_xlfn.XLOOKUP(tblSales[[#This Row],[Store ID]],tblStores[Store ID],tblStores[Store Name])</f>
        <v>East Rand</v>
      </c>
      <c r="E3311" t="str">
        <f>_xlfn.XLOOKUP(tblSales[[#This Row],[Store ID]],tblStores[Store ID],tblStores[Province])</f>
        <v>Gauteng</v>
      </c>
      <c r="F3311" t="str">
        <f>_xlfn.XLOOKUP(tblSales[[#This Row],[Store ID]],tblStores[Store ID],tblStores[Manager])</f>
        <v>Lisa Young</v>
      </c>
      <c r="G3311" t="str">
        <f>_xlfn.XLOOKUP(tblSales[[#This Row],[Category ID]],tblCategories[Category ID],tblCategories[Category])</f>
        <v>Footwear</v>
      </c>
      <c r="H3311">
        <v>46700</v>
      </c>
      <c r="I3311">
        <v>48346</v>
      </c>
      <c r="J3311">
        <v>100</v>
      </c>
      <c r="K3311">
        <f>tblSales[[#This Row],[Sales]]-tblSales[[#This Row],[Budget]]</f>
        <v>-1646</v>
      </c>
      <c r="L3311" s="3">
        <f>(tblSales[[#This Row],[Sales]]-tblSales[[#This Row],[Budget]])/tblSales[[#This Row],[Budget]]</f>
        <v>-3.4046249948289413E-2</v>
      </c>
      <c r="M3311" s="2">
        <f>tblSales[[#This Row],[Sales]]/tblSales[[#This Row],[Transactions]]</f>
        <v>467</v>
      </c>
    </row>
    <row r="3312" spans="1:13" x14ac:dyDescent="0.25">
      <c r="A3312" s="1">
        <v>46188</v>
      </c>
      <c r="B3312" t="s">
        <v>20</v>
      </c>
      <c r="C3312" t="s">
        <v>9</v>
      </c>
      <c r="D3312" t="str">
        <f>_xlfn.XLOOKUP(tblSales[[#This Row],[Store ID]],tblStores[Store ID],tblStores[Store Name])</f>
        <v>Cape Town CBD</v>
      </c>
      <c r="E3312" t="str">
        <f>_xlfn.XLOOKUP(tblSales[[#This Row],[Store ID]],tblStores[Store ID],tblStores[Province])</f>
        <v>Western Cape</v>
      </c>
      <c r="F3312" t="str">
        <f>_xlfn.XLOOKUP(tblSales[[#This Row],[Store ID]],tblStores[Store ID],tblStores[Manager])</f>
        <v>Brian Hall</v>
      </c>
      <c r="G3312" t="str">
        <f>_xlfn.XLOOKUP(tblSales[[#This Row],[Category ID]],tblCategories[Category ID],tblCategories[Category])</f>
        <v>Ladieswear</v>
      </c>
      <c r="H3312">
        <v>26082</v>
      </c>
      <c r="I3312">
        <v>24467</v>
      </c>
      <c r="J3312">
        <v>54</v>
      </c>
      <c r="K3312">
        <f>tblSales[[#This Row],[Sales]]-tblSales[[#This Row],[Budget]]</f>
        <v>1615</v>
      </c>
      <c r="L3312" s="3">
        <f>(tblSales[[#This Row],[Sales]]-tblSales[[#This Row],[Budget]])/tblSales[[#This Row],[Budget]]</f>
        <v>6.6007275105243804E-2</v>
      </c>
      <c r="M3312" s="2">
        <f>tblSales[[#This Row],[Sales]]/tblSales[[#This Row],[Transactions]]</f>
        <v>483</v>
      </c>
    </row>
    <row r="3313" spans="1:13" x14ac:dyDescent="0.25">
      <c r="A3313" s="1">
        <v>46188</v>
      </c>
      <c r="B3313" t="s">
        <v>21</v>
      </c>
      <c r="C3313" t="s">
        <v>9</v>
      </c>
      <c r="D3313" t="str">
        <f>_xlfn.XLOOKUP(tblSales[[#This Row],[Store ID]],tblStores[Store ID],tblStores[Store Name])</f>
        <v>Canal Walk</v>
      </c>
      <c r="E3313" t="str">
        <f>_xlfn.XLOOKUP(tblSales[[#This Row],[Store ID]],tblStores[Store ID],tblStores[Province])</f>
        <v>Western Cape</v>
      </c>
      <c r="F3313" t="str">
        <f>_xlfn.XLOOKUP(tblSales[[#This Row],[Store ID]],tblStores[Store ID],tblStores[Manager])</f>
        <v>Megan Scott</v>
      </c>
      <c r="G3313" t="str">
        <f>_xlfn.XLOOKUP(tblSales[[#This Row],[Category ID]],tblCategories[Category ID],tblCategories[Category])</f>
        <v>Ladieswear</v>
      </c>
      <c r="H3313">
        <v>28726</v>
      </c>
      <c r="I3313">
        <v>27741</v>
      </c>
      <c r="J3313">
        <v>106</v>
      </c>
      <c r="K3313">
        <f>tblSales[[#This Row],[Sales]]-tblSales[[#This Row],[Budget]]</f>
        <v>985</v>
      </c>
      <c r="L3313" s="3">
        <f>(tblSales[[#This Row],[Sales]]-tblSales[[#This Row],[Budget]])/tblSales[[#This Row],[Budget]]</f>
        <v>3.5507011282938608E-2</v>
      </c>
      <c r="M3313" s="2">
        <f>tblSales[[#This Row],[Sales]]/tblSales[[#This Row],[Transactions]]</f>
        <v>271</v>
      </c>
    </row>
    <row r="3314" spans="1:13" x14ac:dyDescent="0.25">
      <c r="A3314" s="1">
        <v>46188</v>
      </c>
      <c r="B3314" t="s">
        <v>23</v>
      </c>
      <c r="C3314" t="s">
        <v>7</v>
      </c>
      <c r="D3314" t="str">
        <f>_xlfn.XLOOKUP(tblSales[[#This Row],[Store ID]],tblStores[Store ID],tblStores[Store Name])</f>
        <v>Stellenbosch</v>
      </c>
      <c r="E3314" t="str">
        <f>_xlfn.XLOOKUP(tblSales[[#This Row],[Store ID]],tblStores[Store ID],tblStores[Province])</f>
        <v>Western Cape</v>
      </c>
      <c r="F3314" t="str">
        <f>_xlfn.XLOOKUP(tblSales[[#This Row],[Store ID]],tblStores[Store ID],tblStores[Manager])</f>
        <v>Jason King</v>
      </c>
      <c r="G3314" t="str">
        <f>_xlfn.XLOOKUP(tblSales[[#This Row],[Category ID]],tblCategories[Category ID],tblCategories[Category])</f>
        <v>Menswear</v>
      </c>
      <c r="H3314">
        <v>29949</v>
      </c>
      <c r="I3314">
        <v>31351</v>
      </c>
      <c r="J3314">
        <v>67</v>
      </c>
      <c r="K3314">
        <f>tblSales[[#This Row],[Sales]]-tblSales[[#This Row],[Budget]]</f>
        <v>-1402</v>
      </c>
      <c r="L3314" s="3">
        <f>(tblSales[[#This Row],[Sales]]-tblSales[[#This Row],[Budget]])/tblSales[[#This Row],[Budget]]</f>
        <v>-4.4719466683678349E-2</v>
      </c>
      <c r="M3314" s="2">
        <f>tblSales[[#This Row],[Sales]]/tblSales[[#This Row],[Transactions]]</f>
        <v>447</v>
      </c>
    </row>
    <row r="3315" spans="1:13" x14ac:dyDescent="0.25">
      <c r="A3315" s="1">
        <v>46188</v>
      </c>
      <c r="B3315" t="s">
        <v>24</v>
      </c>
      <c r="C3315" t="s">
        <v>11</v>
      </c>
      <c r="D3315" t="str">
        <f>_xlfn.XLOOKUP(tblSales[[#This Row],[Store ID]],tblStores[Store ID],tblStores[Store Name])</f>
        <v>George</v>
      </c>
      <c r="E3315" t="str">
        <f>_xlfn.XLOOKUP(tblSales[[#This Row],[Store ID]],tblStores[Store ID],tblStores[Province])</f>
        <v>Western Cape</v>
      </c>
      <c r="F3315" t="str">
        <f>_xlfn.XLOOKUP(tblSales[[#This Row],[Store ID]],tblStores[Store ID],tblStores[Manager])</f>
        <v>Chloe Hill</v>
      </c>
      <c r="G3315" t="str">
        <f>_xlfn.XLOOKUP(tblSales[[#This Row],[Category ID]],tblCategories[Category ID],tblCategories[Category])</f>
        <v>Footwear</v>
      </c>
      <c r="H3315">
        <v>56406</v>
      </c>
      <c r="I3315">
        <v>61651</v>
      </c>
      <c r="J3315">
        <v>119</v>
      </c>
      <c r="K3315">
        <f>tblSales[[#This Row],[Sales]]-tblSales[[#This Row],[Budget]]</f>
        <v>-5245</v>
      </c>
      <c r="L3315" s="3">
        <f>(tblSales[[#This Row],[Sales]]-tblSales[[#This Row],[Budget]])/tblSales[[#This Row],[Budget]]</f>
        <v>-8.5075667872378385E-2</v>
      </c>
      <c r="M3315" s="2">
        <f>tblSales[[#This Row],[Sales]]/tblSales[[#This Row],[Transactions]]</f>
        <v>474</v>
      </c>
    </row>
    <row r="3316" spans="1:13" x14ac:dyDescent="0.25">
      <c r="A3316" s="1">
        <v>46188</v>
      </c>
      <c r="B3316" t="s">
        <v>25</v>
      </c>
      <c r="C3316" t="s">
        <v>19</v>
      </c>
      <c r="D3316" t="str">
        <f>_xlfn.XLOOKUP(tblSales[[#This Row],[Store ID]],tblStores[Store ID],tblStores[Store Name])</f>
        <v>Paarl</v>
      </c>
      <c r="E3316" t="str">
        <f>_xlfn.XLOOKUP(tblSales[[#This Row],[Store ID]],tblStores[Store ID],tblStores[Province])</f>
        <v>Western Cape</v>
      </c>
      <c r="F3316" t="str">
        <f>_xlfn.XLOOKUP(tblSales[[#This Row],[Store ID]],tblStores[Store ID],tblStores[Manager])</f>
        <v>Andrew Lee</v>
      </c>
      <c r="G3316" t="str">
        <f>_xlfn.XLOOKUP(tblSales[[#This Row],[Category ID]],tblCategories[Category ID],tblCategories[Category])</f>
        <v>Accessories</v>
      </c>
      <c r="H3316">
        <v>60669</v>
      </c>
      <c r="I3316">
        <v>69263</v>
      </c>
      <c r="J3316">
        <v>189</v>
      </c>
      <c r="K3316">
        <f>tblSales[[#This Row],[Sales]]-tblSales[[#This Row],[Budget]]</f>
        <v>-8594</v>
      </c>
      <c r="L3316" s="3">
        <f>(tblSales[[#This Row],[Sales]]-tblSales[[#This Row],[Budget]])/tblSales[[#This Row],[Budget]]</f>
        <v>-0.12407779045089008</v>
      </c>
      <c r="M3316" s="2">
        <f>tblSales[[#This Row],[Sales]]/tblSales[[#This Row],[Transactions]]</f>
        <v>321</v>
      </c>
    </row>
    <row r="3317" spans="1:13" x14ac:dyDescent="0.25">
      <c r="A3317" s="1">
        <v>46188</v>
      </c>
      <c r="B3317" t="s">
        <v>26</v>
      </c>
      <c r="C3317" t="s">
        <v>19</v>
      </c>
      <c r="D3317" t="str">
        <f>_xlfn.XLOOKUP(tblSales[[#This Row],[Store ID]],tblStores[Store ID],tblStores[Store Name])</f>
        <v>Gqeberha</v>
      </c>
      <c r="E3317" t="str">
        <f>_xlfn.XLOOKUP(tblSales[[#This Row],[Store ID]],tblStores[Store ID],tblStores[Province])</f>
        <v>Eastern Cape</v>
      </c>
      <c r="F3317" t="str">
        <f>_xlfn.XLOOKUP(tblSales[[#This Row],[Store ID]],tblStores[Store ID],tblStores[Manager])</f>
        <v>Emma Baker</v>
      </c>
      <c r="G3317" t="str">
        <f>_xlfn.XLOOKUP(tblSales[[#This Row],[Category ID]],tblCategories[Category ID],tblCategories[Category])</f>
        <v>Accessories</v>
      </c>
      <c r="H3317">
        <v>86932</v>
      </c>
      <c r="I3317">
        <v>82787</v>
      </c>
      <c r="J3317">
        <v>206</v>
      </c>
      <c r="K3317">
        <f>tblSales[[#This Row],[Sales]]-tblSales[[#This Row],[Budget]]</f>
        <v>4145</v>
      </c>
      <c r="L3317" s="3">
        <f>(tblSales[[#This Row],[Sales]]-tblSales[[#This Row],[Budget]])/tblSales[[#This Row],[Budget]]</f>
        <v>5.0068247430152077E-2</v>
      </c>
      <c r="M3317" s="2">
        <f>tblSales[[#This Row],[Sales]]/tblSales[[#This Row],[Transactions]]</f>
        <v>422</v>
      </c>
    </row>
    <row r="3318" spans="1:13" x14ac:dyDescent="0.25">
      <c r="A3318" s="1">
        <v>46188</v>
      </c>
      <c r="B3318" t="s">
        <v>27</v>
      </c>
      <c r="C3318" t="s">
        <v>7</v>
      </c>
      <c r="D3318" t="str">
        <f>_xlfn.XLOOKUP(tblSales[[#This Row],[Store ID]],tblStores[Store ID],tblStores[Store Name])</f>
        <v>East London</v>
      </c>
      <c r="E3318" t="str">
        <f>_xlfn.XLOOKUP(tblSales[[#This Row],[Store ID]],tblStores[Store ID],tblStores[Province])</f>
        <v>Eastern Cape</v>
      </c>
      <c r="F3318" t="str">
        <f>_xlfn.XLOOKUP(tblSales[[#This Row],[Store ID]],tblStores[Store ID],tblStores[Manager])</f>
        <v>Daniel Evans</v>
      </c>
      <c r="G3318" t="str">
        <f>_xlfn.XLOOKUP(tblSales[[#This Row],[Category ID]],tblCategories[Category ID],tblCategories[Category])</f>
        <v>Menswear</v>
      </c>
      <c r="H3318">
        <v>27260</v>
      </c>
      <c r="I3318">
        <v>25156</v>
      </c>
      <c r="J3318">
        <v>94</v>
      </c>
      <c r="K3318">
        <f>tblSales[[#This Row],[Sales]]-tblSales[[#This Row],[Budget]]</f>
        <v>2104</v>
      </c>
      <c r="L3318" s="3">
        <f>(tblSales[[#This Row],[Sales]]-tblSales[[#This Row],[Budget]])/tblSales[[#This Row],[Budget]]</f>
        <v>8.3638098266815078E-2</v>
      </c>
      <c r="M3318" s="2">
        <f>tblSales[[#This Row],[Sales]]/tblSales[[#This Row],[Transactions]]</f>
        <v>290</v>
      </c>
    </row>
    <row r="3319" spans="1:13" x14ac:dyDescent="0.25">
      <c r="A3319" s="1">
        <v>46188</v>
      </c>
      <c r="B3319" t="s">
        <v>28</v>
      </c>
      <c r="C3319" t="s">
        <v>19</v>
      </c>
      <c r="D3319" t="str">
        <f>_xlfn.XLOOKUP(tblSales[[#This Row],[Store ID]],tblStores[Store ID],tblStores[Store Name])</f>
        <v>Bloemfontein</v>
      </c>
      <c r="E3319" t="str">
        <f>_xlfn.XLOOKUP(tblSales[[#This Row],[Store ID]],tblStores[Store ID],tblStores[Province])</f>
        <v>Free State</v>
      </c>
      <c r="F3319" t="str">
        <f>_xlfn.XLOOKUP(tblSales[[#This Row],[Store ID]],tblStores[Store ID],tblStores[Manager])</f>
        <v>Rachel Moore</v>
      </c>
      <c r="G3319" t="str">
        <f>_xlfn.XLOOKUP(tblSales[[#This Row],[Category ID]],tblCategories[Category ID],tblCategories[Category])</f>
        <v>Accessories</v>
      </c>
      <c r="H3319">
        <v>18216</v>
      </c>
      <c r="I3319">
        <v>17144</v>
      </c>
      <c r="J3319">
        <v>72</v>
      </c>
      <c r="K3319">
        <f>tblSales[[#This Row],[Sales]]-tblSales[[#This Row],[Budget]]</f>
        <v>1072</v>
      </c>
      <c r="L3319" s="3">
        <f>(tblSales[[#This Row],[Sales]]-tblSales[[#This Row],[Budget]])/tblSales[[#This Row],[Budget]]</f>
        <v>6.2529164722351843E-2</v>
      </c>
      <c r="M3319" s="2">
        <f>tblSales[[#This Row],[Sales]]/tblSales[[#This Row],[Transactions]]</f>
        <v>253</v>
      </c>
    </row>
    <row r="3320" spans="1:13" x14ac:dyDescent="0.25">
      <c r="A3320" s="1">
        <v>46188</v>
      </c>
      <c r="B3320" t="s">
        <v>29</v>
      </c>
      <c r="C3320" t="s">
        <v>7</v>
      </c>
      <c r="D3320" t="str">
        <f>_xlfn.XLOOKUP(tblSales[[#This Row],[Store ID]],tblStores[Store ID],tblStores[Store Name])</f>
        <v>Polokwane</v>
      </c>
      <c r="E3320" t="str">
        <f>_xlfn.XLOOKUP(tblSales[[#This Row],[Store ID]],tblStores[Store ID],tblStores[Province])</f>
        <v>Limpopo</v>
      </c>
      <c r="F3320" t="str">
        <f>_xlfn.XLOOKUP(tblSales[[#This Row],[Store ID]],tblStores[Store ID],tblStores[Manager])</f>
        <v>Kevin Harris</v>
      </c>
      <c r="G3320" t="str">
        <f>_xlfn.XLOOKUP(tblSales[[#This Row],[Category ID]],tblCategories[Category ID],tblCategories[Category])</f>
        <v>Menswear</v>
      </c>
      <c r="H3320">
        <v>25623</v>
      </c>
      <c r="I3320">
        <v>28799</v>
      </c>
      <c r="J3320">
        <v>117</v>
      </c>
      <c r="K3320">
        <f>tblSales[[#This Row],[Sales]]-tblSales[[#This Row],[Budget]]</f>
        <v>-3176</v>
      </c>
      <c r="L3320" s="3">
        <f>(tblSales[[#This Row],[Sales]]-tblSales[[#This Row],[Budget]])/tblSales[[#This Row],[Budget]]</f>
        <v>-0.11028160700024306</v>
      </c>
      <c r="M3320" s="2">
        <f>tblSales[[#This Row],[Sales]]/tblSales[[#This Row],[Transactions]]</f>
        <v>219</v>
      </c>
    </row>
    <row r="3321" spans="1:13" x14ac:dyDescent="0.25">
      <c r="A3321" s="1">
        <v>46188</v>
      </c>
      <c r="B3321" t="s">
        <v>30</v>
      </c>
      <c r="C3321" t="s">
        <v>7</v>
      </c>
      <c r="D3321" t="str">
        <f>_xlfn.XLOOKUP(tblSales[[#This Row],[Store ID]],tblStores[Store ID],tblStores[Store Name])</f>
        <v>Nelspruit</v>
      </c>
      <c r="E3321" t="str">
        <f>_xlfn.XLOOKUP(tblSales[[#This Row],[Store ID]],tblStores[Store ID],tblStores[Province])</f>
        <v>Mpumalanga</v>
      </c>
      <c r="F3321" t="str">
        <f>_xlfn.XLOOKUP(tblSales[[#This Row],[Store ID]],tblStores[Store ID],tblStores[Manager])</f>
        <v>Olivia Turner</v>
      </c>
      <c r="G3321" t="str">
        <f>_xlfn.XLOOKUP(tblSales[[#This Row],[Category ID]],tblCategories[Category ID],tblCategories[Category])</f>
        <v>Menswear</v>
      </c>
      <c r="H3321">
        <v>30870</v>
      </c>
      <c r="I3321">
        <v>34012</v>
      </c>
      <c r="J3321">
        <v>70</v>
      </c>
      <c r="K3321">
        <f>tblSales[[#This Row],[Sales]]-tblSales[[#This Row],[Budget]]</f>
        <v>-3142</v>
      </c>
      <c r="L3321" s="3">
        <f>(tblSales[[#This Row],[Sales]]-tblSales[[#This Row],[Budget]])/tblSales[[#This Row],[Budget]]</f>
        <v>-9.2379160296365989E-2</v>
      </c>
      <c r="M3321" s="2">
        <f>tblSales[[#This Row],[Sales]]/tblSales[[#This Row],[Transactions]]</f>
        <v>441</v>
      </c>
    </row>
    <row r="3322" spans="1:13" x14ac:dyDescent="0.25">
      <c r="A3322" s="1">
        <v>46189</v>
      </c>
      <c r="B3322" t="s">
        <v>6</v>
      </c>
      <c r="C3322" t="s">
        <v>11</v>
      </c>
      <c r="D3322" t="str">
        <f>_xlfn.XLOOKUP(tblSales[[#This Row],[Store ID]],tblStores[Store ID],tblStores[Store Name])</f>
        <v>Durban CBD</v>
      </c>
      <c r="E3322" t="str">
        <f>_xlfn.XLOOKUP(tblSales[[#This Row],[Store ID]],tblStores[Store ID],tblStores[Province])</f>
        <v>KZN</v>
      </c>
      <c r="F3322" t="str">
        <f>_xlfn.XLOOKUP(tblSales[[#This Row],[Store ID]],tblStores[Store ID],tblStores[Manager])</f>
        <v>Sarah Adams</v>
      </c>
      <c r="G3322" t="str">
        <f>_xlfn.XLOOKUP(tblSales[[#This Row],[Category ID]],tblCategories[Category ID],tblCategories[Category])</f>
        <v>Footwear</v>
      </c>
      <c r="H3322">
        <v>86305</v>
      </c>
      <c r="I3322">
        <v>84731</v>
      </c>
      <c r="J3322">
        <v>205</v>
      </c>
      <c r="K3322">
        <f>tblSales[[#This Row],[Sales]]-tblSales[[#This Row],[Budget]]</f>
        <v>1574</v>
      </c>
      <c r="L3322" s="3">
        <f>(tblSales[[#This Row],[Sales]]-tblSales[[#This Row],[Budget]])/tblSales[[#This Row],[Budget]]</f>
        <v>1.8576436015153838E-2</v>
      </c>
      <c r="M3322" s="2">
        <f>tblSales[[#This Row],[Sales]]/tblSales[[#This Row],[Transactions]]</f>
        <v>421</v>
      </c>
    </row>
    <row r="3323" spans="1:13" x14ac:dyDescent="0.25">
      <c r="A3323" s="1">
        <v>46189</v>
      </c>
      <c r="B3323" t="s">
        <v>8</v>
      </c>
      <c r="C3323" t="s">
        <v>19</v>
      </c>
      <c r="D3323" t="str">
        <f>_xlfn.XLOOKUP(tblSales[[#This Row],[Store ID]],tblStores[Store ID],tblStores[Store Name])</f>
        <v>Gateway</v>
      </c>
      <c r="E3323" t="str">
        <f>_xlfn.XLOOKUP(tblSales[[#This Row],[Store ID]],tblStores[Store ID],tblStores[Province])</f>
        <v>KZN</v>
      </c>
      <c r="F3323" t="str">
        <f>_xlfn.XLOOKUP(tblSales[[#This Row],[Store ID]],tblStores[Store ID],tblStores[Manager])</f>
        <v>Michael Jones</v>
      </c>
      <c r="G3323" t="str">
        <f>_xlfn.XLOOKUP(tblSales[[#This Row],[Category ID]],tblCategories[Category ID],tblCategories[Category])</f>
        <v>Accessories</v>
      </c>
      <c r="H3323">
        <v>19695</v>
      </c>
      <c r="I3323">
        <v>20483</v>
      </c>
      <c r="J3323">
        <v>65</v>
      </c>
      <c r="K3323">
        <f>tblSales[[#This Row],[Sales]]-tblSales[[#This Row],[Budget]]</f>
        <v>-788</v>
      </c>
      <c r="L3323" s="3">
        <f>(tblSales[[#This Row],[Sales]]-tblSales[[#This Row],[Budget]])/tblSales[[#This Row],[Budget]]</f>
        <v>-3.847092711028658E-2</v>
      </c>
      <c r="M3323" s="2">
        <f>tblSales[[#This Row],[Sales]]/tblSales[[#This Row],[Transactions]]</f>
        <v>303</v>
      </c>
    </row>
    <row r="3324" spans="1:13" x14ac:dyDescent="0.25">
      <c r="A3324" s="1">
        <v>46189</v>
      </c>
      <c r="B3324" t="s">
        <v>10</v>
      </c>
      <c r="C3324" t="s">
        <v>11</v>
      </c>
      <c r="D3324" t="str">
        <f>_xlfn.XLOOKUP(tblSales[[#This Row],[Store ID]],tblStores[Store ID],tblStores[Store Name])</f>
        <v>Ballito</v>
      </c>
      <c r="E3324" t="str">
        <f>_xlfn.XLOOKUP(tblSales[[#This Row],[Store ID]],tblStores[Store ID],tblStores[Province])</f>
        <v>KZN</v>
      </c>
      <c r="F3324" t="str">
        <f>_xlfn.XLOOKUP(tblSales[[#This Row],[Store ID]],tblStores[Store ID],tblStores[Manager])</f>
        <v>Linda Smith</v>
      </c>
      <c r="G3324" t="str">
        <f>_xlfn.XLOOKUP(tblSales[[#This Row],[Category ID]],tblCategories[Category ID],tblCategories[Category])</f>
        <v>Footwear</v>
      </c>
      <c r="H3324">
        <v>56126</v>
      </c>
      <c r="I3324">
        <v>55494</v>
      </c>
      <c r="J3324">
        <v>133</v>
      </c>
      <c r="K3324">
        <f>tblSales[[#This Row],[Sales]]-tblSales[[#This Row],[Budget]]</f>
        <v>632</v>
      </c>
      <c r="L3324" s="3">
        <f>(tblSales[[#This Row],[Sales]]-tblSales[[#This Row],[Budget]])/tblSales[[#This Row],[Budget]]</f>
        <v>1.1388618589397052E-2</v>
      </c>
      <c r="M3324" s="2">
        <f>tblSales[[#This Row],[Sales]]/tblSales[[#This Row],[Transactions]]</f>
        <v>422</v>
      </c>
    </row>
    <row r="3325" spans="1:13" x14ac:dyDescent="0.25">
      <c r="A3325" s="1">
        <v>46189</v>
      </c>
      <c r="B3325" t="s">
        <v>12</v>
      </c>
      <c r="C3325" t="s">
        <v>19</v>
      </c>
      <c r="D3325" t="str">
        <f>_xlfn.XLOOKUP(tblSales[[#This Row],[Store ID]],tblStores[Store ID],tblStores[Store Name])</f>
        <v>Pietermaritzburg</v>
      </c>
      <c r="E3325" t="str">
        <f>_xlfn.XLOOKUP(tblSales[[#This Row],[Store ID]],tblStores[Store ID],tblStores[Province])</f>
        <v>KZN</v>
      </c>
      <c r="F3325" t="str">
        <f>_xlfn.XLOOKUP(tblSales[[#This Row],[Store ID]],tblStores[Store ID],tblStores[Manager])</f>
        <v>Peter Brown</v>
      </c>
      <c r="G3325" t="str">
        <f>_xlfn.XLOOKUP(tblSales[[#This Row],[Category ID]],tblCategories[Category ID],tblCategories[Category])</f>
        <v>Accessories</v>
      </c>
      <c r="H3325">
        <v>52316</v>
      </c>
      <c r="I3325">
        <v>48107</v>
      </c>
      <c r="J3325">
        <v>116</v>
      </c>
      <c r="K3325">
        <f>tblSales[[#This Row],[Sales]]-tblSales[[#This Row],[Budget]]</f>
        <v>4209</v>
      </c>
      <c r="L3325" s="3">
        <f>(tblSales[[#This Row],[Sales]]-tblSales[[#This Row],[Budget]])/tblSales[[#This Row],[Budget]]</f>
        <v>8.7492464714074875E-2</v>
      </c>
      <c r="M3325" s="2">
        <f>tblSales[[#This Row],[Sales]]/tblSales[[#This Row],[Transactions]]</f>
        <v>451</v>
      </c>
    </row>
    <row r="3326" spans="1:13" x14ac:dyDescent="0.25">
      <c r="A3326" s="1">
        <v>46189</v>
      </c>
      <c r="B3326" t="s">
        <v>13</v>
      </c>
      <c r="C3326" t="s">
        <v>19</v>
      </c>
      <c r="D3326" t="str">
        <f>_xlfn.XLOOKUP(tblSales[[#This Row],[Store ID]],tblStores[Store ID],tblStores[Store Name])</f>
        <v>Richards Bay</v>
      </c>
      <c r="E3326" t="str">
        <f>_xlfn.XLOOKUP(tblSales[[#This Row],[Store ID]],tblStores[Store ID],tblStores[Province])</f>
        <v>KZN</v>
      </c>
      <c r="F3326" t="str">
        <f>_xlfn.XLOOKUP(tblSales[[#This Row],[Store ID]],tblStores[Store ID],tblStores[Manager])</f>
        <v>David Green</v>
      </c>
      <c r="G3326" t="str">
        <f>_xlfn.XLOOKUP(tblSales[[#This Row],[Category ID]],tblCategories[Category ID],tblCategories[Category])</f>
        <v>Accessories</v>
      </c>
      <c r="H3326">
        <v>23585</v>
      </c>
      <c r="I3326">
        <v>26801</v>
      </c>
      <c r="J3326">
        <v>89</v>
      </c>
      <c r="K3326">
        <f>tblSales[[#This Row],[Sales]]-tblSales[[#This Row],[Budget]]</f>
        <v>-3216</v>
      </c>
      <c r="L3326" s="3">
        <f>(tblSales[[#This Row],[Sales]]-tblSales[[#This Row],[Budget]])/tblSales[[#This Row],[Budget]]</f>
        <v>-0.11999552255512853</v>
      </c>
      <c r="M3326" s="2">
        <f>tblSales[[#This Row],[Sales]]/tblSales[[#This Row],[Transactions]]</f>
        <v>265</v>
      </c>
    </row>
    <row r="3327" spans="1:13" x14ac:dyDescent="0.25">
      <c r="A3327" s="1">
        <v>46189</v>
      </c>
      <c r="B3327" t="s">
        <v>14</v>
      </c>
      <c r="C3327" t="s">
        <v>22</v>
      </c>
      <c r="D3327" t="str">
        <f>_xlfn.XLOOKUP(tblSales[[#This Row],[Store ID]],tblStores[Store ID],tblStores[Store Name])</f>
        <v>Sandton</v>
      </c>
      <c r="E3327" t="str">
        <f>_xlfn.XLOOKUP(tblSales[[#This Row],[Store ID]],tblStores[Store ID],tblStores[Province])</f>
        <v>Gauteng</v>
      </c>
      <c r="F3327" t="str">
        <f>_xlfn.XLOOKUP(tblSales[[#This Row],[Store ID]],tblStores[Store ID],tblStores[Manager])</f>
        <v>Karen White</v>
      </c>
      <c r="G3327" t="str">
        <f>_xlfn.XLOOKUP(tblSales[[#This Row],[Category ID]],tblCategories[Category ID],tblCategories[Category])</f>
        <v>Kids</v>
      </c>
      <c r="H3327">
        <v>54901</v>
      </c>
      <c r="I3327">
        <v>60938</v>
      </c>
      <c r="J3327">
        <v>217</v>
      </c>
      <c r="K3327">
        <f>tblSales[[#This Row],[Sales]]-tblSales[[#This Row],[Budget]]</f>
        <v>-6037</v>
      </c>
      <c r="L3327" s="3">
        <f>(tblSales[[#This Row],[Sales]]-tblSales[[#This Row],[Budget]])/tblSales[[#This Row],[Budget]]</f>
        <v>-9.9067905083855726E-2</v>
      </c>
      <c r="M3327" s="2">
        <f>tblSales[[#This Row],[Sales]]/tblSales[[#This Row],[Transactions]]</f>
        <v>253</v>
      </c>
    </row>
    <row r="3328" spans="1:13" x14ac:dyDescent="0.25">
      <c r="A3328" s="1">
        <v>46189</v>
      </c>
      <c r="B3328" t="s">
        <v>15</v>
      </c>
      <c r="C3328" t="s">
        <v>19</v>
      </c>
      <c r="D3328" t="str">
        <f>_xlfn.XLOOKUP(tblSales[[#This Row],[Store ID]],tblStores[Store ID],tblStores[Store Name])</f>
        <v>Rosebank</v>
      </c>
      <c r="E3328" t="str">
        <f>_xlfn.XLOOKUP(tblSales[[#This Row],[Store ID]],tblStores[Store ID],tblStores[Province])</f>
        <v>Gauteng</v>
      </c>
      <c r="F3328" t="str">
        <f>_xlfn.XLOOKUP(tblSales[[#This Row],[Store ID]],tblStores[Store ID],tblStores[Manager])</f>
        <v>James Taylor</v>
      </c>
      <c r="G3328" t="str">
        <f>_xlfn.XLOOKUP(tblSales[[#This Row],[Category ID]],tblCategories[Category ID],tblCategories[Category])</f>
        <v>Accessories</v>
      </c>
      <c r="H3328">
        <v>63640</v>
      </c>
      <c r="I3328">
        <v>68335</v>
      </c>
      <c r="J3328">
        <v>148</v>
      </c>
      <c r="K3328">
        <f>tblSales[[#This Row],[Sales]]-tblSales[[#This Row],[Budget]]</f>
        <v>-4695</v>
      </c>
      <c r="L3328" s="3">
        <f>(tblSales[[#This Row],[Sales]]-tblSales[[#This Row],[Budget]])/tblSales[[#This Row],[Budget]]</f>
        <v>-6.8705641325821326E-2</v>
      </c>
      <c r="M3328" s="2">
        <f>tblSales[[#This Row],[Sales]]/tblSales[[#This Row],[Transactions]]</f>
        <v>430</v>
      </c>
    </row>
    <row r="3329" spans="1:13" x14ac:dyDescent="0.25">
      <c r="A3329" s="1">
        <v>46189</v>
      </c>
      <c r="B3329" t="s">
        <v>16</v>
      </c>
      <c r="C3329" t="s">
        <v>22</v>
      </c>
      <c r="D3329" t="str">
        <f>_xlfn.XLOOKUP(tblSales[[#This Row],[Store ID]],tblStores[Store ID],tblStores[Store Name])</f>
        <v>Pretoria</v>
      </c>
      <c r="E3329" t="str">
        <f>_xlfn.XLOOKUP(tblSales[[#This Row],[Store ID]],tblStores[Store ID],tblStores[Province])</f>
        <v>Gauteng</v>
      </c>
      <c r="F3329" t="str">
        <f>_xlfn.XLOOKUP(tblSales[[#This Row],[Store ID]],tblStores[Store ID],tblStores[Manager])</f>
        <v>Susan Clark</v>
      </c>
      <c r="G3329" t="str">
        <f>_xlfn.XLOOKUP(tblSales[[#This Row],[Category ID]],tblCategories[Category ID],tblCategories[Category])</f>
        <v>Kids</v>
      </c>
      <c r="H3329">
        <v>50610</v>
      </c>
      <c r="I3329">
        <v>52607</v>
      </c>
      <c r="J3329">
        <v>210</v>
      </c>
      <c r="K3329">
        <f>tblSales[[#This Row],[Sales]]-tblSales[[#This Row],[Budget]]</f>
        <v>-1997</v>
      </c>
      <c r="L3329" s="3">
        <f>(tblSales[[#This Row],[Sales]]-tblSales[[#This Row],[Budget]])/tblSales[[#This Row],[Budget]]</f>
        <v>-3.7960727659817131E-2</v>
      </c>
      <c r="M3329" s="2">
        <f>tblSales[[#This Row],[Sales]]/tblSales[[#This Row],[Transactions]]</f>
        <v>241</v>
      </c>
    </row>
    <row r="3330" spans="1:13" x14ac:dyDescent="0.25">
      <c r="A3330" s="1">
        <v>46189</v>
      </c>
      <c r="B3330" t="s">
        <v>17</v>
      </c>
      <c r="C3330" t="s">
        <v>11</v>
      </c>
      <c r="D3330" t="str">
        <f>_xlfn.XLOOKUP(tblSales[[#This Row],[Store ID]],tblStores[Store ID],tblStores[Store Name])</f>
        <v>Centurion</v>
      </c>
      <c r="E3330" t="str">
        <f>_xlfn.XLOOKUP(tblSales[[#This Row],[Store ID]],tblStores[Store ID],tblStores[Province])</f>
        <v>Gauteng</v>
      </c>
      <c r="F3330" t="str">
        <f>_xlfn.XLOOKUP(tblSales[[#This Row],[Store ID]],tblStores[Store ID],tblStores[Manager])</f>
        <v>Mark Wilson</v>
      </c>
      <c r="G3330" t="str">
        <f>_xlfn.XLOOKUP(tblSales[[#This Row],[Category ID]],tblCategories[Category ID],tblCategories[Category])</f>
        <v>Footwear</v>
      </c>
      <c r="H3330">
        <v>71958</v>
      </c>
      <c r="I3330">
        <v>67964</v>
      </c>
      <c r="J3330">
        <v>201</v>
      </c>
      <c r="K3330">
        <f>tblSales[[#This Row],[Sales]]-tblSales[[#This Row],[Budget]]</f>
        <v>3994</v>
      </c>
      <c r="L3330" s="3">
        <f>(tblSales[[#This Row],[Sales]]-tblSales[[#This Row],[Budget]])/tblSales[[#This Row],[Budget]]</f>
        <v>5.8766405744217529E-2</v>
      </c>
      <c r="M3330" s="2">
        <f>tblSales[[#This Row],[Sales]]/tblSales[[#This Row],[Transactions]]</f>
        <v>358</v>
      </c>
    </row>
    <row r="3331" spans="1:13" x14ac:dyDescent="0.25">
      <c r="A3331" s="1">
        <v>46189</v>
      </c>
      <c r="B3331" t="s">
        <v>18</v>
      </c>
      <c r="C3331" t="s">
        <v>22</v>
      </c>
      <c r="D3331" t="str">
        <f>_xlfn.XLOOKUP(tblSales[[#This Row],[Store ID]],tblStores[Store ID],tblStores[Store Name])</f>
        <v>East Rand</v>
      </c>
      <c r="E3331" t="str">
        <f>_xlfn.XLOOKUP(tblSales[[#This Row],[Store ID]],tblStores[Store ID],tblStores[Province])</f>
        <v>Gauteng</v>
      </c>
      <c r="F3331" t="str">
        <f>_xlfn.XLOOKUP(tblSales[[#This Row],[Store ID]],tblStores[Store ID],tblStores[Manager])</f>
        <v>Lisa Young</v>
      </c>
      <c r="G3331" t="str">
        <f>_xlfn.XLOOKUP(tblSales[[#This Row],[Category ID]],tblCategories[Category ID],tblCategories[Category])</f>
        <v>Kids</v>
      </c>
      <c r="H3331">
        <v>54978</v>
      </c>
      <c r="I3331">
        <v>59492</v>
      </c>
      <c r="J3331">
        <v>154</v>
      </c>
      <c r="K3331">
        <f>tblSales[[#This Row],[Sales]]-tblSales[[#This Row],[Budget]]</f>
        <v>-4514</v>
      </c>
      <c r="L3331" s="3">
        <f>(tblSales[[#This Row],[Sales]]-tblSales[[#This Row],[Budget]])/tblSales[[#This Row],[Budget]]</f>
        <v>-7.5875747999731055E-2</v>
      </c>
      <c r="M3331" s="2">
        <f>tblSales[[#This Row],[Sales]]/tblSales[[#This Row],[Transactions]]</f>
        <v>357</v>
      </c>
    </row>
    <row r="3332" spans="1:13" x14ac:dyDescent="0.25">
      <c r="A3332" s="1">
        <v>46189</v>
      </c>
      <c r="B3332" t="s">
        <v>20</v>
      </c>
      <c r="C3332" t="s">
        <v>9</v>
      </c>
      <c r="D3332" t="str">
        <f>_xlfn.XLOOKUP(tblSales[[#This Row],[Store ID]],tblStores[Store ID],tblStores[Store Name])</f>
        <v>Cape Town CBD</v>
      </c>
      <c r="E3332" t="str">
        <f>_xlfn.XLOOKUP(tblSales[[#This Row],[Store ID]],tblStores[Store ID],tblStores[Province])</f>
        <v>Western Cape</v>
      </c>
      <c r="F3332" t="str">
        <f>_xlfn.XLOOKUP(tblSales[[#This Row],[Store ID]],tblStores[Store ID],tblStores[Manager])</f>
        <v>Brian Hall</v>
      </c>
      <c r="G3332" t="str">
        <f>_xlfn.XLOOKUP(tblSales[[#This Row],[Category ID]],tblCategories[Category ID],tblCategories[Category])</f>
        <v>Ladieswear</v>
      </c>
      <c r="H3332">
        <v>89472</v>
      </c>
      <c r="I3332">
        <v>100125</v>
      </c>
      <c r="J3332">
        <v>192</v>
      </c>
      <c r="K3332">
        <f>tblSales[[#This Row],[Sales]]-tblSales[[#This Row],[Budget]]</f>
        <v>-10653</v>
      </c>
      <c r="L3332" s="3">
        <f>(tblSales[[#This Row],[Sales]]-tblSales[[#This Row],[Budget]])/tblSales[[#This Row],[Budget]]</f>
        <v>-0.10639700374531835</v>
      </c>
      <c r="M3332" s="2">
        <f>tblSales[[#This Row],[Sales]]/tblSales[[#This Row],[Transactions]]</f>
        <v>466</v>
      </c>
    </row>
    <row r="3333" spans="1:13" x14ac:dyDescent="0.25">
      <c r="A3333" s="1">
        <v>46189</v>
      </c>
      <c r="B3333" t="s">
        <v>21</v>
      </c>
      <c r="C3333" t="s">
        <v>9</v>
      </c>
      <c r="D3333" t="str">
        <f>_xlfn.XLOOKUP(tblSales[[#This Row],[Store ID]],tblStores[Store ID],tblStores[Store Name])</f>
        <v>Canal Walk</v>
      </c>
      <c r="E3333" t="str">
        <f>_xlfn.XLOOKUP(tblSales[[#This Row],[Store ID]],tblStores[Store ID],tblStores[Province])</f>
        <v>Western Cape</v>
      </c>
      <c r="F3333" t="str">
        <f>_xlfn.XLOOKUP(tblSales[[#This Row],[Store ID]],tblStores[Store ID],tblStores[Manager])</f>
        <v>Megan Scott</v>
      </c>
      <c r="G3333" t="str">
        <f>_xlfn.XLOOKUP(tblSales[[#This Row],[Category ID]],tblCategories[Category ID],tblCategories[Category])</f>
        <v>Ladieswear</v>
      </c>
      <c r="H3333">
        <v>48972</v>
      </c>
      <c r="I3333">
        <v>46266</v>
      </c>
      <c r="J3333">
        <v>132</v>
      </c>
      <c r="K3333">
        <f>tblSales[[#This Row],[Sales]]-tblSales[[#This Row],[Budget]]</f>
        <v>2706</v>
      </c>
      <c r="L3333" s="3">
        <f>(tblSales[[#This Row],[Sales]]-tblSales[[#This Row],[Budget]])/tblSales[[#This Row],[Budget]]</f>
        <v>5.8487874465049931E-2</v>
      </c>
      <c r="M3333" s="2">
        <f>tblSales[[#This Row],[Sales]]/tblSales[[#This Row],[Transactions]]</f>
        <v>371</v>
      </c>
    </row>
    <row r="3334" spans="1:13" x14ac:dyDescent="0.25">
      <c r="A3334" s="1">
        <v>46189</v>
      </c>
      <c r="B3334" t="s">
        <v>23</v>
      </c>
      <c r="C3334" t="s">
        <v>7</v>
      </c>
      <c r="D3334" t="str">
        <f>_xlfn.XLOOKUP(tblSales[[#This Row],[Store ID]],tblStores[Store ID],tblStores[Store Name])</f>
        <v>Stellenbosch</v>
      </c>
      <c r="E3334" t="str">
        <f>_xlfn.XLOOKUP(tblSales[[#This Row],[Store ID]],tblStores[Store ID],tblStores[Province])</f>
        <v>Western Cape</v>
      </c>
      <c r="F3334" t="str">
        <f>_xlfn.XLOOKUP(tblSales[[#This Row],[Store ID]],tblStores[Store ID],tblStores[Manager])</f>
        <v>Jason King</v>
      </c>
      <c r="G3334" t="str">
        <f>_xlfn.XLOOKUP(tblSales[[#This Row],[Category ID]],tblCategories[Category ID],tblCategories[Category])</f>
        <v>Menswear</v>
      </c>
      <c r="H3334">
        <v>34510</v>
      </c>
      <c r="I3334">
        <v>34173</v>
      </c>
      <c r="J3334">
        <v>85</v>
      </c>
      <c r="K3334">
        <f>tblSales[[#This Row],[Sales]]-tblSales[[#This Row],[Budget]]</f>
        <v>337</v>
      </c>
      <c r="L3334" s="3">
        <f>(tblSales[[#This Row],[Sales]]-tblSales[[#This Row],[Budget]])/tblSales[[#This Row],[Budget]]</f>
        <v>9.8615866327217399E-3</v>
      </c>
      <c r="M3334" s="2">
        <f>tblSales[[#This Row],[Sales]]/tblSales[[#This Row],[Transactions]]</f>
        <v>406</v>
      </c>
    </row>
    <row r="3335" spans="1:13" x14ac:dyDescent="0.25">
      <c r="A3335" s="1">
        <v>46189</v>
      </c>
      <c r="B3335" t="s">
        <v>24</v>
      </c>
      <c r="C3335" t="s">
        <v>9</v>
      </c>
      <c r="D3335" t="str">
        <f>_xlfn.XLOOKUP(tblSales[[#This Row],[Store ID]],tblStores[Store ID],tblStores[Store Name])</f>
        <v>George</v>
      </c>
      <c r="E3335" t="str">
        <f>_xlfn.XLOOKUP(tblSales[[#This Row],[Store ID]],tblStores[Store ID],tblStores[Province])</f>
        <v>Western Cape</v>
      </c>
      <c r="F3335" t="str">
        <f>_xlfn.XLOOKUP(tblSales[[#This Row],[Store ID]],tblStores[Store ID],tblStores[Manager])</f>
        <v>Chloe Hill</v>
      </c>
      <c r="G3335" t="str">
        <f>_xlfn.XLOOKUP(tblSales[[#This Row],[Category ID]],tblCategories[Category ID],tblCategories[Category])</f>
        <v>Ladieswear</v>
      </c>
      <c r="H3335">
        <v>17280</v>
      </c>
      <c r="I3335">
        <v>16892</v>
      </c>
      <c r="J3335">
        <v>36</v>
      </c>
      <c r="K3335">
        <f>tblSales[[#This Row],[Sales]]-tblSales[[#This Row],[Budget]]</f>
        <v>388</v>
      </c>
      <c r="L3335" s="3">
        <f>(tblSales[[#This Row],[Sales]]-tblSales[[#This Row],[Budget]])/tblSales[[#This Row],[Budget]]</f>
        <v>2.2969452995500829E-2</v>
      </c>
      <c r="M3335" s="2">
        <f>tblSales[[#This Row],[Sales]]/tblSales[[#This Row],[Transactions]]</f>
        <v>480</v>
      </c>
    </row>
    <row r="3336" spans="1:13" x14ac:dyDescent="0.25">
      <c r="A3336" s="1">
        <v>46189</v>
      </c>
      <c r="B3336" t="s">
        <v>25</v>
      </c>
      <c r="C3336" t="s">
        <v>7</v>
      </c>
      <c r="D3336" t="str">
        <f>_xlfn.XLOOKUP(tblSales[[#This Row],[Store ID]],tblStores[Store ID],tblStores[Store Name])</f>
        <v>Paarl</v>
      </c>
      <c r="E3336" t="str">
        <f>_xlfn.XLOOKUP(tblSales[[#This Row],[Store ID]],tblStores[Store ID],tblStores[Province])</f>
        <v>Western Cape</v>
      </c>
      <c r="F3336" t="str">
        <f>_xlfn.XLOOKUP(tblSales[[#This Row],[Store ID]],tblStores[Store ID],tblStores[Manager])</f>
        <v>Andrew Lee</v>
      </c>
      <c r="G3336" t="str">
        <f>_xlfn.XLOOKUP(tblSales[[#This Row],[Category ID]],tblCategories[Category ID],tblCategories[Category])</f>
        <v>Menswear</v>
      </c>
      <c r="H3336">
        <v>39861</v>
      </c>
      <c r="I3336">
        <v>40885</v>
      </c>
      <c r="J3336">
        <v>129</v>
      </c>
      <c r="K3336">
        <f>tblSales[[#This Row],[Sales]]-tblSales[[#This Row],[Budget]]</f>
        <v>-1024</v>
      </c>
      <c r="L3336" s="3">
        <f>(tblSales[[#This Row],[Sales]]-tblSales[[#This Row],[Budget]])/tblSales[[#This Row],[Budget]]</f>
        <v>-2.5045860339977986E-2</v>
      </c>
      <c r="M3336" s="2">
        <f>tblSales[[#This Row],[Sales]]/tblSales[[#This Row],[Transactions]]</f>
        <v>309</v>
      </c>
    </row>
    <row r="3337" spans="1:13" x14ac:dyDescent="0.25">
      <c r="A3337" s="1">
        <v>46189</v>
      </c>
      <c r="B3337" t="s">
        <v>26</v>
      </c>
      <c r="C3337" t="s">
        <v>7</v>
      </c>
      <c r="D3337" t="str">
        <f>_xlfn.XLOOKUP(tblSales[[#This Row],[Store ID]],tblStores[Store ID],tblStores[Store Name])</f>
        <v>Gqeberha</v>
      </c>
      <c r="E3337" t="str">
        <f>_xlfn.XLOOKUP(tblSales[[#This Row],[Store ID]],tblStores[Store ID],tblStores[Province])</f>
        <v>Eastern Cape</v>
      </c>
      <c r="F3337" t="str">
        <f>_xlfn.XLOOKUP(tblSales[[#This Row],[Store ID]],tblStores[Store ID],tblStores[Manager])</f>
        <v>Emma Baker</v>
      </c>
      <c r="G3337" t="str">
        <f>_xlfn.XLOOKUP(tblSales[[#This Row],[Category ID]],tblCategories[Category ID],tblCategories[Category])</f>
        <v>Menswear</v>
      </c>
      <c r="H3337">
        <v>60610</v>
      </c>
      <c r="I3337">
        <v>55057</v>
      </c>
      <c r="J3337">
        <v>190</v>
      </c>
      <c r="K3337">
        <f>tblSales[[#This Row],[Sales]]-tblSales[[#This Row],[Budget]]</f>
        <v>5553</v>
      </c>
      <c r="L3337" s="3">
        <f>(tblSales[[#This Row],[Sales]]-tblSales[[#This Row],[Budget]])/tblSales[[#This Row],[Budget]]</f>
        <v>0.1008591096499991</v>
      </c>
      <c r="M3337" s="2">
        <f>tblSales[[#This Row],[Sales]]/tblSales[[#This Row],[Transactions]]</f>
        <v>319</v>
      </c>
    </row>
    <row r="3338" spans="1:13" x14ac:dyDescent="0.25">
      <c r="A3338" s="1">
        <v>46189</v>
      </c>
      <c r="B3338" t="s">
        <v>27</v>
      </c>
      <c r="C3338" t="s">
        <v>22</v>
      </c>
      <c r="D3338" t="str">
        <f>_xlfn.XLOOKUP(tblSales[[#This Row],[Store ID]],tblStores[Store ID],tblStores[Store Name])</f>
        <v>East London</v>
      </c>
      <c r="E3338" t="str">
        <f>_xlfn.XLOOKUP(tblSales[[#This Row],[Store ID]],tblStores[Store ID],tblStores[Province])</f>
        <v>Eastern Cape</v>
      </c>
      <c r="F3338" t="str">
        <f>_xlfn.XLOOKUP(tblSales[[#This Row],[Store ID]],tblStores[Store ID],tblStores[Manager])</f>
        <v>Daniel Evans</v>
      </c>
      <c r="G3338" t="str">
        <f>_xlfn.XLOOKUP(tblSales[[#This Row],[Category ID]],tblCategories[Category ID],tblCategories[Category])</f>
        <v>Kids</v>
      </c>
      <c r="H3338">
        <v>84575</v>
      </c>
      <c r="I3338">
        <v>84538</v>
      </c>
      <c r="J3338">
        <v>199</v>
      </c>
      <c r="K3338">
        <f>tblSales[[#This Row],[Sales]]-tblSales[[#This Row],[Budget]]</f>
        <v>37</v>
      </c>
      <c r="L3338" s="3">
        <f>(tblSales[[#This Row],[Sales]]-tblSales[[#This Row],[Budget]])/tblSales[[#This Row],[Budget]]</f>
        <v>4.37672999124654E-4</v>
      </c>
      <c r="M3338" s="2">
        <f>tblSales[[#This Row],[Sales]]/tblSales[[#This Row],[Transactions]]</f>
        <v>425</v>
      </c>
    </row>
    <row r="3339" spans="1:13" x14ac:dyDescent="0.25">
      <c r="A3339" s="1">
        <v>46189</v>
      </c>
      <c r="B3339" t="s">
        <v>28</v>
      </c>
      <c r="C3339" t="s">
        <v>22</v>
      </c>
      <c r="D3339" t="str">
        <f>_xlfn.XLOOKUP(tblSales[[#This Row],[Store ID]],tblStores[Store ID],tblStores[Store Name])</f>
        <v>Bloemfontein</v>
      </c>
      <c r="E3339" t="str">
        <f>_xlfn.XLOOKUP(tblSales[[#This Row],[Store ID]],tblStores[Store ID],tblStores[Province])</f>
        <v>Free State</v>
      </c>
      <c r="F3339" t="str">
        <f>_xlfn.XLOOKUP(tblSales[[#This Row],[Store ID]],tblStores[Store ID],tblStores[Manager])</f>
        <v>Rachel Moore</v>
      </c>
      <c r="G3339" t="str">
        <f>_xlfn.XLOOKUP(tblSales[[#This Row],[Category ID]],tblCategories[Category ID],tblCategories[Category])</f>
        <v>Kids</v>
      </c>
      <c r="H3339">
        <v>52500</v>
      </c>
      <c r="I3339">
        <v>48001</v>
      </c>
      <c r="J3339">
        <v>105</v>
      </c>
      <c r="K3339">
        <f>tblSales[[#This Row],[Sales]]-tblSales[[#This Row],[Budget]]</f>
        <v>4499</v>
      </c>
      <c r="L3339" s="3">
        <f>(tblSales[[#This Row],[Sales]]-tblSales[[#This Row],[Budget]])/tblSales[[#This Row],[Budget]]</f>
        <v>9.3727214016374655E-2</v>
      </c>
      <c r="M3339" s="2">
        <f>tblSales[[#This Row],[Sales]]/tblSales[[#This Row],[Transactions]]</f>
        <v>500</v>
      </c>
    </row>
    <row r="3340" spans="1:13" x14ac:dyDescent="0.25">
      <c r="A3340" s="1">
        <v>46189</v>
      </c>
      <c r="B3340" t="s">
        <v>29</v>
      </c>
      <c r="C3340" t="s">
        <v>19</v>
      </c>
      <c r="D3340" t="str">
        <f>_xlfn.XLOOKUP(tblSales[[#This Row],[Store ID]],tblStores[Store ID],tblStores[Store Name])</f>
        <v>Polokwane</v>
      </c>
      <c r="E3340" t="str">
        <f>_xlfn.XLOOKUP(tblSales[[#This Row],[Store ID]],tblStores[Store ID],tblStores[Province])</f>
        <v>Limpopo</v>
      </c>
      <c r="F3340" t="str">
        <f>_xlfn.XLOOKUP(tblSales[[#This Row],[Store ID]],tblStores[Store ID],tblStores[Manager])</f>
        <v>Kevin Harris</v>
      </c>
      <c r="G3340" t="str">
        <f>_xlfn.XLOOKUP(tblSales[[#This Row],[Category ID]],tblCategories[Category ID],tblCategories[Category])</f>
        <v>Accessories</v>
      </c>
      <c r="H3340">
        <v>17682</v>
      </c>
      <c r="I3340">
        <v>20322</v>
      </c>
      <c r="J3340">
        <v>42</v>
      </c>
      <c r="K3340">
        <f>tblSales[[#This Row],[Sales]]-tblSales[[#This Row],[Budget]]</f>
        <v>-2640</v>
      </c>
      <c r="L3340" s="3">
        <f>(tblSales[[#This Row],[Sales]]-tblSales[[#This Row],[Budget]])/tblSales[[#This Row],[Budget]]</f>
        <v>-0.1299084735754355</v>
      </c>
      <c r="M3340" s="2">
        <f>tblSales[[#This Row],[Sales]]/tblSales[[#This Row],[Transactions]]</f>
        <v>421</v>
      </c>
    </row>
    <row r="3341" spans="1:13" x14ac:dyDescent="0.25">
      <c r="A3341" s="1">
        <v>46189</v>
      </c>
      <c r="B3341" t="s">
        <v>30</v>
      </c>
      <c r="C3341" t="s">
        <v>11</v>
      </c>
      <c r="D3341" t="str">
        <f>_xlfn.XLOOKUP(tblSales[[#This Row],[Store ID]],tblStores[Store ID],tblStores[Store Name])</f>
        <v>Nelspruit</v>
      </c>
      <c r="E3341" t="str">
        <f>_xlfn.XLOOKUP(tblSales[[#This Row],[Store ID]],tblStores[Store ID],tblStores[Province])</f>
        <v>Mpumalanga</v>
      </c>
      <c r="F3341" t="str">
        <f>_xlfn.XLOOKUP(tblSales[[#This Row],[Store ID]],tblStores[Store ID],tblStores[Manager])</f>
        <v>Olivia Turner</v>
      </c>
      <c r="G3341" t="str">
        <f>_xlfn.XLOOKUP(tblSales[[#This Row],[Category ID]],tblCategories[Category ID],tblCategories[Category])</f>
        <v>Footwear</v>
      </c>
      <c r="H3341">
        <v>42880</v>
      </c>
      <c r="I3341">
        <v>43667</v>
      </c>
      <c r="J3341">
        <v>160</v>
      </c>
      <c r="K3341">
        <f>tblSales[[#This Row],[Sales]]-tblSales[[#This Row],[Budget]]</f>
        <v>-787</v>
      </c>
      <c r="L3341" s="3">
        <f>(tblSales[[#This Row],[Sales]]-tblSales[[#This Row],[Budget]])/tblSales[[#This Row],[Budget]]</f>
        <v>-1.8022763185013856E-2</v>
      </c>
      <c r="M3341" s="2">
        <f>tblSales[[#This Row],[Sales]]/tblSales[[#This Row],[Transactions]]</f>
        <v>268</v>
      </c>
    </row>
    <row r="3342" spans="1:13" x14ac:dyDescent="0.25">
      <c r="A3342" s="1">
        <v>46190</v>
      </c>
      <c r="B3342" t="s">
        <v>6</v>
      </c>
      <c r="C3342" t="s">
        <v>19</v>
      </c>
      <c r="D3342" t="str">
        <f>_xlfn.XLOOKUP(tblSales[[#This Row],[Store ID]],tblStores[Store ID],tblStores[Store Name])</f>
        <v>Durban CBD</v>
      </c>
      <c r="E3342" t="str">
        <f>_xlfn.XLOOKUP(tblSales[[#This Row],[Store ID]],tblStores[Store ID],tblStores[Province])</f>
        <v>KZN</v>
      </c>
      <c r="F3342" t="str">
        <f>_xlfn.XLOOKUP(tblSales[[#This Row],[Store ID]],tblStores[Store ID],tblStores[Manager])</f>
        <v>Sarah Adams</v>
      </c>
      <c r="G3342" t="str">
        <f>_xlfn.XLOOKUP(tblSales[[#This Row],[Category ID]],tblCategories[Category ID],tblCategories[Category])</f>
        <v>Accessories</v>
      </c>
      <c r="H3342">
        <v>12139</v>
      </c>
      <c r="I3342">
        <v>12046</v>
      </c>
      <c r="J3342">
        <v>61</v>
      </c>
      <c r="K3342">
        <f>tblSales[[#This Row],[Sales]]-tblSales[[#This Row],[Budget]]</f>
        <v>93</v>
      </c>
      <c r="L3342" s="3">
        <f>(tblSales[[#This Row],[Sales]]-tblSales[[#This Row],[Budget]])/tblSales[[#This Row],[Budget]]</f>
        <v>7.720405113730699E-3</v>
      </c>
      <c r="M3342" s="2">
        <f>tblSales[[#This Row],[Sales]]/tblSales[[#This Row],[Transactions]]</f>
        <v>199</v>
      </c>
    </row>
    <row r="3343" spans="1:13" x14ac:dyDescent="0.25">
      <c r="A3343" s="1">
        <v>46190</v>
      </c>
      <c r="B3343" t="s">
        <v>8</v>
      </c>
      <c r="C3343" t="s">
        <v>19</v>
      </c>
      <c r="D3343" t="str">
        <f>_xlfn.XLOOKUP(tblSales[[#This Row],[Store ID]],tblStores[Store ID],tblStores[Store Name])</f>
        <v>Gateway</v>
      </c>
      <c r="E3343" t="str">
        <f>_xlfn.XLOOKUP(tblSales[[#This Row],[Store ID]],tblStores[Store ID],tblStores[Province])</f>
        <v>KZN</v>
      </c>
      <c r="F3343" t="str">
        <f>_xlfn.XLOOKUP(tblSales[[#This Row],[Store ID]],tblStores[Store ID],tblStores[Manager])</f>
        <v>Michael Jones</v>
      </c>
      <c r="G3343" t="str">
        <f>_xlfn.XLOOKUP(tblSales[[#This Row],[Category ID]],tblCategories[Category ID],tblCategories[Category])</f>
        <v>Accessories</v>
      </c>
      <c r="H3343">
        <v>55986</v>
      </c>
      <c r="I3343">
        <v>60263</v>
      </c>
      <c r="J3343">
        <v>217</v>
      </c>
      <c r="K3343">
        <f>tblSales[[#This Row],[Sales]]-tblSales[[#This Row],[Budget]]</f>
        <v>-4277</v>
      </c>
      <c r="L3343" s="3">
        <f>(tblSales[[#This Row],[Sales]]-tblSales[[#This Row],[Budget]])/tblSales[[#This Row],[Budget]]</f>
        <v>-7.097223835520966E-2</v>
      </c>
      <c r="M3343" s="2">
        <f>tblSales[[#This Row],[Sales]]/tblSales[[#This Row],[Transactions]]</f>
        <v>258</v>
      </c>
    </row>
    <row r="3344" spans="1:13" x14ac:dyDescent="0.25">
      <c r="A3344" s="1">
        <v>46190</v>
      </c>
      <c r="B3344" t="s">
        <v>10</v>
      </c>
      <c r="C3344" t="s">
        <v>9</v>
      </c>
      <c r="D3344" t="str">
        <f>_xlfn.XLOOKUP(tblSales[[#This Row],[Store ID]],tblStores[Store ID],tblStores[Store Name])</f>
        <v>Ballito</v>
      </c>
      <c r="E3344" t="str">
        <f>_xlfn.XLOOKUP(tblSales[[#This Row],[Store ID]],tblStores[Store ID],tblStores[Province])</f>
        <v>KZN</v>
      </c>
      <c r="F3344" t="str">
        <f>_xlfn.XLOOKUP(tblSales[[#This Row],[Store ID]],tblStores[Store ID],tblStores[Manager])</f>
        <v>Linda Smith</v>
      </c>
      <c r="G3344" t="str">
        <f>_xlfn.XLOOKUP(tblSales[[#This Row],[Category ID]],tblCategories[Category ID],tblCategories[Category])</f>
        <v>Ladieswear</v>
      </c>
      <c r="H3344">
        <v>15096</v>
      </c>
      <c r="I3344">
        <v>15169</v>
      </c>
      <c r="J3344">
        <v>68</v>
      </c>
      <c r="K3344">
        <f>tblSales[[#This Row],[Sales]]-tblSales[[#This Row],[Budget]]</f>
        <v>-73</v>
      </c>
      <c r="L3344" s="3">
        <f>(tblSales[[#This Row],[Sales]]-tblSales[[#This Row],[Budget]])/tblSales[[#This Row],[Budget]]</f>
        <v>-4.8124464368119188E-3</v>
      </c>
      <c r="M3344" s="2">
        <f>tblSales[[#This Row],[Sales]]/tblSales[[#This Row],[Transactions]]</f>
        <v>222</v>
      </c>
    </row>
    <row r="3345" spans="1:13" x14ac:dyDescent="0.25">
      <c r="A3345" s="1">
        <v>46190</v>
      </c>
      <c r="B3345" t="s">
        <v>12</v>
      </c>
      <c r="C3345" t="s">
        <v>7</v>
      </c>
      <c r="D3345" t="str">
        <f>_xlfn.XLOOKUP(tblSales[[#This Row],[Store ID]],tblStores[Store ID],tblStores[Store Name])</f>
        <v>Pietermaritzburg</v>
      </c>
      <c r="E3345" t="str">
        <f>_xlfn.XLOOKUP(tblSales[[#This Row],[Store ID]],tblStores[Store ID],tblStores[Province])</f>
        <v>KZN</v>
      </c>
      <c r="F3345" t="str">
        <f>_xlfn.XLOOKUP(tblSales[[#This Row],[Store ID]],tblStores[Store ID],tblStores[Manager])</f>
        <v>Peter Brown</v>
      </c>
      <c r="G3345" t="str">
        <f>_xlfn.XLOOKUP(tblSales[[#This Row],[Category ID]],tblCategories[Category ID],tblCategories[Category])</f>
        <v>Menswear</v>
      </c>
      <c r="H3345">
        <v>19943</v>
      </c>
      <c r="I3345">
        <v>21127</v>
      </c>
      <c r="J3345">
        <v>49</v>
      </c>
      <c r="K3345">
        <f>tblSales[[#This Row],[Sales]]-tblSales[[#This Row],[Budget]]</f>
        <v>-1184</v>
      </c>
      <c r="L3345" s="3">
        <f>(tblSales[[#This Row],[Sales]]-tblSales[[#This Row],[Budget]])/tblSales[[#This Row],[Budget]]</f>
        <v>-5.6042031523642732E-2</v>
      </c>
      <c r="M3345" s="2">
        <f>tblSales[[#This Row],[Sales]]/tblSales[[#This Row],[Transactions]]</f>
        <v>407</v>
      </c>
    </row>
    <row r="3346" spans="1:13" x14ac:dyDescent="0.25">
      <c r="A3346" s="1">
        <v>46190</v>
      </c>
      <c r="B3346" t="s">
        <v>13</v>
      </c>
      <c r="C3346" t="s">
        <v>7</v>
      </c>
      <c r="D3346" t="str">
        <f>_xlfn.XLOOKUP(tblSales[[#This Row],[Store ID]],tblStores[Store ID],tblStores[Store Name])</f>
        <v>Richards Bay</v>
      </c>
      <c r="E3346" t="str">
        <f>_xlfn.XLOOKUP(tblSales[[#This Row],[Store ID]],tblStores[Store ID],tblStores[Province])</f>
        <v>KZN</v>
      </c>
      <c r="F3346" t="str">
        <f>_xlfn.XLOOKUP(tblSales[[#This Row],[Store ID]],tblStores[Store ID],tblStores[Manager])</f>
        <v>David Green</v>
      </c>
      <c r="G3346" t="str">
        <f>_xlfn.XLOOKUP(tblSales[[#This Row],[Category ID]],tblCategories[Category ID],tblCategories[Category])</f>
        <v>Menswear</v>
      </c>
      <c r="H3346">
        <v>26335</v>
      </c>
      <c r="I3346">
        <v>29349</v>
      </c>
      <c r="J3346">
        <v>115</v>
      </c>
      <c r="K3346">
        <f>tblSales[[#This Row],[Sales]]-tblSales[[#This Row],[Budget]]</f>
        <v>-3014</v>
      </c>
      <c r="L3346" s="3">
        <f>(tblSales[[#This Row],[Sales]]-tblSales[[#This Row],[Budget]])/tblSales[[#This Row],[Budget]]</f>
        <v>-0.10269515145320113</v>
      </c>
      <c r="M3346" s="2">
        <f>tblSales[[#This Row],[Sales]]/tblSales[[#This Row],[Transactions]]</f>
        <v>229</v>
      </c>
    </row>
    <row r="3347" spans="1:13" x14ac:dyDescent="0.25">
      <c r="A3347" s="1">
        <v>46190</v>
      </c>
      <c r="B3347" t="s">
        <v>14</v>
      </c>
      <c r="C3347" t="s">
        <v>22</v>
      </c>
      <c r="D3347" t="str">
        <f>_xlfn.XLOOKUP(tblSales[[#This Row],[Store ID]],tblStores[Store ID],tblStores[Store Name])</f>
        <v>Sandton</v>
      </c>
      <c r="E3347" t="str">
        <f>_xlfn.XLOOKUP(tblSales[[#This Row],[Store ID]],tblStores[Store ID],tblStores[Province])</f>
        <v>Gauteng</v>
      </c>
      <c r="F3347" t="str">
        <f>_xlfn.XLOOKUP(tblSales[[#This Row],[Store ID]],tblStores[Store ID],tblStores[Manager])</f>
        <v>Karen White</v>
      </c>
      <c r="G3347" t="str">
        <f>_xlfn.XLOOKUP(tblSales[[#This Row],[Category ID]],tblCategories[Category ID],tblCategories[Category])</f>
        <v>Kids</v>
      </c>
      <c r="H3347">
        <v>43260</v>
      </c>
      <c r="I3347">
        <v>45574</v>
      </c>
      <c r="J3347">
        <v>84</v>
      </c>
      <c r="K3347">
        <f>tblSales[[#This Row],[Sales]]-tblSales[[#This Row],[Budget]]</f>
        <v>-2314</v>
      </c>
      <c r="L3347" s="3">
        <f>(tblSales[[#This Row],[Sales]]-tblSales[[#This Row],[Budget]])/tblSales[[#This Row],[Budget]]</f>
        <v>-5.0774564444639486E-2</v>
      </c>
      <c r="M3347" s="2">
        <f>tblSales[[#This Row],[Sales]]/tblSales[[#This Row],[Transactions]]</f>
        <v>515</v>
      </c>
    </row>
    <row r="3348" spans="1:13" x14ac:dyDescent="0.25">
      <c r="A3348" s="1">
        <v>46190</v>
      </c>
      <c r="B3348" t="s">
        <v>15</v>
      </c>
      <c r="C3348" t="s">
        <v>7</v>
      </c>
      <c r="D3348" t="str">
        <f>_xlfn.XLOOKUP(tblSales[[#This Row],[Store ID]],tblStores[Store ID],tblStores[Store Name])</f>
        <v>Rosebank</v>
      </c>
      <c r="E3348" t="str">
        <f>_xlfn.XLOOKUP(tblSales[[#This Row],[Store ID]],tblStores[Store ID],tblStores[Province])</f>
        <v>Gauteng</v>
      </c>
      <c r="F3348" t="str">
        <f>_xlfn.XLOOKUP(tblSales[[#This Row],[Store ID]],tblStores[Store ID],tblStores[Manager])</f>
        <v>James Taylor</v>
      </c>
      <c r="G3348" t="str">
        <f>_xlfn.XLOOKUP(tblSales[[#This Row],[Category ID]],tblCategories[Category ID],tblCategories[Category])</f>
        <v>Menswear</v>
      </c>
      <c r="H3348">
        <v>41040</v>
      </c>
      <c r="I3348">
        <v>46146</v>
      </c>
      <c r="J3348">
        <v>120</v>
      </c>
      <c r="K3348">
        <f>tblSales[[#This Row],[Sales]]-tblSales[[#This Row],[Budget]]</f>
        <v>-5106</v>
      </c>
      <c r="L3348" s="3">
        <f>(tblSales[[#This Row],[Sales]]-tblSales[[#This Row],[Budget]])/tblSales[[#This Row],[Budget]]</f>
        <v>-0.11064881029775062</v>
      </c>
      <c r="M3348" s="2">
        <f>tblSales[[#This Row],[Sales]]/tblSales[[#This Row],[Transactions]]</f>
        <v>342</v>
      </c>
    </row>
    <row r="3349" spans="1:13" x14ac:dyDescent="0.25">
      <c r="A3349" s="1">
        <v>46190</v>
      </c>
      <c r="B3349" t="s">
        <v>16</v>
      </c>
      <c r="C3349" t="s">
        <v>9</v>
      </c>
      <c r="D3349" t="str">
        <f>_xlfn.XLOOKUP(tblSales[[#This Row],[Store ID]],tblStores[Store ID],tblStores[Store Name])</f>
        <v>Pretoria</v>
      </c>
      <c r="E3349" t="str">
        <f>_xlfn.XLOOKUP(tblSales[[#This Row],[Store ID]],tblStores[Store ID],tblStores[Province])</f>
        <v>Gauteng</v>
      </c>
      <c r="F3349" t="str">
        <f>_xlfn.XLOOKUP(tblSales[[#This Row],[Store ID]],tblStores[Store ID],tblStores[Manager])</f>
        <v>Susan Clark</v>
      </c>
      <c r="G3349" t="str">
        <f>_xlfn.XLOOKUP(tblSales[[#This Row],[Category ID]],tblCategories[Category ID],tblCategories[Category])</f>
        <v>Ladieswear</v>
      </c>
      <c r="H3349">
        <v>67895</v>
      </c>
      <c r="I3349">
        <v>69869</v>
      </c>
      <c r="J3349">
        <v>185</v>
      </c>
      <c r="K3349">
        <f>tblSales[[#This Row],[Sales]]-tblSales[[#This Row],[Budget]]</f>
        <v>-1974</v>
      </c>
      <c r="L3349" s="3">
        <f>(tblSales[[#This Row],[Sales]]-tblSales[[#This Row],[Budget]])/tblSales[[#This Row],[Budget]]</f>
        <v>-2.8252873234195421E-2</v>
      </c>
      <c r="M3349" s="2">
        <f>tblSales[[#This Row],[Sales]]/tblSales[[#This Row],[Transactions]]</f>
        <v>367</v>
      </c>
    </row>
    <row r="3350" spans="1:13" x14ac:dyDescent="0.25">
      <c r="A3350" s="1">
        <v>46190</v>
      </c>
      <c r="B3350" t="s">
        <v>17</v>
      </c>
      <c r="C3350" t="s">
        <v>11</v>
      </c>
      <c r="D3350" t="str">
        <f>_xlfn.XLOOKUP(tblSales[[#This Row],[Store ID]],tblStores[Store ID],tblStores[Store Name])</f>
        <v>Centurion</v>
      </c>
      <c r="E3350" t="str">
        <f>_xlfn.XLOOKUP(tblSales[[#This Row],[Store ID]],tblStores[Store ID],tblStores[Province])</f>
        <v>Gauteng</v>
      </c>
      <c r="F3350" t="str">
        <f>_xlfn.XLOOKUP(tblSales[[#This Row],[Store ID]],tblStores[Store ID],tblStores[Manager])</f>
        <v>Mark Wilson</v>
      </c>
      <c r="G3350" t="str">
        <f>_xlfn.XLOOKUP(tblSales[[#This Row],[Category ID]],tblCategories[Category ID],tblCategories[Category])</f>
        <v>Footwear</v>
      </c>
      <c r="H3350">
        <v>29751</v>
      </c>
      <c r="I3350">
        <v>27259</v>
      </c>
      <c r="J3350">
        <v>141</v>
      </c>
      <c r="K3350">
        <f>tblSales[[#This Row],[Sales]]-tblSales[[#This Row],[Budget]]</f>
        <v>2492</v>
      </c>
      <c r="L3350" s="3">
        <f>(tblSales[[#This Row],[Sales]]-tblSales[[#This Row],[Budget]])/tblSales[[#This Row],[Budget]]</f>
        <v>9.1419347738361648E-2</v>
      </c>
      <c r="M3350" s="2">
        <f>tblSales[[#This Row],[Sales]]/tblSales[[#This Row],[Transactions]]</f>
        <v>211</v>
      </c>
    </row>
    <row r="3351" spans="1:13" x14ac:dyDescent="0.25">
      <c r="A3351" s="1">
        <v>46190</v>
      </c>
      <c r="B3351" t="s">
        <v>18</v>
      </c>
      <c r="C3351" t="s">
        <v>19</v>
      </c>
      <c r="D3351" t="str">
        <f>_xlfn.XLOOKUP(tblSales[[#This Row],[Store ID]],tblStores[Store ID],tblStores[Store Name])</f>
        <v>East Rand</v>
      </c>
      <c r="E3351" t="str">
        <f>_xlfn.XLOOKUP(tblSales[[#This Row],[Store ID]],tblStores[Store ID],tblStores[Province])</f>
        <v>Gauteng</v>
      </c>
      <c r="F3351" t="str">
        <f>_xlfn.XLOOKUP(tblSales[[#This Row],[Store ID]],tblStores[Store ID],tblStores[Manager])</f>
        <v>Lisa Young</v>
      </c>
      <c r="G3351" t="str">
        <f>_xlfn.XLOOKUP(tblSales[[#This Row],[Category ID]],tblCategories[Category ID],tblCategories[Category])</f>
        <v>Accessories</v>
      </c>
      <c r="H3351">
        <v>22752</v>
      </c>
      <c r="I3351">
        <v>20954</v>
      </c>
      <c r="J3351">
        <v>72</v>
      </c>
      <c r="K3351">
        <f>tblSales[[#This Row],[Sales]]-tblSales[[#This Row],[Budget]]</f>
        <v>1798</v>
      </c>
      <c r="L3351" s="3">
        <f>(tblSales[[#This Row],[Sales]]-tblSales[[#This Row],[Budget]])/tblSales[[#This Row],[Budget]]</f>
        <v>8.5807005822277363E-2</v>
      </c>
      <c r="M3351" s="2">
        <f>tblSales[[#This Row],[Sales]]/tblSales[[#This Row],[Transactions]]</f>
        <v>316</v>
      </c>
    </row>
    <row r="3352" spans="1:13" x14ac:dyDescent="0.25">
      <c r="A3352" s="1">
        <v>46190</v>
      </c>
      <c r="B3352" t="s">
        <v>20</v>
      </c>
      <c r="C3352" t="s">
        <v>11</v>
      </c>
      <c r="D3352" t="str">
        <f>_xlfn.XLOOKUP(tblSales[[#This Row],[Store ID]],tblStores[Store ID],tblStores[Store Name])</f>
        <v>Cape Town CBD</v>
      </c>
      <c r="E3352" t="str">
        <f>_xlfn.XLOOKUP(tblSales[[#This Row],[Store ID]],tblStores[Store ID],tblStores[Province])</f>
        <v>Western Cape</v>
      </c>
      <c r="F3352" t="str">
        <f>_xlfn.XLOOKUP(tblSales[[#This Row],[Store ID]],tblStores[Store ID],tblStores[Manager])</f>
        <v>Brian Hall</v>
      </c>
      <c r="G3352" t="str">
        <f>_xlfn.XLOOKUP(tblSales[[#This Row],[Category ID]],tblCategories[Category ID],tblCategories[Category])</f>
        <v>Footwear</v>
      </c>
      <c r="H3352">
        <v>14766</v>
      </c>
      <c r="I3352">
        <v>15535</v>
      </c>
      <c r="J3352">
        <v>46</v>
      </c>
      <c r="K3352">
        <f>tblSales[[#This Row],[Sales]]-tblSales[[#This Row],[Budget]]</f>
        <v>-769</v>
      </c>
      <c r="L3352" s="3">
        <f>(tblSales[[#This Row],[Sales]]-tblSales[[#This Row],[Budget]])/tblSales[[#This Row],[Budget]]</f>
        <v>-4.9501126488574188E-2</v>
      </c>
      <c r="M3352" s="2">
        <f>tblSales[[#This Row],[Sales]]/tblSales[[#This Row],[Transactions]]</f>
        <v>321</v>
      </c>
    </row>
    <row r="3353" spans="1:13" x14ac:dyDescent="0.25">
      <c r="A3353" s="1">
        <v>46190</v>
      </c>
      <c r="B3353" t="s">
        <v>21</v>
      </c>
      <c r="C3353" t="s">
        <v>19</v>
      </c>
      <c r="D3353" t="str">
        <f>_xlfn.XLOOKUP(tblSales[[#This Row],[Store ID]],tblStores[Store ID],tblStores[Store Name])</f>
        <v>Canal Walk</v>
      </c>
      <c r="E3353" t="str">
        <f>_xlfn.XLOOKUP(tblSales[[#This Row],[Store ID]],tblStores[Store ID],tblStores[Province])</f>
        <v>Western Cape</v>
      </c>
      <c r="F3353" t="str">
        <f>_xlfn.XLOOKUP(tblSales[[#This Row],[Store ID]],tblStores[Store ID],tblStores[Manager])</f>
        <v>Megan Scott</v>
      </c>
      <c r="G3353" t="str">
        <f>_xlfn.XLOOKUP(tblSales[[#This Row],[Category ID]],tblCategories[Category ID],tblCategories[Category])</f>
        <v>Accessories</v>
      </c>
      <c r="H3353">
        <v>37252</v>
      </c>
      <c r="I3353">
        <v>39443</v>
      </c>
      <c r="J3353">
        <v>139</v>
      </c>
      <c r="K3353">
        <f>tblSales[[#This Row],[Sales]]-tblSales[[#This Row],[Budget]]</f>
        <v>-2191</v>
      </c>
      <c r="L3353" s="3">
        <f>(tblSales[[#This Row],[Sales]]-tblSales[[#This Row],[Budget]])/tblSales[[#This Row],[Budget]]</f>
        <v>-5.5548513044139644E-2</v>
      </c>
      <c r="M3353" s="2">
        <f>tblSales[[#This Row],[Sales]]/tblSales[[#This Row],[Transactions]]</f>
        <v>268</v>
      </c>
    </row>
    <row r="3354" spans="1:13" x14ac:dyDescent="0.25">
      <c r="A3354" s="1">
        <v>46190</v>
      </c>
      <c r="B3354" t="s">
        <v>23</v>
      </c>
      <c r="C3354" t="s">
        <v>7</v>
      </c>
      <c r="D3354" t="str">
        <f>_xlfn.XLOOKUP(tblSales[[#This Row],[Store ID]],tblStores[Store ID],tblStores[Store Name])</f>
        <v>Stellenbosch</v>
      </c>
      <c r="E3354" t="str">
        <f>_xlfn.XLOOKUP(tblSales[[#This Row],[Store ID]],tblStores[Store ID],tblStores[Province])</f>
        <v>Western Cape</v>
      </c>
      <c r="F3354" t="str">
        <f>_xlfn.XLOOKUP(tblSales[[#This Row],[Store ID]],tblStores[Store ID],tblStores[Manager])</f>
        <v>Jason King</v>
      </c>
      <c r="G3354" t="str">
        <f>_xlfn.XLOOKUP(tblSales[[#This Row],[Category ID]],tblCategories[Category ID],tblCategories[Category])</f>
        <v>Menswear</v>
      </c>
      <c r="H3354">
        <v>36480</v>
      </c>
      <c r="I3354">
        <v>37944</v>
      </c>
      <c r="J3354">
        <v>114</v>
      </c>
      <c r="K3354">
        <f>tblSales[[#This Row],[Sales]]-tblSales[[#This Row],[Budget]]</f>
        <v>-1464</v>
      </c>
      <c r="L3354" s="3">
        <f>(tblSales[[#This Row],[Sales]]-tblSales[[#This Row],[Budget]])/tblSales[[#This Row],[Budget]]</f>
        <v>-3.8583175205566096E-2</v>
      </c>
      <c r="M3354" s="2">
        <f>tblSales[[#This Row],[Sales]]/tblSales[[#This Row],[Transactions]]</f>
        <v>320</v>
      </c>
    </row>
    <row r="3355" spans="1:13" x14ac:dyDescent="0.25">
      <c r="A3355" s="1">
        <v>46190</v>
      </c>
      <c r="B3355" t="s">
        <v>24</v>
      </c>
      <c r="C3355" t="s">
        <v>7</v>
      </c>
      <c r="D3355" t="str">
        <f>_xlfn.XLOOKUP(tblSales[[#This Row],[Store ID]],tblStores[Store ID],tblStores[Store Name])</f>
        <v>George</v>
      </c>
      <c r="E3355" t="str">
        <f>_xlfn.XLOOKUP(tblSales[[#This Row],[Store ID]],tblStores[Store ID],tblStores[Province])</f>
        <v>Western Cape</v>
      </c>
      <c r="F3355" t="str">
        <f>_xlfn.XLOOKUP(tblSales[[#This Row],[Store ID]],tblStores[Store ID],tblStores[Manager])</f>
        <v>Chloe Hill</v>
      </c>
      <c r="G3355" t="str">
        <f>_xlfn.XLOOKUP(tblSales[[#This Row],[Category ID]],tblCategories[Category ID],tblCategories[Category])</f>
        <v>Menswear</v>
      </c>
      <c r="H3355">
        <v>50996</v>
      </c>
      <c r="I3355">
        <v>53140</v>
      </c>
      <c r="J3355">
        <v>122</v>
      </c>
      <c r="K3355">
        <f>tblSales[[#This Row],[Sales]]-tblSales[[#This Row],[Budget]]</f>
        <v>-2144</v>
      </c>
      <c r="L3355" s="3">
        <f>(tblSales[[#This Row],[Sales]]-tblSales[[#This Row],[Budget]])/tblSales[[#This Row],[Budget]]</f>
        <v>-4.0346255175009407E-2</v>
      </c>
      <c r="M3355" s="2">
        <f>tblSales[[#This Row],[Sales]]/tblSales[[#This Row],[Transactions]]</f>
        <v>418</v>
      </c>
    </row>
    <row r="3356" spans="1:13" x14ac:dyDescent="0.25">
      <c r="A3356" s="1">
        <v>46190</v>
      </c>
      <c r="B3356" t="s">
        <v>25</v>
      </c>
      <c r="C3356" t="s">
        <v>7</v>
      </c>
      <c r="D3356" t="str">
        <f>_xlfn.XLOOKUP(tblSales[[#This Row],[Store ID]],tblStores[Store ID],tblStores[Store Name])</f>
        <v>Paarl</v>
      </c>
      <c r="E3356" t="str">
        <f>_xlfn.XLOOKUP(tblSales[[#This Row],[Store ID]],tblStores[Store ID],tblStores[Province])</f>
        <v>Western Cape</v>
      </c>
      <c r="F3356" t="str">
        <f>_xlfn.XLOOKUP(tblSales[[#This Row],[Store ID]],tblStores[Store ID],tblStores[Manager])</f>
        <v>Andrew Lee</v>
      </c>
      <c r="G3356" t="str">
        <f>_xlfn.XLOOKUP(tblSales[[#This Row],[Category ID]],tblCategories[Category ID],tblCategories[Category])</f>
        <v>Menswear</v>
      </c>
      <c r="H3356">
        <v>74643</v>
      </c>
      <c r="I3356">
        <v>68823</v>
      </c>
      <c r="J3356">
        <v>179</v>
      </c>
      <c r="K3356">
        <f>tblSales[[#This Row],[Sales]]-tblSales[[#This Row],[Budget]]</f>
        <v>5820</v>
      </c>
      <c r="L3356" s="3">
        <f>(tblSales[[#This Row],[Sales]]-tblSales[[#This Row],[Budget]])/tblSales[[#This Row],[Budget]]</f>
        <v>8.4564753062203041E-2</v>
      </c>
      <c r="M3356" s="2">
        <f>tblSales[[#This Row],[Sales]]/tblSales[[#This Row],[Transactions]]</f>
        <v>417</v>
      </c>
    </row>
    <row r="3357" spans="1:13" x14ac:dyDescent="0.25">
      <c r="A3357" s="1">
        <v>46190</v>
      </c>
      <c r="B3357" t="s">
        <v>26</v>
      </c>
      <c r="C3357" t="s">
        <v>7</v>
      </c>
      <c r="D3357" t="str">
        <f>_xlfn.XLOOKUP(tblSales[[#This Row],[Store ID]],tblStores[Store ID],tblStores[Store Name])</f>
        <v>Gqeberha</v>
      </c>
      <c r="E3357" t="str">
        <f>_xlfn.XLOOKUP(tblSales[[#This Row],[Store ID]],tblStores[Store ID],tblStores[Province])</f>
        <v>Eastern Cape</v>
      </c>
      <c r="F3357" t="str">
        <f>_xlfn.XLOOKUP(tblSales[[#This Row],[Store ID]],tblStores[Store ID],tblStores[Manager])</f>
        <v>Emma Baker</v>
      </c>
      <c r="G3357" t="str">
        <f>_xlfn.XLOOKUP(tblSales[[#This Row],[Category ID]],tblCategories[Category ID],tblCategories[Category])</f>
        <v>Menswear</v>
      </c>
      <c r="H3357">
        <v>18144</v>
      </c>
      <c r="I3357">
        <v>17171</v>
      </c>
      <c r="J3357">
        <v>81</v>
      </c>
      <c r="K3357">
        <f>tblSales[[#This Row],[Sales]]-tblSales[[#This Row],[Budget]]</f>
        <v>973</v>
      </c>
      <c r="L3357" s="3">
        <f>(tblSales[[#This Row],[Sales]]-tblSales[[#This Row],[Budget]])/tblSales[[#This Row],[Budget]]</f>
        <v>5.6665307786384018E-2</v>
      </c>
      <c r="M3357" s="2">
        <f>tblSales[[#This Row],[Sales]]/tblSales[[#This Row],[Transactions]]</f>
        <v>224</v>
      </c>
    </row>
    <row r="3358" spans="1:13" x14ac:dyDescent="0.25">
      <c r="A3358" s="1">
        <v>46190</v>
      </c>
      <c r="B3358" t="s">
        <v>27</v>
      </c>
      <c r="C3358" t="s">
        <v>19</v>
      </c>
      <c r="D3358" t="str">
        <f>_xlfn.XLOOKUP(tblSales[[#This Row],[Store ID]],tblStores[Store ID],tblStores[Store Name])</f>
        <v>East London</v>
      </c>
      <c r="E3358" t="str">
        <f>_xlfn.XLOOKUP(tblSales[[#This Row],[Store ID]],tblStores[Store ID],tblStores[Province])</f>
        <v>Eastern Cape</v>
      </c>
      <c r="F3358" t="str">
        <f>_xlfn.XLOOKUP(tblSales[[#This Row],[Store ID]],tblStores[Store ID],tblStores[Manager])</f>
        <v>Daniel Evans</v>
      </c>
      <c r="G3358" t="str">
        <f>_xlfn.XLOOKUP(tblSales[[#This Row],[Category ID]],tblCategories[Category ID],tblCategories[Category])</f>
        <v>Accessories</v>
      </c>
      <c r="H3358">
        <v>37050</v>
      </c>
      <c r="I3358">
        <v>40446</v>
      </c>
      <c r="J3358">
        <v>195</v>
      </c>
      <c r="K3358">
        <f>tblSales[[#This Row],[Sales]]-tblSales[[#This Row],[Budget]]</f>
        <v>-3396</v>
      </c>
      <c r="L3358" s="3">
        <f>(tblSales[[#This Row],[Sales]]-tblSales[[#This Row],[Budget]])/tblSales[[#This Row],[Budget]]</f>
        <v>-8.3963803589971811E-2</v>
      </c>
      <c r="M3358" s="2">
        <f>tblSales[[#This Row],[Sales]]/tblSales[[#This Row],[Transactions]]</f>
        <v>190</v>
      </c>
    </row>
    <row r="3359" spans="1:13" x14ac:dyDescent="0.25">
      <c r="A3359" s="1">
        <v>46190</v>
      </c>
      <c r="B3359" t="s">
        <v>28</v>
      </c>
      <c r="C3359" t="s">
        <v>7</v>
      </c>
      <c r="D3359" t="str">
        <f>_xlfn.XLOOKUP(tblSales[[#This Row],[Store ID]],tblStores[Store ID],tblStores[Store Name])</f>
        <v>Bloemfontein</v>
      </c>
      <c r="E3359" t="str">
        <f>_xlfn.XLOOKUP(tblSales[[#This Row],[Store ID]],tblStores[Store ID],tblStores[Province])</f>
        <v>Free State</v>
      </c>
      <c r="F3359" t="str">
        <f>_xlfn.XLOOKUP(tblSales[[#This Row],[Store ID]],tblStores[Store ID],tblStores[Manager])</f>
        <v>Rachel Moore</v>
      </c>
      <c r="G3359" t="str">
        <f>_xlfn.XLOOKUP(tblSales[[#This Row],[Category ID]],tblCategories[Category ID],tblCategories[Category])</f>
        <v>Menswear</v>
      </c>
      <c r="H3359">
        <v>45540</v>
      </c>
      <c r="I3359">
        <v>45250</v>
      </c>
      <c r="J3359">
        <v>90</v>
      </c>
      <c r="K3359">
        <f>tblSales[[#This Row],[Sales]]-tblSales[[#This Row],[Budget]]</f>
        <v>290</v>
      </c>
      <c r="L3359" s="3">
        <f>(tblSales[[#This Row],[Sales]]-tblSales[[#This Row],[Budget]])/tblSales[[#This Row],[Budget]]</f>
        <v>6.4088397790055245E-3</v>
      </c>
      <c r="M3359" s="2">
        <f>tblSales[[#This Row],[Sales]]/tblSales[[#This Row],[Transactions]]</f>
        <v>506</v>
      </c>
    </row>
    <row r="3360" spans="1:13" x14ac:dyDescent="0.25">
      <c r="A3360" s="1">
        <v>46190</v>
      </c>
      <c r="B3360" t="s">
        <v>29</v>
      </c>
      <c r="C3360" t="s">
        <v>7</v>
      </c>
      <c r="D3360" t="str">
        <f>_xlfn.XLOOKUP(tblSales[[#This Row],[Store ID]],tblStores[Store ID],tblStores[Store Name])</f>
        <v>Polokwane</v>
      </c>
      <c r="E3360" t="str">
        <f>_xlfn.XLOOKUP(tblSales[[#This Row],[Store ID]],tblStores[Store ID],tblStores[Province])</f>
        <v>Limpopo</v>
      </c>
      <c r="F3360" t="str">
        <f>_xlfn.XLOOKUP(tblSales[[#This Row],[Store ID]],tblStores[Store ID],tblStores[Manager])</f>
        <v>Kevin Harris</v>
      </c>
      <c r="G3360" t="str">
        <f>_xlfn.XLOOKUP(tblSales[[#This Row],[Category ID]],tblCategories[Category ID],tblCategories[Category])</f>
        <v>Menswear</v>
      </c>
      <c r="H3360">
        <v>67320</v>
      </c>
      <c r="I3360">
        <v>65767</v>
      </c>
      <c r="J3360">
        <v>220</v>
      </c>
      <c r="K3360">
        <f>tblSales[[#This Row],[Sales]]-tblSales[[#This Row],[Budget]]</f>
        <v>1553</v>
      </c>
      <c r="L3360" s="3">
        <f>(tblSales[[#This Row],[Sales]]-tblSales[[#This Row],[Budget]])/tblSales[[#This Row],[Budget]]</f>
        <v>2.361366642845196E-2</v>
      </c>
      <c r="M3360" s="2">
        <f>tblSales[[#This Row],[Sales]]/tblSales[[#This Row],[Transactions]]</f>
        <v>306</v>
      </c>
    </row>
    <row r="3361" spans="1:13" x14ac:dyDescent="0.25">
      <c r="A3361" s="1">
        <v>46190</v>
      </c>
      <c r="B3361" t="s">
        <v>30</v>
      </c>
      <c r="C3361" t="s">
        <v>9</v>
      </c>
      <c r="D3361" t="str">
        <f>_xlfn.XLOOKUP(tblSales[[#This Row],[Store ID]],tblStores[Store ID],tblStores[Store Name])</f>
        <v>Nelspruit</v>
      </c>
      <c r="E3361" t="str">
        <f>_xlfn.XLOOKUP(tblSales[[#This Row],[Store ID]],tblStores[Store ID],tblStores[Province])</f>
        <v>Mpumalanga</v>
      </c>
      <c r="F3361" t="str">
        <f>_xlfn.XLOOKUP(tblSales[[#This Row],[Store ID]],tblStores[Store ID],tblStores[Manager])</f>
        <v>Olivia Turner</v>
      </c>
      <c r="G3361" t="str">
        <f>_xlfn.XLOOKUP(tblSales[[#This Row],[Category ID]],tblCategories[Category ID],tblCategories[Category])</f>
        <v>Ladieswear</v>
      </c>
      <c r="H3361">
        <v>22984</v>
      </c>
      <c r="I3361">
        <v>20992</v>
      </c>
      <c r="J3361">
        <v>68</v>
      </c>
      <c r="K3361">
        <f>tblSales[[#This Row],[Sales]]-tblSales[[#This Row],[Budget]]</f>
        <v>1992</v>
      </c>
      <c r="L3361" s="3">
        <f>(tblSales[[#This Row],[Sales]]-tblSales[[#This Row],[Budget]])/tblSales[[#This Row],[Budget]]</f>
        <v>9.489329268292683E-2</v>
      </c>
      <c r="M3361" s="2">
        <f>tblSales[[#This Row],[Sales]]/tblSales[[#This Row],[Transactions]]</f>
        <v>338</v>
      </c>
    </row>
    <row r="3362" spans="1:13" x14ac:dyDescent="0.25">
      <c r="A3362" s="1">
        <v>46191</v>
      </c>
      <c r="B3362" t="s">
        <v>6</v>
      </c>
      <c r="C3362" t="s">
        <v>22</v>
      </c>
      <c r="D3362" t="str">
        <f>_xlfn.XLOOKUP(tblSales[[#This Row],[Store ID]],tblStores[Store ID],tblStores[Store Name])</f>
        <v>Durban CBD</v>
      </c>
      <c r="E3362" t="str">
        <f>_xlfn.XLOOKUP(tblSales[[#This Row],[Store ID]],tblStores[Store ID],tblStores[Province])</f>
        <v>KZN</v>
      </c>
      <c r="F3362" t="str">
        <f>_xlfn.XLOOKUP(tblSales[[#This Row],[Store ID]],tblStores[Store ID],tblStores[Manager])</f>
        <v>Sarah Adams</v>
      </c>
      <c r="G3362" t="str">
        <f>_xlfn.XLOOKUP(tblSales[[#This Row],[Category ID]],tblCategories[Category ID],tblCategories[Category])</f>
        <v>Kids</v>
      </c>
      <c r="H3362">
        <v>25760</v>
      </c>
      <c r="I3362">
        <v>24088</v>
      </c>
      <c r="J3362">
        <v>80</v>
      </c>
      <c r="K3362">
        <f>tblSales[[#This Row],[Sales]]-tblSales[[#This Row],[Budget]]</f>
        <v>1672</v>
      </c>
      <c r="L3362" s="3">
        <f>(tblSales[[#This Row],[Sales]]-tblSales[[#This Row],[Budget]])/tblSales[[#This Row],[Budget]]</f>
        <v>6.9412155430089675E-2</v>
      </c>
      <c r="M3362" s="2">
        <f>tblSales[[#This Row],[Sales]]/tblSales[[#This Row],[Transactions]]</f>
        <v>322</v>
      </c>
    </row>
    <row r="3363" spans="1:13" x14ac:dyDescent="0.25">
      <c r="A3363" s="1">
        <v>46191</v>
      </c>
      <c r="B3363" t="s">
        <v>8</v>
      </c>
      <c r="C3363" t="s">
        <v>22</v>
      </c>
      <c r="D3363" t="str">
        <f>_xlfn.XLOOKUP(tblSales[[#This Row],[Store ID]],tblStores[Store ID],tblStores[Store Name])</f>
        <v>Gateway</v>
      </c>
      <c r="E3363" t="str">
        <f>_xlfn.XLOOKUP(tblSales[[#This Row],[Store ID]],tblStores[Store ID],tblStores[Province])</f>
        <v>KZN</v>
      </c>
      <c r="F3363" t="str">
        <f>_xlfn.XLOOKUP(tblSales[[#This Row],[Store ID]],tblStores[Store ID],tblStores[Manager])</f>
        <v>Michael Jones</v>
      </c>
      <c r="G3363" t="str">
        <f>_xlfn.XLOOKUP(tblSales[[#This Row],[Category ID]],tblCategories[Category ID],tblCategories[Category])</f>
        <v>Kids</v>
      </c>
      <c r="H3363">
        <v>41300</v>
      </c>
      <c r="I3363">
        <v>45794</v>
      </c>
      <c r="J3363">
        <v>140</v>
      </c>
      <c r="K3363">
        <f>tblSales[[#This Row],[Sales]]-tblSales[[#This Row],[Budget]]</f>
        <v>-4494</v>
      </c>
      <c r="L3363" s="3">
        <f>(tblSales[[#This Row],[Sales]]-tblSales[[#This Row],[Budget]])/tblSales[[#This Row],[Budget]]</f>
        <v>-9.8135126872516049E-2</v>
      </c>
      <c r="M3363" s="2">
        <f>tblSales[[#This Row],[Sales]]/tblSales[[#This Row],[Transactions]]</f>
        <v>295</v>
      </c>
    </row>
    <row r="3364" spans="1:13" x14ac:dyDescent="0.25">
      <c r="A3364" s="1">
        <v>46191</v>
      </c>
      <c r="B3364" t="s">
        <v>10</v>
      </c>
      <c r="C3364" t="s">
        <v>22</v>
      </c>
      <c r="D3364" t="str">
        <f>_xlfn.XLOOKUP(tblSales[[#This Row],[Store ID]],tblStores[Store ID],tblStores[Store Name])</f>
        <v>Ballito</v>
      </c>
      <c r="E3364" t="str">
        <f>_xlfn.XLOOKUP(tblSales[[#This Row],[Store ID]],tblStores[Store ID],tblStores[Province])</f>
        <v>KZN</v>
      </c>
      <c r="F3364" t="str">
        <f>_xlfn.XLOOKUP(tblSales[[#This Row],[Store ID]],tblStores[Store ID],tblStores[Manager])</f>
        <v>Linda Smith</v>
      </c>
      <c r="G3364" t="str">
        <f>_xlfn.XLOOKUP(tblSales[[#This Row],[Category ID]],tblCategories[Category ID],tblCategories[Category])</f>
        <v>Kids</v>
      </c>
      <c r="H3364">
        <v>23220</v>
      </c>
      <c r="I3364">
        <v>26582</v>
      </c>
      <c r="J3364">
        <v>86</v>
      </c>
      <c r="K3364">
        <f>tblSales[[#This Row],[Sales]]-tblSales[[#This Row],[Budget]]</f>
        <v>-3362</v>
      </c>
      <c r="L3364" s="3">
        <f>(tblSales[[#This Row],[Sales]]-tblSales[[#This Row],[Budget]])/tblSales[[#This Row],[Budget]]</f>
        <v>-0.12647656308780378</v>
      </c>
      <c r="M3364" s="2">
        <f>tblSales[[#This Row],[Sales]]/tblSales[[#This Row],[Transactions]]</f>
        <v>270</v>
      </c>
    </row>
    <row r="3365" spans="1:13" x14ac:dyDescent="0.25">
      <c r="A3365" s="1">
        <v>46191</v>
      </c>
      <c r="B3365" t="s">
        <v>12</v>
      </c>
      <c r="C3365" t="s">
        <v>22</v>
      </c>
      <c r="D3365" t="str">
        <f>_xlfn.XLOOKUP(tblSales[[#This Row],[Store ID]],tblStores[Store ID],tblStores[Store Name])</f>
        <v>Pietermaritzburg</v>
      </c>
      <c r="E3365" t="str">
        <f>_xlfn.XLOOKUP(tblSales[[#This Row],[Store ID]],tblStores[Store ID],tblStores[Province])</f>
        <v>KZN</v>
      </c>
      <c r="F3365" t="str">
        <f>_xlfn.XLOOKUP(tblSales[[#This Row],[Store ID]],tblStores[Store ID],tblStores[Manager])</f>
        <v>Peter Brown</v>
      </c>
      <c r="G3365" t="str">
        <f>_xlfn.XLOOKUP(tblSales[[#This Row],[Category ID]],tblCategories[Category ID],tblCategories[Category])</f>
        <v>Kids</v>
      </c>
      <c r="H3365">
        <v>86265</v>
      </c>
      <c r="I3365">
        <v>83343</v>
      </c>
      <c r="J3365">
        <v>213</v>
      </c>
      <c r="K3365">
        <f>tblSales[[#This Row],[Sales]]-tblSales[[#This Row],[Budget]]</f>
        <v>2922</v>
      </c>
      <c r="L3365" s="3">
        <f>(tblSales[[#This Row],[Sales]]-tblSales[[#This Row],[Budget]])/tblSales[[#This Row],[Budget]]</f>
        <v>3.5059933047766459E-2</v>
      </c>
      <c r="M3365" s="2">
        <f>tblSales[[#This Row],[Sales]]/tblSales[[#This Row],[Transactions]]</f>
        <v>405</v>
      </c>
    </row>
    <row r="3366" spans="1:13" x14ac:dyDescent="0.25">
      <c r="A3366" s="1">
        <v>46191</v>
      </c>
      <c r="B3366" t="s">
        <v>13</v>
      </c>
      <c r="C3366" t="s">
        <v>11</v>
      </c>
      <c r="D3366" t="str">
        <f>_xlfn.XLOOKUP(tblSales[[#This Row],[Store ID]],tblStores[Store ID],tblStores[Store Name])</f>
        <v>Richards Bay</v>
      </c>
      <c r="E3366" t="str">
        <f>_xlfn.XLOOKUP(tblSales[[#This Row],[Store ID]],tblStores[Store ID],tblStores[Province])</f>
        <v>KZN</v>
      </c>
      <c r="F3366" t="str">
        <f>_xlfn.XLOOKUP(tblSales[[#This Row],[Store ID]],tblStores[Store ID],tblStores[Manager])</f>
        <v>David Green</v>
      </c>
      <c r="G3366" t="str">
        <f>_xlfn.XLOOKUP(tblSales[[#This Row],[Category ID]],tblCategories[Category ID],tblCategories[Category])</f>
        <v>Footwear</v>
      </c>
      <c r="H3366">
        <v>59500</v>
      </c>
      <c r="I3366">
        <v>58958</v>
      </c>
      <c r="J3366">
        <v>125</v>
      </c>
      <c r="K3366">
        <f>tblSales[[#This Row],[Sales]]-tblSales[[#This Row],[Budget]]</f>
        <v>542</v>
      </c>
      <c r="L3366" s="3">
        <f>(tblSales[[#This Row],[Sales]]-tblSales[[#This Row],[Budget]])/tblSales[[#This Row],[Budget]]</f>
        <v>9.1929848366633874E-3</v>
      </c>
      <c r="M3366" s="2">
        <f>tblSales[[#This Row],[Sales]]/tblSales[[#This Row],[Transactions]]</f>
        <v>476</v>
      </c>
    </row>
    <row r="3367" spans="1:13" x14ac:dyDescent="0.25">
      <c r="A3367" s="1">
        <v>46191</v>
      </c>
      <c r="B3367" t="s">
        <v>14</v>
      </c>
      <c r="C3367" t="s">
        <v>19</v>
      </c>
      <c r="D3367" t="str">
        <f>_xlfn.XLOOKUP(tblSales[[#This Row],[Store ID]],tblStores[Store ID],tblStores[Store Name])</f>
        <v>Sandton</v>
      </c>
      <c r="E3367" t="str">
        <f>_xlfn.XLOOKUP(tblSales[[#This Row],[Store ID]],tblStores[Store ID],tblStores[Province])</f>
        <v>Gauteng</v>
      </c>
      <c r="F3367" t="str">
        <f>_xlfn.XLOOKUP(tblSales[[#This Row],[Store ID]],tblStores[Store ID],tblStores[Manager])</f>
        <v>Karen White</v>
      </c>
      <c r="G3367" t="str">
        <f>_xlfn.XLOOKUP(tblSales[[#This Row],[Category ID]],tblCategories[Category ID],tblCategories[Category])</f>
        <v>Accessories</v>
      </c>
      <c r="H3367">
        <v>75450</v>
      </c>
      <c r="I3367">
        <v>80864</v>
      </c>
      <c r="J3367">
        <v>150</v>
      </c>
      <c r="K3367">
        <f>tblSales[[#This Row],[Sales]]-tblSales[[#This Row],[Budget]]</f>
        <v>-5414</v>
      </c>
      <c r="L3367" s="3">
        <f>(tblSales[[#This Row],[Sales]]-tblSales[[#This Row],[Budget]])/tblSales[[#This Row],[Budget]]</f>
        <v>-6.6951919271863863E-2</v>
      </c>
      <c r="M3367" s="2">
        <f>tblSales[[#This Row],[Sales]]/tblSales[[#This Row],[Transactions]]</f>
        <v>503</v>
      </c>
    </row>
    <row r="3368" spans="1:13" x14ac:dyDescent="0.25">
      <c r="A3368" s="1">
        <v>46191</v>
      </c>
      <c r="B3368" t="s">
        <v>15</v>
      </c>
      <c r="C3368" t="s">
        <v>9</v>
      </c>
      <c r="D3368" t="str">
        <f>_xlfn.XLOOKUP(tblSales[[#This Row],[Store ID]],tblStores[Store ID],tblStores[Store Name])</f>
        <v>Rosebank</v>
      </c>
      <c r="E3368" t="str">
        <f>_xlfn.XLOOKUP(tblSales[[#This Row],[Store ID]],tblStores[Store ID],tblStores[Province])</f>
        <v>Gauteng</v>
      </c>
      <c r="F3368" t="str">
        <f>_xlfn.XLOOKUP(tblSales[[#This Row],[Store ID]],tblStores[Store ID],tblStores[Manager])</f>
        <v>James Taylor</v>
      </c>
      <c r="G3368" t="str">
        <f>_xlfn.XLOOKUP(tblSales[[#This Row],[Category ID]],tblCategories[Category ID],tblCategories[Category])</f>
        <v>Ladieswear</v>
      </c>
      <c r="H3368">
        <v>21076</v>
      </c>
      <c r="I3368">
        <v>21000</v>
      </c>
      <c r="J3368">
        <v>44</v>
      </c>
      <c r="K3368">
        <f>tblSales[[#This Row],[Sales]]-tblSales[[#This Row],[Budget]]</f>
        <v>76</v>
      </c>
      <c r="L3368" s="3">
        <f>(tblSales[[#This Row],[Sales]]-tblSales[[#This Row],[Budget]])/tblSales[[#This Row],[Budget]]</f>
        <v>3.619047619047619E-3</v>
      </c>
      <c r="M3368" s="2">
        <f>tblSales[[#This Row],[Sales]]/tblSales[[#This Row],[Transactions]]</f>
        <v>479</v>
      </c>
    </row>
    <row r="3369" spans="1:13" x14ac:dyDescent="0.25">
      <c r="A3369" s="1">
        <v>46191</v>
      </c>
      <c r="B3369" t="s">
        <v>16</v>
      </c>
      <c r="C3369" t="s">
        <v>19</v>
      </c>
      <c r="D3369" t="str">
        <f>_xlfn.XLOOKUP(tblSales[[#This Row],[Store ID]],tblStores[Store ID],tblStores[Store Name])</f>
        <v>Pretoria</v>
      </c>
      <c r="E3369" t="str">
        <f>_xlfn.XLOOKUP(tblSales[[#This Row],[Store ID]],tblStores[Store ID],tblStores[Province])</f>
        <v>Gauteng</v>
      </c>
      <c r="F3369" t="str">
        <f>_xlfn.XLOOKUP(tblSales[[#This Row],[Store ID]],tblStores[Store ID],tblStores[Manager])</f>
        <v>Susan Clark</v>
      </c>
      <c r="G3369" t="str">
        <f>_xlfn.XLOOKUP(tblSales[[#This Row],[Category ID]],tblCategories[Category ID],tblCategories[Category])</f>
        <v>Accessories</v>
      </c>
      <c r="H3369">
        <v>51660</v>
      </c>
      <c r="I3369">
        <v>59328</v>
      </c>
      <c r="J3369">
        <v>180</v>
      </c>
      <c r="K3369">
        <f>tblSales[[#This Row],[Sales]]-tblSales[[#This Row],[Budget]]</f>
        <v>-7668</v>
      </c>
      <c r="L3369" s="3">
        <f>(tblSales[[#This Row],[Sales]]-tblSales[[#This Row],[Budget]])/tblSales[[#This Row],[Budget]]</f>
        <v>-0.12924757281553398</v>
      </c>
      <c r="M3369" s="2">
        <f>tblSales[[#This Row],[Sales]]/tblSales[[#This Row],[Transactions]]</f>
        <v>287</v>
      </c>
    </row>
    <row r="3370" spans="1:13" x14ac:dyDescent="0.25">
      <c r="A3370" s="1">
        <v>46191</v>
      </c>
      <c r="B3370" t="s">
        <v>17</v>
      </c>
      <c r="C3370" t="s">
        <v>11</v>
      </c>
      <c r="D3370" t="str">
        <f>_xlfn.XLOOKUP(tblSales[[#This Row],[Store ID]],tblStores[Store ID],tblStores[Store Name])</f>
        <v>Centurion</v>
      </c>
      <c r="E3370" t="str">
        <f>_xlfn.XLOOKUP(tblSales[[#This Row],[Store ID]],tblStores[Store ID],tblStores[Province])</f>
        <v>Gauteng</v>
      </c>
      <c r="F3370" t="str">
        <f>_xlfn.XLOOKUP(tblSales[[#This Row],[Store ID]],tblStores[Store ID],tblStores[Manager])</f>
        <v>Mark Wilson</v>
      </c>
      <c r="G3370" t="str">
        <f>_xlfn.XLOOKUP(tblSales[[#This Row],[Category ID]],tblCategories[Category ID],tblCategories[Category])</f>
        <v>Footwear</v>
      </c>
      <c r="H3370">
        <v>62730</v>
      </c>
      <c r="I3370">
        <v>69174</v>
      </c>
      <c r="J3370">
        <v>123</v>
      </c>
      <c r="K3370">
        <f>tblSales[[#This Row],[Sales]]-tblSales[[#This Row],[Budget]]</f>
        <v>-6444</v>
      </c>
      <c r="L3370" s="3">
        <f>(tblSales[[#This Row],[Sales]]-tblSales[[#This Row],[Budget]])/tblSales[[#This Row],[Budget]]</f>
        <v>-9.3156388238355453E-2</v>
      </c>
      <c r="M3370" s="2">
        <f>tblSales[[#This Row],[Sales]]/tblSales[[#This Row],[Transactions]]</f>
        <v>510</v>
      </c>
    </row>
    <row r="3371" spans="1:13" x14ac:dyDescent="0.25">
      <c r="A3371" s="1">
        <v>46191</v>
      </c>
      <c r="B3371" t="s">
        <v>18</v>
      </c>
      <c r="C3371" t="s">
        <v>22</v>
      </c>
      <c r="D3371" t="str">
        <f>_xlfn.XLOOKUP(tblSales[[#This Row],[Store ID]],tblStores[Store ID],tblStores[Store Name])</f>
        <v>East Rand</v>
      </c>
      <c r="E3371" t="str">
        <f>_xlfn.XLOOKUP(tblSales[[#This Row],[Store ID]],tblStores[Store ID],tblStores[Province])</f>
        <v>Gauteng</v>
      </c>
      <c r="F3371" t="str">
        <f>_xlfn.XLOOKUP(tblSales[[#This Row],[Store ID]],tblStores[Store ID],tblStores[Manager])</f>
        <v>Lisa Young</v>
      </c>
      <c r="G3371" t="str">
        <f>_xlfn.XLOOKUP(tblSales[[#This Row],[Category ID]],tblCategories[Category ID],tblCategories[Category])</f>
        <v>Kids</v>
      </c>
      <c r="H3371">
        <v>31240</v>
      </c>
      <c r="I3371">
        <v>33580</v>
      </c>
      <c r="J3371">
        <v>88</v>
      </c>
      <c r="K3371">
        <f>tblSales[[#This Row],[Sales]]-tblSales[[#This Row],[Budget]]</f>
        <v>-2340</v>
      </c>
      <c r="L3371" s="3">
        <f>(tblSales[[#This Row],[Sales]]-tblSales[[#This Row],[Budget]])/tblSales[[#This Row],[Budget]]</f>
        <v>-6.968433591423466E-2</v>
      </c>
      <c r="M3371" s="2">
        <f>tblSales[[#This Row],[Sales]]/tblSales[[#This Row],[Transactions]]</f>
        <v>355</v>
      </c>
    </row>
    <row r="3372" spans="1:13" x14ac:dyDescent="0.25">
      <c r="A3372" s="1">
        <v>46191</v>
      </c>
      <c r="B3372" t="s">
        <v>20</v>
      </c>
      <c r="C3372" t="s">
        <v>19</v>
      </c>
      <c r="D3372" t="str">
        <f>_xlfn.XLOOKUP(tblSales[[#This Row],[Store ID]],tblStores[Store ID],tblStores[Store Name])</f>
        <v>Cape Town CBD</v>
      </c>
      <c r="E3372" t="str">
        <f>_xlfn.XLOOKUP(tblSales[[#This Row],[Store ID]],tblStores[Store ID],tblStores[Province])</f>
        <v>Western Cape</v>
      </c>
      <c r="F3372" t="str">
        <f>_xlfn.XLOOKUP(tblSales[[#This Row],[Store ID]],tblStores[Store ID],tblStores[Manager])</f>
        <v>Brian Hall</v>
      </c>
      <c r="G3372" t="str">
        <f>_xlfn.XLOOKUP(tblSales[[#This Row],[Category ID]],tblCategories[Category ID],tblCategories[Category])</f>
        <v>Accessories</v>
      </c>
      <c r="H3372">
        <v>55792</v>
      </c>
      <c r="I3372">
        <v>51478</v>
      </c>
      <c r="J3372">
        <v>176</v>
      </c>
      <c r="K3372">
        <f>tblSales[[#This Row],[Sales]]-tblSales[[#This Row],[Budget]]</f>
        <v>4314</v>
      </c>
      <c r="L3372" s="3">
        <f>(tblSales[[#This Row],[Sales]]-tblSales[[#This Row],[Budget]])/tblSales[[#This Row],[Budget]]</f>
        <v>8.3802789541163214E-2</v>
      </c>
      <c r="M3372" s="2">
        <f>tblSales[[#This Row],[Sales]]/tblSales[[#This Row],[Transactions]]</f>
        <v>317</v>
      </c>
    </row>
    <row r="3373" spans="1:13" x14ac:dyDescent="0.25">
      <c r="A3373" s="1">
        <v>46191</v>
      </c>
      <c r="B3373" t="s">
        <v>21</v>
      </c>
      <c r="C3373" t="s">
        <v>9</v>
      </c>
      <c r="D3373" t="str">
        <f>_xlfn.XLOOKUP(tblSales[[#This Row],[Store ID]],tblStores[Store ID],tblStores[Store Name])</f>
        <v>Canal Walk</v>
      </c>
      <c r="E3373" t="str">
        <f>_xlfn.XLOOKUP(tblSales[[#This Row],[Store ID]],tblStores[Store ID],tblStores[Province])</f>
        <v>Western Cape</v>
      </c>
      <c r="F3373" t="str">
        <f>_xlfn.XLOOKUP(tblSales[[#This Row],[Store ID]],tblStores[Store ID],tblStores[Manager])</f>
        <v>Megan Scott</v>
      </c>
      <c r="G3373" t="str">
        <f>_xlfn.XLOOKUP(tblSales[[#This Row],[Category ID]],tblCategories[Category ID],tblCategories[Category])</f>
        <v>Ladieswear</v>
      </c>
      <c r="H3373">
        <v>29391</v>
      </c>
      <c r="I3373">
        <v>29888</v>
      </c>
      <c r="J3373">
        <v>101</v>
      </c>
      <c r="K3373">
        <f>tblSales[[#This Row],[Sales]]-tblSales[[#This Row],[Budget]]</f>
        <v>-497</v>
      </c>
      <c r="L3373" s="3">
        <f>(tblSales[[#This Row],[Sales]]-tblSales[[#This Row],[Budget]])/tblSales[[#This Row],[Budget]]</f>
        <v>-1.6628747323340472E-2</v>
      </c>
      <c r="M3373" s="2">
        <f>tblSales[[#This Row],[Sales]]/tblSales[[#This Row],[Transactions]]</f>
        <v>291</v>
      </c>
    </row>
    <row r="3374" spans="1:13" x14ac:dyDescent="0.25">
      <c r="A3374" s="1">
        <v>46191</v>
      </c>
      <c r="B3374" t="s">
        <v>23</v>
      </c>
      <c r="C3374" t="s">
        <v>7</v>
      </c>
      <c r="D3374" t="str">
        <f>_xlfn.XLOOKUP(tblSales[[#This Row],[Store ID]],tblStores[Store ID],tblStores[Store Name])</f>
        <v>Stellenbosch</v>
      </c>
      <c r="E3374" t="str">
        <f>_xlfn.XLOOKUP(tblSales[[#This Row],[Store ID]],tblStores[Store ID],tblStores[Province])</f>
        <v>Western Cape</v>
      </c>
      <c r="F3374" t="str">
        <f>_xlfn.XLOOKUP(tblSales[[#This Row],[Store ID]],tblStores[Store ID],tblStores[Manager])</f>
        <v>Jason King</v>
      </c>
      <c r="G3374" t="str">
        <f>_xlfn.XLOOKUP(tblSales[[#This Row],[Category ID]],tblCategories[Category ID],tblCategories[Category])</f>
        <v>Menswear</v>
      </c>
      <c r="H3374">
        <v>28416</v>
      </c>
      <c r="I3374">
        <v>30251</v>
      </c>
      <c r="J3374">
        <v>64</v>
      </c>
      <c r="K3374">
        <f>tblSales[[#This Row],[Sales]]-tblSales[[#This Row],[Budget]]</f>
        <v>-1835</v>
      </c>
      <c r="L3374" s="3">
        <f>(tblSales[[#This Row],[Sales]]-tblSales[[#This Row],[Budget]])/tblSales[[#This Row],[Budget]]</f>
        <v>-6.0659151763578063E-2</v>
      </c>
      <c r="M3374" s="2">
        <f>tblSales[[#This Row],[Sales]]/tblSales[[#This Row],[Transactions]]</f>
        <v>444</v>
      </c>
    </row>
    <row r="3375" spans="1:13" x14ac:dyDescent="0.25">
      <c r="A3375" s="1">
        <v>46191</v>
      </c>
      <c r="B3375" t="s">
        <v>24</v>
      </c>
      <c r="C3375" t="s">
        <v>9</v>
      </c>
      <c r="D3375" t="str">
        <f>_xlfn.XLOOKUP(tblSales[[#This Row],[Store ID]],tblStores[Store ID],tblStores[Store Name])</f>
        <v>George</v>
      </c>
      <c r="E3375" t="str">
        <f>_xlfn.XLOOKUP(tblSales[[#This Row],[Store ID]],tblStores[Store ID],tblStores[Province])</f>
        <v>Western Cape</v>
      </c>
      <c r="F3375" t="str">
        <f>_xlfn.XLOOKUP(tblSales[[#This Row],[Store ID]],tblStores[Store ID],tblStores[Manager])</f>
        <v>Chloe Hill</v>
      </c>
      <c r="G3375" t="str">
        <f>_xlfn.XLOOKUP(tblSales[[#This Row],[Category ID]],tblCategories[Category ID],tblCategories[Category])</f>
        <v>Ladieswear</v>
      </c>
      <c r="H3375">
        <v>39156</v>
      </c>
      <c r="I3375">
        <v>39814</v>
      </c>
      <c r="J3375">
        <v>156</v>
      </c>
      <c r="K3375">
        <f>tblSales[[#This Row],[Sales]]-tblSales[[#This Row],[Budget]]</f>
        <v>-658</v>
      </c>
      <c r="L3375" s="3">
        <f>(tblSales[[#This Row],[Sales]]-tblSales[[#This Row],[Budget]])/tblSales[[#This Row],[Budget]]</f>
        <v>-1.652684985181092E-2</v>
      </c>
      <c r="M3375" s="2">
        <f>tblSales[[#This Row],[Sales]]/tblSales[[#This Row],[Transactions]]</f>
        <v>251</v>
      </c>
    </row>
    <row r="3376" spans="1:13" x14ac:dyDescent="0.25">
      <c r="A3376" s="1">
        <v>46191</v>
      </c>
      <c r="B3376" t="s">
        <v>25</v>
      </c>
      <c r="C3376" t="s">
        <v>22</v>
      </c>
      <c r="D3376" t="str">
        <f>_xlfn.XLOOKUP(tblSales[[#This Row],[Store ID]],tblStores[Store ID],tblStores[Store Name])</f>
        <v>Paarl</v>
      </c>
      <c r="E3376" t="str">
        <f>_xlfn.XLOOKUP(tblSales[[#This Row],[Store ID]],tblStores[Store ID],tblStores[Province])</f>
        <v>Western Cape</v>
      </c>
      <c r="F3376" t="str">
        <f>_xlfn.XLOOKUP(tblSales[[#This Row],[Store ID]],tblStores[Store ID],tblStores[Manager])</f>
        <v>Andrew Lee</v>
      </c>
      <c r="G3376" t="str">
        <f>_xlfn.XLOOKUP(tblSales[[#This Row],[Category ID]],tblCategories[Category ID],tblCategories[Category])</f>
        <v>Kids</v>
      </c>
      <c r="H3376">
        <v>60840</v>
      </c>
      <c r="I3376">
        <v>60504</v>
      </c>
      <c r="J3376">
        <v>130</v>
      </c>
      <c r="K3376">
        <f>tblSales[[#This Row],[Sales]]-tblSales[[#This Row],[Budget]]</f>
        <v>336</v>
      </c>
      <c r="L3376" s="3">
        <f>(tblSales[[#This Row],[Sales]]-tblSales[[#This Row],[Budget]])/tblSales[[#This Row],[Budget]]</f>
        <v>5.5533518445061479E-3</v>
      </c>
      <c r="M3376" s="2">
        <f>tblSales[[#This Row],[Sales]]/tblSales[[#This Row],[Transactions]]</f>
        <v>468</v>
      </c>
    </row>
    <row r="3377" spans="1:13" x14ac:dyDescent="0.25">
      <c r="A3377" s="1">
        <v>46191</v>
      </c>
      <c r="B3377" t="s">
        <v>26</v>
      </c>
      <c r="C3377" t="s">
        <v>19</v>
      </c>
      <c r="D3377" t="str">
        <f>_xlfn.XLOOKUP(tblSales[[#This Row],[Store ID]],tblStores[Store ID],tblStores[Store Name])</f>
        <v>Gqeberha</v>
      </c>
      <c r="E3377" t="str">
        <f>_xlfn.XLOOKUP(tblSales[[#This Row],[Store ID]],tblStores[Store ID],tblStores[Province])</f>
        <v>Eastern Cape</v>
      </c>
      <c r="F3377" t="str">
        <f>_xlfn.XLOOKUP(tblSales[[#This Row],[Store ID]],tblStores[Store ID],tblStores[Manager])</f>
        <v>Emma Baker</v>
      </c>
      <c r="G3377" t="str">
        <f>_xlfn.XLOOKUP(tblSales[[#This Row],[Category ID]],tblCategories[Category ID],tblCategories[Category])</f>
        <v>Accessories</v>
      </c>
      <c r="H3377">
        <v>14835</v>
      </c>
      <c r="I3377">
        <v>15952</v>
      </c>
      <c r="J3377">
        <v>43</v>
      </c>
      <c r="K3377">
        <f>tblSales[[#This Row],[Sales]]-tblSales[[#This Row],[Budget]]</f>
        <v>-1117</v>
      </c>
      <c r="L3377" s="3">
        <f>(tblSales[[#This Row],[Sales]]-tblSales[[#This Row],[Budget]])/tblSales[[#This Row],[Budget]]</f>
        <v>-7.0022567703109329E-2</v>
      </c>
      <c r="M3377" s="2">
        <f>tblSales[[#This Row],[Sales]]/tblSales[[#This Row],[Transactions]]</f>
        <v>345</v>
      </c>
    </row>
    <row r="3378" spans="1:13" x14ac:dyDescent="0.25">
      <c r="A3378" s="1">
        <v>46191</v>
      </c>
      <c r="B3378" t="s">
        <v>27</v>
      </c>
      <c r="C3378" t="s">
        <v>22</v>
      </c>
      <c r="D3378" t="str">
        <f>_xlfn.XLOOKUP(tblSales[[#This Row],[Store ID]],tblStores[Store ID],tblStores[Store Name])</f>
        <v>East London</v>
      </c>
      <c r="E3378" t="str">
        <f>_xlfn.XLOOKUP(tblSales[[#This Row],[Store ID]],tblStores[Store ID],tblStores[Province])</f>
        <v>Eastern Cape</v>
      </c>
      <c r="F3378" t="str">
        <f>_xlfn.XLOOKUP(tblSales[[#This Row],[Store ID]],tblStores[Store ID],tblStores[Manager])</f>
        <v>Daniel Evans</v>
      </c>
      <c r="G3378" t="str">
        <f>_xlfn.XLOOKUP(tblSales[[#This Row],[Category ID]],tblCategories[Category ID],tblCategories[Category])</f>
        <v>Kids</v>
      </c>
      <c r="H3378">
        <v>9657</v>
      </c>
      <c r="I3378">
        <v>9708</v>
      </c>
      <c r="J3378">
        <v>37</v>
      </c>
      <c r="K3378">
        <f>tblSales[[#This Row],[Sales]]-tblSales[[#This Row],[Budget]]</f>
        <v>-51</v>
      </c>
      <c r="L3378" s="3">
        <f>(tblSales[[#This Row],[Sales]]-tblSales[[#This Row],[Budget]])/tblSales[[#This Row],[Budget]]</f>
        <v>-5.2533992583436344E-3</v>
      </c>
      <c r="M3378" s="2">
        <f>tblSales[[#This Row],[Sales]]/tblSales[[#This Row],[Transactions]]</f>
        <v>261</v>
      </c>
    </row>
    <row r="3379" spans="1:13" x14ac:dyDescent="0.25">
      <c r="A3379" s="1">
        <v>46191</v>
      </c>
      <c r="B3379" t="s">
        <v>28</v>
      </c>
      <c r="C3379" t="s">
        <v>22</v>
      </c>
      <c r="D3379" t="str">
        <f>_xlfn.XLOOKUP(tblSales[[#This Row],[Store ID]],tblStores[Store ID],tblStores[Store Name])</f>
        <v>Bloemfontein</v>
      </c>
      <c r="E3379" t="str">
        <f>_xlfn.XLOOKUP(tblSales[[#This Row],[Store ID]],tblStores[Store ID],tblStores[Province])</f>
        <v>Free State</v>
      </c>
      <c r="F3379" t="str">
        <f>_xlfn.XLOOKUP(tblSales[[#This Row],[Store ID]],tblStores[Store ID],tblStores[Manager])</f>
        <v>Rachel Moore</v>
      </c>
      <c r="G3379" t="str">
        <f>_xlfn.XLOOKUP(tblSales[[#This Row],[Category ID]],tblCategories[Category ID],tblCategories[Category])</f>
        <v>Kids</v>
      </c>
      <c r="H3379">
        <v>61831</v>
      </c>
      <c r="I3379">
        <v>69605</v>
      </c>
      <c r="J3379">
        <v>121</v>
      </c>
      <c r="K3379">
        <f>tblSales[[#This Row],[Sales]]-tblSales[[#This Row],[Budget]]</f>
        <v>-7774</v>
      </c>
      <c r="L3379" s="3">
        <f>(tblSales[[#This Row],[Sales]]-tblSales[[#This Row],[Budget]])/tblSales[[#This Row],[Budget]]</f>
        <v>-0.11168737878026004</v>
      </c>
      <c r="M3379" s="2">
        <f>tblSales[[#This Row],[Sales]]/tblSales[[#This Row],[Transactions]]</f>
        <v>511</v>
      </c>
    </row>
    <row r="3380" spans="1:13" x14ac:dyDescent="0.25">
      <c r="A3380" s="1">
        <v>46191</v>
      </c>
      <c r="B3380" t="s">
        <v>29</v>
      </c>
      <c r="C3380" t="s">
        <v>9</v>
      </c>
      <c r="D3380" t="str">
        <f>_xlfn.XLOOKUP(tblSales[[#This Row],[Store ID]],tblStores[Store ID],tblStores[Store Name])</f>
        <v>Polokwane</v>
      </c>
      <c r="E3380" t="str">
        <f>_xlfn.XLOOKUP(tblSales[[#This Row],[Store ID]],tblStores[Store ID],tblStores[Province])</f>
        <v>Limpopo</v>
      </c>
      <c r="F3380" t="str">
        <f>_xlfn.XLOOKUP(tblSales[[#This Row],[Store ID]],tblStores[Store ID],tblStores[Manager])</f>
        <v>Kevin Harris</v>
      </c>
      <c r="G3380" t="str">
        <f>_xlfn.XLOOKUP(tblSales[[#This Row],[Category ID]],tblCategories[Category ID],tblCategories[Category])</f>
        <v>Ladieswear</v>
      </c>
      <c r="H3380">
        <v>42336</v>
      </c>
      <c r="I3380">
        <v>39824</v>
      </c>
      <c r="J3380">
        <v>126</v>
      </c>
      <c r="K3380">
        <f>tblSales[[#This Row],[Sales]]-tblSales[[#This Row],[Budget]]</f>
        <v>2512</v>
      </c>
      <c r="L3380" s="3">
        <f>(tblSales[[#This Row],[Sales]]-tblSales[[#This Row],[Budget]])/tblSales[[#This Row],[Budget]]</f>
        <v>6.3077541181197266E-2</v>
      </c>
      <c r="M3380" s="2">
        <f>tblSales[[#This Row],[Sales]]/tblSales[[#This Row],[Transactions]]</f>
        <v>336</v>
      </c>
    </row>
    <row r="3381" spans="1:13" x14ac:dyDescent="0.25">
      <c r="A3381" s="1">
        <v>46191</v>
      </c>
      <c r="B3381" t="s">
        <v>30</v>
      </c>
      <c r="C3381" t="s">
        <v>19</v>
      </c>
      <c r="D3381" t="str">
        <f>_xlfn.XLOOKUP(tblSales[[#This Row],[Store ID]],tblStores[Store ID],tblStores[Store Name])</f>
        <v>Nelspruit</v>
      </c>
      <c r="E3381" t="str">
        <f>_xlfn.XLOOKUP(tblSales[[#This Row],[Store ID]],tblStores[Store ID],tblStores[Province])</f>
        <v>Mpumalanga</v>
      </c>
      <c r="F3381" t="str">
        <f>_xlfn.XLOOKUP(tblSales[[#This Row],[Store ID]],tblStores[Store ID],tblStores[Manager])</f>
        <v>Olivia Turner</v>
      </c>
      <c r="G3381" t="str">
        <f>_xlfn.XLOOKUP(tblSales[[#This Row],[Category ID]],tblCategories[Category ID],tblCategories[Category])</f>
        <v>Accessories</v>
      </c>
      <c r="H3381">
        <v>15662</v>
      </c>
      <c r="I3381">
        <v>15814</v>
      </c>
      <c r="J3381">
        <v>82</v>
      </c>
      <c r="K3381">
        <f>tblSales[[#This Row],[Sales]]-tblSales[[#This Row],[Budget]]</f>
        <v>-152</v>
      </c>
      <c r="L3381" s="3">
        <f>(tblSales[[#This Row],[Sales]]-tblSales[[#This Row],[Budget]])/tblSales[[#This Row],[Budget]]</f>
        <v>-9.6117364360693049E-3</v>
      </c>
      <c r="M3381" s="2">
        <f>tblSales[[#This Row],[Sales]]/tblSales[[#This Row],[Transactions]]</f>
        <v>191</v>
      </c>
    </row>
    <row r="3382" spans="1:13" x14ac:dyDescent="0.25">
      <c r="A3382" s="1">
        <v>46192</v>
      </c>
      <c r="B3382" t="s">
        <v>6</v>
      </c>
      <c r="C3382" t="s">
        <v>19</v>
      </c>
      <c r="D3382" t="str">
        <f>_xlfn.XLOOKUP(tblSales[[#This Row],[Store ID]],tblStores[Store ID],tblStores[Store Name])</f>
        <v>Durban CBD</v>
      </c>
      <c r="E3382" t="str">
        <f>_xlfn.XLOOKUP(tblSales[[#This Row],[Store ID]],tblStores[Store ID],tblStores[Province])</f>
        <v>KZN</v>
      </c>
      <c r="F3382" t="str">
        <f>_xlfn.XLOOKUP(tblSales[[#This Row],[Store ID]],tblStores[Store ID],tblStores[Manager])</f>
        <v>Sarah Adams</v>
      </c>
      <c r="G3382" t="str">
        <f>_xlfn.XLOOKUP(tblSales[[#This Row],[Category ID]],tblCategories[Category ID],tblCategories[Category])</f>
        <v>Accessories</v>
      </c>
      <c r="H3382">
        <v>72933</v>
      </c>
      <c r="I3382">
        <v>76141</v>
      </c>
      <c r="J3382">
        <v>151</v>
      </c>
      <c r="K3382">
        <f>tblSales[[#This Row],[Sales]]-tblSales[[#This Row],[Budget]]</f>
        <v>-3208</v>
      </c>
      <c r="L3382" s="3">
        <f>(tblSales[[#This Row],[Sales]]-tblSales[[#This Row],[Budget]])/tblSales[[#This Row],[Budget]]</f>
        <v>-4.2132359701080889E-2</v>
      </c>
      <c r="M3382" s="2">
        <f>tblSales[[#This Row],[Sales]]/tblSales[[#This Row],[Transactions]]</f>
        <v>483</v>
      </c>
    </row>
    <row r="3383" spans="1:13" x14ac:dyDescent="0.25">
      <c r="A3383" s="1">
        <v>46192</v>
      </c>
      <c r="B3383" t="s">
        <v>8</v>
      </c>
      <c r="C3383" t="s">
        <v>11</v>
      </c>
      <c r="D3383" t="str">
        <f>_xlfn.XLOOKUP(tblSales[[#This Row],[Store ID]],tblStores[Store ID],tblStores[Store Name])</f>
        <v>Gateway</v>
      </c>
      <c r="E3383" t="str">
        <f>_xlfn.XLOOKUP(tblSales[[#This Row],[Store ID]],tblStores[Store ID],tblStores[Province])</f>
        <v>KZN</v>
      </c>
      <c r="F3383" t="str">
        <f>_xlfn.XLOOKUP(tblSales[[#This Row],[Store ID]],tblStores[Store ID],tblStores[Manager])</f>
        <v>Michael Jones</v>
      </c>
      <c r="G3383" t="str">
        <f>_xlfn.XLOOKUP(tblSales[[#This Row],[Category ID]],tblCategories[Category ID],tblCategories[Category])</f>
        <v>Footwear</v>
      </c>
      <c r="H3383">
        <v>57814</v>
      </c>
      <c r="I3383">
        <v>64088</v>
      </c>
      <c r="J3383">
        <v>137</v>
      </c>
      <c r="K3383">
        <f>tblSales[[#This Row],[Sales]]-tblSales[[#This Row],[Budget]]</f>
        <v>-6274</v>
      </c>
      <c r="L3383" s="3">
        <f>(tblSales[[#This Row],[Sales]]-tblSales[[#This Row],[Budget]])/tblSales[[#This Row],[Budget]]</f>
        <v>-9.7896642117088997E-2</v>
      </c>
      <c r="M3383" s="2">
        <f>tblSales[[#This Row],[Sales]]/tblSales[[#This Row],[Transactions]]</f>
        <v>422</v>
      </c>
    </row>
    <row r="3384" spans="1:13" x14ac:dyDescent="0.25">
      <c r="A3384" s="1">
        <v>46192</v>
      </c>
      <c r="B3384" t="s">
        <v>10</v>
      </c>
      <c r="C3384" t="s">
        <v>22</v>
      </c>
      <c r="D3384" t="str">
        <f>_xlfn.XLOOKUP(tblSales[[#This Row],[Store ID]],tblStores[Store ID],tblStores[Store Name])</f>
        <v>Ballito</v>
      </c>
      <c r="E3384" t="str">
        <f>_xlfn.XLOOKUP(tblSales[[#This Row],[Store ID]],tblStores[Store ID],tblStores[Province])</f>
        <v>KZN</v>
      </c>
      <c r="F3384" t="str">
        <f>_xlfn.XLOOKUP(tblSales[[#This Row],[Store ID]],tblStores[Store ID],tblStores[Manager])</f>
        <v>Linda Smith</v>
      </c>
      <c r="G3384" t="str">
        <f>_xlfn.XLOOKUP(tblSales[[#This Row],[Category ID]],tblCategories[Category ID],tblCategories[Category])</f>
        <v>Kids</v>
      </c>
      <c r="H3384">
        <v>81620</v>
      </c>
      <c r="I3384">
        <v>85720</v>
      </c>
      <c r="J3384">
        <v>220</v>
      </c>
      <c r="K3384">
        <f>tblSales[[#This Row],[Sales]]-tblSales[[#This Row],[Budget]]</f>
        <v>-4100</v>
      </c>
      <c r="L3384" s="3">
        <f>(tblSales[[#This Row],[Sales]]-tblSales[[#This Row],[Budget]])/tblSales[[#This Row],[Budget]]</f>
        <v>-4.7830144657022865E-2</v>
      </c>
      <c r="M3384" s="2">
        <f>tblSales[[#This Row],[Sales]]/tblSales[[#This Row],[Transactions]]</f>
        <v>371</v>
      </c>
    </row>
    <row r="3385" spans="1:13" x14ac:dyDescent="0.25">
      <c r="A3385" s="1">
        <v>46192</v>
      </c>
      <c r="B3385" t="s">
        <v>12</v>
      </c>
      <c r="C3385" t="s">
        <v>11</v>
      </c>
      <c r="D3385" t="str">
        <f>_xlfn.XLOOKUP(tblSales[[#This Row],[Store ID]],tblStores[Store ID],tblStores[Store Name])</f>
        <v>Pietermaritzburg</v>
      </c>
      <c r="E3385" t="str">
        <f>_xlfn.XLOOKUP(tblSales[[#This Row],[Store ID]],tblStores[Store ID],tblStores[Province])</f>
        <v>KZN</v>
      </c>
      <c r="F3385" t="str">
        <f>_xlfn.XLOOKUP(tblSales[[#This Row],[Store ID]],tblStores[Store ID],tblStores[Manager])</f>
        <v>Peter Brown</v>
      </c>
      <c r="G3385" t="str">
        <f>_xlfn.XLOOKUP(tblSales[[#This Row],[Category ID]],tblCategories[Category ID],tblCategories[Category])</f>
        <v>Footwear</v>
      </c>
      <c r="H3385">
        <v>80080</v>
      </c>
      <c r="I3385">
        <v>78081</v>
      </c>
      <c r="J3385">
        <v>208</v>
      </c>
      <c r="K3385">
        <f>tblSales[[#This Row],[Sales]]-tblSales[[#This Row],[Budget]]</f>
        <v>1999</v>
      </c>
      <c r="L3385" s="3">
        <f>(tblSales[[#This Row],[Sales]]-tblSales[[#This Row],[Budget]])/tblSales[[#This Row],[Budget]]</f>
        <v>2.5601618831726028E-2</v>
      </c>
      <c r="M3385" s="2">
        <f>tblSales[[#This Row],[Sales]]/tblSales[[#This Row],[Transactions]]</f>
        <v>385</v>
      </c>
    </row>
    <row r="3386" spans="1:13" x14ac:dyDescent="0.25">
      <c r="A3386" s="1">
        <v>46192</v>
      </c>
      <c r="B3386" t="s">
        <v>13</v>
      </c>
      <c r="C3386" t="s">
        <v>9</v>
      </c>
      <c r="D3386" t="str">
        <f>_xlfn.XLOOKUP(tblSales[[#This Row],[Store ID]],tblStores[Store ID],tblStores[Store Name])</f>
        <v>Richards Bay</v>
      </c>
      <c r="E3386" t="str">
        <f>_xlfn.XLOOKUP(tblSales[[#This Row],[Store ID]],tblStores[Store ID],tblStores[Province])</f>
        <v>KZN</v>
      </c>
      <c r="F3386" t="str">
        <f>_xlfn.XLOOKUP(tblSales[[#This Row],[Store ID]],tblStores[Store ID],tblStores[Manager])</f>
        <v>David Green</v>
      </c>
      <c r="G3386" t="str">
        <f>_xlfn.XLOOKUP(tblSales[[#This Row],[Category ID]],tblCategories[Category ID],tblCategories[Category])</f>
        <v>Ladieswear</v>
      </c>
      <c r="H3386">
        <v>38540</v>
      </c>
      <c r="I3386">
        <v>38742</v>
      </c>
      <c r="J3386">
        <v>164</v>
      </c>
      <c r="K3386">
        <f>tblSales[[#This Row],[Sales]]-tblSales[[#This Row],[Budget]]</f>
        <v>-202</v>
      </c>
      <c r="L3386" s="3">
        <f>(tblSales[[#This Row],[Sales]]-tblSales[[#This Row],[Budget]])/tblSales[[#This Row],[Budget]]</f>
        <v>-5.2139796603169683E-3</v>
      </c>
      <c r="M3386" s="2">
        <f>tblSales[[#This Row],[Sales]]/tblSales[[#This Row],[Transactions]]</f>
        <v>235</v>
      </c>
    </row>
    <row r="3387" spans="1:13" x14ac:dyDescent="0.25">
      <c r="A3387" s="1">
        <v>46192</v>
      </c>
      <c r="B3387" t="s">
        <v>14</v>
      </c>
      <c r="C3387" t="s">
        <v>22</v>
      </c>
      <c r="D3387" t="str">
        <f>_xlfn.XLOOKUP(tblSales[[#This Row],[Store ID]],tblStores[Store ID],tblStores[Store Name])</f>
        <v>Sandton</v>
      </c>
      <c r="E3387" t="str">
        <f>_xlfn.XLOOKUP(tblSales[[#This Row],[Store ID]],tblStores[Store ID],tblStores[Province])</f>
        <v>Gauteng</v>
      </c>
      <c r="F3387" t="str">
        <f>_xlfn.XLOOKUP(tblSales[[#This Row],[Store ID]],tblStores[Store ID],tblStores[Manager])</f>
        <v>Karen White</v>
      </c>
      <c r="G3387" t="str">
        <f>_xlfn.XLOOKUP(tblSales[[#This Row],[Category ID]],tblCategories[Category ID],tblCategories[Category])</f>
        <v>Kids</v>
      </c>
      <c r="H3387">
        <v>70070</v>
      </c>
      <c r="I3387">
        <v>73452</v>
      </c>
      <c r="J3387">
        <v>182</v>
      </c>
      <c r="K3387">
        <f>tblSales[[#This Row],[Sales]]-tblSales[[#This Row],[Budget]]</f>
        <v>-3382</v>
      </c>
      <c r="L3387" s="3">
        <f>(tblSales[[#This Row],[Sales]]-tblSales[[#This Row],[Budget]])/tblSales[[#This Row],[Budget]]</f>
        <v>-4.6043674780809236E-2</v>
      </c>
      <c r="M3387" s="2">
        <f>tblSales[[#This Row],[Sales]]/tblSales[[#This Row],[Transactions]]</f>
        <v>385</v>
      </c>
    </row>
    <row r="3388" spans="1:13" x14ac:dyDescent="0.25">
      <c r="A3388" s="1">
        <v>46192</v>
      </c>
      <c r="B3388" t="s">
        <v>15</v>
      </c>
      <c r="C3388" t="s">
        <v>9</v>
      </c>
      <c r="D3388" t="str">
        <f>_xlfn.XLOOKUP(tblSales[[#This Row],[Store ID]],tblStores[Store ID],tblStores[Store Name])</f>
        <v>Rosebank</v>
      </c>
      <c r="E3388" t="str">
        <f>_xlfn.XLOOKUP(tblSales[[#This Row],[Store ID]],tblStores[Store ID],tblStores[Province])</f>
        <v>Gauteng</v>
      </c>
      <c r="F3388" t="str">
        <f>_xlfn.XLOOKUP(tblSales[[#This Row],[Store ID]],tblStores[Store ID],tblStores[Manager])</f>
        <v>James Taylor</v>
      </c>
      <c r="G3388" t="str">
        <f>_xlfn.XLOOKUP(tblSales[[#This Row],[Category ID]],tblCategories[Category ID],tblCategories[Category])</f>
        <v>Ladieswear</v>
      </c>
      <c r="H3388">
        <v>43990</v>
      </c>
      <c r="I3388">
        <v>49734</v>
      </c>
      <c r="J3388">
        <v>166</v>
      </c>
      <c r="K3388">
        <f>tblSales[[#This Row],[Sales]]-tblSales[[#This Row],[Budget]]</f>
        <v>-5744</v>
      </c>
      <c r="L3388" s="3">
        <f>(tblSales[[#This Row],[Sales]]-tblSales[[#This Row],[Budget]])/tblSales[[#This Row],[Budget]]</f>
        <v>-0.1154944303695661</v>
      </c>
      <c r="M3388" s="2">
        <f>tblSales[[#This Row],[Sales]]/tblSales[[#This Row],[Transactions]]</f>
        <v>265</v>
      </c>
    </row>
    <row r="3389" spans="1:13" x14ac:dyDescent="0.25">
      <c r="A3389" s="1">
        <v>46192</v>
      </c>
      <c r="B3389" t="s">
        <v>16</v>
      </c>
      <c r="C3389" t="s">
        <v>19</v>
      </c>
      <c r="D3389" t="str">
        <f>_xlfn.XLOOKUP(tblSales[[#This Row],[Store ID]],tblStores[Store ID],tblStores[Store Name])</f>
        <v>Pretoria</v>
      </c>
      <c r="E3389" t="str">
        <f>_xlfn.XLOOKUP(tblSales[[#This Row],[Store ID]],tblStores[Store ID],tblStores[Province])</f>
        <v>Gauteng</v>
      </c>
      <c r="F3389" t="str">
        <f>_xlfn.XLOOKUP(tblSales[[#This Row],[Store ID]],tblStores[Store ID],tblStores[Manager])</f>
        <v>Susan Clark</v>
      </c>
      <c r="G3389" t="str">
        <f>_xlfn.XLOOKUP(tblSales[[#This Row],[Category ID]],tblCategories[Category ID],tblCategories[Category])</f>
        <v>Accessories</v>
      </c>
      <c r="H3389">
        <v>95424</v>
      </c>
      <c r="I3389">
        <v>90616</v>
      </c>
      <c r="J3389">
        <v>213</v>
      </c>
      <c r="K3389">
        <f>tblSales[[#This Row],[Sales]]-tblSales[[#This Row],[Budget]]</f>
        <v>4808</v>
      </c>
      <c r="L3389" s="3">
        <f>(tblSales[[#This Row],[Sales]]-tblSales[[#This Row],[Budget]])/tblSales[[#This Row],[Budget]]</f>
        <v>5.3059062417233162E-2</v>
      </c>
      <c r="M3389" s="2">
        <f>tblSales[[#This Row],[Sales]]/tblSales[[#This Row],[Transactions]]</f>
        <v>448</v>
      </c>
    </row>
    <row r="3390" spans="1:13" x14ac:dyDescent="0.25">
      <c r="A3390" s="1">
        <v>46192</v>
      </c>
      <c r="B3390" t="s">
        <v>17</v>
      </c>
      <c r="C3390" t="s">
        <v>19</v>
      </c>
      <c r="D3390" t="str">
        <f>_xlfn.XLOOKUP(tblSales[[#This Row],[Store ID]],tblStores[Store ID],tblStores[Store Name])</f>
        <v>Centurion</v>
      </c>
      <c r="E3390" t="str">
        <f>_xlfn.XLOOKUP(tblSales[[#This Row],[Store ID]],tblStores[Store ID],tblStores[Province])</f>
        <v>Gauteng</v>
      </c>
      <c r="F3390" t="str">
        <f>_xlfn.XLOOKUP(tblSales[[#This Row],[Store ID]],tblStores[Store ID],tblStores[Manager])</f>
        <v>Mark Wilson</v>
      </c>
      <c r="G3390" t="str">
        <f>_xlfn.XLOOKUP(tblSales[[#This Row],[Category ID]],tblCategories[Category ID],tblCategories[Category])</f>
        <v>Accessories</v>
      </c>
      <c r="H3390">
        <v>17220</v>
      </c>
      <c r="I3390">
        <v>18353</v>
      </c>
      <c r="J3390">
        <v>70</v>
      </c>
      <c r="K3390">
        <f>tblSales[[#This Row],[Sales]]-tblSales[[#This Row],[Budget]]</f>
        <v>-1133</v>
      </c>
      <c r="L3390" s="3">
        <f>(tblSales[[#This Row],[Sales]]-tblSales[[#This Row],[Budget]])/tblSales[[#This Row],[Budget]]</f>
        <v>-6.1733776494306107E-2</v>
      </c>
      <c r="M3390" s="2">
        <f>tblSales[[#This Row],[Sales]]/tblSales[[#This Row],[Transactions]]</f>
        <v>246</v>
      </c>
    </row>
    <row r="3391" spans="1:13" x14ac:dyDescent="0.25">
      <c r="A3391" s="1">
        <v>46192</v>
      </c>
      <c r="B3391" t="s">
        <v>18</v>
      </c>
      <c r="C3391" t="s">
        <v>7</v>
      </c>
      <c r="D3391" t="str">
        <f>_xlfn.XLOOKUP(tblSales[[#This Row],[Store ID]],tblStores[Store ID],tblStores[Store Name])</f>
        <v>East Rand</v>
      </c>
      <c r="E3391" t="str">
        <f>_xlfn.XLOOKUP(tblSales[[#This Row],[Store ID]],tblStores[Store ID],tblStores[Province])</f>
        <v>Gauteng</v>
      </c>
      <c r="F3391" t="str">
        <f>_xlfn.XLOOKUP(tblSales[[#This Row],[Store ID]],tblStores[Store ID],tblStores[Manager])</f>
        <v>Lisa Young</v>
      </c>
      <c r="G3391" t="str">
        <f>_xlfn.XLOOKUP(tblSales[[#This Row],[Category ID]],tblCategories[Category ID],tblCategories[Category])</f>
        <v>Menswear</v>
      </c>
      <c r="H3391">
        <v>19604</v>
      </c>
      <c r="I3391">
        <v>21529</v>
      </c>
      <c r="J3391">
        <v>58</v>
      </c>
      <c r="K3391">
        <f>tblSales[[#This Row],[Sales]]-tblSales[[#This Row],[Budget]]</f>
        <v>-1925</v>
      </c>
      <c r="L3391" s="3">
        <f>(tblSales[[#This Row],[Sales]]-tblSales[[#This Row],[Budget]])/tblSales[[#This Row],[Budget]]</f>
        <v>-8.9414278415160947E-2</v>
      </c>
      <c r="M3391" s="2">
        <f>tblSales[[#This Row],[Sales]]/tblSales[[#This Row],[Transactions]]</f>
        <v>338</v>
      </c>
    </row>
    <row r="3392" spans="1:13" x14ac:dyDescent="0.25">
      <c r="A3392" s="1">
        <v>46192</v>
      </c>
      <c r="B3392" t="s">
        <v>20</v>
      </c>
      <c r="C3392" t="s">
        <v>9</v>
      </c>
      <c r="D3392" t="str">
        <f>_xlfn.XLOOKUP(tblSales[[#This Row],[Store ID]],tblStores[Store ID],tblStores[Store Name])</f>
        <v>Cape Town CBD</v>
      </c>
      <c r="E3392" t="str">
        <f>_xlfn.XLOOKUP(tblSales[[#This Row],[Store ID]],tblStores[Store ID],tblStores[Province])</f>
        <v>Western Cape</v>
      </c>
      <c r="F3392" t="str">
        <f>_xlfn.XLOOKUP(tblSales[[#This Row],[Store ID]],tblStores[Store ID],tblStores[Manager])</f>
        <v>Brian Hall</v>
      </c>
      <c r="G3392" t="str">
        <f>_xlfn.XLOOKUP(tblSales[[#This Row],[Category ID]],tblCategories[Category ID],tblCategories[Category])</f>
        <v>Ladieswear</v>
      </c>
      <c r="H3392">
        <v>50922</v>
      </c>
      <c r="I3392">
        <v>50870</v>
      </c>
      <c r="J3392">
        <v>123</v>
      </c>
      <c r="K3392">
        <f>tblSales[[#This Row],[Sales]]-tblSales[[#This Row],[Budget]]</f>
        <v>52</v>
      </c>
      <c r="L3392" s="3">
        <f>(tblSales[[#This Row],[Sales]]-tblSales[[#This Row],[Budget]])/tblSales[[#This Row],[Budget]]</f>
        <v>1.0222134853548261E-3</v>
      </c>
      <c r="M3392" s="2">
        <f>tblSales[[#This Row],[Sales]]/tblSales[[#This Row],[Transactions]]</f>
        <v>414</v>
      </c>
    </row>
    <row r="3393" spans="1:13" x14ac:dyDescent="0.25">
      <c r="A3393" s="1">
        <v>46192</v>
      </c>
      <c r="B3393" t="s">
        <v>21</v>
      </c>
      <c r="C3393" t="s">
        <v>11</v>
      </c>
      <c r="D3393" t="str">
        <f>_xlfn.XLOOKUP(tblSales[[#This Row],[Store ID]],tblStores[Store ID],tblStores[Store Name])</f>
        <v>Canal Walk</v>
      </c>
      <c r="E3393" t="str">
        <f>_xlfn.XLOOKUP(tblSales[[#This Row],[Store ID]],tblStores[Store ID],tblStores[Province])</f>
        <v>Western Cape</v>
      </c>
      <c r="F3393" t="str">
        <f>_xlfn.XLOOKUP(tblSales[[#This Row],[Store ID]],tblStores[Store ID],tblStores[Manager])</f>
        <v>Megan Scott</v>
      </c>
      <c r="G3393" t="str">
        <f>_xlfn.XLOOKUP(tblSales[[#This Row],[Category ID]],tblCategories[Category ID],tblCategories[Category])</f>
        <v>Footwear</v>
      </c>
      <c r="H3393">
        <v>18095</v>
      </c>
      <c r="I3393">
        <v>16952</v>
      </c>
      <c r="J3393">
        <v>35</v>
      </c>
      <c r="K3393">
        <f>tblSales[[#This Row],[Sales]]-tblSales[[#This Row],[Budget]]</f>
        <v>1143</v>
      </c>
      <c r="L3393" s="3">
        <f>(tblSales[[#This Row],[Sales]]-tblSales[[#This Row],[Budget]])/tblSales[[#This Row],[Budget]]</f>
        <v>6.7425672487022179E-2</v>
      </c>
      <c r="M3393" s="2">
        <f>tblSales[[#This Row],[Sales]]/tblSales[[#This Row],[Transactions]]</f>
        <v>517</v>
      </c>
    </row>
    <row r="3394" spans="1:13" x14ac:dyDescent="0.25">
      <c r="A3394" s="1">
        <v>46192</v>
      </c>
      <c r="B3394" t="s">
        <v>23</v>
      </c>
      <c r="C3394" t="s">
        <v>9</v>
      </c>
      <c r="D3394" t="str">
        <f>_xlfn.XLOOKUP(tblSales[[#This Row],[Store ID]],tblStores[Store ID],tblStores[Store Name])</f>
        <v>Stellenbosch</v>
      </c>
      <c r="E3394" t="str">
        <f>_xlfn.XLOOKUP(tblSales[[#This Row],[Store ID]],tblStores[Store ID],tblStores[Province])</f>
        <v>Western Cape</v>
      </c>
      <c r="F3394" t="str">
        <f>_xlfn.XLOOKUP(tblSales[[#This Row],[Store ID]],tblStores[Store ID],tblStores[Manager])</f>
        <v>Jason King</v>
      </c>
      <c r="G3394" t="str">
        <f>_xlfn.XLOOKUP(tblSales[[#This Row],[Category ID]],tblCategories[Category ID],tblCategories[Category])</f>
        <v>Ladieswear</v>
      </c>
      <c r="H3394">
        <v>37744</v>
      </c>
      <c r="I3394">
        <v>34728</v>
      </c>
      <c r="J3394">
        <v>112</v>
      </c>
      <c r="K3394">
        <f>tblSales[[#This Row],[Sales]]-tblSales[[#This Row],[Budget]]</f>
        <v>3016</v>
      </c>
      <c r="L3394" s="3">
        <f>(tblSales[[#This Row],[Sales]]-tblSales[[#This Row],[Budget]])/tblSales[[#This Row],[Budget]]</f>
        <v>8.6846348767565071E-2</v>
      </c>
      <c r="M3394" s="2">
        <f>tblSales[[#This Row],[Sales]]/tblSales[[#This Row],[Transactions]]</f>
        <v>337</v>
      </c>
    </row>
    <row r="3395" spans="1:13" x14ac:dyDescent="0.25">
      <c r="A3395" s="1">
        <v>46192</v>
      </c>
      <c r="B3395" t="s">
        <v>24</v>
      </c>
      <c r="C3395" t="s">
        <v>9</v>
      </c>
      <c r="D3395" t="str">
        <f>_xlfn.XLOOKUP(tblSales[[#This Row],[Store ID]],tblStores[Store ID],tblStores[Store Name])</f>
        <v>George</v>
      </c>
      <c r="E3395" t="str">
        <f>_xlfn.XLOOKUP(tblSales[[#This Row],[Store ID]],tblStores[Store ID],tblStores[Province])</f>
        <v>Western Cape</v>
      </c>
      <c r="F3395" t="str">
        <f>_xlfn.XLOOKUP(tblSales[[#This Row],[Store ID]],tblStores[Store ID],tblStores[Manager])</f>
        <v>Chloe Hill</v>
      </c>
      <c r="G3395" t="str">
        <f>_xlfn.XLOOKUP(tblSales[[#This Row],[Category ID]],tblCategories[Category ID],tblCategories[Category])</f>
        <v>Ladieswear</v>
      </c>
      <c r="H3395">
        <v>35061</v>
      </c>
      <c r="I3395">
        <v>32345</v>
      </c>
      <c r="J3395">
        <v>87</v>
      </c>
      <c r="K3395">
        <f>tblSales[[#This Row],[Sales]]-tblSales[[#This Row],[Budget]]</f>
        <v>2716</v>
      </c>
      <c r="L3395" s="3">
        <f>(tblSales[[#This Row],[Sales]]-tblSales[[#This Row],[Budget]])/tblSales[[#This Row],[Budget]]</f>
        <v>8.3969701654042356E-2</v>
      </c>
      <c r="M3395" s="2">
        <f>tblSales[[#This Row],[Sales]]/tblSales[[#This Row],[Transactions]]</f>
        <v>403</v>
      </c>
    </row>
    <row r="3396" spans="1:13" x14ac:dyDescent="0.25">
      <c r="A3396" s="1">
        <v>46192</v>
      </c>
      <c r="B3396" t="s">
        <v>25</v>
      </c>
      <c r="C3396" t="s">
        <v>9</v>
      </c>
      <c r="D3396" t="str">
        <f>_xlfn.XLOOKUP(tblSales[[#This Row],[Store ID]],tblStores[Store ID],tblStores[Store Name])</f>
        <v>Paarl</v>
      </c>
      <c r="E3396" t="str">
        <f>_xlfn.XLOOKUP(tblSales[[#This Row],[Store ID]],tblStores[Store ID],tblStores[Province])</f>
        <v>Western Cape</v>
      </c>
      <c r="F3396" t="str">
        <f>_xlfn.XLOOKUP(tblSales[[#This Row],[Store ID]],tblStores[Store ID],tblStores[Manager])</f>
        <v>Andrew Lee</v>
      </c>
      <c r="G3396" t="str">
        <f>_xlfn.XLOOKUP(tblSales[[#This Row],[Category ID]],tblCategories[Category ID],tblCategories[Category])</f>
        <v>Ladieswear</v>
      </c>
      <c r="H3396">
        <v>34336</v>
      </c>
      <c r="I3396">
        <v>38161</v>
      </c>
      <c r="J3396">
        <v>74</v>
      </c>
      <c r="K3396">
        <f>tblSales[[#This Row],[Sales]]-tblSales[[#This Row],[Budget]]</f>
        <v>-3825</v>
      </c>
      <c r="L3396" s="3">
        <f>(tblSales[[#This Row],[Sales]]-tblSales[[#This Row],[Budget]])/tblSales[[#This Row],[Budget]]</f>
        <v>-0.10023322239983229</v>
      </c>
      <c r="M3396" s="2">
        <f>tblSales[[#This Row],[Sales]]/tblSales[[#This Row],[Transactions]]</f>
        <v>464</v>
      </c>
    </row>
    <row r="3397" spans="1:13" x14ac:dyDescent="0.25">
      <c r="A3397" s="1">
        <v>46192</v>
      </c>
      <c r="B3397" t="s">
        <v>26</v>
      </c>
      <c r="C3397" t="s">
        <v>22</v>
      </c>
      <c r="D3397" t="str">
        <f>_xlfn.XLOOKUP(tblSales[[#This Row],[Store ID]],tblStores[Store ID],tblStores[Store Name])</f>
        <v>Gqeberha</v>
      </c>
      <c r="E3397" t="str">
        <f>_xlfn.XLOOKUP(tblSales[[#This Row],[Store ID]],tblStores[Store ID],tblStores[Province])</f>
        <v>Eastern Cape</v>
      </c>
      <c r="F3397" t="str">
        <f>_xlfn.XLOOKUP(tblSales[[#This Row],[Store ID]],tblStores[Store ID],tblStores[Manager])</f>
        <v>Emma Baker</v>
      </c>
      <c r="G3397" t="str">
        <f>_xlfn.XLOOKUP(tblSales[[#This Row],[Category ID]],tblCategories[Category ID],tblCategories[Category])</f>
        <v>Kids</v>
      </c>
      <c r="H3397">
        <v>15264</v>
      </c>
      <c r="I3397">
        <v>14345</v>
      </c>
      <c r="J3397">
        <v>36</v>
      </c>
      <c r="K3397">
        <f>tblSales[[#This Row],[Sales]]-tblSales[[#This Row],[Budget]]</f>
        <v>919</v>
      </c>
      <c r="L3397" s="3">
        <f>(tblSales[[#This Row],[Sales]]-tblSales[[#This Row],[Budget]])/tblSales[[#This Row],[Budget]]</f>
        <v>6.4064133844545137E-2</v>
      </c>
      <c r="M3397" s="2">
        <f>tblSales[[#This Row],[Sales]]/tblSales[[#This Row],[Transactions]]</f>
        <v>424</v>
      </c>
    </row>
    <row r="3398" spans="1:13" x14ac:dyDescent="0.25">
      <c r="A3398" s="1">
        <v>46192</v>
      </c>
      <c r="B3398" t="s">
        <v>27</v>
      </c>
      <c r="C3398" t="s">
        <v>7</v>
      </c>
      <c r="D3398" t="str">
        <f>_xlfn.XLOOKUP(tblSales[[#This Row],[Store ID]],tblStores[Store ID],tblStores[Store Name])</f>
        <v>East London</v>
      </c>
      <c r="E3398" t="str">
        <f>_xlfn.XLOOKUP(tblSales[[#This Row],[Store ID]],tblStores[Store ID],tblStores[Province])</f>
        <v>Eastern Cape</v>
      </c>
      <c r="F3398" t="str">
        <f>_xlfn.XLOOKUP(tblSales[[#This Row],[Store ID]],tblStores[Store ID],tblStores[Manager])</f>
        <v>Daniel Evans</v>
      </c>
      <c r="G3398" t="str">
        <f>_xlfn.XLOOKUP(tblSales[[#This Row],[Category ID]],tblCategories[Category ID],tblCategories[Category])</f>
        <v>Menswear</v>
      </c>
      <c r="H3398">
        <v>71455</v>
      </c>
      <c r="I3398">
        <v>76578</v>
      </c>
      <c r="J3398">
        <v>155</v>
      </c>
      <c r="K3398">
        <f>tblSales[[#This Row],[Sales]]-tblSales[[#This Row],[Budget]]</f>
        <v>-5123</v>
      </c>
      <c r="L3398" s="3">
        <f>(tblSales[[#This Row],[Sales]]-tblSales[[#This Row],[Budget]])/tblSales[[#This Row],[Budget]]</f>
        <v>-6.6899109404789894E-2</v>
      </c>
      <c r="M3398" s="2">
        <f>tblSales[[#This Row],[Sales]]/tblSales[[#This Row],[Transactions]]</f>
        <v>461</v>
      </c>
    </row>
    <row r="3399" spans="1:13" x14ac:dyDescent="0.25">
      <c r="A3399" s="1">
        <v>46192</v>
      </c>
      <c r="B3399" t="s">
        <v>28</v>
      </c>
      <c r="C3399" t="s">
        <v>9</v>
      </c>
      <c r="D3399" t="str">
        <f>_xlfn.XLOOKUP(tblSales[[#This Row],[Store ID]],tblStores[Store ID],tblStores[Store Name])</f>
        <v>Bloemfontein</v>
      </c>
      <c r="E3399" t="str">
        <f>_xlfn.XLOOKUP(tblSales[[#This Row],[Store ID]],tblStores[Store ID],tblStores[Province])</f>
        <v>Free State</v>
      </c>
      <c r="F3399" t="str">
        <f>_xlfn.XLOOKUP(tblSales[[#This Row],[Store ID]],tblStores[Store ID],tblStores[Manager])</f>
        <v>Rachel Moore</v>
      </c>
      <c r="G3399" t="str">
        <f>_xlfn.XLOOKUP(tblSales[[#This Row],[Category ID]],tblCategories[Category ID],tblCategories[Category])</f>
        <v>Ladieswear</v>
      </c>
      <c r="H3399">
        <v>57660</v>
      </c>
      <c r="I3399">
        <v>63877</v>
      </c>
      <c r="J3399">
        <v>155</v>
      </c>
      <c r="K3399">
        <f>tblSales[[#This Row],[Sales]]-tblSales[[#This Row],[Budget]]</f>
        <v>-6217</v>
      </c>
      <c r="L3399" s="3">
        <f>(tblSales[[#This Row],[Sales]]-tblSales[[#This Row],[Budget]])/tblSales[[#This Row],[Budget]]</f>
        <v>-9.7327676628520432E-2</v>
      </c>
      <c r="M3399" s="2">
        <f>tblSales[[#This Row],[Sales]]/tblSales[[#This Row],[Transactions]]</f>
        <v>372</v>
      </c>
    </row>
    <row r="3400" spans="1:13" x14ac:dyDescent="0.25">
      <c r="A3400" s="1">
        <v>46192</v>
      </c>
      <c r="B3400" t="s">
        <v>29</v>
      </c>
      <c r="C3400" t="s">
        <v>9</v>
      </c>
      <c r="D3400" t="str">
        <f>_xlfn.XLOOKUP(tblSales[[#This Row],[Store ID]],tblStores[Store ID],tblStores[Store Name])</f>
        <v>Polokwane</v>
      </c>
      <c r="E3400" t="str">
        <f>_xlfn.XLOOKUP(tblSales[[#This Row],[Store ID]],tblStores[Store ID],tblStores[Province])</f>
        <v>Limpopo</v>
      </c>
      <c r="F3400" t="str">
        <f>_xlfn.XLOOKUP(tblSales[[#This Row],[Store ID]],tblStores[Store ID],tblStores[Manager])</f>
        <v>Kevin Harris</v>
      </c>
      <c r="G3400" t="str">
        <f>_xlfn.XLOOKUP(tblSales[[#This Row],[Category ID]],tblCategories[Category ID],tblCategories[Category])</f>
        <v>Ladieswear</v>
      </c>
      <c r="H3400">
        <v>22302</v>
      </c>
      <c r="I3400">
        <v>20788</v>
      </c>
      <c r="J3400">
        <v>59</v>
      </c>
      <c r="K3400">
        <f>tblSales[[#This Row],[Sales]]-tblSales[[#This Row],[Budget]]</f>
        <v>1514</v>
      </c>
      <c r="L3400" s="3">
        <f>(tblSales[[#This Row],[Sales]]-tblSales[[#This Row],[Budget]])/tblSales[[#This Row],[Budget]]</f>
        <v>7.2830479122570707E-2</v>
      </c>
      <c r="M3400" s="2">
        <f>tblSales[[#This Row],[Sales]]/tblSales[[#This Row],[Transactions]]</f>
        <v>378</v>
      </c>
    </row>
    <row r="3401" spans="1:13" x14ac:dyDescent="0.25">
      <c r="A3401" s="1">
        <v>46192</v>
      </c>
      <c r="B3401" t="s">
        <v>30</v>
      </c>
      <c r="C3401" t="s">
        <v>9</v>
      </c>
      <c r="D3401" t="str">
        <f>_xlfn.XLOOKUP(tblSales[[#This Row],[Store ID]],tblStores[Store ID],tblStores[Store Name])</f>
        <v>Nelspruit</v>
      </c>
      <c r="E3401" t="str">
        <f>_xlfn.XLOOKUP(tblSales[[#This Row],[Store ID]],tblStores[Store ID],tblStores[Province])</f>
        <v>Mpumalanga</v>
      </c>
      <c r="F3401" t="str">
        <f>_xlfn.XLOOKUP(tblSales[[#This Row],[Store ID]],tblStores[Store ID],tblStores[Manager])</f>
        <v>Olivia Turner</v>
      </c>
      <c r="G3401" t="str">
        <f>_xlfn.XLOOKUP(tblSales[[#This Row],[Category ID]],tblCategories[Category ID],tblCategories[Category])</f>
        <v>Ladieswear</v>
      </c>
      <c r="H3401">
        <v>47539</v>
      </c>
      <c r="I3401">
        <v>53457</v>
      </c>
      <c r="J3401">
        <v>137</v>
      </c>
      <c r="K3401">
        <f>tblSales[[#This Row],[Sales]]-tblSales[[#This Row],[Budget]]</f>
        <v>-5918</v>
      </c>
      <c r="L3401" s="3">
        <f>(tblSales[[#This Row],[Sales]]-tblSales[[#This Row],[Budget]])/tblSales[[#This Row],[Budget]]</f>
        <v>-0.11070580092410723</v>
      </c>
      <c r="M3401" s="2">
        <f>tblSales[[#This Row],[Sales]]/tblSales[[#This Row],[Transactions]]</f>
        <v>347</v>
      </c>
    </row>
    <row r="3402" spans="1:13" x14ac:dyDescent="0.25">
      <c r="A3402" s="1">
        <v>46193</v>
      </c>
      <c r="B3402" t="s">
        <v>6</v>
      </c>
      <c r="C3402" t="s">
        <v>11</v>
      </c>
      <c r="D3402" t="str">
        <f>_xlfn.XLOOKUP(tblSales[[#This Row],[Store ID]],tblStores[Store ID],tblStores[Store Name])</f>
        <v>Durban CBD</v>
      </c>
      <c r="E3402" t="str">
        <f>_xlfn.XLOOKUP(tblSales[[#This Row],[Store ID]],tblStores[Store ID],tblStores[Province])</f>
        <v>KZN</v>
      </c>
      <c r="F3402" t="str">
        <f>_xlfn.XLOOKUP(tblSales[[#This Row],[Store ID]],tblStores[Store ID],tblStores[Manager])</f>
        <v>Sarah Adams</v>
      </c>
      <c r="G3402" t="str">
        <f>_xlfn.XLOOKUP(tblSales[[#This Row],[Category ID]],tblCategories[Category ID],tblCategories[Category])</f>
        <v>Footwear</v>
      </c>
      <c r="H3402">
        <v>71247</v>
      </c>
      <c r="I3402">
        <v>73635</v>
      </c>
      <c r="J3402">
        <v>187</v>
      </c>
      <c r="K3402">
        <f>tblSales[[#This Row],[Sales]]-tblSales[[#This Row],[Budget]]</f>
        <v>-2388</v>
      </c>
      <c r="L3402" s="3">
        <f>(tblSales[[#This Row],[Sales]]-tblSales[[#This Row],[Budget]])/tblSales[[#This Row],[Budget]]</f>
        <v>-3.2430230189447955E-2</v>
      </c>
      <c r="M3402" s="2">
        <f>tblSales[[#This Row],[Sales]]/tblSales[[#This Row],[Transactions]]</f>
        <v>381</v>
      </c>
    </row>
    <row r="3403" spans="1:13" x14ac:dyDescent="0.25">
      <c r="A3403" s="1">
        <v>46193</v>
      </c>
      <c r="B3403" t="s">
        <v>8</v>
      </c>
      <c r="C3403" t="s">
        <v>22</v>
      </c>
      <c r="D3403" t="str">
        <f>_xlfn.XLOOKUP(tblSales[[#This Row],[Store ID]],tblStores[Store ID],tblStores[Store Name])</f>
        <v>Gateway</v>
      </c>
      <c r="E3403" t="str">
        <f>_xlfn.XLOOKUP(tblSales[[#This Row],[Store ID]],tblStores[Store ID],tblStores[Province])</f>
        <v>KZN</v>
      </c>
      <c r="F3403" t="str">
        <f>_xlfn.XLOOKUP(tblSales[[#This Row],[Store ID]],tblStores[Store ID],tblStores[Manager])</f>
        <v>Michael Jones</v>
      </c>
      <c r="G3403" t="str">
        <f>_xlfn.XLOOKUP(tblSales[[#This Row],[Category ID]],tblCategories[Category ID],tblCategories[Category])</f>
        <v>Kids</v>
      </c>
      <c r="H3403">
        <v>76800</v>
      </c>
      <c r="I3403">
        <v>69636</v>
      </c>
      <c r="J3403">
        <v>160</v>
      </c>
      <c r="K3403">
        <f>tblSales[[#This Row],[Sales]]-tblSales[[#This Row],[Budget]]</f>
        <v>7164</v>
      </c>
      <c r="L3403" s="3">
        <f>(tblSales[[#This Row],[Sales]]-tblSales[[#This Row],[Budget]])/tblSales[[#This Row],[Budget]]</f>
        <v>0.10287782181630191</v>
      </c>
      <c r="M3403" s="2">
        <f>tblSales[[#This Row],[Sales]]/tblSales[[#This Row],[Transactions]]</f>
        <v>480</v>
      </c>
    </row>
    <row r="3404" spans="1:13" x14ac:dyDescent="0.25">
      <c r="A3404" s="1">
        <v>46193</v>
      </c>
      <c r="B3404" t="s">
        <v>10</v>
      </c>
      <c r="C3404" t="s">
        <v>19</v>
      </c>
      <c r="D3404" t="str">
        <f>_xlfn.XLOOKUP(tblSales[[#This Row],[Store ID]],tblStores[Store ID],tblStores[Store Name])</f>
        <v>Ballito</v>
      </c>
      <c r="E3404" t="str">
        <f>_xlfn.XLOOKUP(tblSales[[#This Row],[Store ID]],tblStores[Store ID],tblStores[Province])</f>
        <v>KZN</v>
      </c>
      <c r="F3404" t="str">
        <f>_xlfn.XLOOKUP(tblSales[[#This Row],[Store ID]],tblStores[Store ID],tblStores[Manager])</f>
        <v>Linda Smith</v>
      </c>
      <c r="G3404" t="str">
        <f>_xlfn.XLOOKUP(tblSales[[#This Row],[Category ID]],tblCategories[Category ID],tblCategories[Category])</f>
        <v>Accessories</v>
      </c>
      <c r="H3404">
        <v>24000</v>
      </c>
      <c r="I3404">
        <v>23814</v>
      </c>
      <c r="J3404">
        <v>80</v>
      </c>
      <c r="K3404">
        <f>tblSales[[#This Row],[Sales]]-tblSales[[#This Row],[Budget]]</f>
        <v>186</v>
      </c>
      <c r="L3404" s="3">
        <f>(tblSales[[#This Row],[Sales]]-tblSales[[#This Row],[Budget]])/tblSales[[#This Row],[Budget]]</f>
        <v>7.8105316200554296E-3</v>
      </c>
      <c r="M3404" s="2">
        <f>tblSales[[#This Row],[Sales]]/tblSales[[#This Row],[Transactions]]</f>
        <v>300</v>
      </c>
    </row>
    <row r="3405" spans="1:13" x14ac:dyDescent="0.25">
      <c r="A3405" s="1">
        <v>46193</v>
      </c>
      <c r="B3405" t="s">
        <v>12</v>
      </c>
      <c r="C3405" t="s">
        <v>22</v>
      </c>
      <c r="D3405" t="str">
        <f>_xlfn.XLOOKUP(tblSales[[#This Row],[Store ID]],tblStores[Store ID],tblStores[Store Name])</f>
        <v>Pietermaritzburg</v>
      </c>
      <c r="E3405" t="str">
        <f>_xlfn.XLOOKUP(tblSales[[#This Row],[Store ID]],tblStores[Store ID],tblStores[Province])</f>
        <v>KZN</v>
      </c>
      <c r="F3405" t="str">
        <f>_xlfn.XLOOKUP(tblSales[[#This Row],[Store ID]],tblStores[Store ID],tblStores[Manager])</f>
        <v>Peter Brown</v>
      </c>
      <c r="G3405" t="str">
        <f>_xlfn.XLOOKUP(tblSales[[#This Row],[Category ID]],tblCategories[Category ID],tblCategories[Category])</f>
        <v>Kids</v>
      </c>
      <c r="H3405">
        <v>29340</v>
      </c>
      <c r="I3405">
        <v>30884</v>
      </c>
      <c r="J3405">
        <v>163</v>
      </c>
      <c r="K3405">
        <f>tblSales[[#This Row],[Sales]]-tblSales[[#This Row],[Budget]]</f>
        <v>-1544</v>
      </c>
      <c r="L3405" s="3">
        <f>(tblSales[[#This Row],[Sales]]-tblSales[[#This Row],[Budget]])/tblSales[[#This Row],[Budget]]</f>
        <v>-4.9993524154902214E-2</v>
      </c>
      <c r="M3405" s="2">
        <f>tblSales[[#This Row],[Sales]]/tblSales[[#This Row],[Transactions]]</f>
        <v>180</v>
      </c>
    </row>
    <row r="3406" spans="1:13" x14ac:dyDescent="0.25">
      <c r="A3406" s="1">
        <v>46193</v>
      </c>
      <c r="B3406" t="s">
        <v>13</v>
      </c>
      <c r="C3406" t="s">
        <v>11</v>
      </c>
      <c r="D3406" t="str">
        <f>_xlfn.XLOOKUP(tblSales[[#This Row],[Store ID]],tblStores[Store ID],tblStores[Store Name])</f>
        <v>Richards Bay</v>
      </c>
      <c r="E3406" t="str">
        <f>_xlfn.XLOOKUP(tblSales[[#This Row],[Store ID]],tblStores[Store ID],tblStores[Province])</f>
        <v>KZN</v>
      </c>
      <c r="F3406" t="str">
        <f>_xlfn.XLOOKUP(tblSales[[#This Row],[Store ID]],tblStores[Store ID],tblStores[Manager])</f>
        <v>David Green</v>
      </c>
      <c r="G3406" t="str">
        <f>_xlfn.XLOOKUP(tblSales[[#This Row],[Category ID]],tblCategories[Category ID],tblCategories[Category])</f>
        <v>Footwear</v>
      </c>
      <c r="H3406">
        <v>27540</v>
      </c>
      <c r="I3406">
        <v>26370</v>
      </c>
      <c r="J3406">
        <v>54</v>
      </c>
      <c r="K3406">
        <f>tblSales[[#This Row],[Sales]]-tblSales[[#This Row],[Budget]]</f>
        <v>1170</v>
      </c>
      <c r="L3406" s="3">
        <f>(tblSales[[#This Row],[Sales]]-tblSales[[#This Row],[Budget]])/tblSales[[#This Row],[Budget]]</f>
        <v>4.4368600682593858E-2</v>
      </c>
      <c r="M3406" s="2">
        <f>tblSales[[#This Row],[Sales]]/tblSales[[#This Row],[Transactions]]</f>
        <v>510</v>
      </c>
    </row>
    <row r="3407" spans="1:13" x14ac:dyDescent="0.25">
      <c r="A3407" s="1">
        <v>46193</v>
      </c>
      <c r="B3407" t="s">
        <v>14</v>
      </c>
      <c r="C3407" t="s">
        <v>11</v>
      </c>
      <c r="D3407" t="str">
        <f>_xlfn.XLOOKUP(tblSales[[#This Row],[Store ID]],tblStores[Store ID],tblStores[Store Name])</f>
        <v>Sandton</v>
      </c>
      <c r="E3407" t="str">
        <f>_xlfn.XLOOKUP(tblSales[[#This Row],[Store ID]],tblStores[Store ID],tblStores[Province])</f>
        <v>Gauteng</v>
      </c>
      <c r="F3407" t="str">
        <f>_xlfn.XLOOKUP(tblSales[[#This Row],[Store ID]],tblStores[Store ID],tblStores[Manager])</f>
        <v>Karen White</v>
      </c>
      <c r="G3407" t="str">
        <f>_xlfn.XLOOKUP(tblSales[[#This Row],[Category ID]],tblCategories[Category ID],tblCategories[Category])</f>
        <v>Footwear</v>
      </c>
      <c r="H3407">
        <v>16766</v>
      </c>
      <c r="I3407">
        <v>15974</v>
      </c>
      <c r="J3407">
        <v>83</v>
      </c>
      <c r="K3407">
        <f>tblSales[[#This Row],[Sales]]-tblSales[[#This Row],[Budget]]</f>
        <v>792</v>
      </c>
      <c r="L3407" s="3">
        <f>(tblSales[[#This Row],[Sales]]-tblSales[[#This Row],[Budget]])/tblSales[[#This Row],[Budget]]</f>
        <v>4.9580568423688492E-2</v>
      </c>
      <c r="M3407" s="2">
        <f>tblSales[[#This Row],[Sales]]/tblSales[[#This Row],[Transactions]]</f>
        <v>202</v>
      </c>
    </row>
    <row r="3408" spans="1:13" x14ac:dyDescent="0.25">
      <c r="A3408" s="1">
        <v>46193</v>
      </c>
      <c r="B3408" t="s">
        <v>15</v>
      </c>
      <c r="C3408" t="s">
        <v>11</v>
      </c>
      <c r="D3408" t="str">
        <f>_xlfn.XLOOKUP(tblSales[[#This Row],[Store ID]],tblStores[Store ID],tblStores[Store Name])</f>
        <v>Rosebank</v>
      </c>
      <c r="E3408" t="str">
        <f>_xlfn.XLOOKUP(tblSales[[#This Row],[Store ID]],tblStores[Store ID],tblStores[Province])</f>
        <v>Gauteng</v>
      </c>
      <c r="F3408" t="str">
        <f>_xlfn.XLOOKUP(tblSales[[#This Row],[Store ID]],tblStores[Store ID],tblStores[Manager])</f>
        <v>James Taylor</v>
      </c>
      <c r="G3408" t="str">
        <f>_xlfn.XLOOKUP(tblSales[[#This Row],[Category ID]],tblCategories[Category ID],tblCategories[Category])</f>
        <v>Footwear</v>
      </c>
      <c r="H3408">
        <v>20474</v>
      </c>
      <c r="I3408">
        <v>20392</v>
      </c>
      <c r="J3408">
        <v>58</v>
      </c>
      <c r="K3408">
        <f>tblSales[[#This Row],[Sales]]-tblSales[[#This Row],[Budget]]</f>
        <v>82</v>
      </c>
      <c r="L3408" s="3">
        <f>(tblSales[[#This Row],[Sales]]-tblSales[[#This Row],[Budget]])/tblSales[[#This Row],[Budget]]</f>
        <v>4.0211847783444485E-3</v>
      </c>
      <c r="M3408" s="2">
        <f>tblSales[[#This Row],[Sales]]/tblSales[[#This Row],[Transactions]]</f>
        <v>353</v>
      </c>
    </row>
    <row r="3409" spans="1:13" x14ac:dyDescent="0.25">
      <c r="A3409" s="1">
        <v>46193</v>
      </c>
      <c r="B3409" t="s">
        <v>16</v>
      </c>
      <c r="C3409" t="s">
        <v>9</v>
      </c>
      <c r="D3409" t="str">
        <f>_xlfn.XLOOKUP(tblSales[[#This Row],[Store ID]],tblStores[Store ID],tblStores[Store Name])</f>
        <v>Pretoria</v>
      </c>
      <c r="E3409" t="str">
        <f>_xlfn.XLOOKUP(tblSales[[#This Row],[Store ID]],tblStores[Store ID],tblStores[Province])</f>
        <v>Gauteng</v>
      </c>
      <c r="F3409" t="str">
        <f>_xlfn.XLOOKUP(tblSales[[#This Row],[Store ID]],tblStores[Store ID],tblStores[Manager])</f>
        <v>Susan Clark</v>
      </c>
      <c r="G3409" t="str">
        <f>_xlfn.XLOOKUP(tblSales[[#This Row],[Category ID]],tblCategories[Category ID],tblCategories[Category])</f>
        <v>Ladieswear</v>
      </c>
      <c r="H3409">
        <v>36751</v>
      </c>
      <c r="I3409">
        <v>35694</v>
      </c>
      <c r="J3409">
        <v>143</v>
      </c>
      <c r="K3409">
        <f>tblSales[[#This Row],[Sales]]-tblSales[[#This Row],[Budget]]</f>
        <v>1057</v>
      </c>
      <c r="L3409" s="3">
        <f>(tblSales[[#This Row],[Sales]]-tblSales[[#This Row],[Budget]])/tblSales[[#This Row],[Budget]]</f>
        <v>2.9612820081806466E-2</v>
      </c>
      <c r="M3409" s="2">
        <f>tblSales[[#This Row],[Sales]]/tblSales[[#This Row],[Transactions]]</f>
        <v>257</v>
      </c>
    </row>
    <row r="3410" spans="1:13" x14ac:dyDescent="0.25">
      <c r="A3410" s="1">
        <v>46193</v>
      </c>
      <c r="B3410" t="s">
        <v>17</v>
      </c>
      <c r="C3410" t="s">
        <v>11</v>
      </c>
      <c r="D3410" t="str">
        <f>_xlfn.XLOOKUP(tblSales[[#This Row],[Store ID]],tblStores[Store ID],tblStores[Store Name])</f>
        <v>Centurion</v>
      </c>
      <c r="E3410" t="str">
        <f>_xlfn.XLOOKUP(tblSales[[#This Row],[Store ID]],tblStores[Store ID],tblStores[Province])</f>
        <v>Gauteng</v>
      </c>
      <c r="F3410" t="str">
        <f>_xlfn.XLOOKUP(tblSales[[#This Row],[Store ID]],tblStores[Store ID],tblStores[Manager])</f>
        <v>Mark Wilson</v>
      </c>
      <c r="G3410" t="str">
        <f>_xlfn.XLOOKUP(tblSales[[#This Row],[Category ID]],tblCategories[Category ID],tblCategories[Category])</f>
        <v>Footwear</v>
      </c>
      <c r="H3410">
        <v>88182</v>
      </c>
      <c r="I3410">
        <v>80131</v>
      </c>
      <c r="J3410">
        <v>207</v>
      </c>
      <c r="K3410">
        <f>tblSales[[#This Row],[Sales]]-tblSales[[#This Row],[Budget]]</f>
        <v>8051</v>
      </c>
      <c r="L3410" s="3">
        <f>(tblSales[[#This Row],[Sales]]-tblSales[[#This Row],[Budget]])/tblSales[[#This Row],[Budget]]</f>
        <v>0.10047297550261447</v>
      </c>
      <c r="M3410" s="2">
        <f>tblSales[[#This Row],[Sales]]/tblSales[[#This Row],[Transactions]]</f>
        <v>426</v>
      </c>
    </row>
    <row r="3411" spans="1:13" x14ac:dyDescent="0.25">
      <c r="A3411" s="1">
        <v>46193</v>
      </c>
      <c r="B3411" t="s">
        <v>18</v>
      </c>
      <c r="C3411" t="s">
        <v>11</v>
      </c>
      <c r="D3411" t="str">
        <f>_xlfn.XLOOKUP(tblSales[[#This Row],[Store ID]],tblStores[Store ID],tblStores[Store Name])</f>
        <v>East Rand</v>
      </c>
      <c r="E3411" t="str">
        <f>_xlfn.XLOOKUP(tblSales[[#This Row],[Store ID]],tblStores[Store ID],tblStores[Province])</f>
        <v>Gauteng</v>
      </c>
      <c r="F3411" t="str">
        <f>_xlfn.XLOOKUP(tblSales[[#This Row],[Store ID]],tblStores[Store ID],tblStores[Manager])</f>
        <v>Lisa Young</v>
      </c>
      <c r="G3411" t="str">
        <f>_xlfn.XLOOKUP(tblSales[[#This Row],[Category ID]],tblCategories[Category ID],tblCategories[Category])</f>
        <v>Footwear</v>
      </c>
      <c r="H3411">
        <v>21040</v>
      </c>
      <c r="I3411">
        <v>21030</v>
      </c>
      <c r="J3411">
        <v>80</v>
      </c>
      <c r="K3411">
        <f>tblSales[[#This Row],[Sales]]-tblSales[[#This Row],[Budget]]</f>
        <v>10</v>
      </c>
      <c r="L3411" s="3">
        <f>(tblSales[[#This Row],[Sales]]-tblSales[[#This Row],[Budget]])/tblSales[[#This Row],[Budget]]</f>
        <v>4.7551117451260106E-4</v>
      </c>
      <c r="M3411" s="2">
        <f>tblSales[[#This Row],[Sales]]/tblSales[[#This Row],[Transactions]]</f>
        <v>263</v>
      </c>
    </row>
    <row r="3412" spans="1:13" x14ac:dyDescent="0.25">
      <c r="A3412" s="1">
        <v>46193</v>
      </c>
      <c r="B3412" t="s">
        <v>20</v>
      </c>
      <c r="C3412" t="s">
        <v>19</v>
      </c>
      <c r="D3412" t="str">
        <f>_xlfn.XLOOKUP(tblSales[[#This Row],[Store ID]],tblStores[Store ID],tblStores[Store Name])</f>
        <v>Cape Town CBD</v>
      </c>
      <c r="E3412" t="str">
        <f>_xlfn.XLOOKUP(tblSales[[#This Row],[Store ID]],tblStores[Store ID],tblStores[Province])</f>
        <v>Western Cape</v>
      </c>
      <c r="F3412" t="str">
        <f>_xlfn.XLOOKUP(tblSales[[#This Row],[Store ID]],tblStores[Store ID],tblStores[Manager])</f>
        <v>Brian Hall</v>
      </c>
      <c r="G3412" t="str">
        <f>_xlfn.XLOOKUP(tblSales[[#This Row],[Category ID]],tblCategories[Category ID],tblCategories[Category])</f>
        <v>Accessories</v>
      </c>
      <c r="H3412">
        <v>25916</v>
      </c>
      <c r="I3412">
        <v>28547</v>
      </c>
      <c r="J3412">
        <v>62</v>
      </c>
      <c r="K3412">
        <f>tblSales[[#This Row],[Sales]]-tblSales[[#This Row],[Budget]]</f>
        <v>-2631</v>
      </c>
      <c r="L3412" s="3">
        <f>(tblSales[[#This Row],[Sales]]-tblSales[[#This Row],[Budget]])/tblSales[[#This Row],[Budget]]</f>
        <v>-9.2163800049041927E-2</v>
      </c>
      <c r="M3412" s="2">
        <f>tblSales[[#This Row],[Sales]]/tblSales[[#This Row],[Transactions]]</f>
        <v>418</v>
      </c>
    </row>
    <row r="3413" spans="1:13" x14ac:dyDescent="0.25">
      <c r="A3413" s="1">
        <v>46193</v>
      </c>
      <c r="B3413" t="s">
        <v>21</v>
      </c>
      <c r="C3413" t="s">
        <v>22</v>
      </c>
      <c r="D3413" t="str">
        <f>_xlfn.XLOOKUP(tblSales[[#This Row],[Store ID]],tblStores[Store ID],tblStores[Store Name])</f>
        <v>Canal Walk</v>
      </c>
      <c r="E3413" t="str">
        <f>_xlfn.XLOOKUP(tblSales[[#This Row],[Store ID]],tblStores[Store ID],tblStores[Province])</f>
        <v>Western Cape</v>
      </c>
      <c r="F3413" t="str">
        <f>_xlfn.XLOOKUP(tblSales[[#This Row],[Store ID]],tblStores[Store ID],tblStores[Manager])</f>
        <v>Megan Scott</v>
      </c>
      <c r="G3413" t="str">
        <f>_xlfn.XLOOKUP(tblSales[[#This Row],[Category ID]],tblCategories[Category ID],tblCategories[Category])</f>
        <v>Kids</v>
      </c>
      <c r="H3413">
        <v>48510</v>
      </c>
      <c r="I3413">
        <v>51613</v>
      </c>
      <c r="J3413">
        <v>210</v>
      </c>
      <c r="K3413">
        <f>tblSales[[#This Row],[Sales]]-tblSales[[#This Row],[Budget]]</f>
        <v>-3103</v>
      </c>
      <c r="L3413" s="3">
        <f>(tblSales[[#This Row],[Sales]]-tblSales[[#This Row],[Budget]])/tblSales[[#This Row],[Budget]]</f>
        <v>-6.0120512274039486E-2</v>
      </c>
      <c r="M3413" s="2">
        <f>tblSales[[#This Row],[Sales]]/tblSales[[#This Row],[Transactions]]</f>
        <v>231</v>
      </c>
    </row>
    <row r="3414" spans="1:13" x14ac:dyDescent="0.25">
      <c r="A3414" s="1">
        <v>46193</v>
      </c>
      <c r="B3414" t="s">
        <v>23</v>
      </c>
      <c r="C3414" t="s">
        <v>11</v>
      </c>
      <c r="D3414" t="str">
        <f>_xlfn.XLOOKUP(tblSales[[#This Row],[Store ID]],tblStores[Store ID],tblStores[Store Name])</f>
        <v>Stellenbosch</v>
      </c>
      <c r="E3414" t="str">
        <f>_xlfn.XLOOKUP(tblSales[[#This Row],[Store ID]],tblStores[Store ID],tblStores[Province])</f>
        <v>Western Cape</v>
      </c>
      <c r="F3414" t="str">
        <f>_xlfn.XLOOKUP(tblSales[[#This Row],[Store ID]],tblStores[Store ID],tblStores[Manager])</f>
        <v>Jason King</v>
      </c>
      <c r="G3414" t="str">
        <f>_xlfn.XLOOKUP(tblSales[[#This Row],[Category ID]],tblCategories[Category ID],tblCategories[Category])</f>
        <v>Footwear</v>
      </c>
      <c r="H3414">
        <v>9956</v>
      </c>
      <c r="I3414">
        <v>9754</v>
      </c>
      <c r="J3414">
        <v>38</v>
      </c>
      <c r="K3414">
        <f>tblSales[[#This Row],[Sales]]-tblSales[[#This Row],[Budget]]</f>
        <v>202</v>
      </c>
      <c r="L3414" s="3">
        <f>(tblSales[[#This Row],[Sales]]-tblSales[[#This Row],[Budget]])/tblSales[[#This Row],[Budget]]</f>
        <v>2.0709452532294444E-2</v>
      </c>
      <c r="M3414" s="2">
        <f>tblSales[[#This Row],[Sales]]/tblSales[[#This Row],[Transactions]]</f>
        <v>262</v>
      </c>
    </row>
    <row r="3415" spans="1:13" x14ac:dyDescent="0.25">
      <c r="A3415" s="1">
        <v>46193</v>
      </c>
      <c r="B3415" t="s">
        <v>24</v>
      </c>
      <c r="C3415" t="s">
        <v>19</v>
      </c>
      <c r="D3415" t="str">
        <f>_xlfn.XLOOKUP(tblSales[[#This Row],[Store ID]],tblStores[Store ID],tblStores[Store Name])</f>
        <v>George</v>
      </c>
      <c r="E3415" t="str">
        <f>_xlfn.XLOOKUP(tblSales[[#This Row],[Store ID]],tblStores[Store ID],tblStores[Province])</f>
        <v>Western Cape</v>
      </c>
      <c r="F3415" t="str">
        <f>_xlfn.XLOOKUP(tblSales[[#This Row],[Store ID]],tblStores[Store ID],tblStores[Manager])</f>
        <v>Chloe Hill</v>
      </c>
      <c r="G3415" t="str">
        <f>_xlfn.XLOOKUP(tblSales[[#This Row],[Category ID]],tblCategories[Category ID],tblCategories[Category])</f>
        <v>Accessories</v>
      </c>
      <c r="H3415">
        <v>61664</v>
      </c>
      <c r="I3415">
        <v>66077</v>
      </c>
      <c r="J3415">
        <v>164</v>
      </c>
      <c r="K3415">
        <f>tblSales[[#This Row],[Sales]]-tblSales[[#This Row],[Budget]]</f>
        <v>-4413</v>
      </c>
      <c r="L3415" s="3">
        <f>(tblSales[[#This Row],[Sales]]-tblSales[[#This Row],[Budget]])/tblSales[[#This Row],[Budget]]</f>
        <v>-6.6785719690663922E-2</v>
      </c>
      <c r="M3415" s="2">
        <f>tblSales[[#This Row],[Sales]]/tblSales[[#This Row],[Transactions]]</f>
        <v>376</v>
      </c>
    </row>
    <row r="3416" spans="1:13" x14ac:dyDescent="0.25">
      <c r="A3416" s="1">
        <v>46193</v>
      </c>
      <c r="B3416" t="s">
        <v>25</v>
      </c>
      <c r="C3416" t="s">
        <v>7</v>
      </c>
      <c r="D3416" t="str">
        <f>_xlfn.XLOOKUP(tblSales[[#This Row],[Store ID]],tblStores[Store ID],tblStores[Store Name])</f>
        <v>Paarl</v>
      </c>
      <c r="E3416" t="str">
        <f>_xlfn.XLOOKUP(tblSales[[#This Row],[Store ID]],tblStores[Store ID],tblStores[Province])</f>
        <v>Western Cape</v>
      </c>
      <c r="F3416" t="str">
        <f>_xlfn.XLOOKUP(tblSales[[#This Row],[Store ID]],tblStores[Store ID],tblStores[Manager])</f>
        <v>Andrew Lee</v>
      </c>
      <c r="G3416" t="str">
        <f>_xlfn.XLOOKUP(tblSales[[#This Row],[Category ID]],tblCategories[Category ID],tblCategories[Category])</f>
        <v>Menswear</v>
      </c>
      <c r="H3416">
        <v>81726</v>
      </c>
      <c r="I3416">
        <v>93166</v>
      </c>
      <c r="J3416">
        <v>159</v>
      </c>
      <c r="K3416">
        <f>tblSales[[#This Row],[Sales]]-tblSales[[#This Row],[Budget]]</f>
        <v>-11440</v>
      </c>
      <c r="L3416" s="3">
        <f>(tblSales[[#This Row],[Sales]]-tblSales[[#This Row],[Budget]])/tblSales[[#This Row],[Budget]]</f>
        <v>-0.12279157632612756</v>
      </c>
      <c r="M3416" s="2">
        <f>tblSales[[#This Row],[Sales]]/tblSales[[#This Row],[Transactions]]</f>
        <v>514</v>
      </c>
    </row>
    <row r="3417" spans="1:13" x14ac:dyDescent="0.25">
      <c r="A3417" s="1">
        <v>46193</v>
      </c>
      <c r="B3417" t="s">
        <v>26</v>
      </c>
      <c r="C3417" t="s">
        <v>11</v>
      </c>
      <c r="D3417" t="str">
        <f>_xlfn.XLOOKUP(tblSales[[#This Row],[Store ID]],tblStores[Store ID],tblStores[Store Name])</f>
        <v>Gqeberha</v>
      </c>
      <c r="E3417" t="str">
        <f>_xlfn.XLOOKUP(tblSales[[#This Row],[Store ID]],tblStores[Store ID],tblStores[Province])</f>
        <v>Eastern Cape</v>
      </c>
      <c r="F3417" t="str">
        <f>_xlfn.XLOOKUP(tblSales[[#This Row],[Store ID]],tblStores[Store ID],tblStores[Manager])</f>
        <v>Emma Baker</v>
      </c>
      <c r="G3417" t="str">
        <f>_xlfn.XLOOKUP(tblSales[[#This Row],[Category ID]],tblCategories[Category ID],tblCategories[Category])</f>
        <v>Footwear</v>
      </c>
      <c r="H3417">
        <v>29601</v>
      </c>
      <c r="I3417">
        <v>28882</v>
      </c>
      <c r="J3417">
        <v>143</v>
      </c>
      <c r="K3417">
        <f>tblSales[[#This Row],[Sales]]-tblSales[[#This Row],[Budget]]</f>
        <v>719</v>
      </c>
      <c r="L3417" s="3">
        <f>(tblSales[[#This Row],[Sales]]-tblSales[[#This Row],[Budget]])/tblSales[[#This Row],[Budget]]</f>
        <v>2.4894397894882625E-2</v>
      </c>
      <c r="M3417" s="2">
        <f>tblSales[[#This Row],[Sales]]/tblSales[[#This Row],[Transactions]]</f>
        <v>207</v>
      </c>
    </row>
    <row r="3418" spans="1:13" x14ac:dyDescent="0.25">
      <c r="A3418" s="1">
        <v>46193</v>
      </c>
      <c r="B3418" t="s">
        <v>27</v>
      </c>
      <c r="C3418" t="s">
        <v>22</v>
      </c>
      <c r="D3418" t="str">
        <f>_xlfn.XLOOKUP(tblSales[[#This Row],[Store ID]],tblStores[Store ID],tblStores[Store Name])</f>
        <v>East London</v>
      </c>
      <c r="E3418" t="str">
        <f>_xlfn.XLOOKUP(tblSales[[#This Row],[Store ID]],tblStores[Store ID],tblStores[Province])</f>
        <v>Eastern Cape</v>
      </c>
      <c r="F3418" t="str">
        <f>_xlfn.XLOOKUP(tblSales[[#This Row],[Store ID]],tblStores[Store ID],tblStores[Manager])</f>
        <v>Daniel Evans</v>
      </c>
      <c r="G3418" t="str">
        <f>_xlfn.XLOOKUP(tblSales[[#This Row],[Category ID]],tblCategories[Category ID],tblCategories[Category])</f>
        <v>Kids</v>
      </c>
      <c r="H3418">
        <v>47083</v>
      </c>
      <c r="I3418">
        <v>49479</v>
      </c>
      <c r="J3418">
        <v>197</v>
      </c>
      <c r="K3418">
        <f>tblSales[[#This Row],[Sales]]-tblSales[[#This Row],[Budget]]</f>
        <v>-2396</v>
      </c>
      <c r="L3418" s="3">
        <f>(tblSales[[#This Row],[Sales]]-tblSales[[#This Row],[Budget]])/tblSales[[#This Row],[Budget]]</f>
        <v>-4.8424584167020349E-2</v>
      </c>
      <c r="M3418" s="2">
        <f>tblSales[[#This Row],[Sales]]/tblSales[[#This Row],[Transactions]]</f>
        <v>239</v>
      </c>
    </row>
    <row r="3419" spans="1:13" x14ac:dyDescent="0.25">
      <c r="A3419" s="1">
        <v>46193</v>
      </c>
      <c r="B3419" t="s">
        <v>28</v>
      </c>
      <c r="C3419" t="s">
        <v>11</v>
      </c>
      <c r="D3419" t="str">
        <f>_xlfn.XLOOKUP(tblSales[[#This Row],[Store ID]],tblStores[Store ID],tblStores[Store Name])</f>
        <v>Bloemfontein</v>
      </c>
      <c r="E3419" t="str">
        <f>_xlfn.XLOOKUP(tblSales[[#This Row],[Store ID]],tblStores[Store ID],tblStores[Province])</f>
        <v>Free State</v>
      </c>
      <c r="F3419" t="str">
        <f>_xlfn.XLOOKUP(tblSales[[#This Row],[Store ID]],tblStores[Store ID],tblStores[Manager])</f>
        <v>Rachel Moore</v>
      </c>
      <c r="G3419" t="str">
        <f>_xlfn.XLOOKUP(tblSales[[#This Row],[Category ID]],tblCategories[Category ID],tblCategories[Category])</f>
        <v>Footwear</v>
      </c>
      <c r="H3419">
        <v>60310</v>
      </c>
      <c r="I3419">
        <v>66054</v>
      </c>
      <c r="J3419">
        <v>163</v>
      </c>
      <c r="K3419">
        <f>tblSales[[#This Row],[Sales]]-tblSales[[#This Row],[Budget]]</f>
        <v>-5744</v>
      </c>
      <c r="L3419" s="3">
        <f>(tblSales[[#This Row],[Sales]]-tblSales[[#This Row],[Budget]])/tblSales[[#This Row],[Budget]]</f>
        <v>-8.6959154631059438E-2</v>
      </c>
      <c r="M3419" s="2">
        <f>tblSales[[#This Row],[Sales]]/tblSales[[#This Row],[Transactions]]</f>
        <v>370</v>
      </c>
    </row>
    <row r="3420" spans="1:13" x14ac:dyDescent="0.25">
      <c r="A3420" s="1">
        <v>46193</v>
      </c>
      <c r="B3420" t="s">
        <v>29</v>
      </c>
      <c r="C3420" t="s">
        <v>22</v>
      </c>
      <c r="D3420" t="str">
        <f>_xlfn.XLOOKUP(tblSales[[#This Row],[Store ID]],tblStores[Store ID],tblStores[Store Name])</f>
        <v>Polokwane</v>
      </c>
      <c r="E3420" t="str">
        <f>_xlfn.XLOOKUP(tblSales[[#This Row],[Store ID]],tblStores[Store ID],tblStores[Province])</f>
        <v>Limpopo</v>
      </c>
      <c r="F3420" t="str">
        <f>_xlfn.XLOOKUP(tblSales[[#This Row],[Store ID]],tblStores[Store ID],tblStores[Manager])</f>
        <v>Kevin Harris</v>
      </c>
      <c r="G3420" t="str">
        <f>_xlfn.XLOOKUP(tblSales[[#This Row],[Category ID]],tblCategories[Category ID],tblCategories[Category])</f>
        <v>Kids</v>
      </c>
      <c r="H3420">
        <v>62586</v>
      </c>
      <c r="I3420">
        <v>58074</v>
      </c>
      <c r="J3420">
        <v>171</v>
      </c>
      <c r="K3420">
        <f>tblSales[[#This Row],[Sales]]-tblSales[[#This Row],[Budget]]</f>
        <v>4512</v>
      </c>
      <c r="L3420" s="3">
        <f>(tblSales[[#This Row],[Sales]]-tblSales[[#This Row],[Budget]])/tblSales[[#This Row],[Budget]]</f>
        <v>7.7693976650480417E-2</v>
      </c>
      <c r="M3420" s="2">
        <f>tblSales[[#This Row],[Sales]]/tblSales[[#This Row],[Transactions]]</f>
        <v>366</v>
      </c>
    </row>
    <row r="3421" spans="1:13" x14ac:dyDescent="0.25">
      <c r="A3421" s="1">
        <v>46193</v>
      </c>
      <c r="B3421" t="s">
        <v>30</v>
      </c>
      <c r="C3421" t="s">
        <v>9</v>
      </c>
      <c r="D3421" t="str">
        <f>_xlfn.XLOOKUP(tblSales[[#This Row],[Store ID]],tblStores[Store ID],tblStores[Store Name])</f>
        <v>Nelspruit</v>
      </c>
      <c r="E3421" t="str">
        <f>_xlfn.XLOOKUP(tblSales[[#This Row],[Store ID]],tblStores[Store ID],tblStores[Province])</f>
        <v>Mpumalanga</v>
      </c>
      <c r="F3421" t="str">
        <f>_xlfn.XLOOKUP(tblSales[[#This Row],[Store ID]],tblStores[Store ID],tblStores[Manager])</f>
        <v>Olivia Turner</v>
      </c>
      <c r="G3421" t="str">
        <f>_xlfn.XLOOKUP(tblSales[[#This Row],[Category ID]],tblCategories[Category ID],tblCategories[Category])</f>
        <v>Ladieswear</v>
      </c>
      <c r="H3421">
        <v>64636</v>
      </c>
      <c r="I3421">
        <v>70446</v>
      </c>
      <c r="J3421">
        <v>143</v>
      </c>
      <c r="K3421">
        <f>tblSales[[#This Row],[Sales]]-tblSales[[#This Row],[Budget]]</f>
        <v>-5810</v>
      </c>
      <c r="L3421" s="3">
        <f>(tblSales[[#This Row],[Sales]]-tblSales[[#This Row],[Budget]])/tblSales[[#This Row],[Budget]]</f>
        <v>-8.2474519490105896E-2</v>
      </c>
      <c r="M3421" s="2">
        <f>tblSales[[#This Row],[Sales]]/tblSales[[#This Row],[Transactions]]</f>
        <v>452</v>
      </c>
    </row>
    <row r="3422" spans="1:13" x14ac:dyDescent="0.25">
      <c r="A3422" s="1">
        <v>46194</v>
      </c>
      <c r="B3422" t="s">
        <v>6</v>
      </c>
      <c r="C3422" t="s">
        <v>7</v>
      </c>
      <c r="D3422" t="str">
        <f>_xlfn.XLOOKUP(tblSales[[#This Row],[Store ID]],tblStores[Store ID],tblStores[Store Name])</f>
        <v>Durban CBD</v>
      </c>
      <c r="E3422" t="str">
        <f>_xlfn.XLOOKUP(tblSales[[#This Row],[Store ID]],tblStores[Store ID],tblStores[Province])</f>
        <v>KZN</v>
      </c>
      <c r="F3422" t="str">
        <f>_xlfn.XLOOKUP(tblSales[[#This Row],[Store ID]],tblStores[Store ID],tblStores[Manager])</f>
        <v>Sarah Adams</v>
      </c>
      <c r="G3422" t="str">
        <f>_xlfn.XLOOKUP(tblSales[[#This Row],[Category ID]],tblCategories[Category ID],tblCategories[Category])</f>
        <v>Menswear</v>
      </c>
      <c r="H3422">
        <v>13359</v>
      </c>
      <c r="I3422">
        <v>13148</v>
      </c>
      <c r="J3422">
        <v>73</v>
      </c>
      <c r="K3422">
        <f>tblSales[[#This Row],[Sales]]-tblSales[[#This Row],[Budget]]</f>
        <v>211</v>
      </c>
      <c r="L3422" s="3">
        <f>(tblSales[[#This Row],[Sales]]-tblSales[[#This Row],[Budget]])/tblSales[[#This Row],[Budget]]</f>
        <v>1.6048068147246731E-2</v>
      </c>
      <c r="M3422" s="2">
        <f>tblSales[[#This Row],[Sales]]/tblSales[[#This Row],[Transactions]]</f>
        <v>183</v>
      </c>
    </row>
    <row r="3423" spans="1:13" x14ac:dyDescent="0.25">
      <c r="A3423" s="1">
        <v>46194</v>
      </c>
      <c r="B3423" t="s">
        <v>8</v>
      </c>
      <c r="C3423" t="s">
        <v>19</v>
      </c>
      <c r="D3423" t="str">
        <f>_xlfn.XLOOKUP(tblSales[[#This Row],[Store ID]],tblStores[Store ID],tblStores[Store Name])</f>
        <v>Gateway</v>
      </c>
      <c r="E3423" t="str">
        <f>_xlfn.XLOOKUP(tblSales[[#This Row],[Store ID]],tblStores[Store ID],tblStores[Province])</f>
        <v>KZN</v>
      </c>
      <c r="F3423" t="str">
        <f>_xlfn.XLOOKUP(tblSales[[#This Row],[Store ID]],tblStores[Store ID],tblStores[Manager])</f>
        <v>Michael Jones</v>
      </c>
      <c r="G3423" t="str">
        <f>_xlfn.XLOOKUP(tblSales[[#This Row],[Category ID]],tblCategories[Category ID],tblCategories[Category])</f>
        <v>Accessories</v>
      </c>
      <c r="H3423">
        <v>28381</v>
      </c>
      <c r="I3423">
        <v>29196</v>
      </c>
      <c r="J3423">
        <v>101</v>
      </c>
      <c r="K3423">
        <f>tblSales[[#This Row],[Sales]]-tblSales[[#This Row],[Budget]]</f>
        <v>-815</v>
      </c>
      <c r="L3423" s="3">
        <f>(tblSales[[#This Row],[Sales]]-tblSales[[#This Row],[Budget]])/tblSales[[#This Row],[Budget]]</f>
        <v>-2.7914782846965337E-2</v>
      </c>
      <c r="M3423" s="2">
        <f>tblSales[[#This Row],[Sales]]/tblSales[[#This Row],[Transactions]]</f>
        <v>281</v>
      </c>
    </row>
    <row r="3424" spans="1:13" x14ac:dyDescent="0.25">
      <c r="A3424" s="1">
        <v>46194</v>
      </c>
      <c r="B3424" t="s">
        <v>10</v>
      </c>
      <c r="C3424" t="s">
        <v>19</v>
      </c>
      <c r="D3424" t="str">
        <f>_xlfn.XLOOKUP(tblSales[[#This Row],[Store ID]],tblStores[Store ID],tblStores[Store Name])</f>
        <v>Ballito</v>
      </c>
      <c r="E3424" t="str">
        <f>_xlfn.XLOOKUP(tblSales[[#This Row],[Store ID]],tblStores[Store ID],tblStores[Province])</f>
        <v>KZN</v>
      </c>
      <c r="F3424" t="str">
        <f>_xlfn.XLOOKUP(tblSales[[#This Row],[Store ID]],tblStores[Store ID],tblStores[Manager])</f>
        <v>Linda Smith</v>
      </c>
      <c r="G3424" t="str">
        <f>_xlfn.XLOOKUP(tblSales[[#This Row],[Category ID]],tblCategories[Category ID],tblCategories[Category])</f>
        <v>Accessories</v>
      </c>
      <c r="H3424">
        <v>60702</v>
      </c>
      <c r="I3424">
        <v>55368</v>
      </c>
      <c r="J3424">
        <v>151</v>
      </c>
      <c r="K3424">
        <f>tblSales[[#This Row],[Sales]]-tblSales[[#This Row],[Budget]]</f>
        <v>5334</v>
      </c>
      <c r="L3424" s="3">
        <f>(tblSales[[#This Row],[Sales]]-tblSales[[#This Row],[Budget]])/tblSales[[#This Row],[Budget]]</f>
        <v>9.6337234503684435E-2</v>
      </c>
      <c r="M3424" s="2">
        <f>tblSales[[#This Row],[Sales]]/tblSales[[#This Row],[Transactions]]</f>
        <v>402</v>
      </c>
    </row>
    <row r="3425" spans="1:13" x14ac:dyDescent="0.25">
      <c r="A3425" s="1">
        <v>46194</v>
      </c>
      <c r="B3425" t="s">
        <v>12</v>
      </c>
      <c r="C3425" t="s">
        <v>22</v>
      </c>
      <c r="D3425" t="str">
        <f>_xlfn.XLOOKUP(tblSales[[#This Row],[Store ID]],tblStores[Store ID],tblStores[Store Name])</f>
        <v>Pietermaritzburg</v>
      </c>
      <c r="E3425" t="str">
        <f>_xlfn.XLOOKUP(tblSales[[#This Row],[Store ID]],tblStores[Store ID],tblStores[Province])</f>
        <v>KZN</v>
      </c>
      <c r="F3425" t="str">
        <f>_xlfn.XLOOKUP(tblSales[[#This Row],[Store ID]],tblStores[Store ID],tblStores[Manager])</f>
        <v>Peter Brown</v>
      </c>
      <c r="G3425" t="str">
        <f>_xlfn.XLOOKUP(tblSales[[#This Row],[Category ID]],tblCategories[Category ID],tblCategories[Category])</f>
        <v>Kids</v>
      </c>
      <c r="H3425">
        <v>10890</v>
      </c>
      <c r="I3425">
        <v>12163</v>
      </c>
      <c r="J3425">
        <v>45</v>
      </c>
      <c r="K3425">
        <f>tblSales[[#This Row],[Sales]]-tblSales[[#This Row],[Budget]]</f>
        <v>-1273</v>
      </c>
      <c r="L3425" s="3">
        <f>(tblSales[[#This Row],[Sales]]-tblSales[[#This Row],[Budget]])/tblSales[[#This Row],[Budget]]</f>
        <v>-0.10466167886212283</v>
      </c>
      <c r="M3425" s="2">
        <f>tblSales[[#This Row],[Sales]]/tblSales[[#This Row],[Transactions]]</f>
        <v>242</v>
      </c>
    </row>
    <row r="3426" spans="1:13" x14ac:dyDescent="0.25">
      <c r="A3426" s="1">
        <v>46194</v>
      </c>
      <c r="B3426" t="s">
        <v>13</v>
      </c>
      <c r="C3426" t="s">
        <v>11</v>
      </c>
      <c r="D3426" t="str">
        <f>_xlfn.XLOOKUP(tblSales[[#This Row],[Store ID]],tblStores[Store ID],tblStores[Store Name])</f>
        <v>Richards Bay</v>
      </c>
      <c r="E3426" t="str">
        <f>_xlfn.XLOOKUP(tblSales[[#This Row],[Store ID]],tblStores[Store ID],tblStores[Province])</f>
        <v>KZN</v>
      </c>
      <c r="F3426" t="str">
        <f>_xlfn.XLOOKUP(tblSales[[#This Row],[Store ID]],tblStores[Store ID],tblStores[Manager])</f>
        <v>David Green</v>
      </c>
      <c r="G3426" t="str">
        <f>_xlfn.XLOOKUP(tblSales[[#This Row],[Category ID]],tblCategories[Category ID],tblCategories[Category])</f>
        <v>Footwear</v>
      </c>
      <c r="H3426">
        <v>26240</v>
      </c>
      <c r="I3426">
        <v>29448</v>
      </c>
      <c r="J3426">
        <v>128</v>
      </c>
      <c r="K3426">
        <f>tblSales[[#This Row],[Sales]]-tblSales[[#This Row],[Budget]]</f>
        <v>-3208</v>
      </c>
      <c r="L3426" s="3">
        <f>(tblSales[[#This Row],[Sales]]-tblSales[[#This Row],[Budget]])/tblSales[[#This Row],[Budget]]</f>
        <v>-0.1089377886443901</v>
      </c>
      <c r="M3426" s="2">
        <f>tblSales[[#This Row],[Sales]]/tblSales[[#This Row],[Transactions]]</f>
        <v>205</v>
      </c>
    </row>
    <row r="3427" spans="1:13" x14ac:dyDescent="0.25">
      <c r="A3427" s="1">
        <v>46194</v>
      </c>
      <c r="B3427" t="s">
        <v>14</v>
      </c>
      <c r="C3427" t="s">
        <v>22</v>
      </c>
      <c r="D3427" t="str">
        <f>_xlfn.XLOOKUP(tblSales[[#This Row],[Store ID]],tblStores[Store ID],tblStores[Store Name])</f>
        <v>Sandton</v>
      </c>
      <c r="E3427" t="str">
        <f>_xlfn.XLOOKUP(tblSales[[#This Row],[Store ID]],tblStores[Store ID],tblStores[Province])</f>
        <v>Gauteng</v>
      </c>
      <c r="F3427" t="str">
        <f>_xlfn.XLOOKUP(tblSales[[#This Row],[Store ID]],tblStores[Store ID],tblStores[Manager])</f>
        <v>Karen White</v>
      </c>
      <c r="G3427" t="str">
        <f>_xlfn.XLOOKUP(tblSales[[#This Row],[Category ID]],tblCategories[Category ID],tblCategories[Category])</f>
        <v>Kids</v>
      </c>
      <c r="H3427">
        <v>39303</v>
      </c>
      <c r="I3427">
        <v>38688</v>
      </c>
      <c r="J3427">
        <v>99</v>
      </c>
      <c r="K3427">
        <f>tblSales[[#This Row],[Sales]]-tblSales[[#This Row],[Budget]]</f>
        <v>615</v>
      </c>
      <c r="L3427" s="3">
        <f>(tblSales[[#This Row],[Sales]]-tblSales[[#This Row],[Budget]])/tblSales[[#This Row],[Budget]]</f>
        <v>1.5896401985111663E-2</v>
      </c>
      <c r="M3427" s="2">
        <f>tblSales[[#This Row],[Sales]]/tblSales[[#This Row],[Transactions]]</f>
        <v>397</v>
      </c>
    </row>
    <row r="3428" spans="1:13" x14ac:dyDescent="0.25">
      <c r="A3428" s="1">
        <v>46194</v>
      </c>
      <c r="B3428" t="s">
        <v>15</v>
      </c>
      <c r="C3428" t="s">
        <v>22</v>
      </c>
      <c r="D3428" t="str">
        <f>_xlfn.XLOOKUP(tblSales[[#This Row],[Store ID]],tblStores[Store ID],tblStores[Store Name])</f>
        <v>Rosebank</v>
      </c>
      <c r="E3428" t="str">
        <f>_xlfn.XLOOKUP(tblSales[[#This Row],[Store ID]],tblStores[Store ID],tblStores[Province])</f>
        <v>Gauteng</v>
      </c>
      <c r="F3428" t="str">
        <f>_xlfn.XLOOKUP(tblSales[[#This Row],[Store ID]],tblStores[Store ID],tblStores[Manager])</f>
        <v>James Taylor</v>
      </c>
      <c r="G3428" t="str">
        <f>_xlfn.XLOOKUP(tblSales[[#This Row],[Category ID]],tblCategories[Category ID],tblCategories[Category])</f>
        <v>Kids</v>
      </c>
      <c r="H3428">
        <v>18737</v>
      </c>
      <c r="I3428">
        <v>18115</v>
      </c>
      <c r="J3428">
        <v>41</v>
      </c>
      <c r="K3428">
        <f>tblSales[[#This Row],[Sales]]-tblSales[[#This Row],[Budget]]</f>
        <v>622</v>
      </c>
      <c r="L3428" s="3">
        <f>(tblSales[[#This Row],[Sales]]-tblSales[[#This Row],[Budget]])/tblSales[[#This Row],[Budget]]</f>
        <v>3.4336185481645048E-2</v>
      </c>
      <c r="M3428" s="2">
        <f>tblSales[[#This Row],[Sales]]/tblSales[[#This Row],[Transactions]]</f>
        <v>457</v>
      </c>
    </row>
    <row r="3429" spans="1:13" x14ac:dyDescent="0.25">
      <c r="A3429" s="1">
        <v>46194</v>
      </c>
      <c r="B3429" t="s">
        <v>16</v>
      </c>
      <c r="C3429" t="s">
        <v>22</v>
      </c>
      <c r="D3429" t="str">
        <f>_xlfn.XLOOKUP(tblSales[[#This Row],[Store ID]],tblStores[Store ID],tblStores[Store Name])</f>
        <v>Pretoria</v>
      </c>
      <c r="E3429" t="str">
        <f>_xlfn.XLOOKUP(tblSales[[#This Row],[Store ID]],tblStores[Store ID],tblStores[Province])</f>
        <v>Gauteng</v>
      </c>
      <c r="F3429" t="str">
        <f>_xlfn.XLOOKUP(tblSales[[#This Row],[Store ID]],tblStores[Store ID],tblStores[Manager])</f>
        <v>Susan Clark</v>
      </c>
      <c r="G3429" t="str">
        <f>_xlfn.XLOOKUP(tblSales[[#This Row],[Category ID]],tblCategories[Category ID],tblCategories[Category])</f>
        <v>Kids</v>
      </c>
      <c r="H3429">
        <v>49518</v>
      </c>
      <c r="I3429">
        <v>44783</v>
      </c>
      <c r="J3429">
        <v>126</v>
      </c>
      <c r="K3429">
        <f>tblSales[[#This Row],[Sales]]-tblSales[[#This Row],[Budget]]</f>
        <v>4735</v>
      </c>
      <c r="L3429" s="3">
        <f>(tblSales[[#This Row],[Sales]]-tblSales[[#This Row],[Budget]])/tblSales[[#This Row],[Budget]]</f>
        <v>0.10573208583614319</v>
      </c>
      <c r="M3429" s="2">
        <f>tblSales[[#This Row],[Sales]]/tblSales[[#This Row],[Transactions]]</f>
        <v>393</v>
      </c>
    </row>
    <row r="3430" spans="1:13" x14ac:dyDescent="0.25">
      <c r="A3430" s="1">
        <v>46194</v>
      </c>
      <c r="B3430" t="s">
        <v>17</v>
      </c>
      <c r="C3430" t="s">
        <v>22</v>
      </c>
      <c r="D3430" t="str">
        <f>_xlfn.XLOOKUP(tblSales[[#This Row],[Store ID]],tblStores[Store ID],tblStores[Store Name])</f>
        <v>Centurion</v>
      </c>
      <c r="E3430" t="str">
        <f>_xlfn.XLOOKUP(tblSales[[#This Row],[Store ID]],tblStores[Store ID],tblStores[Province])</f>
        <v>Gauteng</v>
      </c>
      <c r="F3430" t="str">
        <f>_xlfn.XLOOKUP(tblSales[[#This Row],[Store ID]],tblStores[Store ID],tblStores[Manager])</f>
        <v>Mark Wilson</v>
      </c>
      <c r="G3430" t="str">
        <f>_xlfn.XLOOKUP(tblSales[[#This Row],[Category ID]],tblCategories[Category ID],tblCategories[Category])</f>
        <v>Kids</v>
      </c>
      <c r="H3430">
        <v>56055</v>
      </c>
      <c r="I3430">
        <v>50948</v>
      </c>
      <c r="J3430">
        <v>111</v>
      </c>
      <c r="K3430">
        <f>tblSales[[#This Row],[Sales]]-tblSales[[#This Row],[Budget]]</f>
        <v>5107</v>
      </c>
      <c r="L3430" s="3">
        <f>(tblSales[[#This Row],[Sales]]-tblSales[[#This Row],[Budget]])/tblSales[[#This Row],[Budget]]</f>
        <v>0.10023945984140692</v>
      </c>
      <c r="M3430" s="2">
        <f>tblSales[[#This Row],[Sales]]/tblSales[[#This Row],[Transactions]]</f>
        <v>505</v>
      </c>
    </row>
    <row r="3431" spans="1:13" x14ac:dyDescent="0.25">
      <c r="A3431" s="1">
        <v>46194</v>
      </c>
      <c r="B3431" t="s">
        <v>18</v>
      </c>
      <c r="C3431" t="s">
        <v>7</v>
      </c>
      <c r="D3431" t="str">
        <f>_xlfn.XLOOKUP(tblSales[[#This Row],[Store ID]],tblStores[Store ID],tblStores[Store Name])</f>
        <v>East Rand</v>
      </c>
      <c r="E3431" t="str">
        <f>_xlfn.XLOOKUP(tblSales[[#This Row],[Store ID]],tblStores[Store ID],tblStores[Province])</f>
        <v>Gauteng</v>
      </c>
      <c r="F3431" t="str">
        <f>_xlfn.XLOOKUP(tblSales[[#This Row],[Store ID]],tblStores[Store ID],tblStores[Manager])</f>
        <v>Lisa Young</v>
      </c>
      <c r="G3431" t="str">
        <f>_xlfn.XLOOKUP(tblSales[[#This Row],[Category ID]],tblCategories[Category ID],tblCategories[Category])</f>
        <v>Menswear</v>
      </c>
      <c r="H3431">
        <v>24948</v>
      </c>
      <c r="I3431">
        <v>25766</v>
      </c>
      <c r="J3431">
        <v>126</v>
      </c>
      <c r="K3431">
        <f>tblSales[[#This Row],[Sales]]-tblSales[[#This Row],[Budget]]</f>
        <v>-818</v>
      </c>
      <c r="L3431" s="3">
        <f>(tblSales[[#This Row],[Sales]]-tblSales[[#This Row],[Budget]])/tblSales[[#This Row],[Budget]]</f>
        <v>-3.1747263836063029E-2</v>
      </c>
      <c r="M3431" s="2">
        <f>tblSales[[#This Row],[Sales]]/tblSales[[#This Row],[Transactions]]</f>
        <v>198</v>
      </c>
    </row>
    <row r="3432" spans="1:13" x14ac:dyDescent="0.25">
      <c r="A3432" s="1">
        <v>46194</v>
      </c>
      <c r="B3432" t="s">
        <v>20</v>
      </c>
      <c r="C3432" t="s">
        <v>11</v>
      </c>
      <c r="D3432" t="str">
        <f>_xlfn.XLOOKUP(tblSales[[#This Row],[Store ID]],tblStores[Store ID],tblStores[Store Name])</f>
        <v>Cape Town CBD</v>
      </c>
      <c r="E3432" t="str">
        <f>_xlfn.XLOOKUP(tblSales[[#This Row],[Store ID]],tblStores[Store ID],tblStores[Province])</f>
        <v>Western Cape</v>
      </c>
      <c r="F3432" t="str">
        <f>_xlfn.XLOOKUP(tblSales[[#This Row],[Store ID]],tblStores[Store ID],tblStores[Manager])</f>
        <v>Brian Hall</v>
      </c>
      <c r="G3432" t="str">
        <f>_xlfn.XLOOKUP(tblSales[[#This Row],[Category ID]],tblCategories[Category ID],tblCategories[Category])</f>
        <v>Footwear</v>
      </c>
      <c r="H3432">
        <v>26362</v>
      </c>
      <c r="I3432">
        <v>24279</v>
      </c>
      <c r="J3432">
        <v>98</v>
      </c>
      <c r="K3432">
        <f>tblSales[[#This Row],[Sales]]-tblSales[[#This Row],[Budget]]</f>
        <v>2083</v>
      </c>
      <c r="L3432" s="3">
        <f>(tblSales[[#This Row],[Sales]]-tblSales[[#This Row],[Budget]])/tblSales[[#This Row],[Budget]]</f>
        <v>8.5794307838049338E-2</v>
      </c>
      <c r="M3432" s="2">
        <f>tblSales[[#This Row],[Sales]]/tblSales[[#This Row],[Transactions]]</f>
        <v>269</v>
      </c>
    </row>
    <row r="3433" spans="1:13" x14ac:dyDescent="0.25">
      <c r="A3433" s="1">
        <v>46194</v>
      </c>
      <c r="B3433" t="s">
        <v>21</v>
      </c>
      <c r="C3433" t="s">
        <v>7</v>
      </c>
      <c r="D3433" t="str">
        <f>_xlfn.XLOOKUP(tblSales[[#This Row],[Store ID]],tblStores[Store ID],tblStores[Store Name])</f>
        <v>Canal Walk</v>
      </c>
      <c r="E3433" t="str">
        <f>_xlfn.XLOOKUP(tblSales[[#This Row],[Store ID]],tblStores[Store ID],tblStores[Province])</f>
        <v>Western Cape</v>
      </c>
      <c r="F3433" t="str">
        <f>_xlfn.XLOOKUP(tblSales[[#This Row],[Store ID]],tblStores[Store ID],tblStores[Manager])</f>
        <v>Megan Scott</v>
      </c>
      <c r="G3433" t="str">
        <f>_xlfn.XLOOKUP(tblSales[[#This Row],[Category ID]],tblCategories[Category ID],tblCategories[Category])</f>
        <v>Menswear</v>
      </c>
      <c r="H3433">
        <v>17018</v>
      </c>
      <c r="I3433">
        <v>18008</v>
      </c>
      <c r="J3433">
        <v>67</v>
      </c>
      <c r="K3433">
        <f>tblSales[[#This Row],[Sales]]-tblSales[[#This Row],[Budget]]</f>
        <v>-990</v>
      </c>
      <c r="L3433" s="3">
        <f>(tblSales[[#This Row],[Sales]]-tblSales[[#This Row],[Budget]])/tblSales[[#This Row],[Budget]]</f>
        <v>-5.4975566414926701E-2</v>
      </c>
      <c r="M3433" s="2">
        <f>tblSales[[#This Row],[Sales]]/tblSales[[#This Row],[Transactions]]</f>
        <v>254</v>
      </c>
    </row>
    <row r="3434" spans="1:13" x14ac:dyDescent="0.25">
      <c r="A3434" s="1">
        <v>46194</v>
      </c>
      <c r="B3434" t="s">
        <v>23</v>
      </c>
      <c r="C3434" t="s">
        <v>11</v>
      </c>
      <c r="D3434" t="str">
        <f>_xlfn.XLOOKUP(tblSales[[#This Row],[Store ID]],tblStores[Store ID],tblStores[Store Name])</f>
        <v>Stellenbosch</v>
      </c>
      <c r="E3434" t="str">
        <f>_xlfn.XLOOKUP(tblSales[[#This Row],[Store ID]],tblStores[Store ID],tblStores[Province])</f>
        <v>Western Cape</v>
      </c>
      <c r="F3434" t="str">
        <f>_xlfn.XLOOKUP(tblSales[[#This Row],[Store ID]],tblStores[Store ID],tblStores[Manager])</f>
        <v>Jason King</v>
      </c>
      <c r="G3434" t="str">
        <f>_xlfn.XLOOKUP(tblSales[[#This Row],[Category ID]],tblCategories[Category ID],tblCategories[Category])</f>
        <v>Footwear</v>
      </c>
      <c r="H3434">
        <v>37380</v>
      </c>
      <c r="I3434">
        <v>42723</v>
      </c>
      <c r="J3434">
        <v>105</v>
      </c>
      <c r="K3434">
        <f>tblSales[[#This Row],[Sales]]-tblSales[[#This Row],[Budget]]</f>
        <v>-5343</v>
      </c>
      <c r="L3434" s="3">
        <f>(tblSales[[#This Row],[Sales]]-tblSales[[#This Row],[Budget]])/tblSales[[#This Row],[Budget]]</f>
        <v>-0.12506144231444422</v>
      </c>
      <c r="M3434" s="2">
        <f>tblSales[[#This Row],[Sales]]/tblSales[[#This Row],[Transactions]]</f>
        <v>356</v>
      </c>
    </row>
    <row r="3435" spans="1:13" x14ac:dyDescent="0.25">
      <c r="A3435" s="1">
        <v>46194</v>
      </c>
      <c r="B3435" t="s">
        <v>24</v>
      </c>
      <c r="C3435" t="s">
        <v>19</v>
      </c>
      <c r="D3435" t="str">
        <f>_xlfn.XLOOKUP(tblSales[[#This Row],[Store ID]],tblStores[Store ID],tblStores[Store Name])</f>
        <v>George</v>
      </c>
      <c r="E3435" t="str">
        <f>_xlfn.XLOOKUP(tblSales[[#This Row],[Store ID]],tblStores[Store ID],tblStores[Province])</f>
        <v>Western Cape</v>
      </c>
      <c r="F3435" t="str">
        <f>_xlfn.XLOOKUP(tblSales[[#This Row],[Store ID]],tblStores[Store ID],tblStores[Manager])</f>
        <v>Chloe Hill</v>
      </c>
      <c r="G3435" t="str">
        <f>_xlfn.XLOOKUP(tblSales[[#This Row],[Category ID]],tblCategories[Category ID],tblCategories[Category])</f>
        <v>Accessories</v>
      </c>
      <c r="H3435">
        <v>43456</v>
      </c>
      <c r="I3435">
        <v>45292</v>
      </c>
      <c r="J3435">
        <v>97</v>
      </c>
      <c r="K3435">
        <f>tblSales[[#This Row],[Sales]]-tblSales[[#This Row],[Budget]]</f>
        <v>-1836</v>
      </c>
      <c r="L3435" s="3">
        <f>(tblSales[[#This Row],[Sales]]-tblSales[[#This Row],[Budget]])/tblSales[[#This Row],[Budget]]</f>
        <v>-4.0536960169566372E-2</v>
      </c>
      <c r="M3435" s="2">
        <f>tblSales[[#This Row],[Sales]]/tblSales[[#This Row],[Transactions]]</f>
        <v>448</v>
      </c>
    </row>
    <row r="3436" spans="1:13" x14ac:dyDescent="0.25">
      <c r="A3436" s="1">
        <v>46194</v>
      </c>
      <c r="B3436" t="s">
        <v>25</v>
      </c>
      <c r="C3436" t="s">
        <v>7</v>
      </c>
      <c r="D3436" t="str">
        <f>_xlfn.XLOOKUP(tblSales[[#This Row],[Store ID]],tblStores[Store ID],tblStores[Store Name])</f>
        <v>Paarl</v>
      </c>
      <c r="E3436" t="str">
        <f>_xlfn.XLOOKUP(tblSales[[#This Row],[Store ID]],tblStores[Store ID],tblStores[Province])</f>
        <v>Western Cape</v>
      </c>
      <c r="F3436" t="str">
        <f>_xlfn.XLOOKUP(tblSales[[#This Row],[Store ID]],tblStores[Store ID],tblStores[Manager])</f>
        <v>Andrew Lee</v>
      </c>
      <c r="G3436" t="str">
        <f>_xlfn.XLOOKUP(tblSales[[#This Row],[Category ID]],tblCategories[Category ID],tblCategories[Category])</f>
        <v>Menswear</v>
      </c>
      <c r="H3436">
        <v>18738</v>
      </c>
      <c r="I3436">
        <v>18610</v>
      </c>
      <c r="J3436">
        <v>54</v>
      </c>
      <c r="K3436">
        <f>tblSales[[#This Row],[Sales]]-tblSales[[#This Row],[Budget]]</f>
        <v>128</v>
      </c>
      <c r="L3436" s="3">
        <f>(tblSales[[#This Row],[Sales]]-tblSales[[#This Row],[Budget]])/tblSales[[#This Row],[Budget]]</f>
        <v>6.8780225685115531E-3</v>
      </c>
      <c r="M3436" s="2">
        <f>tblSales[[#This Row],[Sales]]/tblSales[[#This Row],[Transactions]]</f>
        <v>347</v>
      </c>
    </row>
    <row r="3437" spans="1:13" x14ac:dyDescent="0.25">
      <c r="A3437" s="1">
        <v>46194</v>
      </c>
      <c r="B3437" t="s">
        <v>26</v>
      </c>
      <c r="C3437" t="s">
        <v>9</v>
      </c>
      <c r="D3437" t="str">
        <f>_xlfn.XLOOKUP(tblSales[[#This Row],[Store ID]],tblStores[Store ID],tblStores[Store Name])</f>
        <v>Gqeberha</v>
      </c>
      <c r="E3437" t="str">
        <f>_xlfn.XLOOKUP(tblSales[[#This Row],[Store ID]],tblStores[Store ID],tblStores[Province])</f>
        <v>Eastern Cape</v>
      </c>
      <c r="F3437" t="str">
        <f>_xlfn.XLOOKUP(tblSales[[#This Row],[Store ID]],tblStores[Store ID],tblStores[Manager])</f>
        <v>Emma Baker</v>
      </c>
      <c r="G3437" t="str">
        <f>_xlfn.XLOOKUP(tblSales[[#This Row],[Category ID]],tblCategories[Category ID],tblCategories[Category])</f>
        <v>Ladieswear</v>
      </c>
      <c r="H3437">
        <v>96140</v>
      </c>
      <c r="I3437">
        <v>106053</v>
      </c>
      <c r="J3437">
        <v>190</v>
      </c>
      <c r="K3437">
        <f>tblSales[[#This Row],[Sales]]-tblSales[[#This Row],[Budget]]</f>
        <v>-9913</v>
      </c>
      <c r="L3437" s="3">
        <f>(tblSales[[#This Row],[Sales]]-tblSales[[#This Row],[Budget]])/tblSales[[#This Row],[Budget]]</f>
        <v>-9.3472131858598997E-2</v>
      </c>
      <c r="M3437" s="2">
        <f>tblSales[[#This Row],[Sales]]/tblSales[[#This Row],[Transactions]]</f>
        <v>506</v>
      </c>
    </row>
    <row r="3438" spans="1:13" x14ac:dyDescent="0.25">
      <c r="A3438" s="1">
        <v>46194</v>
      </c>
      <c r="B3438" t="s">
        <v>27</v>
      </c>
      <c r="C3438" t="s">
        <v>7</v>
      </c>
      <c r="D3438" t="str">
        <f>_xlfn.XLOOKUP(tblSales[[#This Row],[Store ID]],tblStores[Store ID],tblStores[Store Name])</f>
        <v>East London</v>
      </c>
      <c r="E3438" t="str">
        <f>_xlfn.XLOOKUP(tblSales[[#This Row],[Store ID]],tblStores[Store ID],tblStores[Province])</f>
        <v>Eastern Cape</v>
      </c>
      <c r="F3438" t="str">
        <f>_xlfn.XLOOKUP(tblSales[[#This Row],[Store ID]],tblStores[Store ID],tblStores[Manager])</f>
        <v>Daniel Evans</v>
      </c>
      <c r="G3438" t="str">
        <f>_xlfn.XLOOKUP(tblSales[[#This Row],[Category ID]],tblCategories[Category ID],tblCategories[Category])</f>
        <v>Menswear</v>
      </c>
      <c r="H3438">
        <v>58344</v>
      </c>
      <c r="I3438">
        <v>66807</v>
      </c>
      <c r="J3438">
        <v>132</v>
      </c>
      <c r="K3438">
        <f>tblSales[[#This Row],[Sales]]-tblSales[[#This Row],[Budget]]</f>
        <v>-8463</v>
      </c>
      <c r="L3438" s="3">
        <f>(tblSales[[#This Row],[Sales]]-tblSales[[#This Row],[Budget]])/tblSales[[#This Row],[Budget]]</f>
        <v>-0.12667834208990075</v>
      </c>
      <c r="M3438" s="2">
        <f>tblSales[[#This Row],[Sales]]/tblSales[[#This Row],[Transactions]]</f>
        <v>442</v>
      </c>
    </row>
    <row r="3439" spans="1:13" x14ac:dyDescent="0.25">
      <c r="A3439" s="1">
        <v>46194</v>
      </c>
      <c r="B3439" t="s">
        <v>28</v>
      </c>
      <c r="C3439" t="s">
        <v>7</v>
      </c>
      <c r="D3439" t="str">
        <f>_xlfn.XLOOKUP(tblSales[[#This Row],[Store ID]],tblStores[Store ID],tblStores[Store Name])</f>
        <v>Bloemfontein</v>
      </c>
      <c r="E3439" t="str">
        <f>_xlfn.XLOOKUP(tblSales[[#This Row],[Store ID]],tblStores[Store ID],tblStores[Province])</f>
        <v>Free State</v>
      </c>
      <c r="F3439" t="str">
        <f>_xlfn.XLOOKUP(tblSales[[#This Row],[Store ID]],tblStores[Store ID],tblStores[Manager])</f>
        <v>Rachel Moore</v>
      </c>
      <c r="G3439" t="str">
        <f>_xlfn.XLOOKUP(tblSales[[#This Row],[Category ID]],tblCategories[Category ID],tblCategories[Category])</f>
        <v>Menswear</v>
      </c>
      <c r="H3439">
        <v>61226</v>
      </c>
      <c r="I3439">
        <v>66572</v>
      </c>
      <c r="J3439">
        <v>121</v>
      </c>
      <c r="K3439">
        <f>tblSales[[#This Row],[Sales]]-tblSales[[#This Row],[Budget]]</f>
        <v>-5346</v>
      </c>
      <c r="L3439" s="3">
        <f>(tblSales[[#This Row],[Sales]]-tblSales[[#This Row],[Budget]])/tblSales[[#This Row],[Budget]]</f>
        <v>-8.0304031725049574E-2</v>
      </c>
      <c r="M3439" s="2">
        <f>tblSales[[#This Row],[Sales]]/tblSales[[#This Row],[Transactions]]</f>
        <v>506</v>
      </c>
    </row>
    <row r="3440" spans="1:13" x14ac:dyDescent="0.25">
      <c r="A3440" s="1">
        <v>46194</v>
      </c>
      <c r="B3440" t="s">
        <v>29</v>
      </c>
      <c r="C3440" t="s">
        <v>11</v>
      </c>
      <c r="D3440" t="str">
        <f>_xlfn.XLOOKUP(tblSales[[#This Row],[Store ID]],tblStores[Store ID],tblStores[Store Name])</f>
        <v>Polokwane</v>
      </c>
      <c r="E3440" t="str">
        <f>_xlfn.XLOOKUP(tblSales[[#This Row],[Store ID]],tblStores[Store ID],tblStores[Province])</f>
        <v>Limpopo</v>
      </c>
      <c r="F3440" t="str">
        <f>_xlfn.XLOOKUP(tblSales[[#This Row],[Store ID]],tblStores[Store ID],tblStores[Manager])</f>
        <v>Kevin Harris</v>
      </c>
      <c r="G3440" t="str">
        <f>_xlfn.XLOOKUP(tblSales[[#This Row],[Category ID]],tblCategories[Category ID],tblCategories[Category])</f>
        <v>Footwear</v>
      </c>
      <c r="H3440">
        <v>26167</v>
      </c>
      <c r="I3440">
        <v>24753</v>
      </c>
      <c r="J3440">
        <v>137</v>
      </c>
      <c r="K3440">
        <f>tblSales[[#This Row],[Sales]]-tblSales[[#This Row],[Budget]]</f>
        <v>1414</v>
      </c>
      <c r="L3440" s="3">
        <f>(tblSales[[#This Row],[Sales]]-tblSales[[#This Row],[Budget]])/tblSales[[#This Row],[Budget]]</f>
        <v>5.7124388962953986E-2</v>
      </c>
      <c r="M3440" s="2">
        <f>tblSales[[#This Row],[Sales]]/tblSales[[#This Row],[Transactions]]</f>
        <v>191</v>
      </c>
    </row>
    <row r="3441" spans="1:13" x14ac:dyDescent="0.25">
      <c r="A3441" s="1">
        <v>46194</v>
      </c>
      <c r="B3441" t="s">
        <v>30</v>
      </c>
      <c r="C3441" t="s">
        <v>22</v>
      </c>
      <c r="D3441" t="str">
        <f>_xlfn.XLOOKUP(tblSales[[#This Row],[Store ID]],tblStores[Store ID],tblStores[Store Name])</f>
        <v>Nelspruit</v>
      </c>
      <c r="E3441" t="str">
        <f>_xlfn.XLOOKUP(tblSales[[#This Row],[Store ID]],tblStores[Store ID],tblStores[Province])</f>
        <v>Mpumalanga</v>
      </c>
      <c r="F3441" t="str">
        <f>_xlfn.XLOOKUP(tblSales[[#This Row],[Store ID]],tblStores[Store ID],tblStores[Manager])</f>
        <v>Olivia Turner</v>
      </c>
      <c r="G3441" t="str">
        <f>_xlfn.XLOOKUP(tblSales[[#This Row],[Category ID]],tblCategories[Category ID],tblCategories[Category])</f>
        <v>Kids</v>
      </c>
      <c r="H3441">
        <v>112566</v>
      </c>
      <c r="I3441">
        <v>122209</v>
      </c>
      <c r="J3441">
        <v>219</v>
      </c>
      <c r="K3441">
        <f>tblSales[[#This Row],[Sales]]-tblSales[[#This Row],[Budget]]</f>
        <v>-9643</v>
      </c>
      <c r="L3441" s="3">
        <f>(tblSales[[#This Row],[Sales]]-tblSales[[#This Row],[Budget]])/tblSales[[#This Row],[Budget]]</f>
        <v>-7.8905808901144764E-2</v>
      </c>
      <c r="M3441" s="2">
        <f>tblSales[[#This Row],[Sales]]/tblSales[[#This Row],[Transactions]]</f>
        <v>514</v>
      </c>
    </row>
    <row r="3442" spans="1:13" x14ac:dyDescent="0.25">
      <c r="A3442" s="1">
        <v>46195</v>
      </c>
      <c r="B3442" t="s">
        <v>6</v>
      </c>
      <c r="C3442" t="s">
        <v>7</v>
      </c>
      <c r="D3442" t="str">
        <f>_xlfn.XLOOKUP(tblSales[[#This Row],[Store ID]],tblStores[Store ID],tblStores[Store Name])</f>
        <v>Durban CBD</v>
      </c>
      <c r="E3442" t="str">
        <f>_xlfn.XLOOKUP(tblSales[[#This Row],[Store ID]],tblStores[Store ID],tblStores[Province])</f>
        <v>KZN</v>
      </c>
      <c r="F3442" t="str">
        <f>_xlfn.XLOOKUP(tblSales[[#This Row],[Store ID]],tblStores[Store ID],tblStores[Manager])</f>
        <v>Sarah Adams</v>
      </c>
      <c r="G3442" t="str">
        <f>_xlfn.XLOOKUP(tblSales[[#This Row],[Category ID]],tblCategories[Category ID],tblCategories[Category])</f>
        <v>Menswear</v>
      </c>
      <c r="H3442">
        <v>34655</v>
      </c>
      <c r="I3442">
        <v>38065</v>
      </c>
      <c r="J3442">
        <v>145</v>
      </c>
      <c r="K3442">
        <f>tblSales[[#This Row],[Sales]]-tblSales[[#This Row],[Budget]]</f>
        <v>-3410</v>
      </c>
      <c r="L3442" s="3">
        <f>(tblSales[[#This Row],[Sales]]-tblSales[[#This Row],[Budget]])/tblSales[[#This Row],[Budget]]</f>
        <v>-8.9583606988046766E-2</v>
      </c>
      <c r="M3442" s="2">
        <f>tblSales[[#This Row],[Sales]]/tblSales[[#This Row],[Transactions]]</f>
        <v>239</v>
      </c>
    </row>
    <row r="3443" spans="1:13" x14ac:dyDescent="0.25">
      <c r="A3443" s="1">
        <v>46195</v>
      </c>
      <c r="B3443" t="s">
        <v>8</v>
      </c>
      <c r="C3443" t="s">
        <v>19</v>
      </c>
      <c r="D3443" t="str">
        <f>_xlfn.XLOOKUP(tblSales[[#This Row],[Store ID]],tblStores[Store ID],tblStores[Store Name])</f>
        <v>Gateway</v>
      </c>
      <c r="E3443" t="str">
        <f>_xlfn.XLOOKUP(tblSales[[#This Row],[Store ID]],tblStores[Store ID],tblStores[Province])</f>
        <v>KZN</v>
      </c>
      <c r="F3443" t="str">
        <f>_xlfn.XLOOKUP(tblSales[[#This Row],[Store ID]],tblStores[Store ID],tblStores[Manager])</f>
        <v>Michael Jones</v>
      </c>
      <c r="G3443" t="str">
        <f>_xlfn.XLOOKUP(tblSales[[#This Row],[Category ID]],tblCategories[Category ID],tblCategories[Category])</f>
        <v>Accessories</v>
      </c>
      <c r="H3443">
        <v>33835</v>
      </c>
      <c r="I3443">
        <v>35658</v>
      </c>
      <c r="J3443">
        <v>101</v>
      </c>
      <c r="K3443">
        <f>tblSales[[#This Row],[Sales]]-tblSales[[#This Row],[Budget]]</f>
        <v>-1823</v>
      </c>
      <c r="L3443" s="3">
        <f>(tblSales[[#This Row],[Sales]]-tblSales[[#This Row],[Budget]])/tblSales[[#This Row],[Budget]]</f>
        <v>-5.1124572325985752E-2</v>
      </c>
      <c r="M3443" s="2">
        <f>tblSales[[#This Row],[Sales]]/tblSales[[#This Row],[Transactions]]</f>
        <v>335</v>
      </c>
    </row>
    <row r="3444" spans="1:13" x14ac:dyDescent="0.25">
      <c r="A3444" s="1">
        <v>46195</v>
      </c>
      <c r="B3444" t="s">
        <v>10</v>
      </c>
      <c r="C3444" t="s">
        <v>19</v>
      </c>
      <c r="D3444" t="str">
        <f>_xlfn.XLOOKUP(tblSales[[#This Row],[Store ID]],tblStores[Store ID],tblStores[Store Name])</f>
        <v>Ballito</v>
      </c>
      <c r="E3444" t="str">
        <f>_xlfn.XLOOKUP(tblSales[[#This Row],[Store ID]],tblStores[Store ID],tblStores[Province])</f>
        <v>KZN</v>
      </c>
      <c r="F3444" t="str">
        <f>_xlfn.XLOOKUP(tblSales[[#This Row],[Store ID]],tblStores[Store ID],tblStores[Manager])</f>
        <v>Linda Smith</v>
      </c>
      <c r="G3444" t="str">
        <f>_xlfn.XLOOKUP(tblSales[[#This Row],[Category ID]],tblCategories[Category ID],tblCategories[Category])</f>
        <v>Accessories</v>
      </c>
      <c r="H3444">
        <v>19885</v>
      </c>
      <c r="I3444">
        <v>19756</v>
      </c>
      <c r="J3444">
        <v>97</v>
      </c>
      <c r="K3444">
        <f>tblSales[[#This Row],[Sales]]-tblSales[[#This Row],[Budget]]</f>
        <v>129</v>
      </c>
      <c r="L3444" s="3">
        <f>(tblSales[[#This Row],[Sales]]-tblSales[[#This Row],[Budget]])/tblSales[[#This Row],[Budget]]</f>
        <v>6.5296618748734558E-3</v>
      </c>
      <c r="M3444" s="2">
        <f>tblSales[[#This Row],[Sales]]/tblSales[[#This Row],[Transactions]]</f>
        <v>205</v>
      </c>
    </row>
    <row r="3445" spans="1:13" x14ac:dyDescent="0.25">
      <c r="A3445" s="1">
        <v>46195</v>
      </c>
      <c r="B3445" t="s">
        <v>12</v>
      </c>
      <c r="C3445" t="s">
        <v>11</v>
      </c>
      <c r="D3445" t="str">
        <f>_xlfn.XLOOKUP(tblSales[[#This Row],[Store ID]],tblStores[Store ID],tblStores[Store Name])</f>
        <v>Pietermaritzburg</v>
      </c>
      <c r="E3445" t="str">
        <f>_xlfn.XLOOKUP(tblSales[[#This Row],[Store ID]],tblStores[Store ID],tblStores[Province])</f>
        <v>KZN</v>
      </c>
      <c r="F3445" t="str">
        <f>_xlfn.XLOOKUP(tblSales[[#This Row],[Store ID]],tblStores[Store ID],tblStores[Manager])</f>
        <v>Peter Brown</v>
      </c>
      <c r="G3445" t="str">
        <f>_xlfn.XLOOKUP(tblSales[[#This Row],[Category ID]],tblCategories[Category ID],tblCategories[Category])</f>
        <v>Footwear</v>
      </c>
      <c r="H3445">
        <v>36270</v>
      </c>
      <c r="I3445">
        <v>35134</v>
      </c>
      <c r="J3445">
        <v>90</v>
      </c>
      <c r="K3445">
        <f>tblSales[[#This Row],[Sales]]-tblSales[[#This Row],[Budget]]</f>
        <v>1136</v>
      </c>
      <c r="L3445" s="3">
        <f>(tblSales[[#This Row],[Sales]]-tblSales[[#This Row],[Budget]])/tblSales[[#This Row],[Budget]]</f>
        <v>3.2333352308305342E-2</v>
      </c>
      <c r="M3445" s="2">
        <f>tblSales[[#This Row],[Sales]]/tblSales[[#This Row],[Transactions]]</f>
        <v>403</v>
      </c>
    </row>
    <row r="3446" spans="1:13" x14ac:dyDescent="0.25">
      <c r="A3446" s="1">
        <v>46195</v>
      </c>
      <c r="B3446" t="s">
        <v>13</v>
      </c>
      <c r="C3446" t="s">
        <v>9</v>
      </c>
      <c r="D3446" t="str">
        <f>_xlfn.XLOOKUP(tblSales[[#This Row],[Store ID]],tblStores[Store ID],tblStores[Store Name])</f>
        <v>Richards Bay</v>
      </c>
      <c r="E3446" t="str">
        <f>_xlfn.XLOOKUP(tblSales[[#This Row],[Store ID]],tblStores[Store ID],tblStores[Province])</f>
        <v>KZN</v>
      </c>
      <c r="F3446" t="str">
        <f>_xlfn.XLOOKUP(tblSales[[#This Row],[Store ID]],tblStores[Store ID],tblStores[Manager])</f>
        <v>David Green</v>
      </c>
      <c r="G3446" t="str">
        <f>_xlfn.XLOOKUP(tblSales[[#This Row],[Category ID]],tblCategories[Category ID],tblCategories[Category])</f>
        <v>Ladieswear</v>
      </c>
      <c r="H3446">
        <v>45780</v>
      </c>
      <c r="I3446">
        <v>48886</v>
      </c>
      <c r="J3446">
        <v>105</v>
      </c>
      <c r="K3446">
        <f>tblSales[[#This Row],[Sales]]-tblSales[[#This Row],[Budget]]</f>
        <v>-3106</v>
      </c>
      <c r="L3446" s="3">
        <f>(tblSales[[#This Row],[Sales]]-tblSales[[#This Row],[Budget]])/tblSales[[#This Row],[Budget]]</f>
        <v>-6.3535572556560158E-2</v>
      </c>
      <c r="M3446" s="2">
        <f>tblSales[[#This Row],[Sales]]/tblSales[[#This Row],[Transactions]]</f>
        <v>436</v>
      </c>
    </row>
    <row r="3447" spans="1:13" x14ac:dyDescent="0.25">
      <c r="A3447" s="1">
        <v>46195</v>
      </c>
      <c r="B3447" t="s">
        <v>14</v>
      </c>
      <c r="C3447" t="s">
        <v>19</v>
      </c>
      <c r="D3447" t="str">
        <f>_xlfn.XLOOKUP(tblSales[[#This Row],[Store ID]],tblStores[Store ID],tblStores[Store Name])</f>
        <v>Sandton</v>
      </c>
      <c r="E3447" t="str">
        <f>_xlfn.XLOOKUP(tblSales[[#This Row],[Store ID]],tblStores[Store ID],tblStores[Province])</f>
        <v>Gauteng</v>
      </c>
      <c r="F3447" t="str">
        <f>_xlfn.XLOOKUP(tblSales[[#This Row],[Store ID]],tblStores[Store ID],tblStores[Manager])</f>
        <v>Karen White</v>
      </c>
      <c r="G3447" t="str">
        <f>_xlfn.XLOOKUP(tblSales[[#This Row],[Category ID]],tblCategories[Category ID],tblCategories[Category])</f>
        <v>Accessories</v>
      </c>
      <c r="H3447">
        <v>37264</v>
      </c>
      <c r="I3447">
        <v>39855</v>
      </c>
      <c r="J3447">
        <v>137</v>
      </c>
      <c r="K3447">
        <f>tblSales[[#This Row],[Sales]]-tblSales[[#This Row],[Budget]]</f>
        <v>-2591</v>
      </c>
      <c r="L3447" s="3">
        <f>(tblSales[[#This Row],[Sales]]-tblSales[[#This Row],[Budget]])/tblSales[[#This Row],[Budget]]</f>
        <v>-6.5010663655752102E-2</v>
      </c>
      <c r="M3447" s="2">
        <f>tblSales[[#This Row],[Sales]]/tblSales[[#This Row],[Transactions]]</f>
        <v>272</v>
      </c>
    </row>
    <row r="3448" spans="1:13" x14ac:dyDescent="0.25">
      <c r="A3448" s="1">
        <v>46195</v>
      </c>
      <c r="B3448" t="s">
        <v>15</v>
      </c>
      <c r="C3448" t="s">
        <v>22</v>
      </c>
      <c r="D3448" t="str">
        <f>_xlfn.XLOOKUP(tblSales[[#This Row],[Store ID]],tblStores[Store ID],tblStores[Store Name])</f>
        <v>Rosebank</v>
      </c>
      <c r="E3448" t="str">
        <f>_xlfn.XLOOKUP(tblSales[[#This Row],[Store ID]],tblStores[Store ID],tblStores[Province])</f>
        <v>Gauteng</v>
      </c>
      <c r="F3448" t="str">
        <f>_xlfn.XLOOKUP(tblSales[[#This Row],[Store ID]],tblStores[Store ID],tblStores[Manager])</f>
        <v>James Taylor</v>
      </c>
      <c r="G3448" t="str">
        <f>_xlfn.XLOOKUP(tblSales[[#This Row],[Category ID]],tblCategories[Category ID],tblCategories[Category])</f>
        <v>Kids</v>
      </c>
      <c r="H3448">
        <v>13968</v>
      </c>
      <c r="I3448">
        <v>13294</v>
      </c>
      <c r="J3448">
        <v>36</v>
      </c>
      <c r="K3448">
        <f>tblSales[[#This Row],[Sales]]-tblSales[[#This Row],[Budget]]</f>
        <v>674</v>
      </c>
      <c r="L3448" s="3">
        <f>(tblSales[[#This Row],[Sales]]-tblSales[[#This Row],[Budget]])/tblSales[[#This Row],[Budget]]</f>
        <v>5.0699563712953213E-2</v>
      </c>
      <c r="M3448" s="2">
        <f>tblSales[[#This Row],[Sales]]/tblSales[[#This Row],[Transactions]]</f>
        <v>388</v>
      </c>
    </row>
    <row r="3449" spans="1:13" x14ac:dyDescent="0.25">
      <c r="A3449" s="1">
        <v>46195</v>
      </c>
      <c r="B3449" t="s">
        <v>16</v>
      </c>
      <c r="C3449" t="s">
        <v>11</v>
      </c>
      <c r="D3449" t="str">
        <f>_xlfn.XLOOKUP(tblSales[[#This Row],[Store ID]],tblStores[Store ID],tblStores[Store Name])</f>
        <v>Pretoria</v>
      </c>
      <c r="E3449" t="str">
        <f>_xlfn.XLOOKUP(tblSales[[#This Row],[Store ID]],tblStores[Store ID],tblStores[Province])</f>
        <v>Gauteng</v>
      </c>
      <c r="F3449" t="str">
        <f>_xlfn.XLOOKUP(tblSales[[#This Row],[Store ID]],tblStores[Store ID],tblStores[Manager])</f>
        <v>Susan Clark</v>
      </c>
      <c r="G3449" t="str">
        <f>_xlfn.XLOOKUP(tblSales[[#This Row],[Category ID]],tblCategories[Category ID],tblCategories[Category])</f>
        <v>Footwear</v>
      </c>
      <c r="H3449">
        <v>49938</v>
      </c>
      <c r="I3449">
        <v>48374</v>
      </c>
      <c r="J3449">
        <v>203</v>
      </c>
      <c r="K3449">
        <f>tblSales[[#This Row],[Sales]]-tblSales[[#This Row],[Budget]]</f>
        <v>1564</v>
      </c>
      <c r="L3449" s="3">
        <f>(tblSales[[#This Row],[Sales]]-tblSales[[#This Row],[Budget]])/tblSales[[#This Row],[Budget]]</f>
        <v>3.2331417703725142E-2</v>
      </c>
      <c r="M3449" s="2">
        <f>tblSales[[#This Row],[Sales]]/tblSales[[#This Row],[Transactions]]</f>
        <v>246</v>
      </c>
    </row>
    <row r="3450" spans="1:13" x14ac:dyDescent="0.25">
      <c r="A3450" s="1">
        <v>46195</v>
      </c>
      <c r="B3450" t="s">
        <v>17</v>
      </c>
      <c r="C3450" t="s">
        <v>11</v>
      </c>
      <c r="D3450" t="str">
        <f>_xlfn.XLOOKUP(tblSales[[#This Row],[Store ID]],tblStores[Store ID],tblStores[Store Name])</f>
        <v>Centurion</v>
      </c>
      <c r="E3450" t="str">
        <f>_xlfn.XLOOKUP(tblSales[[#This Row],[Store ID]],tblStores[Store ID],tblStores[Province])</f>
        <v>Gauteng</v>
      </c>
      <c r="F3450" t="str">
        <f>_xlfn.XLOOKUP(tblSales[[#This Row],[Store ID]],tblStores[Store ID],tblStores[Manager])</f>
        <v>Mark Wilson</v>
      </c>
      <c r="G3450" t="str">
        <f>_xlfn.XLOOKUP(tblSales[[#This Row],[Category ID]],tblCategories[Category ID],tblCategories[Category])</f>
        <v>Footwear</v>
      </c>
      <c r="H3450">
        <v>94940</v>
      </c>
      <c r="I3450">
        <v>92997</v>
      </c>
      <c r="J3450">
        <v>188</v>
      </c>
      <c r="K3450">
        <f>tblSales[[#This Row],[Sales]]-tblSales[[#This Row],[Budget]]</f>
        <v>1943</v>
      </c>
      <c r="L3450" s="3">
        <f>(tblSales[[#This Row],[Sales]]-tblSales[[#This Row],[Budget]])/tblSales[[#This Row],[Budget]]</f>
        <v>2.0893147090766367E-2</v>
      </c>
      <c r="M3450" s="2">
        <f>tblSales[[#This Row],[Sales]]/tblSales[[#This Row],[Transactions]]</f>
        <v>505</v>
      </c>
    </row>
    <row r="3451" spans="1:13" x14ac:dyDescent="0.25">
      <c r="A3451" s="1">
        <v>46195</v>
      </c>
      <c r="B3451" t="s">
        <v>18</v>
      </c>
      <c r="C3451" t="s">
        <v>9</v>
      </c>
      <c r="D3451" t="str">
        <f>_xlfn.XLOOKUP(tblSales[[#This Row],[Store ID]],tblStores[Store ID],tblStores[Store Name])</f>
        <v>East Rand</v>
      </c>
      <c r="E3451" t="str">
        <f>_xlfn.XLOOKUP(tblSales[[#This Row],[Store ID]],tblStores[Store ID],tblStores[Province])</f>
        <v>Gauteng</v>
      </c>
      <c r="F3451" t="str">
        <f>_xlfn.XLOOKUP(tblSales[[#This Row],[Store ID]],tblStores[Store ID],tblStores[Manager])</f>
        <v>Lisa Young</v>
      </c>
      <c r="G3451" t="str">
        <f>_xlfn.XLOOKUP(tblSales[[#This Row],[Category ID]],tblCategories[Category ID],tblCategories[Category])</f>
        <v>Ladieswear</v>
      </c>
      <c r="H3451">
        <v>17388</v>
      </c>
      <c r="I3451">
        <v>18731</v>
      </c>
      <c r="J3451">
        <v>92</v>
      </c>
      <c r="K3451">
        <f>tblSales[[#This Row],[Sales]]-tblSales[[#This Row],[Budget]]</f>
        <v>-1343</v>
      </c>
      <c r="L3451" s="3">
        <f>(tblSales[[#This Row],[Sales]]-tblSales[[#This Row],[Budget]])/tblSales[[#This Row],[Budget]]</f>
        <v>-7.1699321979606004E-2</v>
      </c>
      <c r="M3451" s="2">
        <f>tblSales[[#This Row],[Sales]]/tblSales[[#This Row],[Transactions]]</f>
        <v>189</v>
      </c>
    </row>
    <row r="3452" spans="1:13" x14ac:dyDescent="0.25">
      <c r="A3452" s="1">
        <v>46195</v>
      </c>
      <c r="B3452" t="s">
        <v>20</v>
      </c>
      <c r="C3452" t="s">
        <v>9</v>
      </c>
      <c r="D3452" t="str">
        <f>_xlfn.XLOOKUP(tblSales[[#This Row],[Store ID]],tblStores[Store ID],tblStores[Store Name])</f>
        <v>Cape Town CBD</v>
      </c>
      <c r="E3452" t="str">
        <f>_xlfn.XLOOKUP(tblSales[[#This Row],[Store ID]],tblStores[Store ID],tblStores[Province])</f>
        <v>Western Cape</v>
      </c>
      <c r="F3452" t="str">
        <f>_xlfn.XLOOKUP(tblSales[[#This Row],[Store ID]],tblStores[Store ID],tblStores[Manager])</f>
        <v>Brian Hall</v>
      </c>
      <c r="G3452" t="str">
        <f>_xlfn.XLOOKUP(tblSales[[#This Row],[Category ID]],tblCategories[Category ID],tblCategories[Category])</f>
        <v>Ladieswear</v>
      </c>
      <c r="H3452">
        <v>25143</v>
      </c>
      <c r="I3452">
        <v>24437</v>
      </c>
      <c r="J3452">
        <v>51</v>
      </c>
      <c r="K3452">
        <f>tblSales[[#This Row],[Sales]]-tblSales[[#This Row],[Budget]]</f>
        <v>706</v>
      </c>
      <c r="L3452" s="3">
        <f>(tblSales[[#This Row],[Sales]]-tblSales[[#This Row],[Budget]])/tblSales[[#This Row],[Budget]]</f>
        <v>2.889061668780947E-2</v>
      </c>
      <c r="M3452" s="2">
        <f>tblSales[[#This Row],[Sales]]/tblSales[[#This Row],[Transactions]]</f>
        <v>493</v>
      </c>
    </row>
    <row r="3453" spans="1:13" x14ac:dyDescent="0.25">
      <c r="A3453" s="1">
        <v>46195</v>
      </c>
      <c r="B3453" t="s">
        <v>21</v>
      </c>
      <c r="C3453" t="s">
        <v>19</v>
      </c>
      <c r="D3453" t="str">
        <f>_xlfn.XLOOKUP(tblSales[[#This Row],[Store ID]],tblStores[Store ID],tblStores[Store Name])</f>
        <v>Canal Walk</v>
      </c>
      <c r="E3453" t="str">
        <f>_xlfn.XLOOKUP(tblSales[[#This Row],[Store ID]],tblStores[Store ID],tblStores[Province])</f>
        <v>Western Cape</v>
      </c>
      <c r="F3453" t="str">
        <f>_xlfn.XLOOKUP(tblSales[[#This Row],[Store ID]],tblStores[Store ID],tblStores[Manager])</f>
        <v>Megan Scott</v>
      </c>
      <c r="G3453" t="str">
        <f>_xlfn.XLOOKUP(tblSales[[#This Row],[Category ID]],tblCategories[Category ID],tblCategories[Category])</f>
        <v>Accessories</v>
      </c>
      <c r="H3453">
        <v>73112</v>
      </c>
      <c r="I3453">
        <v>73491</v>
      </c>
      <c r="J3453">
        <v>152</v>
      </c>
      <c r="K3453">
        <f>tblSales[[#This Row],[Sales]]-tblSales[[#This Row],[Budget]]</f>
        <v>-379</v>
      </c>
      <c r="L3453" s="3">
        <f>(tblSales[[#This Row],[Sales]]-tblSales[[#This Row],[Budget]])/tblSales[[#This Row],[Budget]]</f>
        <v>-5.1570940659400469E-3</v>
      </c>
      <c r="M3453" s="2">
        <f>tblSales[[#This Row],[Sales]]/tblSales[[#This Row],[Transactions]]</f>
        <v>481</v>
      </c>
    </row>
    <row r="3454" spans="1:13" x14ac:dyDescent="0.25">
      <c r="A3454" s="1">
        <v>46195</v>
      </c>
      <c r="B3454" t="s">
        <v>23</v>
      </c>
      <c r="C3454" t="s">
        <v>19</v>
      </c>
      <c r="D3454" t="str">
        <f>_xlfn.XLOOKUP(tblSales[[#This Row],[Store ID]],tblStores[Store ID],tblStores[Store Name])</f>
        <v>Stellenbosch</v>
      </c>
      <c r="E3454" t="str">
        <f>_xlfn.XLOOKUP(tblSales[[#This Row],[Store ID]],tblStores[Store ID],tblStores[Province])</f>
        <v>Western Cape</v>
      </c>
      <c r="F3454" t="str">
        <f>_xlfn.XLOOKUP(tblSales[[#This Row],[Store ID]],tblStores[Store ID],tblStores[Manager])</f>
        <v>Jason King</v>
      </c>
      <c r="G3454" t="str">
        <f>_xlfn.XLOOKUP(tblSales[[#This Row],[Category ID]],tblCategories[Category ID],tblCategories[Category])</f>
        <v>Accessories</v>
      </c>
      <c r="H3454">
        <v>54383</v>
      </c>
      <c r="I3454">
        <v>54233</v>
      </c>
      <c r="J3454">
        <v>119</v>
      </c>
      <c r="K3454">
        <f>tblSales[[#This Row],[Sales]]-tblSales[[#This Row],[Budget]]</f>
        <v>150</v>
      </c>
      <c r="L3454" s="3">
        <f>(tblSales[[#This Row],[Sales]]-tblSales[[#This Row],[Budget]])/tblSales[[#This Row],[Budget]]</f>
        <v>2.7658436745155164E-3</v>
      </c>
      <c r="M3454" s="2">
        <f>tblSales[[#This Row],[Sales]]/tblSales[[#This Row],[Transactions]]</f>
        <v>457</v>
      </c>
    </row>
    <row r="3455" spans="1:13" x14ac:dyDescent="0.25">
      <c r="A3455" s="1">
        <v>46195</v>
      </c>
      <c r="B3455" t="s">
        <v>24</v>
      </c>
      <c r="C3455" t="s">
        <v>19</v>
      </c>
      <c r="D3455" t="str">
        <f>_xlfn.XLOOKUP(tblSales[[#This Row],[Store ID]],tblStores[Store ID],tblStores[Store Name])</f>
        <v>George</v>
      </c>
      <c r="E3455" t="str">
        <f>_xlfn.XLOOKUP(tblSales[[#This Row],[Store ID]],tblStores[Store ID],tblStores[Province])</f>
        <v>Western Cape</v>
      </c>
      <c r="F3455" t="str">
        <f>_xlfn.XLOOKUP(tblSales[[#This Row],[Store ID]],tblStores[Store ID],tblStores[Manager])</f>
        <v>Chloe Hill</v>
      </c>
      <c r="G3455" t="str">
        <f>_xlfn.XLOOKUP(tblSales[[#This Row],[Category ID]],tblCategories[Category ID],tblCategories[Category])</f>
        <v>Accessories</v>
      </c>
      <c r="H3455">
        <v>13490</v>
      </c>
      <c r="I3455">
        <v>13289</v>
      </c>
      <c r="J3455">
        <v>38</v>
      </c>
      <c r="K3455">
        <f>tblSales[[#This Row],[Sales]]-tblSales[[#This Row],[Budget]]</f>
        <v>201</v>
      </c>
      <c r="L3455" s="3">
        <f>(tblSales[[#This Row],[Sales]]-tblSales[[#This Row],[Budget]])/tblSales[[#This Row],[Budget]]</f>
        <v>1.5125291594551884E-2</v>
      </c>
      <c r="M3455" s="2">
        <f>tblSales[[#This Row],[Sales]]/tblSales[[#This Row],[Transactions]]</f>
        <v>355</v>
      </c>
    </row>
    <row r="3456" spans="1:13" x14ac:dyDescent="0.25">
      <c r="A3456" s="1">
        <v>46195</v>
      </c>
      <c r="B3456" t="s">
        <v>25</v>
      </c>
      <c r="C3456" t="s">
        <v>22</v>
      </c>
      <c r="D3456" t="str">
        <f>_xlfn.XLOOKUP(tblSales[[#This Row],[Store ID]],tblStores[Store ID],tblStores[Store Name])</f>
        <v>Paarl</v>
      </c>
      <c r="E3456" t="str">
        <f>_xlfn.XLOOKUP(tblSales[[#This Row],[Store ID]],tblStores[Store ID],tblStores[Province])</f>
        <v>Western Cape</v>
      </c>
      <c r="F3456" t="str">
        <f>_xlfn.XLOOKUP(tblSales[[#This Row],[Store ID]],tblStores[Store ID],tblStores[Manager])</f>
        <v>Andrew Lee</v>
      </c>
      <c r="G3456" t="str">
        <f>_xlfn.XLOOKUP(tblSales[[#This Row],[Category ID]],tblCategories[Category ID],tblCategories[Category])</f>
        <v>Kids</v>
      </c>
      <c r="H3456">
        <v>38036</v>
      </c>
      <c r="I3456">
        <v>38625</v>
      </c>
      <c r="J3456">
        <v>148</v>
      </c>
      <c r="K3456">
        <f>tblSales[[#This Row],[Sales]]-tblSales[[#This Row],[Budget]]</f>
        <v>-589</v>
      </c>
      <c r="L3456" s="3">
        <f>(tblSales[[#This Row],[Sales]]-tblSales[[#This Row],[Budget]])/tblSales[[#This Row],[Budget]]</f>
        <v>-1.5249190938511327E-2</v>
      </c>
      <c r="M3456" s="2">
        <f>tblSales[[#This Row],[Sales]]/tblSales[[#This Row],[Transactions]]</f>
        <v>257</v>
      </c>
    </row>
    <row r="3457" spans="1:13" x14ac:dyDescent="0.25">
      <c r="A3457" s="1">
        <v>46195</v>
      </c>
      <c r="B3457" t="s">
        <v>26</v>
      </c>
      <c r="C3457" t="s">
        <v>11</v>
      </c>
      <c r="D3457" t="str">
        <f>_xlfn.XLOOKUP(tblSales[[#This Row],[Store ID]],tblStores[Store ID],tblStores[Store Name])</f>
        <v>Gqeberha</v>
      </c>
      <c r="E3457" t="str">
        <f>_xlfn.XLOOKUP(tblSales[[#This Row],[Store ID]],tblStores[Store ID],tblStores[Province])</f>
        <v>Eastern Cape</v>
      </c>
      <c r="F3457" t="str">
        <f>_xlfn.XLOOKUP(tblSales[[#This Row],[Store ID]],tblStores[Store ID],tblStores[Manager])</f>
        <v>Emma Baker</v>
      </c>
      <c r="G3457" t="str">
        <f>_xlfn.XLOOKUP(tblSales[[#This Row],[Category ID]],tblCategories[Category ID],tblCategories[Category])</f>
        <v>Footwear</v>
      </c>
      <c r="H3457">
        <v>39776</v>
      </c>
      <c r="I3457">
        <v>42736</v>
      </c>
      <c r="J3457">
        <v>88</v>
      </c>
      <c r="K3457">
        <f>tblSales[[#This Row],[Sales]]-tblSales[[#This Row],[Budget]]</f>
        <v>-2960</v>
      </c>
      <c r="L3457" s="3">
        <f>(tblSales[[#This Row],[Sales]]-tblSales[[#This Row],[Budget]])/tblSales[[#This Row],[Budget]]</f>
        <v>-6.9262448521153125E-2</v>
      </c>
      <c r="M3457" s="2">
        <f>tblSales[[#This Row],[Sales]]/tblSales[[#This Row],[Transactions]]</f>
        <v>452</v>
      </c>
    </row>
    <row r="3458" spans="1:13" x14ac:dyDescent="0.25">
      <c r="A3458" s="1">
        <v>46195</v>
      </c>
      <c r="B3458" t="s">
        <v>27</v>
      </c>
      <c r="C3458" t="s">
        <v>11</v>
      </c>
      <c r="D3458" t="str">
        <f>_xlfn.XLOOKUP(tblSales[[#This Row],[Store ID]],tblStores[Store ID],tblStores[Store Name])</f>
        <v>East London</v>
      </c>
      <c r="E3458" t="str">
        <f>_xlfn.XLOOKUP(tblSales[[#This Row],[Store ID]],tblStores[Store ID],tblStores[Province])</f>
        <v>Eastern Cape</v>
      </c>
      <c r="F3458" t="str">
        <f>_xlfn.XLOOKUP(tblSales[[#This Row],[Store ID]],tblStores[Store ID],tblStores[Manager])</f>
        <v>Daniel Evans</v>
      </c>
      <c r="G3458" t="str">
        <f>_xlfn.XLOOKUP(tblSales[[#This Row],[Category ID]],tblCategories[Category ID],tblCategories[Category])</f>
        <v>Footwear</v>
      </c>
      <c r="H3458">
        <v>38600</v>
      </c>
      <c r="I3458">
        <v>35051</v>
      </c>
      <c r="J3458">
        <v>100</v>
      </c>
      <c r="K3458">
        <f>tblSales[[#This Row],[Sales]]-tblSales[[#This Row],[Budget]]</f>
        <v>3549</v>
      </c>
      <c r="L3458" s="3">
        <f>(tblSales[[#This Row],[Sales]]-tblSales[[#This Row],[Budget]])/tblSales[[#This Row],[Budget]]</f>
        <v>0.10125246070012268</v>
      </c>
      <c r="M3458" s="2">
        <f>tblSales[[#This Row],[Sales]]/tblSales[[#This Row],[Transactions]]</f>
        <v>386</v>
      </c>
    </row>
    <row r="3459" spans="1:13" x14ac:dyDescent="0.25">
      <c r="A3459" s="1">
        <v>46195</v>
      </c>
      <c r="B3459" t="s">
        <v>28</v>
      </c>
      <c r="C3459" t="s">
        <v>19</v>
      </c>
      <c r="D3459" t="str">
        <f>_xlfn.XLOOKUP(tblSales[[#This Row],[Store ID]],tblStores[Store ID],tblStores[Store Name])</f>
        <v>Bloemfontein</v>
      </c>
      <c r="E3459" t="str">
        <f>_xlfn.XLOOKUP(tblSales[[#This Row],[Store ID]],tblStores[Store ID],tblStores[Province])</f>
        <v>Free State</v>
      </c>
      <c r="F3459" t="str">
        <f>_xlfn.XLOOKUP(tblSales[[#This Row],[Store ID]],tblStores[Store ID],tblStores[Manager])</f>
        <v>Rachel Moore</v>
      </c>
      <c r="G3459" t="str">
        <f>_xlfn.XLOOKUP(tblSales[[#This Row],[Category ID]],tblCategories[Category ID],tblCategories[Category])</f>
        <v>Accessories</v>
      </c>
      <c r="H3459">
        <v>27665</v>
      </c>
      <c r="I3459">
        <v>28263</v>
      </c>
      <c r="J3459">
        <v>55</v>
      </c>
      <c r="K3459">
        <f>tblSales[[#This Row],[Sales]]-tblSales[[#This Row],[Budget]]</f>
        <v>-598</v>
      </c>
      <c r="L3459" s="3">
        <f>(tblSales[[#This Row],[Sales]]-tblSales[[#This Row],[Budget]])/tblSales[[#This Row],[Budget]]</f>
        <v>-2.1158404981778296E-2</v>
      </c>
      <c r="M3459" s="2">
        <f>tblSales[[#This Row],[Sales]]/tblSales[[#This Row],[Transactions]]</f>
        <v>503</v>
      </c>
    </row>
    <row r="3460" spans="1:13" x14ac:dyDescent="0.25">
      <c r="A3460" s="1">
        <v>46195</v>
      </c>
      <c r="B3460" t="s">
        <v>29</v>
      </c>
      <c r="C3460" t="s">
        <v>22</v>
      </c>
      <c r="D3460" t="str">
        <f>_xlfn.XLOOKUP(tblSales[[#This Row],[Store ID]],tblStores[Store ID],tblStores[Store Name])</f>
        <v>Polokwane</v>
      </c>
      <c r="E3460" t="str">
        <f>_xlfn.XLOOKUP(tblSales[[#This Row],[Store ID]],tblStores[Store ID],tblStores[Province])</f>
        <v>Limpopo</v>
      </c>
      <c r="F3460" t="str">
        <f>_xlfn.XLOOKUP(tblSales[[#This Row],[Store ID]],tblStores[Store ID],tblStores[Manager])</f>
        <v>Kevin Harris</v>
      </c>
      <c r="G3460" t="str">
        <f>_xlfn.XLOOKUP(tblSales[[#This Row],[Category ID]],tblCategories[Category ID],tblCategories[Category])</f>
        <v>Kids</v>
      </c>
      <c r="H3460">
        <v>16016</v>
      </c>
      <c r="I3460">
        <v>17409</v>
      </c>
      <c r="J3460">
        <v>56</v>
      </c>
      <c r="K3460">
        <f>tblSales[[#This Row],[Sales]]-tblSales[[#This Row],[Budget]]</f>
        <v>-1393</v>
      </c>
      <c r="L3460" s="3">
        <f>(tblSales[[#This Row],[Sales]]-tblSales[[#This Row],[Budget]])/tblSales[[#This Row],[Budget]]</f>
        <v>-8.0016083634901494E-2</v>
      </c>
      <c r="M3460" s="2">
        <f>tblSales[[#This Row],[Sales]]/tblSales[[#This Row],[Transactions]]</f>
        <v>286</v>
      </c>
    </row>
    <row r="3461" spans="1:13" x14ac:dyDescent="0.25">
      <c r="A3461" s="1">
        <v>46195</v>
      </c>
      <c r="B3461" t="s">
        <v>30</v>
      </c>
      <c r="C3461" t="s">
        <v>19</v>
      </c>
      <c r="D3461" t="str">
        <f>_xlfn.XLOOKUP(tblSales[[#This Row],[Store ID]],tblStores[Store ID],tblStores[Store Name])</f>
        <v>Nelspruit</v>
      </c>
      <c r="E3461" t="str">
        <f>_xlfn.XLOOKUP(tblSales[[#This Row],[Store ID]],tblStores[Store ID],tblStores[Province])</f>
        <v>Mpumalanga</v>
      </c>
      <c r="F3461" t="str">
        <f>_xlfn.XLOOKUP(tblSales[[#This Row],[Store ID]],tblStores[Store ID],tblStores[Manager])</f>
        <v>Olivia Turner</v>
      </c>
      <c r="G3461" t="str">
        <f>_xlfn.XLOOKUP(tblSales[[#This Row],[Category ID]],tblCategories[Category ID],tblCategories[Category])</f>
        <v>Accessories</v>
      </c>
      <c r="H3461">
        <v>43215</v>
      </c>
      <c r="I3461">
        <v>42046</v>
      </c>
      <c r="J3461">
        <v>129</v>
      </c>
      <c r="K3461">
        <f>tblSales[[#This Row],[Sales]]-tblSales[[#This Row],[Budget]]</f>
        <v>1169</v>
      </c>
      <c r="L3461" s="3">
        <f>(tblSales[[#This Row],[Sales]]-tblSales[[#This Row],[Budget]])/tblSales[[#This Row],[Budget]]</f>
        <v>2.7802882557199256E-2</v>
      </c>
      <c r="M3461" s="2">
        <f>tblSales[[#This Row],[Sales]]/tblSales[[#This Row],[Transactions]]</f>
        <v>335</v>
      </c>
    </row>
    <row r="3462" spans="1:13" x14ac:dyDescent="0.25">
      <c r="A3462" s="1">
        <v>46196</v>
      </c>
      <c r="B3462" t="s">
        <v>6</v>
      </c>
      <c r="C3462" t="s">
        <v>22</v>
      </c>
      <c r="D3462" t="str">
        <f>_xlfn.XLOOKUP(tblSales[[#This Row],[Store ID]],tblStores[Store ID],tblStores[Store Name])</f>
        <v>Durban CBD</v>
      </c>
      <c r="E3462" t="str">
        <f>_xlfn.XLOOKUP(tblSales[[#This Row],[Store ID]],tblStores[Store ID],tblStores[Province])</f>
        <v>KZN</v>
      </c>
      <c r="F3462" t="str">
        <f>_xlfn.XLOOKUP(tblSales[[#This Row],[Store ID]],tblStores[Store ID],tblStores[Manager])</f>
        <v>Sarah Adams</v>
      </c>
      <c r="G3462" t="str">
        <f>_xlfn.XLOOKUP(tblSales[[#This Row],[Category ID]],tblCategories[Category ID],tblCategories[Category])</f>
        <v>Kids</v>
      </c>
      <c r="H3462">
        <v>62850</v>
      </c>
      <c r="I3462">
        <v>57029</v>
      </c>
      <c r="J3462">
        <v>150</v>
      </c>
      <c r="K3462">
        <f>tblSales[[#This Row],[Sales]]-tblSales[[#This Row],[Budget]]</f>
        <v>5821</v>
      </c>
      <c r="L3462" s="3">
        <f>(tblSales[[#This Row],[Sales]]-tblSales[[#This Row],[Budget]])/tblSales[[#This Row],[Budget]]</f>
        <v>0.10207087622087008</v>
      </c>
      <c r="M3462" s="2">
        <f>tblSales[[#This Row],[Sales]]/tblSales[[#This Row],[Transactions]]</f>
        <v>419</v>
      </c>
    </row>
    <row r="3463" spans="1:13" x14ac:dyDescent="0.25">
      <c r="A3463" s="1">
        <v>46196</v>
      </c>
      <c r="B3463" t="s">
        <v>8</v>
      </c>
      <c r="C3463" t="s">
        <v>19</v>
      </c>
      <c r="D3463" t="str">
        <f>_xlfn.XLOOKUP(tblSales[[#This Row],[Store ID]],tblStores[Store ID],tblStores[Store Name])</f>
        <v>Gateway</v>
      </c>
      <c r="E3463" t="str">
        <f>_xlfn.XLOOKUP(tblSales[[#This Row],[Store ID]],tblStores[Store ID],tblStores[Province])</f>
        <v>KZN</v>
      </c>
      <c r="F3463" t="str">
        <f>_xlfn.XLOOKUP(tblSales[[#This Row],[Store ID]],tblStores[Store ID],tblStores[Manager])</f>
        <v>Michael Jones</v>
      </c>
      <c r="G3463" t="str">
        <f>_xlfn.XLOOKUP(tblSales[[#This Row],[Category ID]],tblCategories[Category ID],tblCategories[Category])</f>
        <v>Accessories</v>
      </c>
      <c r="H3463">
        <v>48760</v>
      </c>
      <c r="I3463">
        <v>51493</v>
      </c>
      <c r="J3463">
        <v>184</v>
      </c>
      <c r="K3463">
        <f>tblSales[[#This Row],[Sales]]-tblSales[[#This Row],[Budget]]</f>
        <v>-2733</v>
      </c>
      <c r="L3463" s="3">
        <f>(tblSales[[#This Row],[Sales]]-tblSales[[#This Row],[Budget]])/tblSales[[#This Row],[Budget]]</f>
        <v>-5.3075175266541083E-2</v>
      </c>
      <c r="M3463" s="2">
        <f>tblSales[[#This Row],[Sales]]/tblSales[[#This Row],[Transactions]]</f>
        <v>265</v>
      </c>
    </row>
    <row r="3464" spans="1:13" x14ac:dyDescent="0.25">
      <c r="A3464" s="1">
        <v>46196</v>
      </c>
      <c r="B3464" t="s">
        <v>10</v>
      </c>
      <c r="C3464" t="s">
        <v>19</v>
      </c>
      <c r="D3464" t="str">
        <f>_xlfn.XLOOKUP(tblSales[[#This Row],[Store ID]],tblStores[Store ID],tblStores[Store Name])</f>
        <v>Ballito</v>
      </c>
      <c r="E3464" t="str">
        <f>_xlfn.XLOOKUP(tblSales[[#This Row],[Store ID]],tblStores[Store ID],tblStores[Province])</f>
        <v>KZN</v>
      </c>
      <c r="F3464" t="str">
        <f>_xlfn.XLOOKUP(tblSales[[#This Row],[Store ID]],tblStores[Store ID],tblStores[Manager])</f>
        <v>Linda Smith</v>
      </c>
      <c r="G3464" t="str">
        <f>_xlfn.XLOOKUP(tblSales[[#This Row],[Category ID]],tblCategories[Category ID],tblCategories[Category])</f>
        <v>Accessories</v>
      </c>
      <c r="H3464">
        <v>56840</v>
      </c>
      <c r="I3464">
        <v>65306</v>
      </c>
      <c r="J3464">
        <v>145</v>
      </c>
      <c r="K3464">
        <f>tblSales[[#This Row],[Sales]]-tblSales[[#This Row],[Budget]]</f>
        <v>-8466</v>
      </c>
      <c r="L3464" s="3">
        <f>(tblSales[[#This Row],[Sales]]-tblSales[[#This Row],[Budget]])/tblSales[[#This Row],[Budget]]</f>
        <v>-0.12963586806725264</v>
      </c>
      <c r="M3464" s="2">
        <f>tblSales[[#This Row],[Sales]]/tblSales[[#This Row],[Transactions]]</f>
        <v>392</v>
      </c>
    </row>
    <row r="3465" spans="1:13" x14ac:dyDescent="0.25">
      <c r="A3465" s="1">
        <v>46196</v>
      </c>
      <c r="B3465" t="s">
        <v>12</v>
      </c>
      <c r="C3465" t="s">
        <v>7</v>
      </c>
      <c r="D3465" t="str">
        <f>_xlfn.XLOOKUP(tblSales[[#This Row],[Store ID]],tblStores[Store ID],tblStores[Store Name])</f>
        <v>Pietermaritzburg</v>
      </c>
      <c r="E3465" t="str">
        <f>_xlfn.XLOOKUP(tblSales[[#This Row],[Store ID]],tblStores[Store ID],tblStores[Province])</f>
        <v>KZN</v>
      </c>
      <c r="F3465" t="str">
        <f>_xlfn.XLOOKUP(tblSales[[#This Row],[Store ID]],tblStores[Store ID],tblStores[Manager])</f>
        <v>Peter Brown</v>
      </c>
      <c r="G3465" t="str">
        <f>_xlfn.XLOOKUP(tblSales[[#This Row],[Category ID]],tblCategories[Category ID],tblCategories[Category])</f>
        <v>Menswear</v>
      </c>
      <c r="H3465">
        <v>49648</v>
      </c>
      <c r="I3465">
        <v>53918</v>
      </c>
      <c r="J3465">
        <v>107</v>
      </c>
      <c r="K3465">
        <f>tblSales[[#This Row],[Sales]]-tblSales[[#This Row],[Budget]]</f>
        <v>-4270</v>
      </c>
      <c r="L3465" s="3">
        <f>(tblSales[[#This Row],[Sales]]-tblSales[[#This Row],[Budget]])/tblSales[[#This Row],[Budget]]</f>
        <v>-7.9194332133981235E-2</v>
      </c>
      <c r="M3465" s="2">
        <f>tblSales[[#This Row],[Sales]]/tblSales[[#This Row],[Transactions]]</f>
        <v>464</v>
      </c>
    </row>
    <row r="3466" spans="1:13" x14ac:dyDescent="0.25">
      <c r="A3466" s="1">
        <v>46196</v>
      </c>
      <c r="B3466" t="s">
        <v>13</v>
      </c>
      <c r="C3466" t="s">
        <v>9</v>
      </c>
      <c r="D3466" t="str">
        <f>_xlfn.XLOOKUP(tblSales[[#This Row],[Store ID]],tblStores[Store ID],tblStores[Store Name])</f>
        <v>Richards Bay</v>
      </c>
      <c r="E3466" t="str">
        <f>_xlfn.XLOOKUP(tblSales[[#This Row],[Store ID]],tblStores[Store ID],tblStores[Province])</f>
        <v>KZN</v>
      </c>
      <c r="F3466" t="str">
        <f>_xlfn.XLOOKUP(tblSales[[#This Row],[Store ID]],tblStores[Store ID],tblStores[Manager])</f>
        <v>David Green</v>
      </c>
      <c r="G3466" t="str">
        <f>_xlfn.XLOOKUP(tblSales[[#This Row],[Category ID]],tblCategories[Category ID],tblCategories[Category])</f>
        <v>Ladieswear</v>
      </c>
      <c r="H3466">
        <v>59605</v>
      </c>
      <c r="I3466">
        <v>55606</v>
      </c>
      <c r="J3466">
        <v>131</v>
      </c>
      <c r="K3466">
        <f>tblSales[[#This Row],[Sales]]-tblSales[[#This Row],[Budget]]</f>
        <v>3999</v>
      </c>
      <c r="L3466" s="3">
        <f>(tblSales[[#This Row],[Sales]]-tblSales[[#This Row],[Budget]])/tblSales[[#This Row],[Budget]]</f>
        <v>7.191669963672985E-2</v>
      </c>
      <c r="M3466" s="2">
        <f>tblSales[[#This Row],[Sales]]/tblSales[[#This Row],[Transactions]]</f>
        <v>455</v>
      </c>
    </row>
    <row r="3467" spans="1:13" x14ac:dyDescent="0.25">
      <c r="A3467" s="1">
        <v>46196</v>
      </c>
      <c r="B3467" t="s">
        <v>14</v>
      </c>
      <c r="C3467" t="s">
        <v>19</v>
      </c>
      <c r="D3467" t="str">
        <f>_xlfn.XLOOKUP(tblSales[[#This Row],[Store ID]],tblStores[Store ID],tblStores[Store Name])</f>
        <v>Sandton</v>
      </c>
      <c r="E3467" t="str">
        <f>_xlfn.XLOOKUP(tblSales[[#This Row],[Store ID]],tblStores[Store ID],tblStores[Province])</f>
        <v>Gauteng</v>
      </c>
      <c r="F3467" t="str">
        <f>_xlfn.XLOOKUP(tblSales[[#This Row],[Store ID]],tblStores[Store ID],tblStores[Manager])</f>
        <v>Karen White</v>
      </c>
      <c r="G3467" t="str">
        <f>_xlfn.XLOOKUP(tblSales[[#This Row],[Category ID]],tblCategories[Category ID],tblCategories[Category])</f>
        <v>Accessories</v>
      </c>
      <c r="H3467">
        <v>15114</v>
      </c>
      <c r="I3467">
        <v>15097</v>
      </c>
      <c r="J3467">
        <v>66</v>
      </c>
      <c r="K3467">
        <f>tblSales[[#This Row],[Sales]]-tblSales[[#This Row],[Budget]]</f>
        <v>17</v>
      </c>
      <c r="L3467" s="3">
        <f>(tblSales[[#This Row],[Sales]]-tblSales[[#This Row],[Budget]])/tblSales[[#This Row],[Budget]]</f>
        <v>1.1260515334172352E-3</v>
      </c>
      <c r="M3467" s="2">
        <f>tblSales[[#This Row],[Sales]]/tblSales[[#This Row],[Transactions]]</f>
        <v>229</v>
      </c>
    </row>
    <row r="3468" spans="1:13" x14ac:dyDescent="0.25">
      <c r="A3468" s="1">
        <v>46196</v>
      </c>
      <c r="B3468" t="s">
        <v>15</v>
      </c>
      <c r="C3468" t="s">
        <v>9</v>
      </c>
      <c r="D3468" t="str">
        <f>_xlfn.XLOOKUP(tblSales[[#This Row],[Store ID]],tblStores[Store ID],tblStores[Store Name])</f>
        <v>Rosebank</v>
      </c>
      <c r="E3468" t="str">
        <f>_xlfn.XLOOKUP(tblSales[[#This Row],[Store ID]],tblStores[Store ID],tblStores[Province])</f>
        <v>Gauteng</v>
      </c>
      <c r="F3468" t="str">
        <f>_xlfn.XLOOKUP(tblSales[[#This Row],[Store ID]],tblStores[Store ID],tblStores[Manager])</f>
        <v>James Taylor</v>
      </c>
      <c r="G3468" t="str">
        <f>_xlfn.XLOOKUP(tblSales[[#This Row],[Category ID]],tblCategories[Category ID],tblCategories[Category])</f>
        <v>Ladieswear</v>
      </c>
      <c r="H3468">
        <v>29736</v>
      </c>
      <c r="I3468">
        <v>28913</v>
      </c>
      <c r="J3468">
        <v>63</v>
      </c>
      <c r="K3468">
        <f>tblSales[[#This Row],[Sales]]-tblSales[[#This Row],[Budget]]</f>
        <v>823</v>
      </c>
      <c r="L3468" s="3">
        <f>(tblSales[[#This Row],[Sales]]-tblSales[[#This Row],[Budget]])/tblSales[[#This Row],[Budget]]</f>
        <v>2.8464704458202192E-2</v>
      </c>
      <c r="M3468" s="2">
        <f>tblSales[[#This Row],[Sales]]/tblSales[[#This Row],[Transactions]]</f>
        <v>472</v>
      </c>
    </row>
    <row r="3469" spans="1:13" x14ac:dyDescent="0.25">
      <c r="A3469" s="1">
        <v>46196</v>
      </c>
      <c r="B3469" t="s">
        <v>16</v>
      </c>
      <c r="C3469" t="s">
        <v>9</v>
      </c>
      <c r="D3469" t="str">
        <f>_xlfn.XLOOKUP(tblSales[[#This Row],[Store ID]],tblStores[Store ID],tblStores[Store Name])</f>
        <v>Pretoria</v>
      </c>
      <c r="E3469" t="str">
        <f>_xlfn.XLOOKUP(tblSales[[#This Row],[Store ID]],tblStores[Store ID],tblStores[Province])</f>
        <v>Gauteng</v>
      </c>
      <c r="F3469" t="str">
        <f>_xlfn.XLOOKUP(tblSales[[#This Row],[Store ID]],tblStores[Store ID],tblStores[Manager])</f>
        <v>Susan Clark</v>
      </c>
      <c r="G3469" t="str">
        <f>_xlfn.XLOOKUP(tblSales[[#This Row],[Category ID]],tblCategories[Category ID],tblCategories[Category])</f>
        <v>Ladieswear</v>
      </c>
      <c r="H3469">
        <v>63157</v>
      </c>
      <c r="I3469">
        <v>63291</v>
      </c>
      <c r="J3469">
        <v>137</v>
      </c>
      <c r="K3469">
        <f>tblSales[[#This Row],[Sales]]-tblSales[[#This Row],[Budget]]</f>
        <v>-134</v>
      </c>
      <c r="L3469" s="3">
        <f>(tblSales[[#This Row],[Sales]]-tblSales[[#This Row],[Budget]])/tblSales[[#This Row],[Budget]]</f>
        <v>-2.1172046578502471E-3</v>
      </c>
      <c r="M3469" s="2">
        <f>tblSales[[#This Row],[Sales]]/tblSales[[#This Row],[Transactions]]</f>
        <v>461</v>
      </c>
    </row>
    <row r="3470" spans="1:13" x14ac:dyDescent="0.25">
      <c r="A3470" s="1">
        <v>46196</v>
      </c>
      <c r="B3470" t="s">
        <v>17</v>
      </c>
      <c r="C3470" t="s">
        <v>9</v>
      </c>
      <c r="D3470" t="str">
        <f>_xlfn.XLOOKUP(tblSales[[#This Row],[Store ID]],tblStores[Store ID],tblStores[Store Name])</f>
        <v>Centurion</v>
      </c>
      <c r="E3470" t="str">
        <f>_xlfn.XLOOKUP(tblSales[[#This Row],[Store ID]],tblStores[Store ID],tblStores[Province])</f>
        <v>Gauteng</v>
      </c>
      <c r="F3470" t="str">
        <f>_xlfn.XLOOKUP(tblSales[[#This Row],[Store ID]],tblStores[Store ID],tblStores[Manager])</f>
        <v>Mark Wilson</v>
      </c>
      <c r="G3470" t="str">
        <f>_xlfn.XLOOKUP(tblSales[[#This Row],[Category ID]],tblCategories[Category ID],tblCategories[Category])</f>
        <v>Ladieswear</v>
      </c>
      <c r="H3470">
        <v>69012</v>
      </c>
      <c r="I3470">
        <v>66922</v>
      </c>
      <c r="J3470">
        <v>142</v>
      </c>
      <c r="K3470">
        <f>tblSales[[#This Row],[Sales]]-tblSales[[#This Row],[Budget]]</f>
        <v>2090</v>
      </c>
      <c r="L3470" s="3">
        <f>(tblSales[[#This Row],[Sales]]-tblSales[[#This Row],[Budget]])/tblSales[[#This Row],[Budget]]</f>
        <v>3.123038761543289E-2</v>
      </c>
      <c r="M3470" s="2">
        <f>tblSales[[#This Row],[Sales]]/tblSales[[#This Row],[Transactions]]</f>
        <v>486</v>
      </c>
    </row>
    <row r="3471" spans="1:13" x14ac:dyDescent="0.25">
      <c r="A3471" s="1">
        <v>46196</v>
      </c>
      <c r="B3471" t="s">
        <v>18</v>
      </c>
      <c r="C3471" t="s">
        <v>22</v>
      </c>
      <c r="D3471" t="str">
        <f>_xlfn.XLOOKUP(tblSales[[#This Row],[Store ID]],tblStores[Store ID],tblStores[Store Name])</f>
        <v>East Rand</v>
      </c>
      <c r="E3471" t="str">
        <f>_xlfn.XLOOKUP(tblSales[[#This Row],[Store ID]],tblStores[Store ID],tblStores[Province])</f>
        <v>Gauteng</v>
      </c>
      <c r="F3471" t="str">
        <f>_xlfn.XLOOKUP(tblSales[[#This Row],[Store ID]],tblStores[Store ID],tblStores[Manager])</f>
        <v>Lisa Young</v>
      </c>
      <c r="G3471" t="str">
        <f>_xlfn.XLOOKUP(tblSales[[#This Row],[Category ID]],tblCategories[Category ID],tblCategories[Category])</f>
        <v>Kids</v>
      </c>
      <c r="H3471">
        <v>45864</v>
      </c>
      <c r="I3471">
        <v>48893</v>
      </c>
      <c r="J3471">
        <v>196</v>
      </c>
      <c r="K3471">
        <f>tblSales[[#This Row],[Sales]]-tblSales[[#This Row],[Budget]]</f>
        <v>-3029</v>
      </c>
      <c r="L3471" s="3">
        <f>(tblSales[[#This Row],[Sales]]-tblSales[[#This Row],[Budget]])/tblSales[[#This Row],[Budget]]</f>
        <v>-6.1951608614730126E-2</v>
      </c>
      <c r="M3471" s="2">
        <f>tblSales[[#This Row],[Sales]]/tblSales[[#This Row],[Transactions]]</f>
        <v>234</v>
      </c>
    </row>
    <row r="3472" spans="1:13" x14ac:dyDescent="0.25">
      <c r="A3472" s="1">
        <v>46196</v>
      </c>
      <c r="B3472" t="s">
        <v>20</v>
      </c>
      <c r="C3472" t="s">
        <v>22</v>
      </c>
      <c r="D3472" t="str">
        <f>_xlfn.XLOOKUP(tblSales[[#This Row],[Store ID]],tblStores[Store ID],tblStores[Store Name])</f>
        <v>Cape Town CBD</v>
      </c>
      <c r="E3472" t="str">
        <f>_xlfn.XLOOKUP(tblSales[[#This Row],[Store ID]],tblStores[Store ID],tblStores[Province])</f>
        <v>Western Cape</v>
      </c>
      <c r="F3472" t="str">
        <f>_xlfn.XLOOKUP(tblSales[[#This Row],[Store ID]],tblStores[Store ID],tblStores[Manager])</f>
        <v>Brian Hall</v>
      </c>
      <c r="G3472" t="str">
        <f>_xlfn.XLOOKUP(tblSales[[#This Row],[Category ID]],tblCategories[Category ID],tblCategories[Category])</f>
        <v>Kids</v>
      </c>
      <c r="H3472">
        <v>74002</v>
      </c>
      <c r="I3472">
        <v>76453</v>
      </c>
      <c r="J3472">
        <v>163</v>
      </c>
      <c r="K3472">
        <f>tblSales[[#This Row],[Sales]]-tblSales[[#This Row],[Budget]]</f>
        <v>-2451</v>
      </c>
      <c r="L3472" s="3">
        <f>(tblSales[[#This Row],[Sales]]-tblSales[[#This Row],[Budget]])/tblSales[[#This Row],[Budget]]</f>
        <v>-3.2058912011301059E-2</v>
      </c>
      <c r="M3472" s="2">
        <f>tblSales[[#This Row],[Sales]]/tblSales[[#This Row],[Transactions]]</f>
        <v>454</v>
      </c>
    </row>
    <row r="3473" spans="1:13" x14ac:dyDescent="0.25">
      <c r="A3473" s="1">
        <v>46196</v>
      </c>
      <c r="B3473" t="s">
        <v>21</v>
      </c>
      <c r="C3473" t="s">
        <v>9</v>
      </c>
      <c r="D3473" t="str">
        <f>_xlfn.XLOOKUP(tblSales[[#This Row],[Store ID]],tblStores[Store ID],tblStores[Store Name])</f>
        <v>Canal Walk</v>
      </c>
      <c r="E3473" t="str">
        <f>_xlfn.XLOOKUP(tblSales[[#This Row],[Store ID]],tblStores[Store ID],tblStores[Province])</f>
        <v>Western Cape</v>
      </c>
      <c r="F3473" t="str">
        <f>_xlfn.XLOOKUP(tblSales[[#This Row],[Store ID]],tblStores[Store ID],tblStores[Manager])</f>
        <v>Megan Scott</v>
      </c>
      <c r="G3473" t="str">
        <f>_xlfn.XLOOKUP(tblSales[[#This Row],[Category ID]],tblCategories[Category ID],tblCategories[Category])</f>
        <v>Ladieswear</v>
      </c>
      <c r="H3473">
        <v>59754</v>
      </c>
      <c r="I3473">
        <v>65084</v>
      </c>
      <c r="J3473">
        <v>138</v>
      </c>
      <c r="K3473">
        <f>tblSales[[#This Row],[Sales]]-tblSales[[#This Row],[Budget]]</f>
        <v>-5330</v>
      </c>
      <c r="L3473" s="3">
        <f>(tblSales[[#This Row],[Sales]]-tblSales[[#This Row],[Budget]])/tblSales[[#This Row],[Budget]]</f>
        <v>-8.189416753733636E-2</v>
      </c>
      <c r="M3473" s="2">
        <f>tblSales[[#This Row],[Sales]]/tblSales[[#This Row],[Transactions]]</f>
        <v>433</v>
      </c>
    </row>
    <row r="3474" spans="1:13" x14ac:dyDescent="0.25">
      <c r="A3474" s="1">
        <v>46196</v>
      </c>
      <c r="B3474" t="s">
        <v>23</v>
      </c>
      <c r="C3474" t="s">
        <v>22</v>
      </c>
      <c r="D3474" t="str">
        <f>_xlfn.XLOOKUP(tblSales[[#This Row],[Store ID]],tblStores[Store ID],tblStores[Store Name])</f>
        <v>Stellenbosch</v>
      </c>
      <c r="E3474" t="str">
        <f>_xlfn.XLOOKUP(tblSales[[#This Row],[Store ID]],tblStores[Store ID],tblStores[Province])</f>
        <v>Western Cape</v>
      </c>
      <c r="F3474" t="str">
        <f>_xlfn.XLOOKUP(tblSales[[#This Row],[Store ID]],tblStores[Store ID],tblStores[Manager])</f>
        <v>Jason King</v>
      </c>
      <c r="G3474" t="str">
        <f>_xlfn.XLOOKUP(tblSales[[#This Row],[Category ID]],tblCategories[Category ID],tblCategories[Category])</f>
        <v>Kids</v>
      </c>
      <c r="H3474">
        <v>39000</v>
      </c>
      <c r="I3474">
        <v>44108</v>
      </c>
      <c r="J3474">
        <v>150</v>
      </c>
      <c r="K3474">
        <f>tblSales[[#This Row],[Sales]]-tblSales[[#This Row],[Budget]]</f>
        <v>-5108</v>
      </c>
      <c r="L3474" s="3">
        <f>(tblSales[[#This Row],[Sales]]-tblSales[[#This Row],[Budget]])/tblSales[[#This Row],[Budget]]</f>
        <v>-0.1158066563888637</v>
      </c>
      <c r="M3474" s="2">
        <f>tblSales[[#This Row],[Sales]]/tblSales[[#This Row],[Transactions]]</f>
        <v>260</v>
      </c>
    </row>
    <row r="3475" spans="1:13" x14ac:dyDescent="0.25">
      <c r="A3475" s="1">
        <v>46196</v>
      </c>
      <c r="B3475" t="s">
        <v>24</v>
      </c>
      <c r="C3475" t="s">
        <v>9</v>
      </c>
      <c r="D3475" t="str">
        <f>_xlfn.XLOOKUP(tblSales[[#This Row],[Store ID]],tblStores[Store ID],tblStores[Store Name])</f>
        <v>George</v>
      </c>
      <c r="E3475" t="str">
        <f>_xlfn.XLOOKUP(tblSales[[#This Row],[Store ID]],tblStores[Store ID],tblStores[Province])</f>
        <v>Western Cape</v>
      </c>
      <c r="F3475" t="str">
        <f>_xlfn.XLOOKUP(tblSales[[#This Row],[Store ID]],tblStores[Store ID],tblStores[Manager])</f>
        <v>Chloe Hill</v>
      </c>
      <c r="G3475" t="str">
        <f>_xlfn.XLOOKUP(tblSales[[#This Row],[Category ID]],tblCategories[Category ID],tblCategories[Category])</f>
        <v>Ladieswear</v>
      </c>
      <c r="H3475">
        <v>44799</v>
      </c>
      <c r="I3475">
        <v>40356</v>
      </c>
      <c r="J3475">
        <v>137</v>
      </c>
      <c r="K3475">
        <f>tblSales[[#This Row],[Sales]]-tblSales[[#This Row],[Budget]]</f>
        <v>4443</v>
      </c>
      <c r="L3475" s="3">
        <f>(tblSales[[#This Row],[Sales]]-tblSales[[#This Row],[Budget]])/tblSales[[#This Row],[Budget]]</f>
        <v>0.11009515313707999</v>
      </c>
      <c r="M3475" s="2">
        <f>tblSales[[#This Row],[Sales]]/tblSales[[#This Row],[Transactions]]</f>
        <v>327</v>
      </c>
    </row>
    <row r="3476" spans="1:13" x14ac:dyDescent="0.25">
      <c r="A3476" s="1">
        <v>46196</v>
      </c>
      <c r="B3476" t="s">
        <v>25</v>
      </c>
      <c r="C3476" t="s">
        <v>22</v>
      </c>
      <c r="D3476" t="str">
        <f>_xlfn.XLOOKUP(tblSales[[#This Row],[Store ID]],tblStores[Store ID],tblStores[Store Name])</f>
        <v>Paarl</v>
      </c>
      <c r="E3476" t="str">
        <f>_xlfn.XLOOKUP(tblSales[[#This Row],[Store ID]],tblStores[Store ID],tblStores[Province])</f>
        <v>Western Cape</v>
      </c>
      <c r="F3476" t="str">
        <f>_xlfn.XLOOKUP(tblSales[[#This Row],[Store ID]],tblStores[Store ID],tblStores[Manager])</f>
        <v>Andrew Lee</v>
      </c>
      <c r="G3476" t="str">
        <f>_xlfn.XLOOKUP(tblSales[[#This Row],[Category ID]],tblCategories[Category ID],tblCategories[Category])</f>
        <v>Kids</v>
      </c>
      <c r="H3476">
        <v>78795</v>
      </c>
      <c r="I3476">
        <v>74309</v>
      </c>
      <c r="J3476">
        <v>153</v>
      </c>
      <c r="K3476">
        <f>tblSales[[#This Row],[Sales]]-tblSales[[#This Row],[Budget]]</f>
        <v>4486</v>
      </c>
      <c r="L3476" s="3">
        <f>(tblSales[[#This Row],[Sales]]-tblSales[[#This Row],[Budget]])/tblSales[[#This Row],[Budget]]</f>
        <v>6.0369538010200646E-2</v>
      </c>
      <c r="M3476" s="2">
        <f>tblSales[[#This Row],[Sales]]/tblSales[[#This Row],[Transactions]]</f>
        <v>515</v>
      </c>
    </row>
    <row r="3477" spans="1:13" x14ac:dyDescent="0.25">
      <c r="A3477" s="1">
        <v>46196</v>
      </c>
      <c r="B3477" t="s">
        <v>26</v>
      </c>
      <c r="C3477" t="s">
        <v>7</v>
      </c>
      <c r="D3477" t="str">
        <f>_xlfn.XLOOKUP(tblSales[[#This Row],[Store ID]],tblStores[Store ID],tblStores[Store Name])</f>
        <v>Gqeberha</v>
      </c>
      <c r="E3477" t="str">
        <f>_xlfn.XLOOKUP(tblSales[[#This Row],[Store ID]],tblStores[Store ID],tblStores[Province])</f>
        <v>Eastern Cape</v>
      </c>
      <c r="F3477" t="str">
        <f>_xlfn.XLOOKUP(tblSales[[#This Row],[Store ID]],tblStores[Store ID],tblStores[Manager])</f>
        <v>Emma Baker</v>
      </c>
      <c r="G3477" t="str">
        <f>_xlfn.XLOOKUP(tblSales[[#This Row],[Category ID]],tblCategories[Category ID],tblCategories[Category])</f>
        <v>Menswear</v>
      </c>
      <c r="H3477">
        <v>63441</v>
      </c>
      <c r="I3477">
        <v>67455</v>
      </c>
      <c r="J3477">
        <v>133</v>
      </c>
      <c r="K3477">
        <f>tblSales[[#This Row],[Sales]]-tblSales[[#This Row],[Budget]]</f>
        <v>-4014</v>
      </c>
      <c r="L3477" s="3">
        <f>(tblSales[[#This Row],[Sales]]-tblSales[[#This Row],[Budget]])/tblSales[[#This Row],[Budget]]</f>
        <v>-5.9506337558372251E-2</v>
      </c>
      <c r="M3477" s="2">
        <f>tblSales[[#This Row],[Sales]]/tblSales[[#This Row],[Transactions]]</f>
        <v>477</v>
      </c>
    </row>
    <row r="3478" spans="1:13" x14ac:dyDescent="0.25">
      <c r="A3478" s="1">
        <v>46196</v>
      </c>
      <c r="B3478" t="s">
        <v>27</v>
      </c>
      <c r="C3478" t="s">
        <v>11</v>
      </c>
      <c r="D3478" t="str">
        <f>_xlfn.XLOOKUP(tblSales[[#This Row],[Store ID]],tblStores[Store ID],tblStores[Store Name])</f>
        <v>East London</v>
      </c>
      <c r="E3478" t="str">
        <f>_xlfn.XLOOKUP(tblSales[[#This Row],[Store ID]],tblStores[Store ID],tblStores[Province])</f>
        <v>Eastern Cape</v>
      </c>
      <c r="F3478" t="str">
        <f>_xlfn.XLOOKUP(tblSales[[#This Row],[Store ID]],tblStores[Store ID],tblStores[Manager])</f>
        <v>Daniel Evans</v>
      </c>
      <c r="G3478" t="str">
        <f>_xlfn.XLOOKUP(tblSales[[#This Row],[Category ID]],tblCategories[Category ID],tblCategories[Category])</f>
        <v>Footwear</v>
      </c>
      <c r="H3478">
        <v>38640</v>
      </c>
      <c r="I3478">
        <v>40923</v>
      </c>
      <c r="J3478">
        <v>140</v>
      </c>
      <c r="K3478">
        <f>tblSales[[#This Row],[Sales]]-tblSales[[#This Row],[Budget]]</f>
        <v>-2283</v>
      </c>
      <c r="L3478" s="3">
        <f>(tblSales[[#This Row],[Sales]]-tblSales[[#This Row],[Budget]])/tblSales[[#This Row],[Budget]]</f>
        <v>-5.5787698849057987E-2</v>
      </c>
      <c r="M3478" s="2">
        <f>tblSales[[#This Row],[Sales]]/tblSales[[#This Row],[Transactions]]</f>
        <v>276</v>
      </c>
    </row>
    <row r="3479" spans="1:13" x14ac:dyDescent="0.25">
      <c r="A3479" s="1">
        <v>46196</v>
      </c>
      <c r="B3479" t="s">
        <v>28</v>
      </c>
      <c r="C3479" t="s">
        <v>19</v>
      </c>
      <c r="D3479" t="str">
        <f>_xlfn.XLOOKUP(tblSales[[#This Row],[Store ID]],tblStores[Store ID],tblStores[Store Name])</f>
        <v>Bloemfontein</v>
      </c>
      <c r="E3479" t="str">
        <f>_xlfn.XLOOKUP(tblSales[[#This Row],[Store ID]],tblStores[Store ID],tblStores[Province])</f>
        <v>Free State</v>
      </c>
      <c r="F3479" t="str">
        <f>_xlfn.XLOOKUP(tblSales[[#This Row],[Store ID]],tblStores[Store ID],tblStores[Manager])</f>
        <v>Rachel Moore</v>
      </c>
      <c r="G3479" t="str">
        <f>_xlfn.XLOOKUP(tblSales[[#This Row],[Category ID]],tblCategories[Category ID],tblCategories[Category])</f>
        <v>Accessories</v>
      </c>
      <c r="H3479">
        <v>23000</v>
      </c>
      <c r="I3479">
        <v>24205</v>
      </c>
      <c r="J3479">
        <v>92</v>
      </c>
      <c r="K3479">
        <f>tblSales[[#This Row],[Sales]]-tblSales[[#This Row],[Budget]]</f>
        <v>-1205</v>
      </c>
      <c r="L3479" s="3">
        <f>(tblSales[[#This Row],[Sales]]-tblSales[[#This Row],[Budget]])/tblSales[[#This Row],[Budget]]</f>
        <v>-4.978310266473869E-2</v>
      </c>
      <c r="M3479" s="2">
        <f>tblSales[[#This Row],[Sales]]/tblSales[[#This Row],[Transactions]]</f>
        <v>250</v>
      </c>
    </row>
    <row r="3480" spans="1:13" x14ac:dyDescent="0.25">
      <c r="A3480" s="1">
        <v>46196</v>
      </c>
      <c r="B3480" t="s">
        <v>29</v>
      </c>
      <c r="C3480" t="s">
        <v>19</v>
      </c>
      <c r="D3480" t="str">
        <f>_xlfn.XLOOKUP(tblSales[[#This Row],[Store ID]],tblStores[Store ID],tblStores[Store Name])</f>
        <v>Polokwane</v>
      </c>
      <c r="E3480" t="str">
        <f>_xlfn.XLOOKUP(tblSales[[#This Row],[Store ID]],tblStores[Store ID],tblStores[Province])</f>
        <v>Limpopo</v>
      </c>
      <c r="F3480" t="str">
        <f>_xlfn.XLOOKUP(tblSales[[#This Row],[Store ID]],tblStores[Store ID],tblStores[Manager])</f>
        <v>Kevin Harris</v>
      </c>
      <c r="G3480" t="str">
        <f>_xlfn.XLOOKUP(tblSales[[#This Row],[Category ID]],tblCategories[Category ID],tblCategories[Category])</f>
        <v>Accessories</v>
      </c>
      <c r="H3480">
        <v>26730</v>
      </c>
      <c r="I3480">
        <v>27869</v>
      </c>
      <c r="J3480">
        <v>55</v>
      </c>
      <c r="K3480">
        <f>tblSales[[#This Row],[Sales]]-tblSales[[#This Row],[Budget]]</f>
        <v>-1139</v>
      </c>
      <c r="L3480" s="3">
        <f>(tblSales[[#This Row],[Sales]]-tblSales[[#This Row],[Budget]])/tblSales[[#This Row],[Budget]]</f>
        <v>-4.0869783630557252E-2</v>
      </c>
      <c r="M3480" s="2">
        <f>tblSales[[#This Row],[Sales]]/tblSales[[#This Row],[Transactions]]</f>
        <v>486</v>
      </c>
    </row>
    <row r="3481" spans="1:13" x14ac:dyDescent="0.25">
      <c r="A3481" s="1">
        <v>46196</v>
      </c>
      <c r="B3481" t="s">
        <v>30</v>
      </c>
      <c r="C3481" t="s">
        <v>11</v>
      </c>
      <c r="D3481" t="str">
        <f>_xlfn.XLOOKUP(tblSales[[#This Row],[Store ID]],tblStores[Store ID],tblStores[Store Name])</f>
        <v>Nelspruit</v>
      </c>
      <c r="E3481" t="str">
        <f>_xlfn.XLOOKUP(tblSales[[#This Row],[Store ID]],tblStores[Store ID],tblStores[Province])</f>
        <v>Mpumalanga</v>
      </c>
      <c r="F3481" t="str">
        <f>_xlfn.XLOOKUP(tblSales[[#This Row],[Store ID]],tblStores[Store ID],tblStores[Manager])</f>
        <v>Olivia Turner</v>
      </c>
      <c r="G3481" t="str">
        <f>_xlfn.XLOOKUP(tblSales[[#This Row],[Category ID]],tblCategories[Category ID],tblCategories[Category])</f>
        <v>Footwear</v>
      </c>
      <c r="H3481">
        <v>13840</v>
      </c>
      <c r="I3481">
        <v>14565</v>
      </c>
      <c r="J3481">
        <v>40</v>
      </c>
      <c r="K3481">
        <f>tblSales[[#This Row],[Sales]]-tblSales[[#This Row],[Budget]]</f>
        <v>-725</v>
      </c>
      <c r="L3481" s="3">
        <f>(tblSales[[#This Row],[Sales]]-tblSales[[#This Row],[Budget]])/tblSales[[#This Row],[Budget]]</f>
        <v>-4.9776862341228974E-2</v>
      </c>
      <c r="M3481" s="2">
        <f>tblSales[[#This Row],[Sales]]/tblSales[[#This Row],[Transactions]]</f>
        <v>346</v>
      </c>
    </row>
    <row r="3482" spans="1:13" x14ac:dyDescent="0.25">
      <c r="A3482" s="1">
        <v>46197</v>
      </c>
      <c r="B3482" t="s">
        <v>6</v>
      </c>
      <c r="C3482" t="s">
        <v>9</v>
      </c>
      <c r="D3482" t="str">
        <f>_xlfn.XLOOKUP(tblSales[[#This Row],[Store ID]],tblStores[Store ID],tblStores[Store Name])</f>
        <v>Durban CBD</v>
      </c>
      <c r="E3482" t="str">
        <f>_xlfn.XLOOKUP(tblSales[[#This Row],[Store ID]],tblStores[Store ID],tblStores[Province])</f>
        <v>KZN</v>
      </c>
      <c r="F3482" t="str">
        <f>_xlfn.XLOOKUP(tblSales[[#This Row],[Store ID]],tblStores[Store ID],tblStores[Manager])</f>
        <v>Sarah Adams</v>
      </c>
      <c r="G3482" t="str">
        <f>_xlfn.XLOOKUP(tblSales[[#This Row],[Category ID]],tblCategories[Category ID],tblCategories[Category])</f>
        <v>Ladieswear</v>
      </c>
      <c r="H3482">
        <v>90000</v>
      </c>
      <c r="I3482">
        <v>91618</v>
      </c>
      <c r="J3482">
        <v>180</v>
      </c>
      <c r="K3482">
        <f>tblSales[[#This Row],[Sales]]-tblSales[[#This Row],[Budget]]</f>
        <v>-1618</v>
      </c>
      <c r="L3482" s="3">
        <f>(tblSales[[#This Row],[Sales]]-tblSales[[#This Row],[Budget]])/tblSales[[#This Row],[Budget]]</f>
        <v>-1.7660285096815036E-2</v>
      </c>
      <c r="M3482" s="2">
        <f>tblSales[[#This Row],[Sales]]/tblSales[[#This Row],[Transactions]]</f>
        <v>500</v>
      </c>
    </row>
    <row r="3483" spans="1:13" x14ac:dyDescent="0.25">
      <c r="A3483" s="1">
        <v>46197</v>
      </c>
      <c r="B3483" t="s">
        <v>8</v>
      </c>
      <c r="C3483" t="s">
        <v>7</v>
      </c>
      <c r="D3483" t="str">
        <f>_xlfn.XLOOKUP(tblSales[[#This Row],[Store ID]],tblStores[Store ID],tblStores[Store Name])</f>
        <v>Gateway</v>
      </c>
      <c r="E3483" t="str">
        <f>_xlfn.XLOOKUP(tblSales[[#This Row],[Store ID]],tblStores[Store ID],tblStores[Province])</f>
        <v>KZN</v>
      </c>
      <c r="F3483" t="str">
        <f>_xlfn.XLOOKUP(tblSales[[#This Row],[Store ID]],tblStores[Store ID],tblStores[Manager])</f>
        <v>Michael Jones</v>
      </c>
      <c r="G3483" t="str">
        <f>_xlfn.XLOOKUP(tblSales[[#This Row],[Category ID]],tblCategories[Category ID],tblCategories[Category])</f>
        <v>Menswear</v>
      </c>
      <c r="H3483">
        <v>24639</v>
      </c>
      <c r="I3483">
        <v>26751</v>
      </c>
      <c r="J3483">
        <v>129</v>
      </c>
      <c r="K3483">
        <f>tblSales[[#This Row],[Sales]]-tblSales[[#This Row],[Budget]]</f>
        <v>-2112</v>
      </c>
      <c r="L3483" s="3">
        <f>(tblSales[[#This Row],[Sales]]-tblSales[[#This Row],[Budget]])/tblSales[[#This Row],[Budget]]</f>
        <v>-7.8950319614220027E-2</v>
      </c>
      <c r="M3483" s="2">
        <f>tblSales[[#This Row],[Sales]]/tblSales[[#This Row],[Transactions]]</f>
        <v>191</v>
      </c>
    </row>
    <row r="3484" spans="1:13" x14ac:dyDescent="0.25">
      <c r="A3484" s="1">
        <v>46197</v>
      </c>
      <c r="B3484" t="s">
        <v>10</v>
      </c>
      <c r="C3484" t="s">
        <v>11</v>
      </c>
      <c r="D3484" t="str">
        <f>_xlfn.XLOOKUP(tblSales[[#This Row],[Store ID]],tblStores[Store ID],tblStores[Store Name])</f>
        <v>Ballito</v>
      </c>
      <c r="E3484" t="str">
        <f>_xlfn.XLOOKUP(tblSales[[#This Row],[Store ID]],tblStores[Store ID],tblStores[Province])</f>
        <v>KZN</v>
      </c>
      <c r="F3484" t="str">
        <f>_xlfn.XLOOKUP(tblSales[[#This Row],[Store ID]],tblStores[Store ID],tblStores[Manager])</f>
        <v>Linda Smith</v>
      </c>
      <c r="G3484" t="str">
        <f>_xlfn.XLOOKUP(tblSales[[#This Row],[Category ID]],tblCategories[Category ID],tblCategories[Category])</f>
        <v>Footwear</v>
      </c>
      <c r="H3484">
        <v>77616</v>
      </c>
      <c r="I3484">
        <v>86608</v>
      </c>
      <c r="J3484">
        <v>176</v>
      </c>
      <c r="K3484">
        <f>tblSales[[#This Row],[Sales]]-tblSales[[#This Row],[Budget]]</f>
        <v>-8992</v>
      </c>
      <c r="L3484" s="3">
        <f>(tblSales[[#This Row],[Sales]]-tblSales[[#This Row],[Budget]])/tblSales[[#This Row],[Budget]]</f>
        <v>-0.1038241271014225</v>
      </c>
      <c r="M3484" s="2">
        <f>tblSales[[#This Row],[Sales]]/tblSales[[#This Row],[Transactions]]</f>
        <v>441</v>
      </c>
    </row>
    <row r="3485" spans="1:13" x14ac:dyDescent="0.25">
      <c r="A3485" s="1">
        <v>46197</v>
      </c>
      <c r="B3485" t="s">
        <v>12</v>
      </c>
      <c r="C3485" t="s">
        <v>9</v>
      </c>
      <c r="D3485" t="str">
        <f>_xlfn.XLOOKUP(tblSales[[#This Row],[Store ID]],tblStores[Store ID],tblStores[Store Name])</f>
        <v>Pietermaritzburg</v>
      </c>
      <c r="E3485" t="str">
        <f>_xlfn.XLOOKUP(tblSales[[#This Row],[Store ID]],tblStores[Store ID],tblStores[Province])</f>
        <v>KZN</v>
      </c>
      <c r="F3485" t="str">
        <f>_xlfn.XLOOKUP(tblSales[[#This Row],[Store ID]],tblStores[Store ID],tblStores[Manager])</f>
        <v>Peter Brown</v>
      </c>
      <c r="G3485" t="str">
        <f>_xlfn.XLOOKUP(tblSales[[#This Row],[Category ID]],tblCategories[Category ID],tblCategories[Category])</f>
        <v>Ladieswear</v>
      </c>
      <c r="H3485">
        <v>55936</v>
      </c>
      <c r="I3485">
        <v>60453</v>
      </c>
      <c r="J3485">
        <v>152</v>
      </c>
      <c r="K3485">
        <f>tblSales[[#This Row],[Sales]]-tblSales[[#This Row],[Budget]]</f>
        <v>-4517</v>
      </c>
      <c r="L3485" s="3">
        <f>(tblSales[[#This Row],[Sales]]-tblSales[[#This Row],[Budget]])/tblSales[[#This Row],[Budget]]</f>
        <v>-7.4719203348055513E-2</v>
      </c>
      <c r="M3485" s="2">
        <f>tblSales[[#This Row],[Sales]]/tblSales[[#This Row],[Transactions]]</f>
        <v>368</v>
      </c>
    </row>
    <row r="3486" spans="1:13" x14ac:dyDescent="0.25">
      <c r="A3486" s="1">
        <v>46197</v>
      </c>
      <c r="B3486" t="s">
        <v>13</v>
      </c>
      <c r="C3486" t="s">
        <v>9</v>
      </c>
      <c r="D3486" t="str">
        <f>_xlfn.XLOOKUP(tblSales[[#This Row],[Store ID]],tblStores[Store ID],tblStores[Store Name])</f>
        <v>Richards Bay</v>
      </c>
      <c r="E3486" t="str">
        <f>_xlfn.XLOOKUP(tblSales[[#This Row],[Store ID]],tblStores[Store ID],tblStores[Province])</f>
        <v>KZN</v>
      </c>
      <c r="F3486" t="str">
        <f>_xlfn.XLOOKUP(tblSales[[#This Row],[Store ID]],tblStores[Store ID],tblStores[Manager])</f>
        <v>David Green</v>
      </c>
      <c r="G3486" t="str">
        <f>_xlfn.XLOOKUP(tblSales[[#This Row],[Category ID]],tblCategories[Category ID],tblCategories[Category])</f>
        <v>Ladieswear</v>
      </c>
      <c r="H3486">
        <v>33259</v>
      </c>
      <c r="I3486">
        <v>37725</v>
      </c>
      <c r="J3486">
        <v>79</v>
      </c>
      <c r="K3486">
        <f>tblSales[[#This Row],[Sales]]-tblSales[[#This Row],[Budget]]</f>
        <v>-4466</v>
      </c>
      <c r="L3486" s="3">
        <f>(tblSales[[#This Row],[Sales]]-tblSales[[#This Row],[Budget]])/tblSales[[#This Row],[Budget]]</f>
        <v>-0.11838303512259775</v>
      </c>
      <c r="M3486" s="2">
        <f>tblSales[[#This Row],[Sales]]/tblSales[[#This Row],[Transactions]]</f>
        <v>421</v>
      </c>
    </row>
    <row r="3487" spans="1:13" x14ac:dyDescent="0.25">
      <c r="A3487" s="1">
        <v>46197</v>
      </c>
      <c r="B3487" t="s">
        <v>14</v>
      </c>
      <c r="C3487" t="s">
        <v>9</v>
      </c>
      <c r="D3487" t="str">
        <f>_xlfn.XLOOKUP(tblSales[[#This Row],[Store ID]],tblStores[Store ID],tblStores[Store Name])</f>
        <v>Sandton</v>
      </c>
      <c r="E3487" t="str">
        <f>_xlfn.XLOOKUP(tblSales[[#This Row],[Store ID]],tblStores[Store ID],tblStores[Province])</f>
        <v>Gauteng</v>
      </c>
      <c r="F3487" t="str">
        <f>_xlfn.XLOOKUP(tblSales[[#This Row],[Store ID]],tblStores[Store ID],tblStores[Manager])</f>
        <v>Karen White</v>
      </c>
      <c r="G3487" t="str">
        <f>_xlfn.XLOOKUP(tblSales[[#This Row],[Category ID]],tblCategories[Category ID],tblCategories[Category])</f>
        <v>Ladieswear</v>
      </c>
      <c r="H3487">
        <v>28899</v>
      </c>
      <c r="I3487">
        <v>28125</v>
      </c>
      <c r="J3487">
        <v>117</v>
      </c>
      <c r="K3487">
        <f>tblSales[[#This Row],[Sales]]-tblSales[[#This Row],[Budget]]</f>
        <v>774</v>
      </c>
      <c r="L3487" s="3">
        <f>(tblSales[[#This Row],[Sales]]-tblSales[[#This Row],[Budget]])/tblSales[[#This Row],[Budget]]</f>
        <v>2.7519999999999999E-2</v>
      </c>
      <c r="M3487" s="2">
        <f>tblSales[[#This Row],[Sales]]/tblSales[[#This Row],[Transactions]]</f>
        <v>247</v>
      </c>
    </row>
    <row r="3488" spans="1:13" x14ac:dyDescent="0.25">
      <c r="A3488" s="1">
        <v>46197</v>
      </c>
      <c r="B3488" t="s">
        <v>15</v>
      </c>
      <c r="C3488" t="s">
        <v>7</v>
      </c>
      <c r="D3488" t="str">
        <f>_xlfn.XLOOKUP(tblSales[[#This Row],[Store ID]],tblStores[Store ID],tblStores[Store Name])</f>
        <v>Rosebank</v>
      </c>
      <c r="E3488" t="str">
        <f>_xlfn.XLOOKUP(tblSales[[#This Row],[Store ID]],tblStores[Store ID],tblStores[Province])</f>
        <v>Gauteng</v>
      </c>
      <c r="F3488" t="str">
        <f>_xlfn.XLOOKUP(tblSales[[#This Row],[Store ID]],tblStores[Store ID],tblStores[Manager])</f>
        <v>James Taylor</v>
      </c>
      <c r="G3488" t="str">
        <f>_xlfn.XLOOKUP(tblSales[[#This Row],[Category ID]],tblCategories[Category ID],tblCategories[Category])</f>
        <v>Menswear</v>
      </c>
      <c r="H3488">
        <v>41325</v>
      </c>
      <c r="I3488">
        <v>41957</v>
      </c>
      <c r="J3488">
        <v>87</v>
      </c>
      <c r="K3488">
        <f>tblSales[[#This Row],[Sales]]-tblSales[[#This Row],[Budget]]</f>
        <v>-632</v>
      </c>
      <c r="L3488" s="3">
        <f>(tblSales[[#This Row],[Sales]]-tblSales[[#This Row],[Budget]])/tblSales[[#This Row],[Budget]]</f>
        <v>-1.5063040732178182E-2</v>
      </c>
      <c r="M3488" s="2">
        <f>tblSales[[#This Row],[Sales]]/tblSales[[#This Row],[Transactions]]</f>
        <v>475</v>
      </c>
    </row>
    <row r="3489" spans="1:13" x14ac:dyDescent="0.25">
      <c r="A3489" s="1">
        <v>46197</v>
      </c>
      <c r="B3489" t="s">
        <v>16</v>
      </c>
      <c r="C3489" t="s">
        <v>9</v>
      </c>
      <c r="D3489" t="str">
        <f>_xlfn.XLOOKUP(tblSales[[#This Row],[Store ID]],tblStores[Store ID],tblStores[Store Name])</f>
        <v>Pretoria</v>
      </c>
      <c r="E3489" t="str">
        <f>_xlfn.XLOOKUP(tblSales[[#This Row],[Store ID]],tblStores[Store ID],tblStores[Province])</f>
        <v>Gauteng</v>
      </c>
      <c r="F3489" t="str">
        <f>_xlfn.XLOOKUP(tblSales[[#This Row],[Store ID]],tblStores[Store ID],tblStores[Manager])</f>
        <v>Susan Clark</v>
      </c>
      <c r="G3489" t="str">
        <f>_xlfn.XLOOKUP(tblSales[[#This Row],[Category ID]],tblCategories[Category ID],tblCategories[Category])</f>
        <v>Ladieswear</v>
      </c>
      <c r="H3489">
        <v>102480</v>
      </c>
      <c r="I3489">
        <v>103598</v>
      </c>
      <c r="J3489">
        <v>210</v>
      </c>
      <c r="K3489">
        <f>tblSales[[#This Row],[Sales]]-tblSales[[#This Row],[Budget]]</f>
        <v>-1118</v>
      </c>
      <c r="L3489" s="3">
        <f>(tblSales[[#This Row],[Sales]]-tblSales[[#This Row],[Budget]])/tblSales[[#This Row],[Budget]]</f>
        <v>-1.0791714125755324E-2</v>
      </c>
      <c r="M3489" s="2">
        <f>tblSales[[#This Row],[Sales]]/tblSales[[#This Row],[Transactions]]</f>
        <v>488</v>
      </c>
    </row>
    <row r="3490" spans="1:13" x14ac:dyDescent="0.25">
      <c r="A3490" s="1">
        <v>46197</v>
      </c>
      <c r="B3490" t="s">
        <v>17</v>
      </c>
      <c r="C3490" t="s">
        <v>9</v>
      </c>
      <c r="D3490" t="str">
        <f>_xlfn.XLOOKUP(tblSales[[#This Row],[Store ID]],tblStores[Store ID],tblStores[Store Name])</f>
        <v>Centurion</v>
      </c>
      <c r="E3490" t="str">
        <f>_xlfn.XLOOKUP(tblSales[[#This Row],[Store ID]],tblStores[Store ID],tblStores[Province])</f>
        <v>Gauteng</v>
      </c>
      <c r="F3490" t="str">
        <f>_xlfn.XLOOKUP(tblSales[[#This Row],[Store ID]],tblStores[Store ID],tblStores[Manager])</f>
        <v>Mark Wilson</v>
      </c>
      <c r="G3490" t="str">
        <f>_xlfn.XLOOKUP(tblSales[[#This Row],[Category ID]],tblCategories[Category ID],tblCategories[Category])</f>
        <v>Ladieswear</v>
      </c>
      <c r="H3490">
        <v>33280</v>
      </c>
      <c r="I3490">
        <v>34113</v>
      </c>
      <c r="J3490">
        <v>80</v>
      </c>
      <c r="K3490">
        <f>tblSales[[#This Row],[Sales]]-tblSales[[#This Row],[Budget]]</f>
        <v>-833</v>
      </c>
      <c r="L3490" s="3">
        <f>(tblSales[[#This Row],[Sales]]-tblSales[[#This Row],[Budget]])/tblSales[[#This Row],[Budget]]</f>
        <v>-2.4418843256236625E-2</v>
      </c>
      <c r="M3490" s="2">
        <f>tblSales[[#This Row],[Sales]]/tblSales[[#This Row],[Transactions]]</f>
        <v>416</v>
      </c>
    </row>
    <row r="3491" spans="1:13" x14ac:dyDescent="0.25">
      <c r="A3491" s="1">
        <v>46197</v>
      </c>
      <c r="B3491" t="s">
        <v>18</v>
      </c>
      <c r="C3491" t="s">
        <v>7</v>
      </c>
      <c r="D3491" t="str">
        <f>_xlfn.XLOOKUP(tblSales[[#This Row],[Store ID]],tblStores[Store ID],tblStores[Store Name])</f>
        <v>East Rand</v>
      </c>
      <c r="E3491" t="str">
        <f>_xlfn.XLOOKUP(tblSales[[#This Row],[Store ID]],tblStores[Store ID],tblStores[Province])</f>
        <v>Gauteng</v>
      </c>
      <c r="F3491" t="str">
        <f>_xlfn.XLOOKUP(tblSales[[#This Row],[Store ID]],tblStores[Store ID],tblStores[Manager])</f>
        <v>Lisa Young</v>
      </c>
      <c r="G3491" t="str">
        <f>_xlfn.XLOOKUP(tblSales[[#This Row],[Category ID]],tblCategories[Category ID],tblCategories[Category])</f>
        <v>Menswear</v>
      </c>
      <c r="H3491">
        <v>65961</v>
      </c>
      <c r="I3491">
        <v>73745</v>
      </c>
      <c r="J3491">
        <v>189</v>
      </c>
      <c r="K3491">
        <f>tblSales[[#This Row],[Sales]]-tblSales[[#This Row],[Budget]]</f>
        <v>-7784</v>
      </c>
      <c r="L3491" s="3">
        <f>(tblSales[[#This Row],[Sales]]-tblSales[[#This Row],[Budget]])/tblSales[[#This Row],[Budget]]</f>
        <v>-0.10555291884195539</v>
      </c>
      <c r="M3491" s="2">
        <f>tblSales[[#This Row],[Sales]]/tblSales[[#This Row],[Transactions]]</f>
        <v>349</v>
      </c>
    </row>
    <row r="3492" spans="1:13" x14ac:dyDescent="0.25">
      <c r="A3492" s="1">
        <v>46197</v>
      </c>
      <c r="B3492" t="s">
        <v>20</v>
      </c>
      <c r="C3492" t="s">
        <v>9</v>
      </c>
      <c r="D3492" t="str">
        <f>_xlfn.XLOOKUP(tblSales[[#This Row],[Store ID]],tblStores[Store ID],tblStores[Store Name])</f>
        <v>Cape Town CBD</v>
      </c>
      <c r="E3492" t="str">
        <f>_xlfn.XLOOKUP(tblSales[[#This Row],[Store ID]],tblStores[Store ID],tblStores[Province])</f>
        <v>Western Cape</v>
      </c>
      <c r="F3492" t="str">
        <f>_xlfn.XLOOKUP(tblSales[[#This Row],[Store ID]],tblStores[Store ID],tblStores[Manager])</f>
        <v>Brian Hall</v>
      </c>
      <c r="G3492" t="str">
        <f>_xlfn.XLOOKUP(tblSales[[#This Row],[Category ID]],tblCategories[Category ID],tblCategories[Category])</f>
        <v>Ladieswear</v>
      </c>
      <c r="H3492">
        <v>40352</v>
      </c>
      <c r="I3492">
        <v>43600</v>
      </c>
      <c r="J3492">
        <v>97</v>
      </c>
      <c r="K3492">
        <f>tblSales[[#This Row],[Sales]]-tblSales[[#This Row],[Budget]]</f>
        <v>-3248</v>
      </c>
      <c r="L3492" s="3">
        <f>(tblSales[[#This Row],[Sales]]-tblSales[[#This Row],[Budget]])/tblSales[[#This Row],[Budget]]</f>
        <v>-7.4495412844036699E-2</v>
      </c>
      <c r="M3492" s="2">
        <f>tblSales[[#This Row],[Sales]]/tblSales[[#This Row],[Transactions]]</f>
        <v>416</v>
      </c>
    </row>
    <row r="3493" spans="1:13" x14ac:dyDescent="0.25">
      <c r="A3493" s="1">
        <v>46197</v>
      </c>
      <c r="B3493" t="s">
        <v>21</v>
      </c>
      <c r="C3493" t="s">
        <v>7</v>
      </c>
      <c r="D3493" t="str">
        <f>_xlfn.XLOOKUP(tblSales[[#This Row],[Store ID]],tblStores[Store ID],tblStores[Store Name])</f>
        <v>Canal Walk</v>
      </c>
      <c r="E3493" t="str">
        <f>_xlfn.XLOOKUP(tblSales[[#This Row],[Store ID]],tblStores[Store ID],tblStores[Province])</f>
        <v>Western Cape</v>
      </c>
      <c r="F3493" t="str">
        <f>_xlfn.XLOOKUP(tblSales[[#This Row],[Store ID]],tblStores[Store ID],tblStores[Manager])</f>
        <v>Megan Scott</v>
      </c>
      <c r="G3493" t="str">
        <f>_xlfn.XLOOKUP(tblSales[[#This Row],[Category ID]],tblCategories[Category ID],tblCategories[Category])</f>
        <v>Menswear</v>
      </c>
      <c r="H3493">
        <v>7056</v>
      </c>
      <c r="I3493">
        <v>7553</v>
      </c>
      <c r="J3493">
        <v>36</v>
      </c>
      <c r="K3493">
        <f>tblSales[[#This Row],[Sales]]-tblSales[[#This Row],[Budget]]</f>
        <v>-497</v>
      </c>
      <c r="L3493" s="3">
        <f>(tblSales[[#This Row],[Sales]]-tblSales[[#This Row],[Budget]])/tblSales[[#This Row],[Budget]]</f>
        <v>-6.5801668211306771E-2</v>
      </c>
      <c r="M3493" s="2">
        <f>tblSales[[#This Row],[Sales]]/tblSales[[#This Row],[Transactions]]</f>
        <v>196</v>
      </c>
    </row>
    <row r="3494" spans="1:13" x14ac:dyDescent="0.25">
      <c r="A3494" s="1">
        <v>46197</v>
      </c>
      <c r="B3494" t="s">
        <v>23</v>
      </c>
      <c r="C3494" t="s">
        <v>11</v>
      </c>
      <c r="D3494" t="str">
        <f>_xlfn.XLOOKUP(tblSales[[#This Row],[Store ID]],tblStores[Store ID],tblStores[Store Name])</f>
        <v>Stellenbosch</v>
      </c>
      <c r="E3494" t="str">
        <f>_xlfn.XLOOKUP(tblSales[[#This Row],[Store ID]],tblStores[Store ID],tblStores[Province])</f>
        <v>Western Cape</v>
      </c>
      <c r="F3494" t="str">
        <f>_xlfn.XLOOKUP(tblSales[[#This Row],[Store ID]],tblStores[Store ID],tblStores[Manager])</f>
        <v>Jason King</v>
      </c>
      <c r="G3494" t="str">
        <f>_xlfn.XLOOKUP(tblSales[[#This Row],[Category ID]],tblCategories[Category ID],tblCategories[Category])</f>
        <v>Footwear</v>
      </c>
      <c r="H3494">
        <v>70560</v>
      </c>
      <c r="I3494">
        <v>78712</v>
      </c>
      <c r="J3494">
        <v>168</v>
      </c>
      <c r="K3494">
        <f>tblSales[[#This Row],[Sales]]-tblSales[[#This Row],[Budget]]</f>
        <v>-8152</v>
      </c>
      <c r="L3494" s="3">
        <f>(tblSales[[#This Row],[Sales]]-tblSales[[#This Row],[Budget]])/tblSales[[#This Row],[Budget]]</f>
        <v>-0.10356743571501169</v>
      </c>
      <c r="M3494" s="2">
        <f>tblSales[[#This Row],[Sales]]/tblSales[[#This Row],[Transactions]]</f>
        <v>420</v>
      </c>
    </row>
    <row r="3495" spans="1:13" x14ac:dyDescent="0.25">
      <c r="A3495" s="1">
        <v>46197</v>
      </c>
      <c r="B3495" t="s">
        <v>24</v>
      </c>
      <c r="C3495" t="s">
        <v>7</v>
      </c>
      <c r="D3495" t="str">
        <f>_xlfn.XLOOKUP(tblSales[[#This Row],[Store ID]],tblStores[Store ID],tblStores[Store Name])</f>
        <v>George</v>
      </c>
      <c r="E3495" t="str">
        <f>_xlfn.XLOOKUP(tblSales[[#This Row],[Store ID]],tblStores[Store ID],tblStores[Province])</f>
        <v>Western Cape</v>
      </c>
      <c r="F3495" t="str">
        <f>_xlfn.XLOOKUP(tblSales[[#This Row],[Store ID]],tblStores[Store ID],tblStores[Manager])</f>
        <v>Chloe Hill</v>
      </c>
      <c r="G3495" t="str">
        <f>_xlfn.XLOOKUP(tblSales[[#This Row],[Category ID]],tblCategories[Category ID],tblCategories[Category])</f>
        <v>Menswear</v>
      </c>
      <c r="H3495">
        <v>44133</v>
      </c>
      <c r="I3495">
        <v>49465</v>
      </c>
      <c r="J3495">
        <v>141</v>
      </c>
      <c r="K3495">
        <f>tblSales[[#This Row],[Sales]]-tblSales[[#This Row],[Budget]]</f>
        <v>-5332</v>
      </c>
      <c r="L3495" s="3">
        <f>(tblSales[[#This Row],[Sales]]-tblSales[[#This Row],[Budget]])/tblSales[[#This Row],[Budget]]</f>
        <v>-0.10779338926513697</v>
      </c>
      <c r="M3495" s="2">
        <f>tblSales[[#This Row],[Sales]]/tblSales[[#This Row],[Transactions]]</f>
        <v>313</v>
      </c>
    </row>
    <row r="3496" spans="1:13" x14ac:dyDescent="0.25">
      <c r="A3496" s="1">
        <v>46197</v>
      </c>
      <c r="B3496" t="s">
        <v>25</v>
      </c>
      <c r="C3496" t="s">
        <v>19</v>
      </c>
      <c r="D3496" t="str">
        <f>_xlfn.XLOOKUP(tblSales[[#This Row],[Store ID]],tblStores[Store ID],tblStores[Store Name])</f>
        <v>Paarl</v>
      </c>
      <c r="E3496" t="str">
        <f>_xlfn.XLOOKUP(tblSales[[#This Row],[Store ID]],tblStores[Store ID],tblStores[Province])</f>
        <v>Western Cape</v>
      </c>
      <c r="F3496" t="str">
        <f>_xlfn.XLOOKUP(tblSales[[#This Row],[Store ID]],tblStores[Store ID],tblStores[Manager])</f>
        <v>Andrew Lee</v>
      </c>
      <c r="G3496" t="str">
        <f>_xlfn.XLOOKUP(tblSales[[#This Row],[Category ID]],tblCategories[Category ID],tblCategories[Category])</f>
        <v>Accessories</v>
      </c>
      <c r="H3496">
        <v>31850</v>
      </c>
      <c r="I3496">
        <v>33817</v>
      </c>
      <c r="J3496">
        <v>65</v>
      </c>
      <c r="K3496">
        <f>tblSales[[#This Row],[Sales]]-tblSales[[#This Row],[Budget]]</f>
        <v>-1967</v>
      </c>
      <c r="L3496" s="3">
        <f>(tblSales[[#This Row],[Sales]]-tblSales[[#This Row],[Budget]])/tblSales[[#This Row],[Budget]]</f>
        <v>-5.8166011177809979E-2</v>
      </c>
      <c r="M3496" s="2">
        <f>tblSales[[#This Row],[Sales]]/tblSales[[#This Row],[Transactions]]</f>
        <v>490</v>
      </c>
    </row>
    <row r="3497" spans="1:13" x14ac:dyDescent="0.25">
      <c r="A3497" s="1">
        <v>46197</v>
      </c>
      <c r="B3497" t="s">
        <v>26</v>
      </c>
      <c r="C3497" t="s">
        <v>19</v>
      </c>
      <c r="D3497" t="str">
        <f>_xlfn.XLOOKUP(tblSales[[#This Row],[Store ID]],tblStores[Store ID],tblStores[Store Name])</f>
        <v>Gqeberha</v>
      </c>
      <c r="E3497" t="str">
        <f>_xlfn.XLOOKUP(tblSales[[#This Row],[Store ID]],tblStores[Store ID],tblStores[Province])</f>
        <v>Eastern Cape</v>
      </c>
      <c r="F3497" t="str">
        <f>_xlfn.XLOOKUP(tblSales[[#This Row],[Store ID]],tblStores[Store ID],tblStores[Manager])</f>
        <v>Emma Baker</v>
      </c>
      <c r="G3497" t="str">
        <f>_xlfn.XLOOKUP(tblSales[[#This Row],[Category ID]],tblCategories[Category ID],tblCategories[Category])</f>
        <v>Accessories</v>
      </c>
      <c r="H3497">
        <v>41664</v>
      </c>
      <c r="I3497">
        <v>42065</v>
      </c>
      <c r="J3497">
        <v>217</v>
      </c>
      <c r="K3497">
        <f>tblSales[[#This Row],[Sales]]-tblSales[[#This Row],[Budget]]</f>
        <v>-401</v>
      </c>
      <c r="L3497" s="3">
        <f>(tblSales[[#This Row],[Sales]]-tblSales[[#This Row],[Budget]])/tblSales[[#This Row],[Budget]]</f>
        <v>-9.5328658029240464E-3</v>
      </c>
      <c r="M3497" s="2">
        <f>tblSales[[#This Row],[Sales]]/tblSales[[#This Row],[Transactions]]</f>
        <v>192</v>
      </c>
    </row>
    <row r="3498" spans="1:13" x14ac:dyDescent="0.25">
      <c r="A3498" s="1">
        <v>46197</v>
      </c>
      <c r="B3498" t="s">
        <v>27</v>
      </c>
      <c r="C3498" t="s">
        <v>7</v>
      </c>
      <c r="D3498" t="str">
        <f>_xlfn.XLOOKUP(tblSales[[#This Row],[Store ID]],tblStores[Store ID],tblStores[Store Name])</f>
        <v>East London</v>
      </c>
      <c r="E3498" t="str">
        <f>_xlfn.XLOOKUP(tblSales[[#This Row],[Store ID]],tblStores[Store ID],tblStores[Province])</f>
        <v>Eastern Cape</v>
      </c>
      <c r="F3498" t="str">
        <f>_xlfn.XLOOKUP(tblSales[[#This Row],[Store ID]],tblStores[Store ID],tblStores[Manager])</f>
        <v>Daniel Evans</v>
      </c>
      <c r="G3498" t="str">
        <f>_xlfn.XLOOKUP(tblSales[[#This Row],[Category ID]],tblCategories[Category ID],tblCategories[Category])</f>
        <v>Menswear</v>
      </c>
      <c r="H3498">
        <v>41747</v>
      </c>
      <c r="I3498">
        <v>46217</v>
      </c>
      <c r="J3498">
        <v>109</v>
      </c>
      <c r="K3498">
        <f>tblSales[[#This Row],[Sales]]-tblSales[[#This Row],[Budget]]</f>
        <v>-4470</v>
      </c>
      <c r="L3498" s="3">
        <f>(tblSales[[#This Row],[Sales]]-tblSales[[#This Row],[Budget]])/tblSales[[#This Row],[Budget]]</f>
        <v>-9.6717658004630336E-2</v>
      </c>
      <c r="M3498" s="2">
        <f>tblSales[[#This Row],[Sales]]/tblSales[[#This Row],[Transactions]]</f>
        <v>383</v>
      </c>
    </row>
    <row r="3499" spans="1:13" x14ac:dyDescent="0.25">
      <c r="A3499" s="1">
        <v>46197</v>
      </c>
      <c r="B3499" t="s">
        <v>28</v>
      </c>
      <c r="C3499" t="s">
        <v>7</v>
      </c>
      <c r="D3499" t="str">
        <f>_xlfn.XLOOKUP(tblSales[[#This Row],[Store ID]],tblStores[Store ID],tblStores[Store Name])</f>
        <v>Bloemfontein</v>
      </c>
      <c r="E3499" t="str">
        <f>_xlfn.XLOOKUP(tblSales[[#This Row],[Store ID]],tblStores[Store ID],tblStores[Province])</f>
        <v>Free State</v>
      </c>
      <c r="F3499" t="str">
        <f>_xlfn.XLOOKUP(tblSales[[#This Row],[Store ID]],tblStores[Store ID],tblStores[Manager])</f>
        <v>Rachel Moore</v>
      </c>
      <c r="G3499" t="str">
        <f>_xlfn.XLOOKUP(tblSales[[#This Row],[Category ID]],tblCategories[Category ID],tblCategories[Category])</f>
        <v>Menswear</v>
      </c>
      <c r="H3499">
        <v>49152</v>
      </c>
      <c r="I3499">
        <v>53042</v>
      </c>
      <c r="J3499">
        <v>128</v>
      </c>
      <c r="K3499">
        <f>tblSales[[#This Row],[Sales]]-tblSales[[#This Row],[Budget]]</f>
        <v>-3890</v>
      </c>
      <c r="L3499" s="3">
        <f>(tblSales[[#This Row],[Sales]]-tblSales[[#This Row],[Budget]])/tblSales[[#This Row],[Budget]]</f>
        <v>-7.333810942272162E-2</v>
      </c>
      <c r="M3499" s="2">
        <f>tblSales[[#This Row],[Sales]]/tblSales[[#This Row],[Transactions]]</f>
        <v>384</v>
      </c>
    </row>
    <row r="3500" spans="1:13" x14ac:dyDescent="0.25">
      <c r="A3500" s="1">
        <v>46197</v>
      </c>
      <c r="B3500" t="s">
        <v>29</v>
      </c>
      <c r="C3500" t="s">
        <v>19</v>
      </c>
      <c r="D3500" t="str">
        <f>_xlfn.XLOOKUP(tblSales[[#This Row],[Store ID]],tblStores[Store ID],tblStores[Store Name])</f>
        <v>Polokwane</v>
      </c>
      <c r="E3500" t="str">
        <f>_xlfn.XLOOKUP(tblSales[[#This Row],[Store ID]],tblStores[Store ID],tblStores[Province])</f>
        <v>Limpopo</v>
      </c>
      <c r="F3500" t="str">
        <f>_xlfn.XLOOKUP(tblSales[[#This Row],[Store ID]],tblStores[Store ID],tblStores[Manager])</f>
        <v>Kevin Harris</v>
      </c>
      <c r="G3500" t="str">
        <f>_xlfn.XLOOKUP(tblSales[[#This Row],[Category ID]],tblCategories[Category ID],tblCategories[Category])</f>
        <v>Accessories</v>
      </c>
      <c r="H3500">
        <v>100352</v>
      </c>
      <c r="I3500">
        <v>101356</v>
      </c>
      <c r="J3500">
        <v>196</v>
      </c>
      <c r="K3500">
        <f>tblSales[[#This Row],[Sales]]-tblSales[[#This Row],[Budget]]</f>
        <v>-1004</v>
      </c>
      <c r="L3500" s="3">
        <f>(tblSales[[#This Row],[Sales]]-tblSales[[#This Row],[Budget]])/tblSales[[#This Row],[Budget]]</f>
        <v>-9.9056789928568603E-3</v>
      </c>
      <c r="M3500" s="2">
        <f>tblSales[[#This Row],[Sales]]/tblSales[[#This Row],[Transactions]]</f>
        <v>512</v>
      </c>
    </row>
    <row r="3501" spans="1:13" x14ac:dyDescent="0.25">
      <c r="A3501" s="1">
        <v>46197</v>
      </c>
      <c r="B3501" t="s">
        <v>30</v>
      </c>
      <c r="C3501" t="s">
        <v>7</v>
      </c>
      <c r="D3501" t="str">
        <f>_xlfn.XLOOKUP(tblSales[[#This Row],[Store ID]],tblStores[Store ID],tblStores[Store Name])</f>
        <v>Nelspruit</v>
      </c>
      <c r="E3501" t="str">
        <f>_xlfn.XLOOKUP(tblSales[[#This Row],[Store ID]],tblStores[Store ID],tblStores[Province])</f>
        <v>Mpumalanga</v>
      </c>
      <c r="F3501" t="str">
        <f>_xlfn.XLOOKUP(tblSales[[#This Row],[Store ID]],tblStores[Store ID],tblStores[Manager])</f>
        <v>Olivia Turner</v>
      </c>
      <c r="G3501" t="str">
        <f>_xlfn.XLOOKUP(tblSales[[#This Row],[Category ID]],tblCategories[Category ID],tblCategories[Category])</f>
        <v>Menswear</v>
      </c>
      <c r="H3501">
        <v>15494</v>
      </c>
      <c r="I3501">
        <v>17225</v>
      </c>
      <c r="J3501">
        <v>61</v>
      </c>
      <c r="K3501">
        <f>tblSales[[#This Row],[Sales]]-tblSales[[#This Row],[Budget]]</f>
        <v>-1731</v>
      </c>
      <c r="L3501" s="3">
        <f>(tblSales[[#This Row],[Sales]]-tblSales[[#This Row],[Budget]])/tblSales[[#This Row],[Budget]]</f>
        <v>-0.10049346879535559</v>
      </c>
      <c r="M3501" s="2">
        <f>tblSales[[#This Row],[Sales]]/tblSales[[#This Row],[Transactions]]</f>
        <v>254</v>
      </c>
    </row>
    <row r="3502" spans="1:13" x14ac:dyDescent="0.25">
      <c r="A3502" s="1">
        <v>46198</v>
      </c>
      <c r="B3502" t="s">
        <v>6</v>
      </c>
      <c r="C3502" t="s">
        <v>19</v>
      </c>
      <c r="D3502" t="str">
        <f>_xlfn.XLOOKUP(tblSales[[#This Row],[Store ID]],tblStores[Store ID],tblStores[Store Name])</f>
        <v>Durban CBD</v>
      </c>
      <c r="E3502" t="str">
        <f>_xlfn.XLOOKUP(tblSales[[#This Row],[Store ID]],tblStores[Store ID],tblStores[Province])</f>
        <v>KZN</v>
      </c>
      <c r="F3502" t="str">
        <f>_xlfn.XLOOKUP(tblSales[[#This Row],[Store ID]],tblStores[Store ID],tblStores[Manager])</f>
        <v>Sarah Adams</v>
      </c>
      <c r="G3502" t="str">
        <f>_xlfn.XLOOKUP(tblSales[[#This Row],[Category ID]],tblCategories[Category ID],tblCategories[Category])</f>
        <v>Accessories</v>
      </c>
      <c r="H3502">
        <v>16758</v>
      </c>
      <c r="I3502">
        <v>16617</v>
      </c>
      <c r="J3502">
        <v>63</v>
      </c>
      <c r="K3502">
        <f>tblSales[[#This Row],[Sales]]-tblSales[[#This Row],[Budget]]</f>
        <v>141</v>
      </c>
      <c r="L3502" s="3">
        <f>(tblSales[[#This Row],[Sales]]-tblSales[[#This Row],[Budget]])/tblSales[[#This Row],[Budget]]</f>
        <v>8.4852861527351508E-3</v>
      </c>
      <c r="M3502" s="2">
        <f>tblSales[[#This Row],[Sales]]/tblSales[[#This Row],[Transactions]]</f>
        <v>266</v>
      </c>
    </row>
    <row r="3503" spans="1:13" x14ac:dyDescent="0.25">
      <c r="A3503" s="1">
        <v>46198</v>
      </c>
      <c r="B3503" t="s">
        <v>8</v>
      </c>
      <c r="C3503" t="s">
        <v>22</v>
      </c>
      <c r="D3503" t="str">
        <f>_xlfn.XLOOKUP(tblSales[[#This Row],[Store ID]],tblStores[Store ID],tblStores[Store Name])</f>
        <v>Gateway</v>
      </c>
      <c r="E3503" t="str">
        <f>_xlfn.XLOOKUP(tblSales[[#This Row],[Store ID]],tblStores[Store ID],tblStores[Province])</f>
        <v>KZN</v>
      </c>
      <c r="F3503" t="str">
        <f>_xlfn.XLOOKUP(tblSales[[#This Row],[Store ID]],tblStores[Store ID],tblStores[Manager])</f>
        <v>Michael Jones</v>
      </c>
      <c r="G3503" t="str">
        <f>_xlfn.XLOOKUP(tblSales[[#This Row],[Category ID]],tblCategories[Category ID],tblCategories[Category])</f>
        <v>Kids</v>
      </c>
      <c r="H3503">
        <v>21584</v>
      </c>
      <c r="I3503">
        <v>23718</v>
      </c>
      <c r="J3503">
        <v>71</v>
      </c>
      <c r="K3503">
        <f>tblSales[[#This Row],[Sales]]-tblSales[[#This Row],[Budget]]</f>
        <v>-2134</v>
      </c>
      <c r="L3503" s="3">
        <f>(tblSales[[#This Row],[Sales]]-tblSales[[#This Row],[Budget]])/tblSales[[#This Row],[Budget]]</f>
        <v>-8.9973859515979429E-2</v>
      </c>
      <c r="M3503" s="2">
        <f>tblSales[[#This Row],[Sales]]/tblSales[[#This Row],[Transactions]]</f>
        <v>304</v>
      </c>
    </row>
    <row r="3504" spans="1:13" x14ac:dyDescent="0.25">
      <c r="A3504" s="1">
        <v>46198</v>
      </c>
      <c r="B3504" t="s">
        <v>10</v>
      </c>
      <c r="C3504" t="s">
        <v>9</v>
      </c>
      <c r="D3504" t="str">
        <f>_xlfn.XLOOKUP(tblSales[[#This Row],[Store ID]],tblStores[Store ID],tblStores[Store Name])</f>
        <v>Ballito</v>
      </c>
      <c r="E3504" t="str">
        <f>_xlfn.XLOOKUP(tblSales[[#This Row],[Store ID]],tblStores[Store ID],tblStores[Province])</f>
        <v>KZN</v>
      </c>
      <c r="F3504" t="str">
        <f>_xlfn.XLOOKUP(tblSales[[#This Row],[Store ID]],tblStores[Store ID],tblStores[Manager])</f>
        <v>Linda Smith</v>
      </c>
      <c r="G3504" t="str">
        <f>_xlfn.XLOOKUP(tblSales[[#This Row],[Category ID]],tblCategories[Category ID],tblCategories[Category])</f>
        <v>Ladieswear</v>
      </c>
      <c r="H3504">
        <v>23358</v>
      </c>
      <c r="I3504">
        <v>22949</v>
      </c>
      <c r="J3504">
        <v>102</v>
      </c>
      <c r="K3504">
        <f>tblSales[[#This Row],[Sales]]-tblSales[[#This Row],[Budget]]</f>
        <v>409</v>
      </c>
      <c r="L3504" s="3">
        <f>(tblSales[[#This Row],[Sales]]-tblSales[[#This Row],[Budget]])/tblSales[[#This Row],[Budget]]</f>
        <v>1.7822127325809404E-2</v>
      </c>
      <c r="M3504" s="2">
        <f>tblSales[[#This Row],[Sales]]/tblSales[[#This Row],[Transactions]]</f>
        <v>229</v>
      </c>
    </row>
    <row r="3505" spans="1:13" x14ac:dyDescent="0.25">
      <c r="A3505" s="1">
        <v>46198</v>
      </c>
      <c r="B3505" t="s">
        <v>12</v>
      </c>
      <c r="C3505" t="s">
        <v>7</v>
      </c>
      <c r="D3505" t="str">
        <f>_xlfn.XLOOKUP(tblSales[[#This Row],[Store ID]],tblStores[Store ID],tblStores[Store Name])</f>
        <v>Pietermaritzburg</v>
      </c>
      <c r="E3505" t="str">
        <f>_xlfn.XLOOKUP(tblSales[[#This Row],[Store ID]],tblStores[Store ID],tblStores[Province])</f>
        <v>KZN</v>
      </c>
      <c r="F3505" t="str">
        <f>_xlfn.XLOOKUP(tblSales[[#This Row],[Store ID]],tblStores[Store ID],tblStores[Manager])</f>
        <v>Peter Brown</v>
      </c>
      <c r="G3505" t="str">
        <f>_xlfn.XLOOKUP(tblSales[[#This Row],[Category ID]],tblCategories[Category ID],tblCategories[Category])</f>
        <v>Menswear</v>
      </c>
      <c r="H3505">
        <v>65512</v>
      </c>
      <c r="I3505">
        <v>71285</v>
      </c>
      <c r="J3505">
        <v>152</v>
      </c>
      <c r="K3505">
        <f>tblSales[[#This Row],[Sales]]-tblSales[[#This Row],[Budget]]</f>
        <v>-5773</v>
      </c>
      <c r="L3505" s="3">
        <f>(tblSales[[#This Row],[Sales]]-tblSales[[#This Row],[Budget]])/tblSales[[#This Row],[Budget]]</f>
        <v>-8.0984779406607282E-2</v>
      </c>
      <c r="M3505" s="2">
        <f>tblSales[[#This Row],[Sales]]/tblSales[[#This Row],[Transactions]]</f>
        <v>431</v>
      </c>
    </row>
    <row r="3506" spans="1:13" x14ac:dyDescent="0.25">
      <c r="A3506" s="1">
        <v>46198</v>
      </c>
      <c r="B3506" t="s">
        <v>13</v>
      </c>
      <c r="C3506" t="s">
        <v>22</v>
      </c>
      <c r="D3506" t="str">
        <f>_xlfn.XLOOKUP(tblSales[[#This Row],[Store ID]],tblStores[Store ID],tblStores[Store Name])</f>
        <v>Richards Bay</v>
      </c>
      <c r="E3506" t="str">
        <f>_xlfn.XLOOKUP(tblSales[[#This Row],[Store ID]],tblStores[Store ID],tblStores[Province])</f>
        <v>KZN</v>
      </c>
      <c r="F3506" t="str">
        <f>_xlfn.XLOOKUP(tblSales[[#This Row],[Store ID]],tblStores[Store ID],tblStores[Manager])</f>
        <v>David Green</v>
      </c>
      <c r="G3506" t="str">
        <f>_xlfn.XLOOKUP(tblSales[[#This Row],[Category ID]],tblCategories[Category ID],tblCategories[Category])</f>
        <v>Kids</v>
      </c>
      <c r="H3506">
        <v>40382</v>
      </c>
      <c r="I3506">
        <v>43301</v>
      </c>
      <c r="J3506">
        <v>122</v>
      </c>
      <c r="K3506">
        <f>tblSales[[#This Row],[Sales]]-tblSales[[#This Row],[Budget]]</f>
        <v>-2919</v>
      </c>
      <c r="L3506" s="3">
        <f>(tblSales[[#This Row],[Sales]]-tblSales[[#This Row],[Budget]])/tblSales[[#This Row],[Budget]]</f>
        <v>-6.7411838063786061E-2</v>
      </c>
      <c r="M3506" s="2">
        <f>tblSales[[#This Row],[Sales]]/tblSales[[#This Row],[Transactions]]</f>
        <v>331</v>
      </c>
    </row>
    <row r="3507" spans="1:13" x14ac:dyDescent="0.25">
      <c r="A3507" s="1">
        <v>46198</v>
      </c>
      <c r="B3507" t="s">
        <v>14</v>
      </c>
      <c r="C3507" t="s">
        <v>22</v>
      </c>
      <c r="D3507" t="str">
        <f>_xlfn.XLOOKUP(tblSales[[#This Row],[Store ID]],tblStores[Store ID],tblStores[Store Name])</f>
        <v>Sandton</v>
      </c>
      <c r="E3507" t="str">
        <f>_xlfn.XLOOKUP(tblSales[[#This Row],[Store ID]],tblStores[Store ID],tblStores[Province])</f>
        <v>Gauteng</v>
      </c>
      <c r="F3507" t="str">
        <f>_xlfn.XLOOKUP(tblSales[[#This Row],[Store ID]],tblStores[Store ID],tblStores[Manager])</f>
        <v>Karen White</v>
      </c>
      <c r="G3507" t="str">
        <f>_xlfn.XLOOKUP(tblSales[[#This Row],[Category ID]],tblCategories[Category ID],tblCategories[Category])</f>
        <v>Kids</v>
      </c>
      <c r="H3507">
        <v>46800</v>
      </c>
      <c r="I3507">
        <v>48768</v>
      </c>
      <c r="J3507">
        <v>150</v>
      </c>
      <c r="K3507">
        <f>tblSales[[#This Row],[Sales]]-tblSales[[#This Row],[Budget]]</f>
        <v>-1968</v>
      </c>
      <c r="L3507" s="3">
        <f>(tblSales[[#This Row],[Sales]]-tblSales[[#This Row],[Budget]])/tblSales[[#This Row],[Budget]]</f>
        <v>-4.0354330708661415E-2</v>
      </c>
      <c r="M3507" s="2">
        <f>tblSales[[#This Row],[Sales]]/tblSales[[#This Row],[Transactions]]</f>
        <v>312</v>
      </c>
    </row>
    <row r="3508" spans="1:13" x14ac:dyDescent="0.25">
      <c r="A3508" s="1">
        <v>46198</v>
      </c>
      <c r="B3508" t="s">
        <v>15</v>
      </c>
      <c r="C3508" t="s">
        <v>19</v>
      </c>
      <c r="D3508" t="str">
        <f>_xlfn.XLOOKUP(tblSales[[#This Row],[Store ID]],tblStores[Store ID],tblStores[Store Name])</f>
        <v>Rosebank</v>
      </c>
      <c r="E3508" t="str">
        <f>_xlfn.XLOOKUP(tblSales[[#This Row],[Store ID]],tblStores[Store ID],tblStores[Province])</f>
        <v>Gauteng</v>
      </c>
      <c r="F3508" t="str">
        <f>_xlfn.XLOOKUP(tblSales[[#This Row],[Store ID]],tblStores[Store ID],tblStores[Manager])</f>
        <v>James Taylor</v>
      </c>
      <c r="G3508" t="str">
        <f>_xlfn.XLOOKUP(tblSales[[#This Row],[Category ID]],tblCategories[Category ID],tblCategories[Category])</f>
        <v>Accessories</v>
      </c>
      <c r="H3508">
        <v>11044</v>
      </c>
      <c r="I3508">
        <v>10348</v>
      </c>
      <c r="J3508">
        <v>44</v>
      </c>
      <c r="K3508">
        <f>tblSales[[#This Row],[Sales]]-tblSales[[#This Row],[Budget]]</f>
        <v>696</v>
      </c>
      <c r="L3508" s="3">
        <f>(tblSales[[#This Row],[Sales]]-tblSales[[#This Row],[Budget]])/tblSales[[#This Row],[Budget]]</f>
        <v>6.7259373792037114E-2</v>
      </c>
      <c r="M3508" s="2">
        <f>tblSales[[#This Row],[Sales]]/tblSales[[#This Row],[Transactions]]</f>
        <v>251</v>
      </c>
    </row>
    <row r="3509" spans="1:13" x14ac:dyDescent="0.25">
      <c r="A3509" s="1">
        <v>46198</v>
      </c>
      <c r="B3509" t="s">
        <v>16</v>
      </c>
      <c r="C3509" t="s">
        <v>22</v>
      </c>
      <c r="D3509" t="str">
        <f>_xlfn.XLOOKUP(tblSales[[#This Row],[Store ID]],tblStores[Store ID],tblStores[Store Name])</f>
        <v>Pretoria</v>
      </c>
      <c r="E3509" t="str">
        <f>_xlfn.XLOOKUP(tblSales[[#This Row],[Store ID]],tblStores[Store ID],tblStores[Province])</f>
        <v>Gauteng</v>
      </c>
      <c r="F3509" t="str">
        <f>_xlfn.XLOOKUP(tblSales[[#This Row],[Store ID]],tblStores[Store ID],tblStores[Manager])</f>
        <v>Susan Clark</v>
      </c>
      <c r="G3509" t="str">
        <f>_xlfn.XLOOKUP(tblSales[[#This Row],[Category ID]],tblCategories[Category ID],tblCategories[Category])</f>
        <v>Kids</v>
      </c>
      <c r="H3509">
        <v>12013</v>
      </c>
      <c r="I3509">
        <v>13455</v>
      </c>
      <c r="J3509">
        <v>41</v>
      </c>
      <c r="K3509">
        <f>tblSales[[#This Row],[Sales]]-tblSales[[#This Row],[Budget]]</f>
        <v>-1442</v>
      </c>
      <c r="L3509" s="3">
        <f>(tblSales[[#This Row],[Sales]]-tblSales[[#This Row],[Budget]])/tblSales[[#This Row],[Budget]]</f>
        <v>-0.10717205499814196</v>
      </c>
      <c r="M3509" s="2">
        <f>tblSales[[#This Row],[Sales]]/tblSales[[#This Row],[Transactions]]</f>
        <v>293</v>
      </c>
    </row>
    <row r="3510" spans="1:13" x14ac:dyDescent="0.25">
      <c r="A3510" s="1">
        <v>46198</v>
      </c>
      <c r="B3510" t="s">
        <v>17</v>
      </c>
      <c r="C3510" t="s">
        <v>19</v>
      </c>
      <c r="D3510" t="str">
        <f>_xlfn.XLOOKUP(tblSales[[#This Row],[Store ID]],tblStores[Store ID],tblStores[Store Name])</f>
        <v>Centurion</v>
      </c>
      <c r="E3510" t="str">
        <f>_xlfn.XLOOKUP(tblSales[[#This Row],[Store ID]],tblStores[Store ID],tblStores[Province])</f>
        <v>Gauteng</v>
      </c>
      <c r="F3510" t="str">
        <f>_xlfn.XLOOKUP(tblSales[[#This Row],[Store ID]],tblStores[Store ID],tblStores[Manager])</f>
        <v>Mark Wilson</v>
      </c>
      <c r="G3510" t="str">
        <f>_xlfn.XLOOKUP(tblSales[[#This Row],[Category ID]],tblCategories[Category ID],tblCategories[Category])</f>
        <v>Accessories</v>
      </c>
      <c r="H3510">
        <v>41783</v>
      </c>
      <c r="I3510">
        <v>40808</v>
      </c>
      <c r="J3510">
        <v>127</v>
      </c>
      <c r="K3510">
        <f>tblSales[[#This Row],[Sales]]-tblSales[[#This Row],[Budget]]</f>
        <v>975</v>
      </c>
      <c r="L3510" s="3">
        <f>(tblSales[[#This Row],[Sales]]-tblSales[[#This Row],[Budget]])/tblSales[[#This Row],[Budget]]</f>
        <v>2.389237404430504E-2</v>
      </c>
      <c r="M3510" s="2">
        <f>tblSales[[#This Row],[Sales]]/tblSales[[#This Row],[Transactions]]</f>
        <v>329</v>
      </c>
    </row>
    <row r="3511" spans="1:13" x14ac:dyDescent="0.25">
      <c r="A3511" s="1">
        <v>46198</v>
      </c>
      <c r="B3511" t="s">
        <v>18</v>
      </c>
      <c r="C3511" t="s">
        <v>9</v>
      </c>
      <c r="D3511" t="str">
        <f>_xlfn.XLOOKUP(tblSales[[#This Row],[Store ID]],tblStores[Store ID],tblStores[Store Name])</f>
        <v>East Rand</v>
      </c>
      <c r="E3511" t="str">
        <f>_xlfn.XLOOKUP(tblSales[[#This Row],[Store ID]],tblStores[Store ID],tblStores[Province])</f>
        <v>Gauteng</v>
      </c>
      <c r="F3511" t="str">
        <f>_xlfn.XLOOKUP(tblSales[[#This Row],[Store ID]],tblStores[Store ID],tblStores[Manager])</f>
        <v>Lisa Young</v>
      </c>
      <c r="G3511" t="str">
        <f>_xlfn.XLOOKUP(tblSales[[#This Row],[Category ID]],tblCategories[Category ID],tblCategories[Category])</f>
        <v>Ladieswear</v>
      </c>
      <c r="H3511">
        <v>90720</v>
      </c>
      <c r="I3511">
        <v>88559</v>
      </c>
      <c r="J3511">
        <v>180</v>
      </c>
      <c r="K3511">
        <f>tblSales[[#This Row],[Sales]]-tblSales[[#This Row],[Budget]]</f>
        <v>2161</v>
      </c>
      <c r="L3511" s="3">
        <f>(tblSales[[#This Row],[Sales]]-tblSales[[#This Row],[Budget]])/tblSales[[#This Row],[Budget]]</f>
        <v>2.4401811221897267E-2</v>
      </c>
      <c r="M3511" s="2">
        <f>tblSales[[#This Row],[Sales]]/tblSales[[#This Row],[Transactions]]</f>
        <v>504</v>
      </c>
    </row>
    <row r="3512" spans="1:13" x14ac:dyDescent="0.25">
      <c r="A3512" s="1">
        <v>46198</v>
      </c>
      <c r="B3512" t="s">
        <v>20</v>
      </c>
      <c r="C3512" t="s">
        <v>11</v>
      </c>
      <c r="D3512" t="str">
        <f>_xlfn.XLOOKUP(tblSales[[#This Row],[Store ID]],tblStores[Store ID],tblStores[Store Name])</f>
        <v>Cape Town CBD</v>
      </c>
      <c r="E3512" t="str">
        <f>_xlfn.XLOOKUP(tblSales[[#This Row],[Store ID]],tblStores[Store ID],tblStores[Province])</f>
        <v>Western Cape</v>
      </c>
      <c r="F3512" t="str">
        <f>_xlfn.XLOOKUP(tblSales[[#This Row],[Store ID]],tblStores[Store ID],tblStores[Manager])</f>
        <v>Brian Hall</v>
      </c>
      <c r="G3512" t="str">
        <f>_xlfn.XLOOKUP(tblSales[[#This Row],[Category ID]],tblCategories[Category ID],tblCategories[Category])</f>
        <v>Footwear</v>
      </c>
      <c r="H3512">
        <v>68310</v>
      </c>
      <c r="I3512">
        <v>64116</v>
      </c>
      <c r="J3512">
        <v>207</v>
      </c>
      <c r="K3512">
        <f>tblSales[[#This Row],[Sales]]-tblSales[[#This Row],[Budget]]</f>
        <v>4194</v>
      </c>
      <c r="L3512" s="3">
        <f>(tblSales[[#This Row],[Sales]]-tblSales[[#This Row],[Budget]])/tblSales[[#This Row],[Budget]]</f>
        <v>6.5412689500280743E-2</v>
      </c>
      <c r="M3512" s="2">
        <f>tblSales[[#This Row],[Sales]]/tblSales[[#This Row],[Transactions]]</f>
        <v>330</v>
      </c>
    </row>
    <row r="3513" spans="1:13" x14ac:dyDescent="0.25">
      <c r="A3513" s="1">
        <v>46198</v>
      </c>
      <c r="B3513" t="s">
        <v>21</v>
      </c>
      <c r="C3513" t="s">
        <v>9</v>
      </c>
      <c r="D3513" t="str">
        <f>_xlfn.XLOOKUP(tblSales[[#This Row],[Store ID]],tblStores[Store ID],tblStores[Store Name])</f>
        <v>Canal Walk</v>
      </c>
      <c r="E3513" t="str">
        <f>_xlfn.XLOOKUP(tblSales[[#This Row],[Store ID]],tblStores[Store ID],tblStores[Province])</f>
        <v>Western Cape</v>
      </c>
      <c r="F3513" t="str">
        <f>_xlfn.XLOOKUP(tblSales[[#This Row],[Store ID]],tblStores[Store ID],tblStores[Manager])</f>
        <v>Megan Scott</v>
      </c>
      <c r="G3513" t="str">
        <f>_xlfn.XLOOKUP(tblSales[[#This Row],[Category ID]],tblCategories[Category ID],tblCategories[Category])</f>
        <v>Ladieswear</v>
      </c>
      <c r="H3513">
        <v>35352</v>
      </c>
      <c r="I3513">
        <v>34400</v>
      </c>
      <c r="J3513">
        <v>72</v>
      </c>
      <c r="K3513">
        <f>tblSales[[#This Row],[Sales]]-tblSales[[#This Row],[Budget]]</f>
        <v>952</v>
      </c>
      <c r="L3513" s="3">
        <f>(tblSales[[#This Row],[Sales]]-tblSales[[#This Row],[Budget]])/tblSales[[#This Row],[Budget]]</f>
        <v>2.7674418604651162E-2</v>
      </c>
      <c r="M3513" s="2">
        <f>tblSales[[#This Row],[Sales]]/tblSales[[#This Row],[Transactions]]</f>
        <v>491</v>
      </c>
    </row>
    <row r="3514" spans="1:13" x14ac:dyDescent="0.25">
      <c r="A3514" s="1">
        <v>46198</v>
      </c>
      <c r="B3514" t="s">
        <v>23</v>
      </c>
      <c r="C3514" t="s">
        <v>11</v>
      </c>
      <c r="D3514" t="str">
        <f>_xlfn.XLOOKUP(tblSales[[#This Row],[Store ID]],tblStores[Store ID],tblStores[Store Name])</f>
        <v>Stellenbosch</v>
      </c>
      <c r="E3514" t="str">
        <f>_xlfn.XLOOKUP(tblSales[[#This Row],[Store ID]],tblStores[Store ID],tblStores[Province])</f>
        <v>Western Cape</v>
      </c>
      <c r="F3514" t="str">
        <f>_xlfn.XLOOKUP(tblSales[[#This Row],[Store ID]],tblStores[Store ID],tblStores[Manager])</f>
        <v>Jason King</v>
      </c>
      <c r="G3514" t="str">
        <f>_xlfn.XLOOKUP(tblSales[[#This Row],[Category ID]],tblCategories[Category ID],tblCategories[Category])</f>
        <v>Footwear</v>
      </c>
      <c r="H3514">
        <v>50600</v>
      </c>
      <c r="I3514">
        <v>48423</v>
      </c>
      <c r="J3514">
        <v>100</v>
      </c>
      <c r="K3514">
        <f>tblSales[[#This Row],[Sales]]-tblSales[[#This Row],[Budget]]</f>
        <v>2177</v>
      </c>
      <c r="L3514" s="3">
        <f>(tblSales[[#This Row],[Sales]]-tblSales[[#This Row],[Budget]])/tblSales[[#This Row],[Budget]]</f>
        <v>4.4957974516242283E-2</v>
      </c>
      <c r="M3514" s="2">
        <f>tblSales[[#This Row],[Sales]]/tblSales[[#This Row],[Transactions]]</f>
        <v>506</v>
      </c>
    </row>
    <row r="3515" spans="1:13" x14ac:dyDescent="0.25">
      <c r="A3515" s="1">
        <v>46198</v>
      </c>
      <c r="B3515" t="s">
        <v>24</v>
      </c>
      <c r="C3515" t="s">
        <v>9</v>
      </c>
      <c r="D3515" t="str">
        <f>_xlfn.XLOOKUP(tblSales[[#This Row],[Store ID]],tblStores[Store ID],tblStores[Store Name])</f>
        <v>George</v>
      </c>
      <c r="E3515" t="str">
        <f>_xlfn.XLOOKUP(tblSales[[#This Row],[Store ID]],tblStores[Store ID],tblStores[Province])</f>
        <v>Western Cape</v>
      </c>
      <c r="F3515" t="str">
        <f>_xlfn.XLOOKUP(tblSales[[#This Row],[Store ID]],tblStores[Store ID],tblStores[Manager])</f>
        <v>Chloe Hill</v>
      </c>
      <c r="G3515" t="str">
        <f>_xlfn.XLOOKUP(tblSales[[#This Row],[Category ID]],tblCategories[Category ID],tblCategories[Category])</f>
        <v>Ladieswear</v>
      </c>
      <c r="H3515">
        <v>61640</v>
      </c>
      <c r="I3515">
        <v>57762</v>
      </c>
      <c r="J3515">
        <v>184</v>
      </c>
      <c r="K3515">
        <f>tblSales[[#This Row],[Sales]]-tblSales[[#This Row],[Budget]]</f>
        <v>3878</v>
      </c>
      <c r="L3515" s="3">
        <f>(tblSales[[#This Row],[Sales]]-tblSales[[#This Row],[Budget]])/tblSales[[#This Row],[Budget]]</f>
        <v>6.7137564488764234E-2</v>
      </c>
      <c r="M3515" s="2">
        <f>tblSales[[#This Row],[Sales]]/tblSales[[#This Row],[Transactions]]</f>
        <v>335</v>
      </c>
    </row>
    <row r="3516" spans="1:13" x14ac:dyDescent="0.25">
      <c r="A3516" s="1">
        <v>46198</v>
      </c>
      <c r="B3516" t="s">
        <v>25</v>
      </c>
      <c r="C3516" t="s">
        <v>7</v>
      </c>
      <c r="D3516" t="str">
        <f>_xlfn.XLOOKUP(tblSales[[#This Row],[Store ID]],tblStores[Store ID],tblStores[Store Name])</f>
        <v>Paarl</v>
      </c>
      <c r="E3516" t="str">
        <f>_xlfn.XLOOKUP(tblSales[[#This Row],[Store ID]],tblStores[Store ID],tblStores[Province])</f>
        <v>Western Cape</v>
      </c>
      <c r="F3516" t="str">
        <f>_xlfn.XLOOKUP(tblSales[[#This Row],[Store ID]],tblStores[Store ID],tblStores[Manager])</f>
        <v>Andrew Lee</v>
      </c>
      <c r="G3516" t="str">
        <f>_xlfn.XLOOKUP(tblSales[[#This Row],[Category ID]],tblCategories[Category ID],tblCategories[Category])</f>
        <v>Menswear</v>
      </c>
      <c r="H3516">
        <v>36966</v>
      </c>
      <c r="I3516">
        <v>39933</v>
      </c>
      <c r="J3516">
        <v>101</v>
      </c>
      <c r="K3516">
        <f>tblSales[[#This Row],[Sales]]-tblSales[[#This Row],[Budget]]</f>
        <v>-2967</v>
      </c>
      <c r="L3516" s="3">
        <f>(tblSales[[#This Row],[Sales]]-tblSales[[#This Row],[Budget]])/tblSales[[#This Row],[Budget]]</f>
        <v>-7.4299451581398848E-2</v>
      </c>
      <c r="M3516" s="2">
        <f>tblSales[[#This Row],[Sales]]/tblSales[[#This Row],[Transactions]]</f>
        <v>366</v>
      </c>
    </row>
    <row r="3517" spans="1:13" x14ac:dyDescent="0.25">
      <c r="A3517" s="1">
        <v>46198</v>
      </c>
      <c r="B3517" t="s">
        <v>26</v>
      </c>
      <c r="C3517" t="s">
        <v>19</v>
      </c>
      <c r="D3517" t="str">
        <f>_xlfn.XLOOKUP(tblSales[[#This Row],[Store ID]],tblStores[Store ID],tblStores[Store Name])</f>
        <v>Gqeberha</v>
      </c>
      <c r="E3517" t="str">
        <f>_xlfn.XLOOKUP(tblSales[[#This Row],[Store ID]],tblStores[Store ID],tblStores[Province])</f>
        <v>Eastern Cape</v>
      </c>
      <c r="F3517" t="str">
        <f>_xlfn.XLOOKUP(tblSales[[#This Row],[Store ID]],tblStores[Store ID],tblStores[Manager])</f>
        <v>Emma Baker</v>
      </c>
      <c r="G3517" t="str">
        <f>_xlfn.XLOOKUP(tblSales[[#This Row],[Category ID]],tblCategories[Category ID],tblCategories[Category])</f>
        <v>Accessories</v>
      </c>
      <c r="H3517">
        <v>58512</v>
      </c>
      <c r="I3517">
        <v>61707</v>
      </c>
      <c r="J3517">
        <v>138</v>
      </c>
      <c r="K3517">
        <f>tblSales[[#This Row],[Sales]]-tblSales[[#This Row],[Budget]]</f>
        <v>-3195</v>
      </c>
      <c r="L3517" s="3">
        <f>(tblSales[[#This Row],[Sales]]-tblSales[[#This Row],[Budget]])/tblSales[[#This Row],[Budget]]</f>
        <v>-5.1776945889445279E-2</v>
      </c>
      <c r="M3517" s="2">
        <f>tblSales[[#This Row],[Sales]]/tblSales[[#This Row],[Transactions]]</f>
        <v>424</v>
      </c>
    </row>
    <row r="3518" spans="1:13" x14ac:dyDescent="0.25">
      <c r="A3518" s="1">
        <v>46198</v>
      </c>
      <c r="B3518" t="s">
        <v>27</v>
      </c>
      <c r="C3518" t="s">
        <v>9</v>
      </c>
      <c r="D3518" t="str">
        <f>_xlfn.XLOOKUP(tblSales[[#This Row],[Store ID]],tblStores[Store ID],tblStores[Store Name])</f>
        <v>East London</v>
      </c>
      <c r="E3518" t="str">
        <f>_xlfn.XLOOKUP(tblSales[[#This Row],[Store ID]],tblStores[Store ID],tblStores[Province])</f>
        <v>Eastern Cape</v>
      </c>
      <c r="F3518" t="str">
        <f>_xlfn.XLOOKUP(tblSales[[#This Row],[Store ID]],tblStores[Store ID],tblStores[Manager])</f>
        <v>Daniel Evans</v>
      </c>
      <c r="G3518" t="str">
        <f>_xlfn.XLOOKUP(tblSales[[#This Row],[Category ID]],tblCategories[Category ID],tblCategories[Category])</f>
        <v>Ladieswear</v>
      </c>
      <c r="H3518">
        <v>62607</v>
      </c>
      <c r="I3518">
        <v>58786</v>
      </c>
      <c r="J3518">
        <v>123</v>
      </c>
      <c r="K3518">
        <f>tblSales[[#This Row],[Sales]]-tblSales[[#This Row],[Budget]]</f>
        <v>3821</v>
      </c>
      <c r="L3518" s="3">
        <f>(tblSales[[#This Row],[Sales]]-tblSales[[#This Row],[Budget]])/tblSales[[#This Row],[Budget]]</f>
        <v>6.4998469023236818E-2</v>
      </c>
      <c r="M3518" s="2">
        <f>tblSales[[#This Row],[Sales]]/tblSales[[#This Row],[Transactions]]</f>
        <v>509</v>
      </c>
    </row>
    <row r="3519" spans="1:13" x14ac:dyDescent="0.25">
      <c r="A3519" s="1">
        <v>46198</v>
      </c>
      <c r="B3519" t="s">
        <v>28</v>
      </c>
      <c r="C3519" t="s">
        <v>19</v>
      </c>
      <c r="D3519" t="str">
        <f>_xlfn.XLOOKUP(tblSales[[#This Row],[Store ID]],tblStores[Store ID],tblStores[Store Name])</f>
        <v>Bloemfontein</v>
      </c>
      <c r="E3519" t="str">
        <f>_xlfn.XLOOKUP(tblSales[[#This Row],[Store ID]],tblStores[Store ID],tblStores[Province])</f>
        <v>Free State</v>
      </c>
      <c r="F3519" t="str">
        <f>_xlfn.XLOOKUP(tblSales[[#This Row],[Store ID]],tblStores[Store ID],tblStores[Manager])</f>
        <v>Rachel Moore</v>
      </c>
      <c r="G3519" t="str">
        <f>_xlfn.XLOOKUP(tblSales[[#This Row],[Category ID]],tblCategories[Category ID],tblCategories[Category])</f>
        <v>Accessories</v>
      </c>
      <c r="H3519">
        <v>51405</v>
      </c>
      <c r="I3519">
        <v>51075</v>
      </c>
      <c r="J3519">
        <v>115</v>
      </c>
      <c r="K3519">
        <f>tblSales[[#This Row],[Sales]]-tblSales[[#This Row],[Budget]]</f>
        <v>330</v>
      </c>
      <c r="L3519" s="3">
        <f>(tblSales[[#This Row],[Sales]]-tblSales[[#This Row],[Budget]])/tblSales[[#This Row],[Budget]]</f>
        <v>6.4610866372980915E-3</v>
      </c>
      <c r="M3519" s="2">
        <f>tblSales[[#This Row],[Sales]]/tblSales[[#This Row],[Transactions]]</f>
        <v>447</v>
      </c>
    </row>
    <row r="3520" spans="1:13" x14ac:dyDescent="0.25">
      <c r="A3520" s="1">
        <v>46198</v>
      </c>
      <c r="B3520" t="s">
        <v>29</v>
      </c>
      <c r="C3520" t="s">
        <v>11</v>
      </c>
      <c r="D3520" t="str">
        <f>_xlfn.XLOOKUP(tblSales[[#This Row],[Store ID]],tblStores[Store ID],tblStores[Store Name])</f>
        <v>Polokwane</v>
      </c>
      <c r="E3520" t="str">
        <f>_xlfn.XLOOKUP(tblSales[[#This Row],[Store ID]],tblStores[Store ID],tblStores[Province])</f>
        <v>Limpopo</v>
      </c>
      <c r="F3520" t="str">
        <f>_xlfn.XLOOKUP(tblSales[[#This Row],[Store ID]],tblStores[Store ID],tblStores[Manager])</f>
        <v>Kevin Harris</v>
      </c>
      <c r="G3520" t="str">
        <f>_xlfn.XLOOKUP(tblSales[[#This Row],[Category ID]],tblCategories[Category ID],tblCategories[Category])</f>
        <v>Footwear</v>
      </c>
      <c r="H3520">
        <v>53200</v>
      </c>
      <c r="I3520">
        <v>59461</v>
      </c>
      <c r="J3520">
        <v>200</v>
      </c>
      <c r="K3520">
        <f>tblSales[[#This Row],[Sales]]-tblSales[[#This Row],[Budget]]</f>
        <v>-6261</v>
      </c>
      <c r="L3520" s="3">
        <f>(tblSales[[#This Row],[Sales]]-tblSales[[#This Row],[Budget]])/tblSales[[#This Row],[Budget]]</f>
        <v>-0.10529590824237736</v>
      </c>
      <c r="M3520" s="2">
        <f>tblSales[[#This Row],[Sales]]/tblSales[[#This Row],[Transactions]]</f>
        <v>266</v>
      </c>
    </row>
    <row r="3521" spans="1:13" x14ac:dyDescent="0.25">
      <c r="A3521" s="1">
        <v>46198</v>
      </c>
      <c r="B3521" t="s">
        <v>30</v>
      </c>
      <c r="C3521" t="s">
        <v>11</v>
      </c>
      <c r="D3521" t="str">
        <f>_xlfn.XLOOKUP(tblSales[[#This Row],[Store ID]],tblStores[Store ID],tblStores[Store Name])</f>
        <v>Nelspruit</v>
      </c>
      <c r="E3521" t="str">
        <f>_xlfn.XLOOKUP(tblSales[[#This Row],[Store ID]],tblStores[Store ID],tblStores[Province])</f>
        <v>Mpumalanga</v>
      </c>
      <c r="F3521" t="str">
        <f>_xlfn.XLOOKUP(tblSales[[#This Row],[Store ID]],tblStores[Store ID],tblStores[Manager])</f>
        <v>Olivia Turner</v>
      </c>
      <c r="G3521" t="str">
        <f>_xlfn.XLOOKUP(tblSales[[#This Row],[Category ID]],tblCategories[Category ID],tblCategories[Category])</f>
        <v>Footwear</v>
      </c>
      <c r="H3521">
        <v>33733</v>
      </c>
      <c r="I3521">
        <v>37925</v>
      </c>
      <c r="J3521">
        <v>79</v>
      </c>
      <c r="K3521">
        <f>tblSales[[#This Row],[Sales]]-tblSales[[#This Row],[Budget]]</f>
        <v>-4192</v>
      </c>
      <c r="L3521" s="3">
        <f>(tblSales[[#This Row],[Sales]]-tblSales[[#This Row],[Budget]])/tblSales[[#This Row],[Budget]]</f>
        <v>-0.11053394858272907</v>
      </c>
      <c r="M3521" s="2">
        <f>tblSales[[#This Row],[Sales]]/tblSales[[#This Row],[Transactions]]</f>
        <v>427</v>
      </c>
    </row>
    <row r="3522" spans="1:13" x14ac:dyDescent="0.25">
      <c r="A3522" s="1">
        <v>46199</v>
      </c>
      <c r="B3522" t="s">
        <v>6</v>
      </c>
      <c r="C3522" t="s">
        <v>7</v>
      </c>
      <c r="D3522" t="str">
        <f>_xlfn.XLOOKUP(tblSales[[#This Row],[Store ID]],tblStores[Store ID],tblStores[Store Name])</f>
        <v>Durban CBD</v>
      </c>
      <c r="E3522" t="str">
        <f>_xlfn.XLOOKUP(tblSales[[#This Row],[Store ID]],tblStores[Store ID],tblStores[Province])</f>
        <v>KZN</v>
      </c>
      <c r="F3522" t="str">
        <f>_xlfn.XLOOKUP(tblSales[[#This Row],[Store ID]],tblStores[Store ID],tblStores[Manager])</f>
        <v>Sarah Adams</v>
      </c>
      <c r="G3522" t="str">
        <f>_xlfn.XLOOKUP(tblSales[[#This Row],[Category ID]],tblCategories[Category ID],tblCategories[Category])</f>
        <v>Menswear</v>
      </c>
      <c r="H3522">
        <v>43878</v>
      </c>
      <c r="I3522">
        <v>43245</v>
      </c>
      <c r="J3522">
        <v>206</v>
      </c>
      <c r="K3522">
        <f>tblSales[[#This Row],[Sales]]-tblSales[[#This Row],[Budget]]</f>
        <v>633</v>
      </c>
      <c r="L3522" s="3">
        <f>(tblSales[[#This Row],[Sales]]-tblSales[[#This Row],[Budget]])/tblSales[[#This Row],[Budget]]</f>
        <v>1.4637530350329518E-2</v>
      </c>
      <c r="M3522" s="2">
        <f>tblSales[[#This Row],[Sales]]/tblSales[[#This Row],[Transactions]]</f>
        <v>213</v>
      </c>
    </row>
    <row r="3523" spans="1:13" x14ac:dyDescent="0.25">
      <c r="A3523" s="1">
        <v>46199</v>
      </c>
      <c r="B3523" t="s">
        <v>8</v>
      </c>
      <c r="C3523" t="s">
        <v>22</v>
      </c>
      <c r="D3523" t="str">
        <f>_xlfn.XLOOKUP(tblSales[[#This Row],[Store ID]],tblStores[Store ID],tblStores[Store Name])</f>
        <v>Gateway</v>
      </c>
      <c r="E3523" t="str">
        <f>_xlfn.XLOOKUP(tblSales[[#This Row],[Store ID]],tblStores[Store ID],tblStores[Province])</f>
        <v>KZN</v>
      </c>
      <c r="F3523" t="str">
        <f>_xlfn.XLOOKUP(tblSales[[#This Row],[Store ID]],tblStores[Store ID],tblStores[Manager])</f>
        <v>Michael Jones</v>
      </c>
      <c r="G3523" t="str">
        <f>_xlfn.XLOOKUP(tblSales[[#This Row],[Category ID]],tblCategories[Category ID],tblCategories[Category])</f>
        <v>Kids</v>
      </c>
      <c r="H3523">
        <v>25578</v>
      </c>
      <c r="I3523">
        <v>23979</v>
      </c>
      <c r="J3523">
        <v>87</v>
      </c>
      <c r="K3523">
        <f>tblSales[[#This Row],[Sales]]-tblSales[[#This Row],[Budget]]</f>
        <v>1599</v>
      </c>
      <c r="L3523" s="3">
        <f>(tblSales[[#This Row],[Sales]]-tblSales[[#This Row],[Budget]])/tblSales[[#This Row],[Budget]]</f>
        <v>6.6683347929438253E-2</v>
      </c>
      <c r="M3523" s="2">
        <f>tblSales[[#This Row],[Sales]]/tblSales[[#This Row],[Transactions]]</f>
        <v>294</v>
      </c>
    </row>
    <row r="3524" spans="1:13" x14ac:dyDescent="0.25">
      <c r="A3524" s="1">
        <v>46199</v>
      </c>
      <c r="B3524" t="s">
        <v>10</v>
      </c>
      <c r="C3524" t="s">
        <v>19</v>
      </c>
      <c r="D3524" t="str">
        <f>_xlfn.XLOOKUP(tblSales[[#This Row],[Store ID]],tblStores[Store ID],tblStores[Store Name])</f>
        <v>Ballito</v>
      </c>
      <c r="E3524" t="str">
        <f>_xlfn.XLOOKUP(tblSales[[#This Row],[Store ID]],tblStores[Store ID],tblStores[Province])</f>
        <v>KZN</v>
      </c>
      <c r="F3524" t="str">
        <f>_xlfn.XLOOKUP(tblSales[[#This Row],[Store ID]],tblStores[Store ID],tblStores[Manager])</f>
        <v>Linda Smith</v>
      </c>
      <c r="G3524" t="str">
        <f>_xlfn.XLOOKUP(tblSales[[#This Row],[Category ID]],tblCategories[Category ID],tblCategories[Category])</f>
        <v>Accessories</v>
      </c>
      <c r="H3524">
        <v>33280</v>
      </c>
      <c r="I3524">
        <v>31590</v>
      </c>
      <c r="J3524">
        <v>65</v>
      </c>
      <c r="K3524">
        <f>tblSales[[#This Row],[Sales]]-tblSales[[#This Row],[Budget]]</f>
        <v>1690</v>
      </c>
      <c r="L3524" s="3">
        <f>(tblSales[[#This Row],[Sales]]-tblSales[[#This Row],[Budget]])/tblSales[[#This Row],[Budget]]</f>
        <v>5.3497942386831275E-2</v>
      </c>
      <c r="M3524" s="2">
        <f>tblSales[[#This Row],[Sales]]/tblSales[[#This Row],[Transactions]]</f>
        <v>512</v>
      </c>
    </row>
    <row r="3525" spans="1:13" x14ac:dyDescent="0.25">
      <c r="A3525" s="1">
        <v>46199</v>
      </c>
      <c r="B3525" t="s">
        <v>12</v>
      </c>
      <c r="C3525" t="s">
        <v>11</v>
      </c>
      <c r="D3525" t="str">
        <f>_xlfn.XLOOKUP(tblSales[[#This Row],[Store ID]],tblStores[Store ID],tblStores[Store Name])</f>
        <v>Pietermaritzburg</v>
      </c>
      <c r="E3525" t="str">
        <f>_xlfn.XLOOKUP(tblSales[[#This Row],[Store ID]],tblStores[Store ID],tblStores[Province])</f>
        <v>KZN</v>
      </c>
      <c r="F3525" t="str">
        <f>_xlfn.XLOOKUP(tblSales[[#This Row],[Store ID]],tblStores[Store ID],tblStores[Manager])</f>
        <v>Peter Brown</v>
      </c>
      <c r="G3525" t="str">
        <f>_xlfn.XLOOKUP(tblSales[[#This Row],[Category ID]],tblCategories[Category ID],tblCategories[Category])</f>
        <v>Footwear</v>
      </c>
      <c r="H3525">
        <v>71592</v>
      </c>
      <c r="I3525">
        <v>80768</v>
      </c>
      <c r="J3525">
        <v>152</v>
      </c>
      <c r="K3525">
        <f>tblSales[[#This Row],[Sales]]-tblSales[[#This Row],[Budget]]</f>
        <v>-9176</v>
      </c>
      <c r="L3525" s="3">
        <f>(tblSales[[#This Row],[Sales]]-tblSales[[#This Row],[Budget]])/tblSales[[#This Row],[Budget]]</f>
        <v>-0.11360935023771791</v>
      </c>
      <c r="M3525" s="2">
        <f>tblSales[[#This Row],[Sales]]/tblSales[[#This Row],[Transactions]]</f>
        <v>471</v>
      </c>
    </row>
    <row r="3526" spans="1:13" x14ac:dyDescent="0.25">
      <c r="A3526" s="1">
        <v>46199</v>
      </c>
      <c r="B3526" t="s">
        <v>13</v>
      </c>
      <c r="C3526" t="s">
        <v>7</v>
      </c>
      <c r="D3526" t="str">
        <f>_xlfn.XLOOKUP(tblSales[[#This Row],[Store ID]],tblStores[Store ID],tblStores[Store Name])</f>
        <v>Richards Bay</v>
      </c>
      <c r="E3526" t="str">
        <f>_xlfn.XLOOKUP(tblSales[[#This Row],[Store ID]],tblStores[Store ID],tblStores[Province])</f>
        <v>KZN</v>
      </c>
      <c r="F3526" t="str">
        <f>_xlfn.XLOOKUP(tblSales[[#This Row],[Store ID]],tblStores[Store ID],tblStores[Manager])</f>
        <v>David Green</v>
      </c>
      <c r="G3526" t="str">
        <f>_xlfn.XLOOKUP(tblSales[[#This Row],[Category ID]],tblCategories[Category ID],tblCategories[Category])</f>
        <v>Menswear</v>
      </c>
      <c r="H3526">
        <v>50024</v>
      </c>
      <c r="I3526">
        <v>54293</v>
      </c>
      <c r="J3526">
        <v>169</v>
      </c>
      <c r="K3526">
        <f>tblSales[[#This Row],[Sales]]-tblSales[[#This Row],[Budget]]</f>
        <v>-4269</v>
      </c>
      <c r="L3526" s="3">
        <f>(tblSales[[#This Row],[Sales]]-tblSales[[#This Row],[Budget]])/tblSales[[#This Row],[Budget]]</f>
        <v>-7.8628920855358886E-2</v>
      </c>
      <c r="M3526" s="2">
        <f>tblSales[[#This Row],[Sales]]/tblSales[[#This Row],[Transactions]]</f>
        <v>296</v>
      </c>
    </row>
    <row r="3527" spans="1:13" x14ac:dyDescent="0.25">
      <c r="A3527" s="1">
        <v>46199</v>
      </c>
      <c r="B3527" t="s">
        <v>14</v>
      </c>
      <c r="C3527" t="s">
        <v>22</v>
      </c>
      <c r="D3527" t="str">
        <f>_xlfn.XLOOKUP(tblSales[[#This Row],[Store ID]],tblStores[Store ID],tblStores[Store Name])</f>
        <v>Sandton</v>
      </c>
      <c r="E3527" t="str">
        <f>_xlfn.XLOOKUP(tblSales[[#This Row],[Store ID]],tblStores[Store ID],tblStores[Province])</f>
        <v>Gauteng</v>
      </c>
      <c r="F3527" t="str">
        <f>_xlfn.XLOOKUP(tblSales[[#This Row],[Store ID]],tblStores[Store ID],tblStores[Manager])</f>
        <v>Karen White</v>
      </c>
      <c r="G3527" t="str">
        <f>_xlfn.XLOOKUP(tblSales[[#This Row],[Category ID]],tblCategories[Category ID],tblCategories[Category])</f>
        <v>Kids</v>
      </c>
      <c r="H3527">
        <v>40180</v>
      </c>
      <c r="I3527">
        <v>40164</v>
      </c>
      <c r="J3527">
        <v>205</v>
      </c>
      <c r="K3527">
        <f>tblSales[[#This Row],[Sales]]-tblSales[[#This Row],[Budget]]</f>
        <v>16</v>
      </c>
      <c r="L3527" s="3">
        <f>(tblSales[[#This Row],[Sales]]-tblSales[[#This Row],[Budget]])/tblSales[[#This Row],[Budget]]</f>
        <v>3.983666965441689E-4</v>
      </c>
      <c r="M3527" s="2">
        <f>tblSales[[#This Row],[Sales]]/tblSales[[#This Row],[Transactions]]</f>
        <v>196</v>
      </c>
    </row>
    <row r="3528" spans="1:13" x14ac:dyDescent="0.25">
      <c r="A3528" s="1">
        <v>46199</v>
      </c>
      <c r="B3528" t="s">
        <v>15</v>
      </c>
      <c r="C3528" t="s">
        <v>7</v>
      </c>
      <c r="D3528" t="str">
        <f>_xlfn.XLOOKUP(tblSales[[#This Row],[Store ID]],tblStores[Store ID],tblStores[Store Name])</f>
        <v>Rosebank</v>
      </c>
      <c r="E3528" t="str">
        <f>_xlfn.XLOOKUP(tblSales[[#This Row],[Store ID]],tblStores[Store ID],tblStores[Province])</f>
        <v>Gauteng</v>
      </c>
      <c r="F3528" t="str">
        <f>_xlfn.XLOOKUP(tblSales[[#This Row],[Store ID]],tblStores[Store ID],tblStores[Manager])</f>
        <v>James Taylor</v>
      </c>
      <c r="G3528" t="str">
        <f>_xlfn.XLOOKUP(tblSales[[#This Row],[Category ID]],tblCategories[Category ID],tblCategories[Category])</f>
        <v>Menswear</v>
      </c>
      <c r="H3528">
        <v>52241</v>
      </c>
      <c r="I3528">
        <v>47894</v>
      </c>
      <c r="J3528">
        <v>119</v>
      </c>
      <c r="K3528">
        <f>tblSales[[#This Row],[Sales]]-tblSales[[#This Row],[Budget]]</f>
        <v>4347</v>
      </c>
      <c r="L3528" s="3">
        <f>(tblSales[[#This Row],[Sales]]-tblSales[[#This Row],[Budget]])/tblSales[[#This Row],[Budget]]</f>
        <v>9.076293481438176E-2</v>
      </c>
      <c r="M3528" s="2">
        <f>tblSales[[#This Row],[Sales]]/tblSales[[#This Row],[Transactions]]</f>
        <v>439</v>
      </c>
    </row>
    <row r="3529" spans="1:13" x14ac:dyDescent="0.25">
      <c r="A3529" s="1">
        <v>46199</v>
      </c>
      <c r="B3529" t="s">
        <v>16</v>
      </c>
      <c r="C3529" t="s">
        <v>19</v>
      </c>
      <c r="D3529" t="str">
        <f>_xlfn.XLOOKUP(tblSales[[#This Row],[Store ID]],tblStores[Store ID],tblStores[Store Name])</f>
        <v>Pretoria</v>
      </c>
      <c r="E3529" t="str">
        <f>_xlfn.XLOOKUP(tblSales[[#This Row],[Store ID]],tblStores[Store ID],tblStores[Province])</f>
        <v>Gauteng</v>
      </c>
      <c r="F3529" t="str">
        <f>_xlfn.XLOOKUP(tblSales[[#This Row],[Store ID]],tblStores[Store ID],tblStores[Manager])</f>
        <v>Susan Clark</v>
      </c>
      <c r="G3529" t="str">
        <f>_xlfn.XLOOKUP(tblSales[[#This Row],[Category ID]],tblCategories[Category ID],tblCategories[Category])</f>
        <v>Accessories</v>
      </c>
      <c r="H3529">
        <v>77805</v>
      </c>
      <c r="I3529">
        <v>86997</v>
      </c>
      <c r="J3529">
        <v>171</v>
      </c>
      <c r="K3529">
        <f>tblSales[[#This Row],[Sales]]-tblSales[[#This Row],[Budget]]</f>
        <v>-9192</v>
      </c>
      <c r="L3529" s="3">
        <f>(tblSales[[#This Row],[Sales]]-tblSales[[#This Row],[Budget]])/tblSales[[#This Row],[Budget]]</f>
        <v>-0.10565881582123522</v>
      </c>
      <c r="M3529" s="2">
        <f>tblSales[[#This Row],[Sales]]/tblSales[[#This Row],[Transactions]]</f>
        <v>455</v>
      </c>
    </row>
    <row r="3530" spans="1:13" x14ac:dyDescent="0.25">
      <c r="A3530" s="1">
        <v>46199</v>
      </c>
      <c r="B3530" t="s">
        <v>17</v>
      </c>
      <c r="C3530" t="s">
        <v>7</v>
      </c>
      <c r="D3530" t="str">
        <f>_xlfn.XLOOKUP(tblSales[[#This Row],[Store ID]],tblStores[Store ID],tblStores[Store Name])</f>
        <v>Centurion</v>
      </c>
      <c r="E3530" t="str">
        <f>_xlfn.XLOOKUP(tblSales[[#This Row],[Store ID]],tblStores[Store ID],tblStores[Province])</f>
        <v>Gauteng</v>
      </c>
      <c r="F3530" t="str">
        <f>_xlfn.XLOOKUP(tblSales[[#This Row],[Store ID]],tblStores[Store ID],tblStores[Manager])</f>
        <v>Mark Wilson</v>
      </c>
      <c r="G3530" t="str">
        <f>_xlfn.XLOOKUP(tblSales[[#This Row],[Category ID]],tblCategories[Category ID],tblCategories[Category])</f>
        <v>Menswear</v>
      </c>
      <c r="H3530">
        <v>70030</v>
      </c>
      <c r="I3530">
        <v>72182</v>
      </c>
      <c r="J3530">
        <v>149</v>
      </c>
      <c r="K3530">
        <f>tblSales[[#This Row],[Sales]]-tblSales[[#This Row],[Budget]]</f>
        <v>-2152</v>
      </c>
      <c r="L3530" s="3">
        <f>(tblSales[[#This Row],[Sales]]-tblSales[[#This Row],[Budget]])/tblSales[[#This Row],[Budget]]</f>
        <v>-2.9813526918068215E-2</v>
      </c>
      <c r="M3530" s="2">
        <f>tblSales[[#This Row],[Sales]]/tblSales[[#This Row],[Transactions]]</f>
        <v>470</v>
      </c>
    </row>
    <row r="3531" spans="1:13" x14ac:dyDescent="0.25">
      <c r="A3531" s="1">
        <v>46199</v>
      </c>
      <c r="B3531" t="s">
        <v>18</v>
      </c>
      <c r="C3531" t="s">
        <v>9</v>
      </c>
      <c r="D3531" t="str">
        <f>_xlfn.XLOOKUP(tblSales[[#This Row],[Store ID]],tblStores[Store ID],tblStores[Store Name])</f>
        <v>East Rand</v>
      </c>
      <c r="E3531" t="str">
        <f>_xlfn.XLOOKUP(tblSales[[#This Row],[Store ID]],tblStores[Store ID],tblStores[Province])</f>
        <v>Gauteng</v>
      </c>
      <c r="F3531" t="str">
        <f>_xlfn.XLOOKUP(tblSales[[#This Row],[Store ID]],tblStores[Store ID],tblStores[Manager])</f>
        <v>Lisa Young</v>
      </c>
      <c r="G3531" t="str">
        <f>_xlfn.XLOOKUP(tblSales[[#This Row],[Category ID]],tblCategories[Category ID],tblCategories[Category])</f>
        <v>Ladieswear</v>
      </c>
      <c r="H3531">
        <v>27300</v>
      </c>
      <c r="I3531">
        <v>29277</v>
      </c>
      <c r="J3531">
        <v>100</v>
      </c>
      <c r="K3531">
        <f>tblSales[[#This Row],[Sales]]-tblSales[[#This Row],[Budget]]</f>
        <v>-1977</v>
      </c>
      <c r="L3531" s="3">
        <f>(tblSales[[#This Row],[Sales]]-tblSales[[#This Row],[Budget]])/tblSales[[#This Row],[Budget]]</f>
        <v>-6.7527410595347878E-2</v>
      </c>
      <c r="M3531" s="2">
        <f>tblSales[[#This Row],[Sales]]/tblSales[[#This Row],[Transactions]]</f>
        <v>273</v>
      </c>
    </row>
    <row r="3532" spans="1:13" x14ac:dyDescent="0.25">
      <c r="A3532" s="1">
        <v>46199</v>
      </c>
      <c r="B3532" t="s">
        <v>20</v>
      </c>
      <c r="C3532" t="s">
        <v>9</v>
      </c>
      <c r="D3532" t="str">
        <f>_xlfn.XLOOKUP(tblSales[[#This Row],[Store ID]],tblStores[Store ID],tblStores[Store Name])</f>
        <v>Cape Town CBD</v>
      </c>
      <c r="E3532" t="str">
        <f>_xlfn.XLOOKUP(tblSales[[#This Row],[Store ID]],tblStores[Store ID],tblStores[Province])</f>
        <v>Western Cape</v>
      </c>
      <c r="F3532" t="str">
        <f>_xlfn.XLOOKUP(tblSales[[#This Row],[Store ID]],tblStores[Store ID],tblStores[Manager])</f>
        <v>Brian Hall</v>
      </c>
      <c r="G3532" t="str">
        <f>_xlfn.XLOOKUP(tblSales[[#This Row],[Category ID]],tblCategories[Category ID],tblCategories[Category])</f>
        <v>Ladieswear</v>
      </c>
      <c r="H3532">
        <v>38409</v>
      </c>
      <c r="I3532">
        <v>36271</v>
      </c>
      <c r="J3532">
        <v>93</v>
      </c>
      <c r="K3532">
        <f>tblSales[[#This Row],[Sales]]-tblSales[[#This Row],[Budget]]</f>
        <v>2138</v>
      </c>
      <c r="L3532" s="3">
        <f>(tblSales[[#This Row],[Sales]]-tblSales[[#This Row],[Budget]])/tblSales[[#This Row],[Budget]]</f>
        <v>5.8945162802238701E-2</v>
      </c>
      <c r="M3532" s="2">
        <f>tblSales[[#This Row],[Sales]]/tblSales[[#This Row],[Transactions]]</f>
        <v>413</v>
      </c>
    </row>
    <row r="3533" spans="1:13" x14ac:dyDescent="0.25">
      <c r="A3533" s="1">
        <v>46199</v>
      </c>
      <c r="B3533" t="s">
        <v>21</v>
      </c>
      <c r="C3533" t="s">
        <v>19</v>
      </c>
      <c r="D3533" t="str">
        <f>_xlfn.XLOOKUP(tblSales[[#This Row],[Store ID]],tblStores[Store ID],tblStores[Store Name])</f>
        <v>Canal Walk</v>
      </c>
      <c r="E3533" t="str">
        <f>_xlfn.XLOOKUP(tblSales[[#This Row],[Store ID]],tblStores[Store ID],tblStores[Province])</f>
        <v>Western Cape</v>
      </c>
      <c r="F3533" t="str">
        <f>_xlfn.XLOOKUP(tblSales[[#This Row],[Store ID]],tblStores[Store ID],tblStores[Manager])</f>
        <v>Megan Scott</v>
      </c>
      <c r="G3533" t="str">
        <f>_xlfn.XLOOKUP(tblSales[[#This Row],[Category ID]],tblCategories[Category ID],tblCategories[Category])</f>
        <v>Accessories</v>
      </c>
      <c r="H3533">
        <v>47586</v>
      </c>
      <c r="I3533">
        <v>46128</v>
      </c>
      <c r="J3533">
        <v>103</v>
      </c>
      <c r="K3533">
        <f>tblSales[[#This Row],[Sales]]-tblSales[[#This Row],[Budget]]</f>
        <v>1458</v>
      </c>
      <c r="L3533" s="3">
        <f>(tblSales[[#This Row],[Sales]]-tblSales[[#This Row],[Budget]])/tblSales[[#This Row],[Budget]]</f>
        <v>3.1607700312174816E-2</v>
      </c>
      <c r="M3533" s="2">
        <f>tblSales[[#This Row],[Sales]]/tblSales[[#This Row],[Transactions]]</f>
        <v>462</v>
      </c>
    </row>
    <row r="3534" spans="1:13" x14ac:dyDescent="0.25">
      <c r="A3534" s="1">
        <v>46199</v>
      </c>
      <c r="B3534" t="s">
        <v>23</v>
      </c>
      <c r="C3534" t="s">
        <v>9</v>
      </c>
      <c r="D3534" t="str">
        <f>_xlfn.XLOOKUP(tblSales[[#This Row],[Store ID]],tblStores[Store ID],tblStores[Store Name])</f>
        <v>Stellenbosch</v>
      </c>
      <c r="E3534" t="str">
        <f>_xlfn.XLOOKUP(tblSales[[#This Row],[Store ID]],tblStores[Store ID],tblStores[Province])</f>
        <v>Western Cape</v>
      </c>
      <c r="F3534" t="str">
        <f>_xlfn.XLOOKUP(tblSales[[#This Row],[Store ID]],tblStores[Store ID],tblStores[Manager])</f>
        <v>Jason King</v>
      </c>
      <c r="G3534" t="str">
        <f>_xlfn.XLOOKUP(tblSales[[#This Row],[Category ID]],tblCategories[Category ID],tblCategories[Category])</f>
        <v>Ladieswear</v>
      </c>
      <c r="H3534">
        <v>12597</v>
      </c>
      <c r="I3534">
        <v>12982</v>
      </c>
      <c r="J3534">
        <v>51</v>
      </c>
      <c r="K3534">
        <f>tblSales[[#This Row],[Sales]]-tblSales[[#This Row],[Budget]]</f>
        <v>-385</v>
      </c>
      <c r="L3534" s="3">
        <f>(tblSales[[#This Row],[Sales]]-tblSales[[#This Row],[Budget]])/tblSales[[#This Row],[Budget]]</f>
        <v>-2.9656447388692036E-2</v>
      </c>
      <c r="M3534" s="2">
        <f>tblSales[[#This Row],[Sales]]/tblSales[[#This Row],[Transactions]]</f>
        <v>247</v>
      </c>
    </row>
    <row r="3535" spans="1:13" x14ac:dyDescent="0.25">
      <c r="A3535" s="1">
        <v>46199</v>
      </c>
      <c r="B3535" t="s">
        <v>24</v>
      </c>
      <c r="C3535" t="s">
        <v>7</v>
      </c>
      <c r="D3535" t="str">
        <f>_xlfn.XLOOKUP(tblSales[[#This Row],[Store ID]],tblStores[Store ID],tblStores[Store Name])</f>
        <v>George</v>
      </c>
      <c r="E3535" t="str">
        <f>_xlfn.XLOOKUP(tblSales[[#This Row],[Store ID]],tblStores[Store ID],tblStores[Province])</f>
        <v>Western Cape</v>
      </c>
      <c r="F3535" t="str">
        <f>_xlfn.XLOOKUP(tblSales[[#This Row],[Store ID]],tblStores[Store ID],tblStores[Manager])</f>
        <v>Chloe Hill</v>
      </c>
      <c r="G3535" t="str">
        <f>_xlfn.XLOOKUP(tblSales[[#This Row],[Category ID]],tblCategories[Category ID],tblCategories[Category])</f>
        <v>Menswear</v>
      </c>
      <c r="H3535">
        <v>26048</v>
      </c>
      <c r="I3535">
        <v>25031</v>
      </c>
      <c r="J3535">
        <v>88</v>
      </c>
      <c r="K3535">
        <f>tblSales[[#This Row],[Sales]]-tblSales[[#This Row],[Budget]]</f>
        <v>1017</v>
      </c>
      <c r="L3535" s="3">
        <f>(tblSales[[#This Row],[Sales]]-tblSales[[#This Row],[Budget]])/tblSales[[#This Row],[Budget]]</f>
        <v>4.0629619272102596E-2</v>
      </c>
      <c r="M3535" s="2">
        <f>tblSales[[#This Row],[Sales]]/tblSales[[#This Row],[Transactions]]</f>
        <v>296</v>
      </c>
    </row>
    <row r="3536" spans="1:13" x14ac:dyDescent="0.25">
      <c r="A3536" s="1">
        <v>46199</v>
      </c>
      <c r="B3536" t="s">
        <v>25</v>
      </c>
      <c r="C3536" t="s">
        <v>19</v>
      </c>
      <c r="D3536" t="str">
        <f>_xlfn.XLOOKUP(tblSales[[#This Row],[Store ID]],tblStores[Store ID],tblStores[Store Name])</f>
        <v>Paarl</v>
      </c>
      <c r="E3536" t="str">
        <f>_xlfn.XLOOKUP(tblSales[[#This Row],[Store ID]],tblStores[Store ID],tblStores[Province])</f>
        <v>Western Cape</v>
      </c>
      <c r="F3536" t="str">
        <f>_xlfn.XLOOKUP(tblSales[[#This Row],[Store ID]],tblStores[Store ID],tblStores[Manager])</f>
        <v>Andrew Lee</v>
      </c>
      <c r="G3536" t="str">
        <f>_xlfn.XLOOKUP(tblSales[[#This Row],[Category ID]],tblCategories[Category ID],tblCategories[Category])</f>
        <v>Accessories</v>
      </c>
      <c r="H3536">
        <v>65469</v>
      </c>
      <c r="I3536">
        <v>60530</v>
      </c>
      <c r="J3536">
        <v>157</v>
      </c>
      <c r="K3536">
        <f>tblSales[[#This Row],[Sales]]-tblSales[[#This Row],[Budget]]</f>
        <v>4939</v>
      </c>
      <c r="L3536" s="3">
        <f>(tblSales[[#This Row],[Sales]]-tblSales[[#This Row],[Budget]])/tblSales[[#This Row],[Budget]]</f>
        <v>8.1595902858086905E-2</v>
      </c>
      <c r="M3536" s="2">
        <f>tblSales[[#This Row],[Sales]]/tblSales[[#This Row],[Transactions]]</f>
        <v>417</v>
      </c>
    </row>
    <row r="3537" spans="1:13" x14ac:dyDescent="0.25">
      <c r="A3537" s="1">
        <v>46199</v>
      </c>
      <c r="B3537" t="s">
        <v>26</v>
      </c>
      <c r="C3537" t="s">
        <v>7</v>
      </c>
      <c r="D3537" t="str">
        <f>_xlfn.XLOOKUP(tblSales[[#This Row],[Store ID]],tblStores[Store ID],tblStores[Store Name])</f>
        <v>Gqeberha</v>
      </c>
      <c r="E3537" t="str">
        <f>_xlfn.XLOOKUP(tblSales[[#This Row],[Store ID]],tblStores[Store ID],tblStores[Province])</f>
        <v>Eastern Cape</v>
      </c>
      <c r="F3537" t="str">
        <f>_xlfn.XLOOKUP(tblSales[[#This Row],[Store ID]],tblStores[Store ID],tblStores[Manager])</f>
        <v>Emma Baker</v>
      </c>
      <c r="G3537" t="str">
        <f>_xlfn.XLOOKUP(tblSales[[#This Row],[Category ID]],tblCategories[Category ID],tblCategories[Category])</f>
        <v>Menswear</v>
      </c>
      <c r="H3537">
        <v>58464</v>
      </c>
      <c r="I3537">
        <v>53685</v>
      </c>
      <c r="J3537">
        <v>116</v>
      </c>
      <c r="K3537">
        <f>tblSales[[#This Row],[Sales]]-tblSales[[#This Row],[Budget]]</f>
        <v>4779</v>
      </c>
      <c r="L3537" s="3">
        <f>(tblSales[[#This Row],[Sales]]-tblSales[[#This Row],[Budget]])/tblSales[[#This Row],[Budget]]</f>
        <v>8.9019279128248113E-2</v>
      </c>
      <c r="M3537" s="2">
        <f>tblSales[[#This Row],[Sales]]/tblSales[[#This Row],[Transactions]]</f>
        <v>504</v>
      </c>
    </row>
    <row r="3538" spans="1:13" x14ac:dyDescent="0.25">
      <c r="A3538" s="1">
        <v>46199</v>
      </c>
      <c r="B3538" t="s">
        <v>27</v>
      </c>
      <c r="C3538" t="s">
        <v>11</v>
      </c>
      <c r="D3538" t="str">
        <f>_xlfn.XLOOKUP(tblSales[[#This Row],[Store ID]],tblStores[Store ID],tblStores[Store Name])</f>
        <v>East London</v>
      </c>
      <c r="E3538" t="str">
        <f>_xlfn.XLOOKUP(tblSales[[#This Row],[Store ID]],tblStores[Store ID],tblStores[Province])</f>
        <v>Eastern Cape</v>
      </c>
      <c r="F3538" t="str">
        <f>_xlfn.XLOOKUP(tblSales[[#This Row],[Store ID]],tblStores[Store ID],tblStores[Manager])</f>
        <v>Daniel Evans</v>
      </c>
      <c r="G3538" t="str">
        <f>_xlfn.XLOOKUP(tblSales[[#This Row],[Category ID]],tblCategories[Category ID],tblCategories[Category])</f>
        <v>Footwear</v>
      </c>
      <c r="H3538">
        <v>25984</v>
      </c>
      <c r="I3538">
        <v>23927</v>
      </c>
      <c r="J3538">
        <v>64</v>
      </c>
      <c r="K3538">
        <f>tblSales[[#This Row],[Sales]]-tblSales[[#This Row],[Budget]]</f>
        <v>2057</v>
      </c>
      <c r="L3538" s="3">
        <f>(tblSales[[#This Row],[Sales]]-tblSales[[#This Row],[Budget]])/tblSales[[#This Row],[Budget]]</f>
        <v>8.5969824884022231E-2</v>
      </c>
      <c r="M3538" s="2">
        <f>tblSales[[#This Row],[Sales]]/tblSales[[#This Row],[Transactions]]</f>
        <v>406</v>
      </c>
    </row>
    <row r="3539" spans="1:13" x14ac:dyDescent="0.25">
      <c r="A3539" s="1">
        <v>46199</v>
      </c>
      <c r="B3539" t="s">
        <v>28</v>
      </c>
      <c r="C3539" t="s">
        <v>9</v>
      </c>
      <c r="D3539" t="str">
        <f>_xlfn.XLOOKUP(tblSales[[#This Row],[Store ID]],tblStores[Store ID],tblStores[Store Name])</f>
        <v>Bloemfontein</v>
      </c>
      <c r="E3539" t="str">
        <f>_xlfn.XLOOKUP(tblSales[[#This Row],[Store ID]],tblStores[Store ID],tblStores[Province])</f>
        <v>Free State</v>
      </c>
      <c r="F3539" t="str">
        <f>_xlfn.XLOOKUP(tblSales[[#This Row],[Store ID]],tblStores[Store ID],tblStores[Manager])</f>
        <v>Rachel Moore</v>
      </c>
      <c r="G3539" t="str">
        <f>_xlfn.XLOOKUP(tblSales[[#This Row],[Category ID]],tblCategories[Category ID],tblCategories[Category])</f>
        <v>Ladieswear</v>
      </c>
      <c r="H3539">
        <v>27420</v>
      </c>
      <c r="I3539">
        <v>28718</v>
      </c>
      <c r="J3539">
        <v>60</v>
      </c>
      <c r="K3539">
        <f>tblSales[[#This Row],[Sales]]-tblSales[[#This Row],[Budget]]</f>
        <v>-1298</v>
      </c>
      <c r="L3539" s="3">
        <f>(tblSales[[#This Row],[Sales]]-tblSales[[#This Row],[Budget]])/tblSales[[#This Row],[Budget]]</f>
        <v>-4.5198133574761476E-2</v>
      </c>
      <c r="M3539" s="2">
        <f>tblSales[[#This Row],[Sales]]/tblSales[[#This Row],[Transactions]]</f>
        <v>457</v>
      </c>
    </row>
    <row r="3540" spans="1:13" x14ac:dyDescent="0.25">
      <c r="A3540" s="1">
        <v>46199</v>
      </c>
      <c r="B3540" t="s">
        <v>29</v>
      </c>
      <c r="C3540" t="s">
        <v>19</v>
      </c>
      <c r="D3540" t="str">
        <f>_xlfn.XLOOKUP(tblSales[[#This Row],[Store ID]],tblStores[Store ID],tblStores[Store Name])</f>
        <v>Polokwane</v>
      </c>
      <c r="E3540" t="str">
        <f>_xlfn.XLOOKUP(tblSales[[#This Row],[Store ID]],tblStores[Store ID],tblStores[Province])</f>
        <v>Limpopo</v>
      </c>
      <c r="F3540" t="str">
        <f>_xlfn.XLOOKUP(tblSales[[#This Row],[Store ID]],tblStores[Store ID],tblStores[Manager])</f>
        <v>Kevin Harris</v>
      </c>
      <c r="G3540" t="str">
        <f>_xlfn.XLOOKUP(tblSales[[#This Row],[Category ID]],tblCategories[Category ID],tblCategories[Category])</f>
        <v>Accessories</v>
      </c>
      <c r="H3540">
        <v>52947</v>
      </c>
      <c r="I3540">
        <v>55188</v>
      </c>
      <c r="J3540">
        <v>159</v>
      </c>
      <c r="K3540">
        <f>tblSales[[#This Row],[Sales]]-tblSales[[#This Row],[Budget]]</f>
        <v>-2241</v>
      </c>
      <c r="L3540" s="3">
        <f>(tblSales[[#This Row],[Sales]]-tblSales[[#This Row],[Budget]])/tblSales[[#This Row],[Budget]]</f>
        <v>-4.0606653620352248E-2</v>
      </c>
      <c r="M3540" s="2">
        <f>tblSales[[#This Row],[Sales]]/tblSales[[#This Row],[Transactions]]</f>
        <v>333</v>
      </c>
    </row>
    <row r="3541" spans="1:13" x14ac:dyDescent="0.25">
      <c r="A3541" s="1">
        <v>46199</v>
      </c>
      <c r="B3541" t="s">
        <v>30</v>
      </c>
      <c r="C3541" t="s">
        <v>19</v>
      </c>
      <c r="D3541" t="str">
        <f>_xlfn.XLOOKUP(tblSales[[#This Row],[Store ID]],tblStores[Store ID],tblStores[Store Name])</f>
        <v>Nelspruit</v>
      </c>
      <c r="E3541" t="str">
        <f>_xlfn.XLOOKUP(tblSales[[#This Row],[Store ID]],tblStores[Store ID],tblStores[Province])</f>
        <v>Mpumalanga</v>
      </c>
      <c r="F3541" t="str">
        <f>_xlfn.XLOOKUP(tblSales[[#This Row],[Store ID]],tblStores[Store ID],tblStores[Manager])</f>
        <v>Olivia Turner</v>
      </c>
      <c r="G3541" t="str">
        <f>_xlfn.XLOOKUP(tblSales[[#This Row],[Category ID]],tblCategories[Category ID],tblCategories[Category])</f>
        <v>Accessories</v>
      </c>
      <c r="H3541">
        <v>34365</v>
      </c>
      <c r="I3541">
        <v>37114</v>
      </c>
      <c r="J3541">
        <v>145</v>
      </c>
      <c r="K3541">
        <f>tblSales[[#This Row],[Sales]]-tblSales[[#This Row],[Budget]]</f>
        <v>-2749</v>
      </c>
      <c r="L3541" s="3">
        <f>(tblSales[[#This Row],[Sales]]-tblSales[[#This Row],[Budget]])/tblSales[[#This Row],[Budget]]</f>
        <v>-7.4069084442528424E-2</v>
      </c>
      <c r="M3541" s="2">
        <f>tblSales[[#This Row],[Sales]]/tblSales[[#This Row],[Transactions]]</f>
        <v>237</v>
      </c>
    </row>
    <row r="3542" spans="1:13" x14ac:dyDescent="0.25">
      <c r="A3542" s="1">
        <v>46200</v>
      </c>
      <c r="B3542" t="s">
        <v>6</v>
      </c>
      <c r="C3542" t="s">
        <v>11</v>
      </c>
      <c r="D3542" t="str">
        <f>_xlfn.XLOOKUP(tblSales[[#This Row],[Store ID]],tblStores[Store ID],tblStores[Store Name])</f>
        <v>Durban CBD</v>
      </c>
      <c r="E3542" t="str">
        <f>_xlfn.XLOOKUP(tblSales[[#This Row],[Store ID]],tblStores[Store ID],tblStores[Province])</f>
        <v>KZN</v>
      </c>
      <c r="F3542" t="str">
        <f>_xlfn.XLOOKUP(tblSales[[#This Row],[Store ID]],tblStores[Store ID],tblStores[Manager])</f>
        <v>Sarah Adams</v>
      </c>
      <c r="G3542" t="str">
        <f>_xlfn.XLOOKUP(tblSales[[#This Row],[Category ID]],tblCategories[Category ID],tblCategories[Category])</f>
        <v>Footwear</v>
      </c>
      <c r="H3542">
        <v>55521</v>
      </c>
      <c r="I3542">
        <v>58143</v>
      </c>
      <c r="J3542">
        <v>199</v>
      </c>
      <c r="K3542">
        <f>tblSales[[#This Row],[Sales]]-tblSales[[#This Row],[Budget]]</f>
        <v>-2622</v>
      </c>
      <c r="L3542" s="3">
        <f>(tblSales[[#This Row],[Sales]]-tblSales[[#This Row],[Budget]])/tblSales[[#This Row],[Budget]]</f>
        <v>-4.5095712295547187E-2</v>
      </c>
      <c r="M3542" s="2">
        <f>tblSales[[#This Row],[Sales]]/tblSales[[#This Row],[Transactions]]</f>
        <v>279</v>
      </c>
    </row>
    <row r="3543" spans="1:13" x14ac:dyDescent="0.25">
      <c r="A3543" s="1">
        <v>46200</v>
      </c>
      <c r="B3543" t="s">
        <v>8</v>
      </c>
      <c r="C3543" t="s">
        <v>19</v>
      </c>
      <c r="D3543" t="str">
        <f>_xlfn.XLOOKUP(tblSales[[#This Row],[Store ID]],tblStores[Store ID],tblStores[Store Name])</f>
        <v>Gateway</v>
      </c>
      <c r="E3543" t="str">
        <f>_xlfn.XLOOKUP(tblSales[[#This Row],[Store ID]],tblStores[Store ID],tblStores[Province])</f>
        <v>KZN</v>
      </c>
      <c r="F3543" t="str">
        <f>_xlfn.XLOOKUP(tblSales[[#This Row],[Store ID]],tblStores[Store ID],tblStores[Manager])</f>
        <v>Michael Jones</v>
      </c>
      <c r="G3543" t="str">
        <f>_xlfn.XLOOKUP(tblSales[[#This Row],[Category ID]],tblCategories[Category ID],tblCategories[Category])</f>
        <v>Accessories</v>
      </c>
      <c r="H3543">
        <v>27180</v>
      </c>
      <c r="I3543">
        <v>26172</v>
      </c>
      <c r="J3543">
        <v>151</v>
      </c>
      <c r="K3543">
        <f>tblSales[[#This Row],[Sales]]-tblSales[[#This Row],[Budget]]</f>
        <v>1008</v>
      </c>
      <c r="L3543" s="3">
        <f>(tblSales[[#This Row],[Sales]]-tblSales[[#This Row],[Budget]])/tblSales[[#This Row],[Budget]]</f>
        <v>3.8514442916093537E-2</v>
      </c>
      <c r="M3543" s="2">
        <f>tblSales[[#This Row],[Sales]]/tblSales[[#This Row],[Transactions]]</f>
        <v>180</v>
      </c>
    </row>
    <row r="3544" spans="1:13" x14ac:dyDescent="0.25">
      <c r="A3544" s="1">
        <v>46200</v>
      </c>
      <c r="B3544" t="s">
        <v>10</v>
      </c>
      <c r="C3544" t="s">
        <v>11</v>
      </c>
      <c r="D3544" t="str">
        <f>_xlfn.XLOOKUP(tblSales[[#This Row],[Store ID]],tblStores[Store ID],tblStores[Store Name])</f>
        <v>Ballito</v>
      </c>
      <c r="E3544" t="str">
        <f>_xlfn.XLOOKUP(tblSales[[#This Row],[Store ID]],tblStores[Store ID],tblStores[Province])</f>
        <v>KZN</v>
      </c>
      <c r="F3544" t="str">
        <f>_xlfn.XLOOKUP(tblSales[[#This Row],[Store ID]],tblStores[Store ID],tblStores[Manager])</f>
        <v>Linda Smith</v>
      </c>
      <c r="G3544" t="str">
        <f>_xlfn.XLOOKUP(tblSales[[#This Row],[Category ID]],tblCategories[Category ID],tblCategories[Category])</f>
        <v>Footwear</v>
      </c>
      <c r="H3544">
        <v>59784</v>
      </c>
      <c r="I3544">
        <v>61168</v>
      </c>
      <c r="J3544">
        <v>188</v>
      </c>
      <c r="K3544">
        <f>tblSales[[#This Row],[Sales]]-tblSales[[#This Row],[Budget]]</f>
        <v>-1384</v>
      </c>
      <c r="L3544" s="3">
        <f>(tblSales[[#This Row],[Sales]]-tblSales[[#This Row],[Budget]])/tblSales[[#This Row],[Budget]]</f>
        <v>-2.2626209782893016E-2</v>
      </c>
      <c r="M3544" s="2">
        <f>tblSales[[#This Row],[Sales]]/tblSales[[#This Row],[Transactions]]</f>
        <v>318</v>
      </c>
    </row>
    <row r="3545" spans="1:13" x14ac:dyDescent="0.25">
      <c r="A3545" s="1">
        <v>46200</v>
      </c>
      <c r="B3545" t="s">
        <v>12</v>
      </c>
      <c r="C3545" t="s">
        <v>9</v>
      </c>
      <c r="D3545" t="str">
        <f>_xlfn.XLOOKUP(tblSales[[#This Row],[Store ID]],tblStores[Store ID],tblStores[Store Name])</f>
        <v>Pietermaritzburg</v>
      </c>
      <c r="E3545" t="str">
        <f>_xlfn.XLOOKUP(tblSales[[#This Row],[Store ID]],tblStores[Store ID],tblStores[Province])</f>
        <v>KZN</v>
      </c>
      <c r="F3545" t="str">
        <f>_xlfn.XLOOKUP(tblSales[[#This Row],[Store ID]],tblStores[Store ID],tblStores[Manager])</f>
        <v>Peter Brown</v>
      </c>
      <c r="G3545" t="str">
        <f>_xlfn.XLOOKUP(tblSales[[#This Row],[Category ID]],tblCategories[Category ID],tblCategories[Category])</f>
        <v>Ladieswear</v>
      </c>
      <c r="H3545">
        <v>52241</v>
      </c>
      <c r="I3545">
        <v>53328</v>
      </c>
      <c r="J3545">
        <v>119</v>
      </c>
      <c r="K3545">
        <f>tblSales[[#This Row],[Sales]]-tblSales[[#This Row],[Budget]]</f>
        <v>-1087</v>
      </c>
      <c r="L3545" s="3">
        <f>(tblSales[[#This Row],[Sales]]-tblSales[[#This Row],[Budget]])/tblSales[[#This Row],[Budget]]</f>
        <v>-2.0383288328832884E-2</v>
      </c>
      <c r="M3545" s="2">
        <f>tblSales[[#This Row],[Sales]]/tblSales[[#This Row],[Transactions]]</f>
        <v>439</v>
      </c>
    </row>
    <row r="3546" spans="1:13" x14ac:dyDescent="0.25">
      <c r="A3546" s="1">
        <v>46200</v>
      </c>
      <c r="B3546" t="s">
        <v>13</v>
      </c>
      <c r="C3546" t="s">
        <v>22</v>
      </c>
      <c r="D3546" t="str">
        <f>_xlfn.XLOOKUP(tblSales[[#This Row],[Store ID]],tblStores[Store ID],tblStores[Store Name])</f>
        <v>Richards Bay</v>
      </c>
      <c r="E3546" t="str">
        <f>_xlfn.XLOOKUP(tblSales[[#This Row],[Store ID]],tblStores[Store ID],tblStores[Province])</f>
        <v>KZN</v>
      </c>
      <c r="F3546" t="str">
        <f>_xlfn.XLOOKUP(tblSales[[#This Row],[Store ID]],tblStores[Store ID],tblStores[Manager])</f>
        <v>David Green</v>
      </c>
      <c r="G3546" t="str">
        <f>_xlfn.XLOOKUP(tblSales[[#This Row],[Category ID]],tblCategories[Category ID],tblCategories[Category])</f>
        <v>Kids</v>
      </c>
      <c r="H3546">
        <v>66600</v>
      </c>
      <c r="I3546">
        <v>64338</v>
      </c>
      <c r="J3546">
        <v>200</v>
      </c>
      <c r="K3546">
        <f>tblSales[[#This Row],[Sales]]-tblSales[[#This Row],[Budget]]</f>
        <v>2262</v>
      </c>
      <c r="L3546" s="3">
        <f>(tblSales[[#This Row],[Sales]]-tblSales[[#This Row],[Budget]])/tblSales[[#This Row],[Budget]]</f>
        <v>3.5158071435232675E-2</v>
      </c>
      <c r="M3546" s="2">
        <f>tblSales[[#This Row],[Sales]]/tblSales[[#This Row],[Transactions]]</f>
        <v>333</v>
      </c>
    </row>
    <row r="3547" spans="1:13" x14ac:dyDescent="0.25">
      <c r="A3547" s="1">
        <v>46200</v>
      </c>
      <c r="B3547" t="s">
        <v>14</v>
      </c>
      <c r="C3547" t="s">
        <v>19</v>
      </c>
      <c r="D3547" t="str">
        <f>_xlfn.XLOOKUP(tblSales[[#This Row],[Store ID]],tblStores[Store ID],tblStores[Store Name])</f>
        <v>Sandton</v>
      </c>
      <c r="E3547" t="str">
        <f>_xlfn.XLOOKUP(tblSales[[#This Row],[Store ID]],tblStores[Store ID],tblStores[Province])</f>
        <v>Gauteng</v>
      </c>
      <c r="F3547" t="str">
        <f>_xlfn.XLOOKUP(tblSales[[#This Row],[Store ID]],tblStores[Store ID],tblStores[Manager])</f>
        <v>Karen White</v>
      </c>
      <c r="G3547" t="str">
        <f>_xlfn.XLOOKUP(tblSales[[#This Row],[Category ID]],tblCategories[Category ID],tblCategories[Category])</f>
        <v>Accessories</v>
      </c>
      <c r="H3547">
        <v>34692</v>
      </c>
      <c r="I3547">
        <v>33610</v>
      </c>
      <c r="J3547">
        <v>98</v>
      </c>
      <c r="K3547">
        <f>tblSales[[#This Row],[Sales]]-tblSales[[#This Row],[Budget]]</f>
        <v>1082</v>
      </c>
      <c r="L3547" s="3">
        <f>(tblSales[[#This Row],[Sales]]-tblSales[[#This Row],[Budget]])/tblSales[[#This Row],[Budget]]</f>
        <v>3.2192799761975602E-2</v>
      </c>
      <c r="M3547" s="2">
        <f>tblSales[[#This Row],[Sales]]/tblSales[[#This Row],[Transactions]]</f>
        <v>354</v>
      </c>
    </row>
    <row r="3548" spans="1:13" x14ac:dyDescent="0.25">
      <c r="A3548" s="1">
        <v>46200</v>
      </c>
      <c r="B3548" t="s">
        <v>15</v>
      </c>
      <c r="C3548" t="s">
        <v>19</v>
      </c>
      <c r="D3548" t="str">
        <f>_xlfn.XLOOKUP(tblSales[[#This Row],[Store ID]],tblStores[Store ID],tblStores[Store Name])</f>
        <v>Rosebank</v>
      </c>
      <c r="E3548" t="str">
        <f>_xlfn.XLOOKUP(tblSales[[#This Row],[Store ID]],tblStores[Store ID],tblStores[Province])</f>
        <v>Gauteng</v>
      </c>
      <c r="F3548" t="str">
        <f>_xlfn.XLOOKUP(tblSales[[#This Row],[Store ID]],tblStores[Store ID],tblStores[Manager])</f>
        <v>James Taylor</v>
      </c>
      <c r="G3548" t="str">
        <f>_xlfn.XLOOKUP(tblSales[[#This Row],[Category ID]],tblCategories[Category ID],tblCategories[Category])</f>
        <v>Accessories</v>
      </c>
      <c r="H3548">
        <v>55094</v>
      </c>
      <c r="I3548">
        <v>58205</v>
      </c>
      <c r="J3548">
        <v>163</v>
      </c>
      <c r="K3548">
        <f>tblSales[[#This Row],[Sales]]-tblSales[[#This Row],[Budget]]</f>
        <v>-3111</v>
      </c>
      <c r="L3548" s="3">
        <f>(tblSales[[#This Row],[Sales]]-tblSales[[#This Row],[Budget]])/tblSales[[#This Row],[Budget]]</f>
        <v>-5.3449016407525127E-2</v>
      </c>
      <c r="M3548" s="2">
        <f>tblSales[[#This Row],[Sales]]/tblSales[[#This Row],[Transactions]]</f>
        <v>338</v>
      </c>
    </row>
    <row r="3549" spans="1:13" x14ac:dyDescent="0.25">
      <c r="A3549" s="1">
        <v>46200</v>
      </c>
      <c r="B3549" t="s">
        <v>16</v>
      </c>
      <c r="C3549" t="s">
        <v>7</v>
      </c>
      <c r="D3549" t="str">
        <f>_xlfn.XLOOKUP(tblSales[[#This Row],[Store ID]],tblStores[Store ID],tblStores[Store Name])</f>
        <v>Pretoria</v>
      </c>
      <c r="E3549" t="str">
        <f>_xlfn.XLOOKUP(tblSales[[#This Row],[Store ID]],tblStores[Store ID],tblStores[Province])</f>
        <v>Gauteng</v>
      </c>
      <c r="F3549" t="str">
        <f>_xlfn.XLOOKUP(tblSales[[#This Row],[Store ID]],tblStores[Store ID],tblStores[Manager])</f>
        <v>Susan Clark</v>
      </c>
      <c r="G3549" t="str">
        <f>_xlfn.XLOOKUP(tblSales[[#This Row],[Category ID]],tblCategories[Category ID],tblCategories[Category])</f>
        <v>Menswear</v>
      </c>
      <c r="H3549">
        <v>34749</v>
      </c>
      <c r="I3549">
        <v>31330</v>
      </c>
      <c r="J3549">
        <v>81</v>
      </c>
      <c r="K3549">
        <f>tblSales[[#This Row],[Sales]]-tblSales[[#This Row],[Budget]]</f>
        <v>3419</v>
      </c>
      <c r="L3549" s="3">
        <f>(tblSales[[#This Row],[Sales]]-tblSales[[#This Row],[Budget]])/tblSales[[#This Row],[Budget]]</f>
        <v>0.10912863070539419</v>
      </c>
      <c r="M3549" s="2">
        <f>tblSales[[#This Row],[Sales]]/tblSales[[#This Row],[Transactions]]</f>
        <v>429</v>
      </c>
    </row>
    <row r="3550" spans="1:13" x14ac:dyDescent="0.25">
      <c r="A3550" s="1">
        <v>46200</v>
      </c>
      <c r="B3550" t="s">
        <v>17</v>
      </c>
      <c r="C3550" t="s">
        <v>19</v>
      </c>
      <c r="D3550" t="str">
        <f>_xlfn.XLOOKUP(tblSales[[#This Row],[Store ID]],tblStores[Store ID],tblStores[Store Name])</f>
        <v>Centurion</v>
      </c>
      <c r="E3550" t="str">
        <f>_xlfn.XLOOKUP(tblSales[[#This Row],[Store ID]],tblStores[Store ID],tblStores[Province])</f>
        <v>Gauteng</v>
      </c>
      <c r="F3550" t="str">
        <f>_xlfn.XLOOKUP(tblSales[[#This Row],[Store ID]],tblStores[Store ID],tblStores[Manager])</f>
        <v>Mark Wilson</v>
      </c>
      <c r="G3550" t="str">
        <f>_xlfn.XLOOKUP(tblSales[[#This Row],[Category ID]],tblCategories[Category ID],tblCategories[Category])</f>
        <v>Accessories</v>
      </c>
      <c r="H3550">
        <v>67115</v>
      </c>
      <c r="I3550">
        <v>63140</v>
      </c>
      <c r="J3550">
        <v>155</v>
      </c>
      <c r="K3550">
        <f>tblSales[[#This Row],[Sales]]-tblSales[[#This Row],[Budget]]</f>
        <v>3975</v>
      </c>
      <c r="L3550" s="3">
        <f>(tblSales[[#This Row],[Sales]]-tblSales[[#This Row],[Budget]])/tblSales[[#This Row],[Budget]]</f>
        <v>6.2955337345581244E-2</v>
      </c>
      <c r="M3550" s="2">
        <f>tblSales[[#This Row],[Sales]]/tblSales[[#This Row],[Transactions]]</f>
        <v>433</v>
      </c>
    </row>
    <row r="3551" spans="1:13" x14ac:dyDescent="0.25">
      <c r="A3551" s="1">
        <v>46200</v>
      </c>
      <c r="B3551" t="s">
        <v>18</v>
      </c>
      <c r="C3551" t="s">
        <v>7</v>
      </c>
      <c r="D3551" t="str">
        <f>_xlfn.XLOOKUP(tblSales[[#This Row],[Store ID]],tblStores[Store ID],tblStores[Store Name])</f>
        <v>East Rand</v>
      </c>
      <c r="E3551" t="str">
        <f>_xlfn.XLOOKUP(tblSales[[#This Row],[Store ID]],tblStores[Store ID],tblStores[Province])</f>
        <v>Gauteng</v>
      </c>
      <c r="F3551" t="str">
        <f>_xlfn.XLOOKUP(tblSales[[#This Row],[Store ID]],tblStores[Store ID],tblStores[Manager])</f>
        <v>Lisa Young</v>
      </c>
      <c r="G3551" t="str">
        <f>_xlfn.XLOOKUP(tblSales[[#This Row],[Category ID]],tblCategories[Category ID],tblCategories[Category])</f>
        <v>Menswear</v>
      </c>
      <c r="H3551">
        <v>48575</v>
      </c>
      <c r="I3551">
        <v>44865</v>
      </c>
      <c r="J3551">
        <v>145</v>
      </c>
      <c r="K3551">
        <f>tblSales[[#This Row],[Sales]]-tblSales[[#This Row],[Budget]]</f>
        <v>3710</v>
      </c>
      <c r="L3551" s="3">
        <f>(tblSales[[#This Row],[Sales]]-tblSales[[#This Row],[Budget]])/tblSales[[#This Row],[Budget]]</f>
        <v>8.2692522010475875E-2</v>
      </c>
      <c r="M3551" s="2">
        <f>tblSales[[#This Row],[Sales]]/tblSales[[#This Row],[Transactions]]</f>
        <v>335</v>
      </c>
    </row>
    <row r="3552" spans="1:13" x14ac:dyDescent="0.25">
      <c r="A3552" s="1">
        <v>46200</v>
      </c>
      <c r="B3552" t="s">
        <v>20</v>
      </c>
      <c r="C3552" t="s">
        <v>11</v>
      </c>
      <c r="D3552" t="str">
        <f>_xlfn.XLOOKUP(tblSales[[#This Row],[Store ID]],tblStores[Store ID],tblStores[Store Name])</f>
        <v>Cape Town CBD</v>
      </c>
      <c r="E3552" t="str">
        <f>_xlfn.XLOOKUP(tblSales[[#This Row],[Store ID]],tblStores[Store ID],tblStores[Province])</f>
        <v>Western Cape</v>
      </c>
      <c r="F3552" t="str">
        <f>_xlfn.XLOOKUP(tblSales[[#This Row],[Store ID]],tblStores[Store ID],tblStores[Manager])</f>
        <v>Brian Hall</v>
      </c>
      <c r="G3552" t="str">
        <f>_xlfn.XLOOKUP(tblSales[[#This Row],[Category ID]],tblCategories[Category ID],tblCategories[Category])</f>
        <v>Footwear</v>
      </c>
      <c r="H3552">
        <v>61732</v>
      </c>
      <c r="I3552">
        <v>66160</v>
      </c>
      <c r="J3552">
        <v>122</v>
      </c>
      <c r="K3552">
        <f>tblSales[[#This Row],[Sales]]-tblSales[[#This Row],[Budget]]</f>
        <v>-4428</v>
      </c>
      <c r="L3552" s="3">
        <f>(tblSales[[#This Row],[Sales]]-tblSales[[#This Row],[Budget]])/tblSales[[#This Row],[Budget]]</f>
        <v>-6.6928657799274482E-2</v>
      </c>
      <c r="M3552" s="2">
        <f>tblSales[[#This Row],[Sales]]/tblSales[[#This Row],[Transactions]]</f>
        <v>506</v>
      </c>
    </row>
    <row r="3553" spans="1:13" x14ac:dyDescent="0.25">
      <c r="A3553" s="1">
        <v>46200</v>
      </c>
      <c r="B3553" t="s">
        <v>21</v>
      </c>
      <c r="C3553" t="s">
        <v>9</v>
      </c>
      <c r="D3553" t="str">
        <f>_xlfn.XLOOKUP(tblSales[[#This Row],[Store ID]],tblStores[Store ID],tblStores[Store Name])</f>
        <v>Canal Walk</v>
      </c>
      <c r="E3553" t="str">
        <f>_xlfn.XLOOKUP(tblSales[[#This Row],[Store ID]],tblStores[Store ID],tblStores[Province])</f>
        <v>Western Cape</v>
      </c>
      <c r="F3553" t="str">
        <f>_xlfn.XLOOKUP(tblSales[[#This Row],[Store ID]],tblStores[Store ID],tblStores[Manager])</f>
        <v>Megan Scott</v>
      </c>
      <c r="G3553" t="str">
        <f>_xlfn.XLOOKUP(tblSales[[#This Row],[Category ID]],tblCategories[Category ID],tblCategories[Category])</f>
        <v>Ladieswear</v>
      </c>
      <c r="H3553">
        <v>19740</v>
      </c>
      <c r="I3553">
        <v>21530</v>
      </c>
      <c r="J3553">
        <v>84</v>
      </c>
      <c r="K3553">
        <f>tblSales[[#This Row],[Sales]]-tblSales[[#This Row],[Budget]]</f>
        <v>-1790</v>
      </c>
      <c r="L3553" s="3">
        <f>(tblSales[[#This Row],[Sales]]-tblSales[[#This Row],[Budget]])/tblSales[[#This Row],[Budget]]</f>
        <v>-8.3139804923362745E-2</v>
      </c>
      <c r="M3553" s="2">
        <f>tblSales[[#This Row],[Sales]]/tblSales[[#This Row],[Transactions]]</f>
        <v>235</v>
      </c>
    </row>
    <row r="3554" spans="1:13" x14ac:dyDescent="0.25">
      <c r="A3554" s="1">
        <v>46200</v>
      </c>
      <c r="B3554" t="s">
        <v>23</v>
      </c>
      <c r="C3554" t="s">
        <v>9</v>
      </c>
      <c r="D3554" t="str">
        <f>_xlfn.XLOOKUP(tblSales[[#This Row],[Store ID]],tblStores[Store ID],tblStores[Store Name])</f>
        <v>Stellenbosch</v>
      </c>
      <c r="E3554" t="str">
        <f>_xlfn.XLOOKUP(tblSales[[#This Row],[Store ID]],tblStores[Store ID],tblStores[Province])</f>
        <v>Western Cape</v>
      </c>
      <c r="F3554" t="str">
        <f>_xlfn.XLOOKUP(tblSales[[#This Row],[Store ID]],tblStores[Store ID],tblStores[Manager])</f>
        <v>Jason King</v>
      </c>
      <c r="G3554" t="str">
        <f>_xlfn.XLOOKUP(tblSales[[#This Row],[Category ID]],tblCategories[Category ID],tblCategories[Category])</f>
        <v>Ladieswear</v>
      </c>
      <c r="H3554">
        <v>49268</v>
      </c>
      <c r="I3554">
        <v>48102</v>
      </c>
      <c r="J3554">
        <v>113</v>
      </c>
      <c r="K3554">
        <f>tblSales[[#This Row],[Sales]]-tblSales[[#This Row],[Budget]]</f>
        <v>1166</v>
      </c>
      <c r="L3554" s="3">
        <f>(tblSales[[#This Row],[Sales]]-tblSales[[#This Row],[Budget]])/tblSales[[#This Row],[Budget]]</f>
        <v>2.4240156334455948E-2</v>
      </c>
      <c r="M3554" s="2">
        <f>tblSales[[#This Row],[Sales]]/tblSales[[#This Row],[Transactions]]</f>
        <v>436</v>
      </c>
    </row>
    <row r="3555" spans="1:13" x14ac:dyDescent="0.25">
      <c r="A3555" s="1">
        <v>46200</v>
      </c>
      <c r="B3555" t="s">
        <v>24</v>
      </c>
      <c r="C3555" t="s">
        <v>19</v>
      </c>
      <c r="D3555" t="str">
        <f>_xlfn.XLOOKUP(tblSales[[#This Row],[Store ID]],tblStores[Store ID],tblStores[Store Name])</f>
        <v>George</v>
      </c>
      <c r="E3555" t="str">
        <f>_xlfn.XLOOKUP(tblSales[[#This Row],[Store ID]],tblStores[Store ID],tblStores[Province])</f>
        <v>Western Cape</v>
      </c>
      <c r="F3555" t="str">
        <f>_xlfn.XLOOKUP(tblSales[[#This Row],[Store ID]],tblStores[Store ID],tblStores[Manager])</f>
        <v>Chloe Hill</v>
      </c>
      <c r="G3555" t="str">
        <f>_xlfn.XLOOKUP(tblSales[[#This Row],[Category ID]],tblCategories[Category ID],tblCategories[Category])</f>
        <v>Accessories</v>
      </c>
      <c r="H3555">
        <v>35960</v>
      </c>
      <c r="I3555">
        <v>38519</v>
      </c>
      <c r="J3555">
        <v>155</v>
      </c>
      <c r="K3555">
        <f>tblSales[[#This Row],[Sales]]-tblSales[[#This Row],[Budget]]</f>
        <v>-2559</v>
      </c>
      <c r="L3555" s="3">
        <f>(tblSales[[#This Row],[Sales]]-tblSales[[#This Row],[Budget]])/tblSales[[#This Row],[Budget]]</f>
        <v>-6.6434746488745811E-2</v>
      </c>
      <c r="M3555" s="2">
        <f>tblSales[[#This Row],[Sales]]/tblSales[[#This Row],[Transactions]]</f>
        <v>232</v>
      </c>
    </row>
    <row r="3556" spans="1:13" x14ac:dyDescent="0.25">
      <c r="A3556" s="1">
        <v>46200</v>
      </c>
      <c r="B3556" t="s">
        <v>25</v>
      </c>
      <c r="C3556" t="s">
        <v>19</v>
      </c>
      <c r="D3556" t="str">
        <f>_xlfn.XLOOKUP(tblSales[[#This Row],[Store ID]],tblStores[Store ID],tblStores[Store Name])</f>
        <v>Paarl</v>
      </c>
      <c r="E3556" t="str">
        <f>_xlfn.XLOOKUP(tblSales[[#This Row],[Store ID]],tblStores[Store ID],tblStores[Province])</f>
        <v>Western Cape</v>
      </c>
      <c r="F3556" t="str">
        <f>_xlfn.XLOOKUP(tblSales[[#This Row],[Store ID]],tblStores[Store ID],tblStores[Manager])</f>
        <v>Andrew Lee</v>
      </c>
      <c r="G3556" t="str">
        <f>_xlfn.XLOOKUP(tblSales[[#This Row],[Category ID]],tblCategories[Category ID],tblCategories[Category])</f>
        <v>Accessories</v>
      </c>
      <c r="H3556">
        <v>41536</v>
      </c>
      <c r="I3556">
        <v>44359</v>
      </c>
      <c r="J3556">
        <v>88</v>
      </c>
      <c r="K3556">
        <f>tblSales[[#This Row],[Sales]]-tblSales[[#This Row],[Budget]]</f>
        <v>-2823</v>
      </c>
      <c r="L3556" s="3">
        <f>(tblSales[[#This Row],[Sales]]-tblSales[[#This Row],[Budget]])/tblSales[[#This Row],[Budget]]</f>
        <v>-6.3639847607024499E-2</v>
      </c>
      <c r="M3556" s="2">
        <f>tblSales[[#This Row],[Sales]]/tblSales[[#This Row],[Transactions]]</f>
        <v>472</v>
      </c>
    </row>
    <row r="3557" spans="1:13" x14ac:dyDescent="0.25">
      <c r="A3557" s="1">
        <v>46200</v>
      </c>
      <c r="B3557" t="s">
        <v>26</v>
      </c>
      <c r="C3557" t="s">
        <v>22</v>
      </c>
      <c r="D3557" t="str">
        <f>_xlfn.XLOOKUP(tblSales[[#This Row],[Store ID]],tblStores[Store ID],tblStores[Store Name])</f>
        <v>Gqeberha</v>
      </c>
      <c r="E3557" t="str">
        <f>_xlfn.XLOOKUP(tblSales[[#This Row],[Store ID]],tblStores[Store ID],tblStores[Province])</f>
        <v>Eastern Cape</v>
      </c>
      <c r="F3557" t="str">
        <f>_xlfn.XLOOKUP(tblSales[[#This Row],[Store ID]],tblStores[Store ID],tblStores[Manager])</f>
        <v>Emma Baker</v>
      </c>
      <c r="G3557" t="str">
        <f>_xlfn.XLOOKUP(tblSales[[#This Row],[Category ID]],tblCategories[Category ID],tblCategories[Category])</f>
        <v>Kids</v>
      </c>
      <c r="H3557">
        <v>20850</v>
      </c>
      <c r="I3557">
        <v>22759</v>
      </c>
      <c r="J3557">
        <v>75</v>
      </c>
      <c r="K3557">
        <f>tblSales[[#This Row],[Sales]]-tblSales[[#This Row],[Budget]]</f>
        <v>-1909</v>
      </c>
      <c r="L3557" s="3">
        <f>(tblSales[[#This Row],[Sales]]-tblSales[[#This Row],[Budget]])/tblSales[[#This Row],[Budget]]</f>
        <v>-8.3878905048552221E-2</v>
      </c>
      <c r="M3557" s="2">
        <f>tblSales[[#This Row],[Sales]]/tblSales[[#This Row],[Transactions]]</f>
        <v>278</v>
      </c>
    </row>
    <row r="3558" spans="1:13" x14ac:dyDescent="0.25">
      <c r="A3558" s="1">
        <v>46200</v>
      </c>
      <c r="B3558" t="s">
        <v>27</v>
      </c>
      <c r="C3558" t="s">
        <v>9</v>
      </c>
      <c r="D3558" t="str">
        <f>_xlfn.XLOOKUP(tblSales[[#This Row],[Store ID]],tblStores[Store ID],tblStores[Store Name])</f>
        <v>East London</v>
      </c>
      <c r="E3558" t="str">
        <f>_xlfn.XLOOKUP(tblSales[[#This Row],[Store ID]],tblStores[Store ID],tblStores[Province])</f>
        <v>Eastern Cape</v>
      </c>
      <c r="F3558" t="str">
        <f>_xlfn.XLOOKUP(tblSales[[#This Row],[Store ID]],tblStores[Store ID],tblStores[Manager])</f>
        <v>Daniel Evans</v>
      </c>
      <c r="G3558" t="str">
        <f>_xlfn.XLOOKUP(tblSales[[#This Row],[Category ID]],tblCategories[Category ID],tblCategories[Category])</f>
        <v>Ladieswear</v>
      </c>
      <c r="H3558">
        <v>36900</v>
      </c>
      <c r="I3558">
        <v>39322</v>
      </c>
      <c r="J3558">
        <v>75</v>
      </c>
      <c r="K3558">
        <f>tblSales[[#This Row],[Sales]]-tblSales[[#This Row],[Budget]]</f>
        <v>-2422</v>
      </c>
      <c r="L3558" s="3">
        <f>(tblSales[[#This Row],[Sales]]-tblSales[[#This Row],[Budget]])/tblSales[[#This Row],[Budget]]</f>
        <v>-6.1594018615533291E-2</v>
      </c>
      <c r="M3558" s="2">
        <f>tblSales[[#This Row],[Sales]]/tblSales[[#This Row],[Transactions]]</f>
        <v>492</v>
      </c>
    </row>
    <row r="3559" spans="1:13" x14ac:dyDescent="0.25">
      <c r="A3559" s="1">
        <v>46200</v>
      </c>
      <c r="B3559" t="s">
        <v>28</v>
      </c>
      <c r="C3559" t="s">
        <v>22</v>
      </c>
      <c r="D3559" t="str">
        <f>_xlfn.XLOOKUP(tblSales[[#This Row],[Store ID]],tblStores[Store ID],tblStores[Store Name])</f>
        <v>Bloemfontein</v>
      </c>
      <c r="E3559" t="str">
        <f>_xlfn.XLOOKUP(tblSales[[#This Row],[Store ID]],tblStores[Store ID],tblStores[Province])</f>
        <v>Free State</v>
      </c>
      <c r="F3559" t="str">
        <f>_xlfn.XLOOKUP(tblSales[[#This Row],[Store ID]],tblStores[Store ID],tblStores[Manager])</f>
        <v>Rachel Moore</v>
      </c>
      <c r="G3559" t="str">
        <f>_xlfn.XLOOKUP(tblSales[[#This Row],[Category ID]],tblCategories[Category ID],tblCategories[Category])</f>
        <v>Kids</v>
      </c>
      <c r="H3559">
        <v>70474</v>
      </c>
      <c r="I3559">
        <v>74940</v>
      </c>
      <c r="J3559">
        <v>167</v>
      </c>
      <c r="K3559">
        <f>tblSales[[#This Row],[Sales]]-tblSales[[#This Row],[Budget]]</f>
        <v>-4466</v>
      </c>
      <c r="L3559" s="3">
        <f>(tblSales[[#This Row],[Sales]]-tblSales[[#This Row],[Budget]])/tblSales[[#This Row],[Budget]]</f>
        <v>-5.9594342140378967E-2</v>
      </c>
      <c r="M3559" s="2">
        <f>tblSales[[#This Row],[Sales]]/tblSales[[#This Row],[Transactions]]</f>
        <v>422</v>
      </c>
    </row>
    <row r="3560" spans="1:13" x14ac:dyDescent="0.25">
      <c r="A3560" s="1">
        <v>46200</v>
      </c>
      <c r="B3560" t="s">
        <v>29</v>
      </c>
      <c r="C3560" t="s">
        <v>11</v>
      </c>
      <c r="D3560" t="str">
        <f>_xlfn.XLOOKUP(tblSales[[#This Row],[Store ID]],tblStores[Store ID],tblStores[Store Name])</f>
        <v>Polokwane</v>
      </c>
      <c r="E3560" t="str">
        <f>_xlfn.XLOOKUP(tblSales[[#This Row],[Store ID]],tblStores[Store ID],tblStores[Province])</f>
        <v>Limpopo</v>
      </c>
      <c r="F3560" t="str">
        <f>_xlfn.XLOOKUP(tblSales[[#This Row],[Store ID]],tblStores[Store ID],tblStores[Manager])</f>
        <v>Kevin Harris</v>
      </c>
      <c r="G3560" t="str">
        <f>_xlfn.XLOOKUP(tblSales[[#This Row],[Category ID]],tblCategories[Category ID],tblCategories[Category])</f>
        <v>Footwear</v>
      </c>
      <c r="H3560">
        <v>69740</v>
      </c>
      <c r="I3560">
        <v>66753</v>
      </c>
      <c r="J3560">
        <v>220</v>
      </c>
      <c r="K3560">
        <f>tblSales[[#This Row],[Sales]]-tblSales[[#This Row],[Budget]]</f>
        <v>2987</v>
      </c>
      <c r="L3560" s="3">
        <f>(tblSales[[#This Row],[Sales]]-tblSales[[#This Row],[Budget]])/tblSales[[#This Row],[Budget]]</f>
        <v>4.4747052566925828E-2</v>
      </c>
      <c r="M3560" s="2">
        <f>tblSales[[#This Row],[Sales]]/tblSales[[#This Row],[Transactions]]</f>
        <v>317</v>
      </c>
    </row>
    <row r="3561" spans="1:13" x14ac:dyDescent="0.25">
      <c r="A3561" s="1">
        <v>46200</v>
      </c>
      <c r="B3561" t="s">
        <v>30</v>
      </c>
      <c r="C3561" t="s">
        <v>22</v>
      </c>
      <c r="D3561" t="str">
        <f>_xlfn.XLOOKUP(tblSales[[#This Row],[Store ID]],tblStores[Store ID],tblStores[Store Name])</f>
        <v>Nelspruit</v>
      </c>
      <c r="E3561" t="str">
        <f>_xlfn.XLOOKUP(tblSales[[#This Row],[Store ID]],tblStores[Store ID],tblStores[Province])</f>
        <v>Mpumalanga</v>
      </c>
      <c r="F3561" t="str">
        <f>_xlfn.XLOOKUP(tblSales[[#This Row],[Store ID]],tblStores[Store ID],tblStores[Manager])</f>
        <v>Olivia Turner</v>
      </c>
      <c r="G3561" t="str">
        <f>_xlfn.XLOOKUP(tblSales[[#This Row],[Category ID]],tblCategories[Category ID],tblCategories[Category])</f>
        <v>Kids</v>
      </c>
      <c r="H3561">
        <v>51925</v>
      </c>
      <c r="I3561">
        <v>51545</v>
      </c>
      <c r="J3561">
        <v>155</v>
      </c>
      <c r="K3561">
        <f>tblSales[[#This Row],[Sales]]-tblSales[[#This Row],[Budget]]</f>
        <v>380</v>
      </c>
      <c r="L3561" s="3">
        <f>(tblSales[[#This Row],[Sales]]-tblSales[[#This Row],[Budget]])/tblSales[[#This Row],[Budget]]</f>
        <v>7.372199049374333E-3</v>
      </c>
      <c r="M3561" s="2">
        <f>tblSales[[#This Row],[Sales]]/tblSales[[#This Row],[Transactions]]</f>
        <v>335</v>
      </c>
    </row>
    <row r="3562" spans="1:13" x14ac:dyDescent="0.25">
      <c r="A3562" s="1">
        <v>46201</v>
      </c>
      <c r="B3562" t="s">
        <v>6</v>
      </c>
      <c r="C3562" t="s">
        <v>22</v>
      </c>
      <c r="D3562" t="str">
        <f>_xlfn.XLOOKUP(tblSales[[#This Row],[Store ID]],tblStores[Store ID],tblStores[Store Name])</f>
        <v>Durban CBD</v>
      </c>
      <c r="E3562" t="str">
        <f>_xlfn.XLOOKUP(tblSales[[#This Row],[Store ID]],tblStores[Store ID],tblStores[Province])</f>
        <v>KZN</v>
      </c>
      <c r="F3562" t="str">
        <f>_xlfn.XLOOKUP(tblSales[[#This Row],[Store ID]],tblStores[Store ID],tblStores[Manager])</f>
        <v>Sarah Adams</v>
      </c>
      <c r="G3562" t="str">
        <f>_xlfn.XLOOKUP(tblSales[[#This Row],[Category ID]],tblCategories[Category ID],tblCategories[Category])</f>
        <v>Kids</v>
      </c>
      <c r="H3562">
        <v>43320</v>
      </c>
      <c r="I3562">
        <v>47968</v>
      </c>
      <c r="J3562">
        <v>120</v>
      </c>
      <c r="K3562">
        <f>tblSales[[#This Row],[Sales]]-tblSales[[#This Row],[Budget]]</f>
        <v>-4648</v>
      </c>
      <c r="L3562" s="3">
        <f>(tblSales[[#This Row],[Sales]]-tblSales[[#This Row],[Budget]])/tblSales[[#This Row],[Budget]]</f>
        <v>-9.6897931954636418E-2</v>
      </c>
      <c r="M3562" s="2">
        <f>tblSales[[#This Row],[Sales]]/tblSales[[#This Row],[Transactions]]</f>
        <v>361</v>
      </c>
    </row>
    <row r="3563" spans="1:13" x14ac:dyDescent="0.25">
      <c r="A3563" s="1">
        <v>46201</v>
      </c>
      <c r="B3563" t="s">
        <v>8</v>
      </c>
      <c r="C3563" t="s">
        <v>22</v>
      </c>
      <c r="D3563" t="str">
        <f>_xlfn.XLOOKUP(tblSales[[#This Row],[Store ID]],tblStores[Store ID],tblStores[Store Name])</f>
        <v>Gateway</v>
      </c>
      <c r="E3563" t="str">
        <f>_xlfn.XLOOKUP(tblSales[[#This Row],[Store ID]],tblStores[Store ID],tblStores[Province])</f>
        <v>KZN</v>
      </c>
      <c r="F3563" t="str">
        <f>_xlfn.XLOOKUP(tblSales[[#This Row],[Store ID]],tblStores[Store ID],tblStores[Manager])</f>
        <v>Michael Jones</v>
      </c>
      <c r="G3563" t="str">
        <f>_xlfn.XLOOKUP(tblSales[[#This Row],[Category ID]],tblCategories[Category ID],tblCategories[Category])</f>
        <v>Kids</v>
      </c>
      <c r="H3563">
        <v>50550</v>
      </c>
      <c r="I3563">
        <v>50869</v>
      </c>
      <c r="J3563">
        <v>150</v>
      </c>
      <c r="K3563">
        <f>tblSales[[#This Row],[Sales]]-tblSales[[#This Row],[Budget]]</f>
        <v>-319</v>
      </c>
      <c r="L3563" s="3">
        <f>(tblSales[[#This Row],[Sales]]-tblSales[[#This Row],[Budget]])/tblSales[[#This Row],[Budget]]</f>
        <v>-6.27100984882738E-3</v>
      </c>
      <c r="M3563" s="2">
        <f>tblSales[[#This Row],[Sales]]/tblSales[[#This Row],[Transactions]]</f>
        <v>337</v>
      </c>
    </row>
    <row r="3564" spans="1:13" x14ac:dyDescent="0.25">
      <c r="A3564" s="1">
        <v>46201</v>
      </c>
      <c r="B3564" t="s">
        <v>10</v>
      </c>
      <c r="C3564" t="s">
        <v>11</v>
      </c>
      <c r="D3564" t="str">
        <f>_xlfn.XLOOKUP(tblSales[[#This Row],[Store ID]],tblStores[Store ID],tblStores[Store Name])</f>
        <v>Ballito</v>
      </c>
      <c r="E3564" t="str">
        <f>_xlfn.XLOOKUP(tblSales[[#This Row],[Store ID]],tblStores[Store ID],tblStores[Province])</f>
        <v>KZN</v>
      </c>
      <c r="F3564" t="str">
        <f>_xlfn.XLOOKUP(tblSales[[#This Row],[Store ID]],tblStores[Store ID],tblStores[Manager])</f>
        <v>Linda Smith</v>
      </c>
      <c r="G3564" t="str">
        <f>_xlfn.XLOOKUP(tblSales[[#This Row],[Category ID]],tblCategories[Category ID],tblCategories[Category])</f>
        <v>Footwear</v>
      </c>
      <c r="H3564">
        <v>25662</v>
      </c>
      <c r="I3564">
        <v>27985</v>
      </c>
      <c r="J3564">
        <v>141</v>
      </c>
      <c r="K3564">
        <f>tblSales[[#This Row],[Sales]]-tblSales[[#This Row],[Budget]]</f>
        <v>-2323</v>
      </c>
      <c r="L3564" s="3">
        <f>(tblSales[[#This Row],[Sales]]-tblSales[[#This Row],[Budget]])/tblSales[[#This Row],[Budget]]</f>
        <v>-8.300875469001251E-2</v>
      </c>
      <c r="M3564" s="2">
        <f>tblSales[[#This Row],[Sales]]/tblSales[[#This Row],[Transactions]]</f>
        <v>182</v>
      </c>
    </row>
    <row r="3565" spans="1:13" x14ac:dyDescent="0.25">
      <c r="A3565" s="1">
        <v>46201</v>
      </c>
      <c r="B3565" t="s">
        <v>12</v>
      </c>
      <c r="C3565" t="s">
        <v>11</v>
      </c>
      <c r="D3565" t="str">
        <f>_xlfn.XLOOKUP(tblSales[[#This Row],[Store ID]],tblStores[Store ID],tblStores[Store Name])</f>
        <v>Pietermaritzburg</v>
      </c>
      <c r="E3565" t="str">
        <f>_xlfn.XLOOKUP(tblSales[[#This Row],[Store ID]],tblStores[Store ID],tblStores[Province])</f>
        <v>KZN</v>
      </c>
      <c r="F3565" t="str">
        <f>_xlfn.XLOOKUP(tblSales[[#This Row],[Store ID]],tblStores[Store ID],tblStores[Manager])</f>
        <v>Peter Brown</v>
      </c>
      <c r="G3565" t="str">
        <f>_xlfn.XLOOKUP(tblSales[[#This Row],[Category ID]],tblCategories[Category ID],tblCategories[Category])</f>
        <v>Footwear</v>
      </c>
      <c r="H3565">
        <v>19061</v>
      </c>
      <c r="I3565">
        <v>18839</v>
      </c>
      <c r="J3565">
        <v>49</v>
      </c>
      <c r="K3565">
        <f>tblSales[[#This Row],[Sales]]-tblSales[[#This Row],[Budget]]</f>
        <v>222</v>
      </c>
      <c r="L3565" s="3">
        <f>(tblSales[[#This Row],[Sales]]-tblSales[[#This Row],[Budget]])/tblSales[[#This Row],[Budget]]</f>
        <v>1.1784064971601465E-2</v>
      </c>
      <c r="M3565" s="2">
        <f>tblSales[[#This Row],[Sales]]/tblSales[[#This Row],[Transactions]]</f>
        <v>389</v>
      </c>
    </row>
    <row r="3566" spans="1:13" x14ac:dyDescent="0.25">
      <c r="A3566" s="1">
        <v>46201</v>
      </c>
      <c r="B3566" t="s">
        <v>13</v>
      </c>
      <c r="C3566" t="s">
        <v>9</v>
      </c>
      <c r="D3566" t="str">
        <f>_xlfn.XLOOKUP(tblSales[[#This Row],[Store ID]],tblStores[Store ID],tblStores[Store Name])</f>
        <v>Richards Bay</v>
      </c>
      <c r="E3566" t="str">
        <f>_xlfn.XLOOKUP(tblSales[[#This Row],[Store ID]],tblStores[Store ID],tblStores[Province])</f>
        <v>KZN</v>
      </c>
      <c r="F3566" t="str">
        <f>_xlfn.XLOOKUP(tblSales[[#This Row],[Store ID]],tblStores[Store ID],tblStores[Manager])</f>
        <v>David Green</v>
      </c>
      <c r="G3566" t="str">
        <f>_xlfn.XLOOKUP(tblSales[[#This Row],[Category ID]],tblCategories[Category ID],tblCategories[Category])</f>
        <v>Ladieswear</v>
      </c>
      <c r="H3566">
        <v>48320</v>
      </c>
      <c r="I3566">
        <v>43723</v>
      </c>
      <c r="J3566">
        <v>151</v>
      </c>
      <c r="K3566">
        <f>tblSales[[#This Row],[Sales]]-tblSales[[#This Row],[Budget]]</f>
        <v>4597</v>
      </c>
      <c r="L3566" s="3">
        <f>(tblSales[[#This Row],[Sales]]-tblSales[[#This Row],[Budget]])/tblSales[[#This Row],[Budget]]</f>
        <v>0.10513917160304645</v>
      </c>
      <c r="M3566" s="2">
        <f>tblSales[[#This Row],[Sales]]/tblSales[[#This Row],[Transactions]]</f>
        <v>320</v>
      </c>
    </row>
    <row r="3567" spans="1:13" x14ac:dyDescent="0.25">
      <c r="A3567" s="1">
        <v>46201</v>
      </c>
      <c r="B3567" t="s">
        <v>14</v>
      </c>
      <c r="C3567" t="s">
        <v>9</v>
      </c>
      <c r="D3567" t="str">
        <f>_xlfn.XLOOKUP(tblSales[[#This Row],[Store ID]],tblStores[Store ID],tblStores[Store Name])</f>
        <v>Sandton</v>
      </c>
      <c r="E3567" t="str">
        <f>_xlfn.XLOOKUP(tblSales[[#This Row],[Store ID]],tblStores[Store ID],tblStores[Province])</f>
        <v>Gauteng</v>
      </c>
      <c r="F3567" t="str">
        <f>_xlfn.XLOOKUP(tblSales[[#This Row],[Store ID]],tblStores[Store ID],tblStores[Manager])</f>
        <v>Karen White</v>
      </c>
      <c r="G3567" t="str">
        <f>_xlfn.XLOOKUP(tblSales[[#This Row],[Category ID]],tblCategories[Category ID],tblCategories[Category])</f>
        <v>Ladieswear</v>
      </c>
      <c r="H3567">
        <v>45584</v>
      </c>
      <c r="I3567">
        <v>49192</v>
      </c>
      <c r="J3567">
        <v>88</v>
      </c>
      <c r="K3567">
        <f>tblSales[[#This Row],[Sales]]-tblSales[[#This Row],[Budget]]</f>
        <v>-3608</v>
      </c>
      <c r="L3567" s="3">
        <f>(tblSales[[#This Row],[Sales]]-tblSales[[#This Row],[Budget]])/tblSales[[#This Row],[Budget]]</f>
        <v>-7.3345259391771014E-2</v>
      </c>
      <c r="M3567" s="2">
        <f>tblSales[[#This Row],[Sales]]/tblSales[[#This Row],[Transactions]]</f>
        <v>518</v>
      </c>
    </row>
    <row r="3568" spans="1:13" x14ac:dyDescent="0.25">
      <c r="A3568" s="1">
        <v>46201</v>
      </c>
      <c r="B3568" t="s">
        <v>15</v>
      </c>
      <c r="C3568" t="s">
        <v>22</v>
      </c>
      <c r="D3568" t="str">
        <f>_xlfn.XLOOKUP(tblSales[[#This Row],[Store ID]],tblStores[Store ID],tblStores[Store Name])</f>
        <v>Rosebank</v>
      </c>
      <c r="E3568" t="str">
        <f>_xlfn.XLOOKUP(tblSales[[#This Row],[Store ID]],tblStores[Store ID],tblStores[Province])</f>
        <v>Gauteng</v>
      </c>
      <c r="F3568" t="str">
        <f>_xlfn.XLOOKUP(tblSales[[#This Row],[Store ID]],tblStores[Store ID],tblStores[Manager])</f>
        <v>James Taylor</v>
      </c>
      <c r="G3568" t="str">
        <f>_xlfn.XLOOKUP(tblSales[[#This Row],[Category ID]],tblCategories[Category ID],tblCategories[Category])</f>
        <v>Kids</v>
      </c>
      <c r="H3568">
        <v>24960</v>
      </c>
      <c r="I3568">
        <v>24472</v>
      </c>
      <c r="J3568">
        <v>130</v>
      </c>
      <c r="K3568">
        <f>tblSales[[#This Row],[Sales]]-tblSales[[#This Row],[Budget]]</f>
        <v>488</v>
      </c>
      <c r="L3568" s="3">
        <f>(tblSales[[#This Row],[Sales]]-tblSales[[#This Row],[Budget]])/tblSales[[#This Row],[Budget]]</f>
        <v>1.9941157240928407E-2</v>
      </c>
      <c r="M3568" s="2">
        <f>tblSales[[#This Row],[Sales]]/tblSales[[#This Row],[Transactions]]</f>
        <v>192</v>
      </c>
    </row>
    <row r="3569" spans="1:13" x14ac:dyDescent="0.25">
      <c r="A3569" s="1">
        <v>46201</v>
      </c>
      <c r="B3569" t="s">
        <v>16</v>
      </c>
      <c r="C3569" t="s">
        <v>11</v>
      </c>
      <c r="D3569" t="str">
        <f>_xlfn.XLOOKUP(tblSales[[#This Row],[Store ID]],tblStores[Store ID],tblStores[Store Name])</f>
        <v>Pretoria</v>
      </c>
      <c r="E3569" t="str">
        <f>_xlfn.XLOOKUP(tblSales[[#This Row],[Store ID]],tblStores[Store ID],tblStores[Province])</f>
        <v>Gauteng</v>
      </c>
      <c r="F3569" t="str">
        <f>_xlfn.XLOOKUP(tblSales[[#This Row],[Store ID]],tblStores[Store ID],tblStores[Manager])</f>
        <v>Susan Clark</v>
      </c>
      <c r="G3569" t="str">
        <f>_xlfn.XLOOKUP(tblSales[[#This Row],[Category ID]],tblCategories[Category ID],tblCategories[Category])</f>
        <v>Footwear</v>
      </c>
      <c r="H3569">
        <v>54870</v>
      </c>
      <c r="I3569">
        <v>57064</v>
      </c>
      <c r="J3569">
        <v>118</v>
      </c>
      <c r="K3569">
        <f>tblSales[[#This Row],[Sales]]-tblSales[[#This Row],[Budget]]</f>
        <v>-2194</v>
      </c>
      <c r="L3569" s="3">
        <f>(tblSales[[#This Row],[Sales]]-tblSales[[#This Row],[Budget]])/tblSales[[#This Row],[Budget]]</f>
        <v>-3.8448058320482266E-2</v>
      </c>
      <c r="M3569" s="2">
        <f>tblSales[[#This Row],[Sales]]/tblSales[[#This Row],[Transactions]]</f>
        <v>465</v>
      </c>
    </row>
    <row r="3570" spans="1:13" x14ac:dyDescent="0.25">
      <c r="A3570" s="1">
        <v>46201</v>
      </c>
      <c r="B3570" t="s">
        <v>17</v>
      </c>
      <c r="C3570" t="s">
        <v>9</v>
      </c>
      <c r="D3570" t="str">
        <f>_xlfn.XLOOKUP(tblSales[[#This Row],[Store ID]],tblStores[Store ID],tblStores[Store Name])</f>
        <v>Centurion</v>
      </c>
      <c r="E3570" t="str">
        <f>_xlfn.XLOOKUP(tblSales[[#This Row],[Store ID]],tblStores[Store ID],tblStores[Province])</f>
        <v>Gauteng</v>
      </c>
      <c r="F3570" t="str">
        <f>_xlfn.XLOOKUP(tblSales[[#This Row],[Store ID]],tblStores[Store ID],tblStores[Manager])</f>
        <v>Mark Wilson</v>
      </c>
      <c r="G3570" t="str">
        <f>_xlfn.XLOOKUP(tblSales[[#This Row],[Category ID]],tblCategories[Category ID],tblCategories[Category])</f>
        <v>Ladieswear</v>
      </c>
      <c r="H3570">
        <v>44640</v>
      </c>
      <c r="I3570">
        <v>45788</v>
      </c>
      <c r="J3570">
        <v>90</v>
      </c>
      <c r="K3570">
        <f>tblSales[[#This Row],[Sales]]-tblSales[[#This Row],[Budget]]</f>
        <v>-1148</v>
      </c>
      <c r="L3570" s="3">
        <f>(tblSales[[#This Row],[Sales]]-tblSales[[#This Row],[Budget]])/tblSales[[#This Row],[Budget]]</f>
        <v>-2.5072071285052851E-2</v>
      </c>
      <c r="M3570" s="2">
        <f>tblSales[[#This Row],[Sales]]/tblSales[[#This Row],[Transactions]]</f>
        <v>496</v>
      </c>
    </row>
    <row r="3571" spans="1:13" x14ac:dyDescent="0.25">
      <c r="A3571" s="1">
        <v>46201</v>
      </c>
      <c r="B3571" t="s">
        <v>18</v>
      </c>
      <c r="C3571" t="s">
        <v>22</v>
      </c>
      <c r="D3571" t="str">
        <f>_xlfn.XLOOKUP(tblSales[[#This Row],[Store ID]],tblStores[Store ID],tblStores[Store Name])</f>
        <v>East Rand</v>
      </c>
      <c r="E3571" t="str">
        <f>_xlfn.XLOOKUP(tblSales[[#This Row],[Store ID]],tblStores[Store ID],tblStores[Province])</f>
        <v>Gauteng</v>
      </c>
      <c r="F3571" t="str">
        <f>_xlfn.XLOOKUP(tblSales[[#This Row],[Store ID]],tblStores[Store ID],tblStores[Manager])</f>
        <v>Lisa Young</v>
      </c>
      <c r="G3571" t="str">
        <f>_xlfn.XLOOKUP(tblSales[[#This Row],[Category ID]],tblCategories[Category ID],tblCategories[Category])</f>
        <v>Kids</v>
      </c>
      <c r="H3571">
        <v>13516</v>
      </c>
      <c r="I3571">
        <v>12985</v>
      </c>
      <c r="J3571">
        <v>62</v>
      </c>
      <c r="K3571">
        <f>tblSales[[#This Row],[Sales]]-tblSales[[#This Row],[Budget]]</f>
        <v>531</v>
      </c>
      <c r="L3571" s="3">
        <f>(tblSales[[#This Row],[Sales]]-tblSales[[#This Row],[Budget]])/tblSales[[#This Row],[Budget]]</f>
        <v>4.0893338467462459E-2</v>
      </c>
      <c r="M3571" s="2">
        <f>tblSales[[#This Row],[Sales]]/tblSales[[#This Row],[Transactions]]</f>
        <v>218</v>
      </c>
    </row>
    <row r="3572" spans="1:13" x14ac:dyDescent="0.25">
      <c r="A3572" s="1">
        <v>46201</v>
      </c>
      <c r="B3572" t="s">
        <v>20</v>
      </c>
      <c r="C3572" t="s">
        <v>22</v>
      </c>
      <c r="D3572" t="str">
        <f>_xlfn.XLOOKUP(tblSales[[#This Row],[Store ID]],tblStores[Store ID],tblStores[Store Name])</f>
        <v>Cape Town CBD</v>
      </c>
      <c r="E3572" t="str">
        <f>_xlfn.XLOOKUP(tblSales[[#This Row],[Store ID]],tblStores[Store ID],tblStores[Province])</f>
        <v>Western Cape</v>
      </c>
      <c r="F3572" t="str">
        <f>_xlfn.XLOOKUP(tblSales[[#This Row],[Store ID]],tblStores[Store ID],tblStores[Manager])</f>
        <v>Brian Hall</v>
      </c>
      <c r="G3572" t="str">
        <f>_xlfn.XLOOKUP(tblSales[[#This Row],[Category ID]],tblCategories[Category ID],tblCategories[Category])</f>
        <v>Kids</v>
      </c>
      <c r="H3572">
        <v>93500</v>
      </c>
      <c r="I3572">
        <v>106157</v>
      </c>
      <c r="J3572">
        <v>220</v>
      </c>
      <c r="K3572">
        <f>tblSales[[#This Row],[Sales]]-tblSales[[#This Row],[Budget]]</f>
        <v>-12657</v>
      </c>
      <c r="L3572" s="3">
        <f>(tblSales[[#This Row],[Sales]]-tblSales[[#This Row],[Budget]])/tblSales[[#This Row],[Budget]]</f>
        <v>-0.11922906638281036</v>
      </c>
      <c r="M3572" s="2">
        <f>tblSales[[#This Row],[Sales]]/tblSales[[#This Row],[Transactions]]</f>
        <v>425</v>
      </c>
    </row>
    <row r="3573" spans="1:13" x14ac:dyDescent="0.25">
      <c r="A3573" s="1">
        <v>46201</v>
      </c>
      <c r="B3573" t="s">
        <v>21</v>
      </c>
      <c r="C3573" t="s">
        <v>19</v>
      </c>
      <c r="D3573" t="str">
        <f>_xlfn.XLOOKUP(tblSales[[#This Row],[Store ID]],tblStores[Store ID],tblStores[Store Name])</f>
        <v>Canal Walk</v>
      </c>
      <c r="E3573" t="str">
        <f>_xlfn.XLOOKUP(tblSales[[#This Row],[Store ID]],tblStores[Store ID],tblStores[Province])</f>
        <v>Western Cape</v>
      </c>
      <c r="F3573" t="str">
        <f>_xlfn.XLOOKUP(tblSales[[#This Row],[Store ID]],tblStores[Store ID],tblStores[Manager])</f>
        <v>Megan Scott</v>
      </c>
      <c r="G3573" t="str">
        <f>_xlfn.XLOOKUP(tblSales[[#This Row],[Category ID]],tblCategories[Category ID],tblCategories[Category])</f>
        <v>Accessories</v>
      </c>
      <c r="H3573">
        <v>31465</v>
      </c>
      <c r="I3573">
        <v>34463</v>
      </c>
      <c r="J3573">
        <v>155</v>
      </c>
      <c r="K3573">
        <f>tblSales[[#This Row],[Sales]]-tblSales[[#This Row],[Budget]]</f>
        <v>-2998</v>
      </c>
      <c r="L3573" s="3">
        <f>(tblSales[[#This Row],[Sales]]-tblSales[[#This Row],[Budget]])/tblSales[[#This Row],[Budget]]</f>
        <v>-8.6991846327945918E-2</v>
      </c>
      <c r="M3573" s="2">
        <f>tblSales[[#This Row],[Sales]]/tblSales[[#This Row],[Transactions]]</f>
        <v>203</v>
      </c>
    </row>
    <row r="3574" spans="1:13" x14ac:dyDescent="0.25">
      <c r="A3574" s="1">
        <v>46201</v>
      </c>
      <c r="B3574" t="s">
        <v>23</v>
      </c>
      <c r="C3574" t="s">
        <v>11</v>
      </c>
      <c r="D3574" t="str">
        <f>_xlfn.XLOOKUP(tblSales[[#This Row],[Store ID]],tblStores[Store ID],tblStores[Store Name])</f>
        <v>Stellenbosch</v>
      </c>
      <c r="E3574" t="str">
        <f>_xlfn.XLOOKUP(tblSales[[#This Row],[Store ID]],tblStores[Store ID],tblStores[Province])</f>
        <v>Western Cape</v>
      </c>
      <c r="F3574" t="str">
        <f>_xlfn.XLOOKUP(tblSales[[#This Row],[Store ID]],tblStores[Store ID],tblStores[Manager])</f>
        <v>Jason King</v>
      </c>
      <c r="G3574" t="str">
        <f>_xlfn.XLOOKUP(tblSales[[#This Row],[Category ID]],tblCategories[Category ID],tblCategories[Category])</f>
        <v>Footwear</v>
      </c>
      <c r="H3574">
        <v>90519</v>
      </c>
      <c r="I3574">
        <v>87121</v>
      </c>
      <c r="J3574">
        <v>211</v>
      </c>
      <c r="K3574">
        <f>tblSales[[#This Row],[Sales]]-tblSales[[#This Row],[Budget]]</f>
        <v>3398</v>
      </c>
      <c r="L3574" s="3">
        <f>(tblSales[[#This Row],[Sales]]-tblSales[[#This Row],[Budget]])/tblSales[[#This Row],[Budget]]</f>
        <v>3.9003225399157494E-2</v>
      </c>
      <c r="M3574" s="2">
        <f>tblSales[[#This Row],[Sales]]/tblSales[[#This Row],[Transactions]]</f>
        <v>429</v>
      </c>
    </row>
    <row r="3575" spans="1:13" x14ac:dyDescent="0.25">
      <c r="A3575" s="1">
        <v>46201</v>
      </c>
      <c r="B3575" t="s">
        <v>24</v>
      </c>
      <c r="C3575" t="s">
        <v>19</v>
      </c>
      <c r="D3575" t="str">
        <f>_xlfn.XLOOKUP(tblSales[[#This Row],[Store ID]],tblStores[Store ID],tblStores[Store Name])</f>
        <v>George</v>
      </c>
      <c r="E3575" t="str">
        <f>_xlfn.XLOOKUP(tblSales[[#This Row],[Store ID]],tblStores[Store ID],tblStores[Province])</f>
        <v>Western Cape</v>
      </c>
      <c r="F3575" t="str">
        <f>_xlfn.XLOOKUP(tblSales[[#This Row],[Store ID]],tblStores[Store ID],tblStores[Manager])</f>
        <v>Chloe Hill</v>
      </c>
      <c r="G3575" t="str">
        <f>_xlfn.XLOOKUP(tblSales[[#This Row],[Category ID]],tblCategories[Category ID],tblCategories[Category])</f>
        <v>Accessories</v>
      </c>
      <c r="H3575">
        <v>68820</v>
      </c>
      <c r="I3575">
        <v>62958</v>
      </c>
      <c r="J3575">
        <v>185</v>
      </c>
      <c r="K3575">
        <f>tblSales[[#This Row],[Sales]]-tblSales[[#This Row],[Budget]]</f>
        <v>5862</v>
      </c>
      <c r="L3575" s="3">
        <f>(tblSales[[#This Row],[Sales]]-tblSales[[#This Row],[Budget]])/tblSales[[#This Row],[Budget]]</f>
        <v>9.3109692175736211E-2</v>
      </c>
      <c r="M3575" s="2">
        <f>tblSales[[#This Row],[Sales]]/tblSales[[#This Row],[Transactions]]</f>
        <v>372</v>
      </c>
    </row>
    <row r="3576" spans="1:13" x14ac:dyDescent="0.25">
      <c r="A3576" s="1">
        <v>46201</v>
      </c>
      <c r="B3576" t="s">
        <v>25</v>
      </c>
      <c r="C3576" t="s">
        <v>7</v>
      </c>
      <c r="D3576" t="str">
        <f>_xlfn.XLOOKUP(tblSales[[#This Row],[Store ID]],tblStores[Store ID],tblStores[Store Name])</f>
        <v>Paarl</v>
      </c>
      <c r="E3576" t="str">
        <f>_xlfn.XLOOKUP(tblSales[[#This Row],[Store ID]],tblStores[Store ID],tblStores[Province])</f>
        <v>Western Cape</v>
      </c>
      <c r="F3576" t="str">
        <f>_xlfn.XLOOKUP(tblSales[[#This Row],[Store ID]],tblStores[Store ID],tblStores[Manager])</f>
        <v>Andrew Lee</v>
      </c>
      <c r="G3576" t="str">
        <f>_xlfn.XLOOKUP(tblSales[[#This Row],[Category ID]],tblCategories[Category ID],tblCategories[Category])</f>
        <v>Menswear</v>
      </c>
      <c r="H3576">
        <v>70290</v>
      </c>
      <c r="I3576">
        <v>68111</v>
      </c>
      <c r="J3576">
        <v>198</v>
      </c>
      <c r="K3576">
        <f>tblSales[[#This Row],[Sales]]-tblSales[[#This Row],[Budget]]</f>
        <v>2179</v>
      </c>
      <c r="L3576" s="3">
        <f>(tblSales[[#This Row],[Sales]]-tblSales[[#This Row],[Budget]])/tblSales[[#This Row],[Budget]]</f>
        <v>3.199189558221139E-2</v>
      </c>
      <c r="M3576" s="2">
        <f>tblSales[[#This Row],[Sales]]/tblSales[[#This Row],[Transactions]]</f>
        <v>355</v>
      </c>
    </row>
    <row r="3577" spans="1:13" x14ac:dyDescent="0.25">
      <c r="A3577" s="1">
        <v>46201</v>
      </c>
      <c r="B3577" t="s">
        <v>26</v>
      </c>
      <c r="C3577" t="s">
        <v>22</v>
      </c>
      <c r="D3577" t="str">
        <f>_xlfn.XLOOKUP(tblSales[[#This Row],[Store ID]],tblStores[Store ID],tblStores[Store Name])</f>
        <v>Gqeberha</v>
      </c>
      <c r="E3577" t="str">
        <f>_xlfn.XLOOKUP(tblSales[[#This Row],[Store ID]],tblStores[Store ID],tblStores[Province])</f>
        <v>Eastern Cape</v>
      </c>
      <c r="F3577" t="str">
        <f>_xlfn.XLOOKUP(tblSales[[#This Row],[Store ID]],tblStores[Store ID],tblStores[Manager])</f>
        <v>Emma Baker</v>
      </c>
      <c r="G3577" t="str">
        <f>_xlfn.XLOOKUP(tblSales[[#This Row],[Category ID]],tblCategories[Category ID],tblCategories[Category])</f>
        <v>Kids</v>
      </c>
      <c r="H3577">
        <v>47775</v>
      </c>
      <c r="I3577">
        <v>44323</v>
      </c>
      <c r="J3577">
        <v>147</v>
      </c>
      <c r="K3577">
        <f>tblSales[[#This Row],[Sales]]-tblSales[[#This Row],[Budget]]</f>
        <v>3452</v>
      </c>
      <c r="L3577" s="3">
        <f>(tblSales[[#This Row],[Sales]]-tblSales[[#This Row],[Budget]])/tblSales[[#This Row],[Budget]]</f>
        <v>7.7882814791417551E-2</v>
      </c>
      <c r="M3577" s="2">
        <f>tblSales[[#This Row],[Sales]]/tblSales[[#This Row],[Transactions]]</f>
        <v>325</v>
      </c>
    </row>
    <row r="3578" spans="1:13" x14ac:dyDescent="0.25">
      <c r="A3578" s="1">
        <v>46201</v>
      </c>
      <c r="B3578" t="s">
        <v>27</v>
      </c>
      <c r="C3578" t="s">
        <v>9</v>
      </c>
      <c r="D3578" t="str">
        <f>_xlfn.XLOOKUP(tblSales[[#This Row],[Store ID]],tblStores[Store ID],tblStores[Store Name])</f>
        <v>East London</v>
      </c>
      <c r="E3578" t="str">
        <f>_xlfn.XLOOKUP(tblSales[[#This Row],[Store ID]],tblStores[Store ID],tblStores[Province])</f>
        <v>Eastern Cape</v>
      </c>
      <c r="F3578" t="str">
        <f>_xlfn.XLOOKUP(tblSales[[#This Row],[Store ID]],tblStores[Store ID],tblStores[Manager])</f>
        <v>Daniel Evans</v>
      </c>
      <c r="G3578" t="str">
        <f>_xlfn.XLOOKUP(tblSales[[#This Row],[Category ID]],tblCategories[Category ID],tblCategories[Category])</f>
        <v>Ladieswear</v>
      </c>
      <c r="H3578">
        <v>18338</v>
      </c>
      <c r="I3578">
        <v>20984</v>
      </c>
      <c r="J3578">
        <v>53</v>
      </c>
      <c r="K3578">
        <f>tblSales[[#This Row],[Sales]]-tblSales[[#This Row],[Budget]]</f>
        <v>-2646</v>
      </c>
      <c r="L3578" s="3">
        <f>(tblSales[[#This Row],[Sales]]-tblSales[[#This Row],[Budget]])/tblSales[[#This Row],[Budget]]</f>
        <v>-0.12609607319862753</v>
      </c>
      <c r="M3578" s="2">
        <f>tblSales[[#This Row],[Sales]]/tblSales[[#This Row],[Transactions]]</f>
        <v>346</v>
      </c>
    </row>
    <row r="3579" spans="1:13" x14ac:dyDescent="0.25">
      <c r="A3579" s="1">
        <v>46201</v>
      </c>
      <c r="B3579" t="s">
        <v>28</v>
      </c>
      <c r="C3579" t="s">
        <v>11</v>
      </c>
      <c r="D3579" t="str">
        <f>_xlfn.XLOOKUP(tblSales[[#This Row],[Store ID]],tblStores[Store ID],tblStores[Store Name])</f>
        <v>Bloemfontein</v>
      </c>
      <c r="E3579" t="str">
        <f>_xlfn.XLOOKUP(tblSales[[#This Row],[Store ID]],tblStores[Store ID],tblStores[Province])</f>
        <v>Free State</v>
      </c>
      <c r="F3579" t="str">
        <f>_xlfn.XLOOKUP(tblSales[[#This Row],[Store ID]],tblStores[Store ID],tblStores[Manager])</f>
        <v>Rachel Moore</v>
      </c>
      <c r="G3579" t="str">
        <f>_xlfn.XLOOKUP(tblSales[[#This Row],[Category ID]],tblCategories[Category ID],tblCategories[Category])</f>
        <v>Footwear</v>
      </c>
      <c r="H3579">
        <v>18761</v>
      </c>
      <c r="I3579">
        <v>19651</v>
      </c>
      <c r="J3579">
        <v>73</v>
      </c>
      <c r="K3579">
        <f>tblSales[[#This Row],[Sales]]-tblSales[[#This Row],[Budget]]</f>
        <v>-890</v>
      </c>
      <c r="L3579" s="3">
        <f>(tblSales[[#This Row],[Sales]]-tblSales[[#This Row],[Budget]])/tblSales[[#This Row],[Budget]]</f>
        <v>-4.5290316014452194E-2</v>
      </c>
      <c r="M3579" s="2">
        <f>tblSales[[#This Row],[Sales]]/tblSales[[#This Row],[Transactions]]</f>
        <v>257</v>
      </c>
    </row>
    <row r="3580" spans="1:13" x14ac:dyDescent="0.25">
      <c r="A3580" s="1">
        <v>46201</v>
      </c>
      <c r="B3580" t="s">
        <v>29</v>
      </c>
      <c r="C3580" t="s">
        <v>19</v>
      </c>
      <c r="D3580" t="str">
        <f>_xlfn.XLOOKUP(tblSales[[#This Row],[Store ID]],tblStores[Store ID],tblStores[Store Name])</f>
        <v>Polokwane</v>
      </c>
      <c r="E3580" t="str">
        <f>_xlfn.XLOOKUP(tblSales[[#This Row],[Store ID]],tblStores[Store ID],tblStores[Province])</f>
        <v>Limpopo</v>
      </c>
      <c r="F3580" t="str">
        <f>_xlfn.XLOOKUP(tblSales[[#This Row],[Store ID]],tblStores[Store ID],tblStores[Manager])</f>
        <v>Kevin Harris</v>
      </c>
      <c r="G3580" t="str">
        <f>_xlfn.XLOOKUP(tblSales[[#This Row],[Category ID]],tblCategories[Category ID],tblCategories[Category])</f>
        <v>Accessories</v>
      </c>
      <c r="H3580">
        <v>40162</v>
      </c>
      <c r="I3580">
        <v>37029</v>
      </c>
      <c r="J3580">
        <v>86</v>
      </c>
      <c r="K3580">
        <f>tblSales[[#This Row],[Sales]]-tblSales[[#This Row],[Budget]]</f>
        <v>3133</v>
      </c>
      <c r="L3580" s="3">
        <f>(tblSales[[#This Row],[Sales]]-tblSales[[#This Row],[Budget]])/tblSales[[#This Row],[Budget]]</f>
        <v>8.4609360231170161E-2</v>
      </c>
      <c r="M3580" s="2">
        <f>tblSales[[#This Row],[Sales]]/tblSales[[#This Row],[Transactions]]</f>
        <v>467</v>
      </c>
    </row>
    <row r="3581" spans="1:13" x14ac:dyDescent="0.25">
      <c r="A3581" s="1">
        <v>46201</v>
      </c>
      <c r="B3581" t="s">
        <v>30</v>
      </c>
      <c r="C3581" t="s">
        <v>9</v>
      </c>
      <c r="D3581" t="str">
        <f>_xlfn.XLOOKUP(tblSales[[#This Row],[Store ID]],tblStores[Store ID],tblStores[Store Name])</f>
        <v>Nelspruit</v>
      </c>
      <c r="E3581" t="str">
        <f>_xlfn.XLOOKUP(tblSales[[#This Row],[Store ID]],tblStores[Store ID],tblStores[Province])</f>
        <v>Mpumalanga</v>
      </c>
      <c r="F3581" t="str">
        <f>_xlfn.XLOOKUP(tblSales[[#This Row],[Store ID]],tblStores[Store ID],tblStores[Manager])</f>
        <v>Olivia Turner</v>
      </c>
      <c r="G3581" t="str">
        <f>_xlfn.XLOOKUP(tblSales[[#This Row],[Category ID]],tblCategories[Category ID],tblCategories[Category])</f>
        <v>Ladieswear</v>
      </c>
      <c r="H3581">
        <v>55814</v>
      </c>
      <c r="I3581">
        <v>57859</v>
      </c>
      <c r="J3581">
        <v>118</v>
      </c>
      <c r="K3581">
        <f>tblSales[[#This Row],[Sales]]-tblSales[[#This Row],[Budget]]</f>
        <v>-2045</v>
      </c>
      <c r="L3581" s="3">
        <f>(tblSales[[#This Row],[Sales]]-tblSales[[#This Row],[Budget]])/tblSales[[#This Row],[Budget]]</f>
        <v>-3.5344544496102595E-2</v>
      </c>
      <c r="M3581" s="2">
        <f>tblSales[[#This Row],[Sales]]/tblSales[[#This Row],[Transactions]]</f>
        <v>473</v>
      </c>
    </row>
    <row r="3582" spans="1:13" x14ac:dyDescent="0.25">
      <c r="A3582" s="1">
        <v>46202</v>
      </c>
      <c r="B3582" t="s">
        <v>6</v>
      </c>
      <c r="C3582" t="s">
        <v>22</v>
      </c>
      <c r="D3582" t="str">
        <f>_xlfn.XLOOKUP(tblSales[[#This Row],[Store ID]],tblStores[Store ID],tblStores[Store Name])</f>
        <v>Durban CBD</v>
      </c>
      <c r="E3582" t="str">
        <f>_xlfn.XLOOKUP(tblSales[[#This Row],[Store ID]],tblStores[Store ID],tblStores[Province])</f>
        <v>KZN</v>
      </c>
      <c r="F3582" t="str">
        <f>_xlfn.XLOOKUP(tblSales[[#This Row],[Store ID]],tblStores[Store ID],tblStores[Manager])</f>
        <v>Sarah Adams</v>
      </c>
      <c r="G3582" t="str">
        <f>_xlfn.XLOOKUP(tblSales[[#This Row],[Category ID]],tblCategories[Category ID],tblCategories[Category])</f>
        <v>Kids</v>
      </c>
      <c r="H3582">
        <v>79827</v>
      </c>
      <c r="I3582">
        <v>88155</v>
      </c>
      <c r="J3582">
        <v>177</v>
      </c>
      <c r="K3582">
        <f>tblSales[[#This Row],[Sales]]-tblSales[[#This Row],[Budget]]</f>
        <v>-8328</v>
      </c>
      <c r="L3582" s="3">
        <f>(tblSales[[#This Row],[Sales]]-tblSales[[#This Row],[Budget]])/tblSales[[#This Row],[Budget]]</f>
        <v>-9.4469967670580232E-2</v>
      </c>
      <c r="M3582" s="2">
        <f>tblSales[[#This Row],[Sales]]/tblSales[[#This Row],[Transactions]]</f>
        <v>451</v>
      </c>
    </row>
    <row r="3583" spans="1:13" x14ac:dyDescent="0.25">
      <c r="A3583" s="1">
        <v>46202</v>
      </c>
      <c r="B3583" t="s">
        <v>8</v>
      </c>
      <c r="C3583" t="s">
        <v>7</v>
      </c>
      <c r="D3583" t="str">
        <f>_xlfn.XLOOKUP(tblSales[[#This Row],[Store ID]],tblStores[Store ID],tblStores[Store Name])</f>
        <v>Gateway</v>
      </c>
      <c r="E3583" t="str">
        <f>_xlfn.XLOOKUP(tblSales[[#This Row],[Store ID]],tblStores[Store ID],tblStores[Province])</f>
        <v>KZN</v>
      </c>
      <c r="F3583" t="str">
        <f>_xlfn.XLOOKUP(tblSales[[#This Row],[Store ID]],tblStores[Store ID],tblStores[Manager])</f>
        <v>Michael Jones</v>
      </c>
      <c r="G3583" t="str">
        <f>_xlfn.XLOOKUP(tblSales[[#This Row],[Category ID]],tblCategories[Category ID],tblCategories[Category])</f>
        <v>Menswear</v>
      </c>
      <c r="H3583">
        <v>14980</v>
      </c>
      <c r="I3583">
        <v>16742</v>
      </c>
      <c r="J3583">
        <v>70</v>
      </c>
      <c r="K3583">
        <f>tblSales[[#This Row],[Sales]]-tblSales[[#This Row],[Budget]]</f>
        <v>-1762</v>
      </c>
      <c r="L3583" s="3">
        <f>(tblSales[[#This Row],[Sales]]-tblSales[[#This Row],[Budget]])/tblSales[[#This Row],[Budget]]</f>
        <v>-0.10524429578306056</v>
      </c>
      <c r="M3583" s="2">
        <f>tblSales[[#This Row],[Sales]]/tblSales[[#This Row],[Transactions]]</f>
        <v>214</v>
      </c>
    </row>
    <row r="3584" spans="1:13" x14ac:dyDescent="0.25">
      <c r="A3584" s="1">
        <v>46202</v>
      </c>
      <c r="B3584" t="s">
        <v>10</v>
      </c>
      <c r="C3584" t="s">
        <v>22</v>
      </c>
      <c r="D3584" t="str">
        <f>_xlfn.XLOOKUP(tblSales[[#This Row],[Store ID]],tblStores[Store ID],tblStores[Store Name])</f>
        <v>Ballito</v>
      </c>
      <c r="E3584" t="str">
        <f>_xlfn.XLOOKUP(tblSales[[#This Row],[Store ID]],tblStores[Store ID],tblStores[Province])</f>
        <v>KZN</v>
      </c>
      <c r="F3584" t="str">
        <f>_xlfn.XLOOKUP(tblSales[[#This Row],[Store ID]],tblStores[Store ID],tblStores[Manager])</f>
        <v>Linda Smith</v>
      </c>
      <c r="G3584" t="str">
        <f>_xlfn.XLOOKUP(tblSales[[#This Row],[Category ID]],tblCategories[Category ID],tblCategories[Category])</f>
        <v>Kids</v>
      </c>
      <c r="H3584">
        <v>51816</v>
      </c>
      <c r="I3584">
        <v>56314</v>
      </c>
      <c r="J3584">
        <v>127</v>
      </c>
      <c r="K3584">
        <f>tblSales[[#This Row],[Sales]]-tblSales[[#This Row],[Budget]]</f>
        <v>-4498</v>
      </c>
      <c r="L3584" s="3">
        <f>(tblSales[[#This Row],[Sales]]-tblSales[[#This Row],[Budget]])/tblSales[[#This Row],[Budget]]</f>
        <v>-7.9873566075931379E-2</v>
      </c>
      <c r="M3584" s="2">
        <f>tblSales[[#This Row],[Sales]]/tblSales[[#This Row],[Transactions]]</f>
        <v>408</v>
      </c>
    </row>
    <row r="3585" spans="1:13" x14ac:dyDescent="0.25">
      <c r="A3585" s="1">
        <v>46202</v>
      </c>
      <c r="B3585" t="s">
        <v>12</v>
      </c>
      <c r="C3585" t="s">
        <v>9</v>
      </c>
      <c r="D3585" t="str">
        <f>_xlfn.XLOOKUP(tblSales[[#This Row],[Store ID]],tblStores[Store ID],tblStores[Store Name])</f>
        <v>Pietermaritzburg</v>
      </c>
      <c r="E3585" t="str">
        <f>_xlfn.XLOOKUP(tblSales[[#This Row],[Store ID]],tblStores[Store ID],tblStores[Province])</f>
        <v>KZN</v>
      </c>
      <c r="F3585" t="str">
        <f>_xlfn.XLOOKUP(tblSales[[#This Row],[Store ID]],tblStores[Store ID],tblStores[Manager])</f>
        <v>Peter Brown</v>
      </c>
      <c r="G3585" t="str">
        <f>_xlfn.XLOOKUP(tblSales[[#This Row],[Category ID]],tblCategories[Category ID],tblCategories[Category])</f>
        <v>Ladieswear</v>
      </c>
      <c r="H3585">
        <v>28208</v>
      </c>
      <c r="I3585">
        <v>28689</v>
      </c>
      <c r="J3585">
        <v>82</v>
      </c>
      <c r="K3585">
        <f>tblSales[[#This Row],[Sales]]-tblSales[[#This Row],[Budget]]</f>
        <v>-481</v>
      </c>
      <c r="L3585" s="3">
        <f>(tblSales[[#This Row],[Sales]]-tblSales[[#This Row],[Budget]])/tblSales[[#This Row],[Budget]]</f>
        <v>-1.6766007877583741E-2</v>
      </c>
      <c r="M3585" s="2">
        <f>tblSales[[#This Row],[Sales]]/tblSales[[#This Row],[Transactions]]</f>
        <v>344</v>
      </c>
    </row>
    <row r="3586" spans="1:13" x14ac:dyDescent="0.25">
      <c r="A3586" s="1">
        <v>46202</v>
      </c>
      <c r="B3586" t="s">
        <v>13</v>
      </c>
      <c r="C3586" t="s">
        <v>11</v>
      </c>
      <c r="D3586" t="str">
        <f>_xlfn.XLOOKUP(tblSales[[#This Row],[Store ID]],tblStores[Store ID],tblStores[Store Name])</f>
        <v>Richards Bay</v>
      </c>
      <c r="E3586" t="str">
        <f>_xlfn.XLOOKUP(tblSales[[#This Row],[Store ID]],tblStores[Store ID],tblStores[Province])</f>
        <v>KZN</v>
      </c>
      <c r="F3586" t="str">
        <f>_xlfn.XLOOKUP(tblSales[[#This Row],[Store ID]],tblStores[Store ID],tblStores[Manager])</f>
        <v>David Green</v>
      </c>
      <c r="G3586" t="str">
        <f>_xlfn.XLOOKUP(tblSales[[#This Row],[Category ID]],tblCategories[Category ID],tblCategories[Category])</f>
        <v>Footwear</v>
      </c>
      <c r="H3586">
        <v>44450</v>
      </c>
      <c r="I3586">
        <v>42216</v>
      </c>
      <c r="J3586">
        <v>127</v>
      </c>
      <c r="K3586">
        <f>tblSales[[#This Row],[Sales]]-tblSales[[#This Row],[Budget]]</f>
        <v>2234</v>
      </c>
      <c r="L3586" s="3">
        <f>(tblSales[[#This Row],[Sales]]-tblSales[[#This Row],[Budget]])/tblSales[[#This Row],[Budget]]</f>
        <v>5.291832480576085E-2</v>
      </c>
      <c r="M3586" s="2">
        <f>tblSales[[#This Row],[Sales]]/tblSales[[#This Row],[Transactions]]</f>
        <v>350</v>
      </c>
    </row>
    <row r="3587" spans="1:13" x14ac:dyDescent="0.25">
      <c r="A3587" s="1">
        <v>46202</v>
      </c>
      <c r="B3587" t="s">
        <v>14</v>
      </c>
      <c r="C3587" t="s">
        <v>22</v>
      </c>
      <c r="D3587" t="str">
        <f>_xlfn.XLOOKUP(tblSales[[#This Row],[Store ID]],tblStores[Store ID],tblStores[Store Name])</f>
        <v>Sandton</v>
      </c>
      <c r="E3587" t="str">
        <f>_xlfn.XLOOKUP(tblSales[[#This Row],[Store ID]],tblStores[Store ID],tblStores[Province])</f>
        <v>Gauteng</v>
      </c>
      <c r="F3587" t="str">
        <f>_xlfn.XLOOKUP(tblSales[[#This Row],[Store ID]],tblStores[Store ID],tblStores[Manager])</f>
        <v>Karen White</v>
      </c>
      <c r="G3587" t="str">
        <f>_xlfn.XLOOKUP(tblSales[[#This Row],[Category ID]],tblCategories[Category ID],tblCategories[Category])</f>
        <v>Kids</v>
      </c>
      <c r="H3587">
        <v>48900</v>
      </c>
      <c r="I3587">
        <v>53150</v>
      </c>
      <c r="J3587">
        <v>100</v>
      </c>
      <c r="K3587">
        <f>tblSales[[#This Row],[Sales]]-tblSales[[#This Row],[Budget]]</f>
        <v>-4250</v>
      </c>
      <c r="L3587" s="3">
        <f>(tblSales[[#This Row],[Sales]]-tblSales[[#This Row],[Budget]])/tblSales[[#This Row],[Budget]]</f>
        <v>-7.9962370649106301E-2</v>
      </c>
      <c r="M3587" s="2">
        <f>tblSales[[#This Row],[Sales]]/tblSales[[#This Row],[Transactions]]</f>
        <v>489</v>
      </c>
    </row>
    <row r="3588" spans="1:13" x14ac:dyDescent="0.25">
      <c r="A3588" s="1">
        <v>46202</v>
      </c>
      <c r="B3588" t="s">
        <v>15</v>
      </c>
      <c r="C3588" t="s">
        <v>7</v>
      </c>
      <c r="D3588" t="str">
        <f>_xlfn.XLOOKUP(tblSales[[#This Row],[Store ID]],tblStores[Store ID],tblStores[Store Name])</f>
        <v>Rosebank</v>
      </c>
      <c r="E3588" t="str">
        <f>_xlfn.XLOOKUP(tblSales[[#This Row],[Store ID]],tblStores[Store ID],tblStores[Province])</f>
        <v>Gauteng</v>
      </c>
      <c r="F3588" t="str">
        <f>_xlfn.XLOOKUP(tblSales[[#This Row],[Store ID]],tblStores[Store ID],tblStores[Manager])</f>
        <v>James Taylor</v>
      </c>
      <c r="G3588" t="str">
        <f>_xlfn.XLOOKUP(tblSales[[#This Row],[Category ID]],tblCategories[Category ID],tblCategories[Category])</f>
        <v>Menswear</v>
      </c>
      <c r="H3588">
        <v>16870</v>
      </c>
      <c r="I3588">
        <v>17891</v>
      </c>
      <c r="J3588">
        <v>70</v>
      </c>
      <c r="K3588">
        <f>tblSales[[#This Row],[Sales]]-tblSales[[#This Row],[Budget]]</f>
        <v>-1021</v>
      </c>
      <c r="L3588" s="3">
        <f>(tblSales[[#This Row],[Sales]]-tblSales[[#This Row],[Budget]])/tblSales[[#This Row],[Budget]]</f>
        <v>-5.7067799452238555E-2</v>
      </c>
      <c r="M3588" s="2">
        <f>tblSales[[#This Row],[Sales]]/tblSales[[#This Row],[Transactions]]</f>
        <v>241</v>
      </c>
    </row>
    <row r="3589" spans="1:13" x14ac:dyDescent="0.25">
      <c r="A3589" s="1">
        <v>46202</v>
      </c>
      <c r="B3589" t="s">
        <v>16</v>
      </c>
      <c r="C3589" t="s">
        <v>11</v>
      </c>
      <c r="D3589" t="str">
        <f>_xlfn.XLOOKUP(tblSales[[#This Row],[Store ID]],tblStores[Store ID],tblStores[Store Name])</f>
        <v>Pretoria</v>
      </c>
      <c r="E3589" t="str">
        <f>_xlfn.XLOOKUP(tblSales[[#This Row],[Store ID]],tblStores[Store ID],tblStores[Province])</f>
        <v>Gauteng</v>
      </c>
      <c r="F3589" t="str">
        <f>_xlfn.XLOOKUP(tblSales[[#This Row],[Store ID]],tblStores[Store ID],tblStores[Manager])</f>
        <v>Susan Clark</v>
      </c>
      <c r="G3589" t="str">
        <f>_xlfn.XLOOKUP(tblSales[[#This Row],[Category ID]],tblCategories[Category ID],tblCategories[Category])</f>
        <v>Footwear</v>
      </c>
      <c r="H3589">
        <v>58344</v>
      </c>
      <c r="I3589">
        <v>64150</v>
      </c>
      <c r="J3589">
        <v>136</v>
      </c>
      <c r="K3589">
        <f>tblSales[[#This Row],[Sales]]-tblSales[[#This Row],[Budget]]</f>
        <v>-5806</v>
      </c>
      <c r="L3589" s="3">
        <f>(tblSales[[#This Row],[Sales]]-tblSales[[#This Row],[Budget]])/tblSales[[#This Row],[Budget]]</f>
        <v>-9.0506625097427906E-2</v>
      </c>
      <c r="M3589" s="2">
        <f>tblSales[[#This Row],[Sales]]/tblSales[[#This Row],[Transactions]]</f>
        <v>429</v>
      </c>
    </row>
    <row r="3590" spans="1:13" x14ac:dyDescent="0.25">
      <c r="A3590" s="1">
        <v>46202</v>
      </c>
      <c r="B3590" t="s">
        <v>17</v>
      </c>
      <c r="C3590" t="s">
        <v>19</v>
      </c>
      <c r="D3590" t="str">
        <f>_xlfn.XLOOKUP(tblSales[[#This Row],[Store ID]],tblStores[Store ID],tblStores[Store Name])</f>
        <v>Centurion</v>
      </c>
      <c r="E3590" t="str">
        <f>_xlfn.XLOOKUP(tblSales[[#This Row],[Store ID]],tblStores[Store ID],tblStores[Province])</f>
        <v>Gauteng</v>
      </c>
      <c r="F3590" t="str">
        <f>_xlfn.XLOOKUP(tblSales[[#This Row],[Store ID]],tblStores[Store ID],tblStores[Manager])</f>
        <v>Mark Wilson</v>
      </c>
      <c r="G3590" t="str">
        <f>_xlfn.XLOOKUP(tblSales[[#This Row],[Category ID]],tblCategories[Category ID],tblCategories[Category])</f>
        <v>Accessories</v>
      </c>
      <c r="H3590">
        <v>22100</v>
      </c>
      <c r="I3590">
        <v>21953</v>
      </c>
      <c r="J3590">
        <v>50</v>
      </c>
      <c r="K3590">
        <f>tblSales[[#This Row],[Sales]]-tblSales[[#This Row],[Budget]]</f>
        <v>147</v>
      </c>
      <c r="L3590" s="3">
        <f>(tblSales[[#This Row],[Sales]]-tblSales[[#This Row],[Budget]])/tblSales[[#This Row],[Budget]]</f>
        <v>6.6961235366464721E-3</v>
      </c>
      <c r="M3590" s="2">
        <f>tblSales[[#This Row],[Sales]]/tblSales[[#This Row],[Transactions]]</f>
        <v>442</v>
      </c>
    </row>
    <row r="3591" spans="1:13" x14ac:dyDescent="0.25">
      <c r="A3591" s="1">
        <v>46202</v>
      </c>
      <c r="B3591" t="s">
        <v>18</v>
      </c>
      <c r="C3591" t="s">
        <v>19</v>
      </c>
      <c r="D3591" t="str">
        <f>_xlfn.XLOOKUP(tblSales[[#This Row],[Store ID]],tblStores[Store ID],tblStores[Store Name])</f>
        <v>East Rand</v>
      </c>
      <c r="E3591" t="str">
        <f>_xlfn.XLOOKUP(tblSales[[#This Row],[Store ID]],tblStores[Store ID],tblStores[Province])</f>
        <v>Gauteng</v>
      </c>
      <c r="F3591" t="str">
        <f>_xlfn.XLOOKUP(tblSales[[#This Row],[Store ID]],tblStores[Store ID],tblStores[Manager])</f>
        <v>Lisa Young</v>
      </c>
      <c r="G3591" t="str">
        <f>_xlfn.XLOOKUP(tblSales[[#This Row],[Category ID]],tblCategories[Category ID],tblCategories[Category])</f>
        <v>Accessories</v>
      </c>
      <c r="H3591">
        <v>28616</v>
      </c>
      <c r="I3591">
        <v>32620</v>
      </c>
      <c r="J3591">
        <v>146</v>
      </c>
      <c r="K3591">
        <f>tblSales[[#This Row],[Sales]]-tblSales[[#This Row],[Budget]]</f>
        <v>-4004</v>
      </c>
      <c r="L3591" s="3">
        <f>(tblSales[[#This Row],[Sales]]-tblSales[[#This Row],[Budget]])/tblSales[[#This Row],[Budget]]</f>
        <v>-0.12274678111587983</v>
      </c>
      <c r="M3591" s="2">
        <f>tblSales[[#This Row],[Sales]]/tblSales[[#This Row],[Transactions]]</f>
        <v>196</v>
      </c>
    </row>
    <row r="3592" spans="1:13" x14ac:dyDescent="0.25">
      <c r="A3592" s="1">
        <v>46202</v>
      </c>
      <c r="B3592" t="s">
        <v>20</v>
      </c>
      <c r="C3592" t="s">
        <v>22</v>
      </c>
      <c r="D3592" t="str">
        <f>_xlfn.XLOOKUP(tblSales[[#This Row],[Store ID]],tblStores[Store ID],tblStores[Store Name])</f>
        <v>Cape Town CBD</v>
      </c>
      <c r="E3592" t="str">
        <f>_xlfn.XLOOKUP(tblSales[[#This Row],[Store ID]],tblStores[Store ID],tblStores[Province])</f>
        <v>Western Cape</v>
      </c>
      <c r="F3592" t="str">
        <f>_xlfn.XLOOKUP(tblSales[[#This Row],[Store ID]],tblStores[Store ID],tblStores[Manager])</f>
        <v>Brian Hall</v>
      </c>
      <c r="G3592" t="str">
        <f>_xlfn.XLOOKUP(tblSales[[#This Row],[Category ID]],tblCategories[Category ID],tblCategories[Category])</f>
        <v>Kids</v>
      </c>
      <c r="H3592">
        <v>74132</v>
      </c>
      <c r="I3592">
        <v>71957</v>
      </c>
      <c r="J3592">
        <v>172</v>
      </c>
      <c r="K3592">
        <f>tblSales[[#This Row],[Sales]]-tblSales[[#This Row],[Budget]]</f>
        <v>2175</v>
      </c>
      <c r="L3592" s="3">
        <f>(tblSales[[#This Row],[Sales]]-tblSales[[#This Row],[Budget]])/tblSales[[#This Row],[Budget]]</f>
        <v>3.0226385202273581E-2</v>
      </c>
      <c r="M3592" s="2">
        <f>tblSales[[#This Row],[Sales]]/tblSales[[#This Row],[Transactions]]</f>
        <v>431</v>
      </c>
    </row>
    <row r="3593" spans="1:13" x14ac:dyDescent="0.25">
      <c r="A3593" s="1">
        <v>46202</v>
      </c>
      <c r="B3593" t="s">
        <v>21</v>
      </c>
      <c r="C3593" t="s">
        <v>22</v>
      </c>
      <c r="D3593" t="str">
        <f>_xlfn.XLOOKUP(tblSales[[#This Row],[Store ID]],tblStores[Store ID],tblStores[Store Name])</f>
        <v>Canal Walk</v>
      </c>
      <c r="E3593" t="str">
        <f>_xlfn.XLOOKUP(tblSales[[#This Row],[Store ID]],tblStores[Store ID],tblStores[Province])</f>
        <v>Western Cape</v>
      </c>
      <c r="F3593" t="str">
        <f>_xlfn.XLOOKUP(tblSales[[#This Row],[Store ID]],tblStores[Store ID],tblStores[Manager])</f>
        <v>Megan Scott</v>
      </c>
      <c r="G3593" t="str">
        <f>_xlfn.XLOOKUP(tblSales[[#This Row],[Category ID]],tblCategories[Category ID],tblCategories[Category])</f>
        <v>Kids</v>
      </c>
      <c r="H3593">
        <v>42158</v>
      </c>
      <c r="I3593">
        <v>45682</v>
      </c>
      <c r="J3593">
        <v>197</v>
      </c>
      <c r="K3593">
        <f>tblSales[[#This Row],[Sales]]-tblSales[[#This Row],[Budget]]</f>
        <v>-3524</v>
      </c>
      <c r="L3593" s="3">
        <f>(tblSales[[#This Row],[Sales]]-tblSales[[#This Row],[Budget]])/tblSales[[#This Row],[Budget]]</f>
        <v>-7.7141981524451647E-2</v>
      </c>
      <c r="M3593" s="2">
        <f>tblSales[[#This Row],[Sales]]/tblSales[[#This Row],[Transactions]]</f>
        <v>214</v>
      </c>
    </row>
    <row r="3594" spans="1:13" x14ac:dyDescent="0.25">
      <c r="A3594" s="1">
        <v>46202</v>
      </c>
      <c r="B3594" t="s">
        <v>23</v>
      </c>
      <c r="C3594" t="s">
        <v>19</v>
      </c>
      <c r="D3594" t="str">
        <f>_xlfn.XLOOKUP(tblSales[[#This Row],[Store ID]],tblStores[Store ID],tblStores[Store Name])</f>
        <v>Stellenbosch</v>
      </c>
      <c r="E3594" t="str">
        <f>_xlfn.XLOOKUP(tblSales[[#This Row],[Store ID]],tblStores[Store ID],tblStores[Province])</f>
        <v>Western Cape</v>
      </c>
      <c r="F3594" t="str">
        <f>_xlfn.XLOOKUP(tblSales[[#This Row],[Store ID]],tblStores[Store ID],tblStores[Manager])</f>
        <v>Jason King</v>
      </c>
      <c r="G3594" t="str">
        <f>_xlfn.XLOOKUP(tblSales[[#This Row],[Category ID]],tblCategories[Category ID],tblCategories[Category])</f>
        <v>Accessories</v>
      </c>
      <c r="H3594">
        <v>26970</v>
      </c>
      <c r="I3594">
        <v>29536</v>
      </c>
      <c r="J3594">
        <v>58</v>
      </c>
      <c r="K3594">
        <f>tblSales[[#This Row],[Sales]]-tblSales[[#This Row],[Budget]]</f>
        <v>-2566</v>
      </c>
      <c r="L3594" s="3">
        <f>(tblSales[[#This Row],[Sales]]-tblSales[[#This Row],[Budget]])/tblSales[[#This Row],[Budget]]</f>
        <v>-8.6877031419284934E-2</v>
      </c>
      <c r="M3594" s="2">
        <f>tblSales[[#This Row],[Sales]]/tblSales[[#This Row],[Transactions]]</f>
        <v>465</v>
      </c>
    </row>
    <row r="3595" spans="1:13" x14ac:dyDescent="0.25">
      <c r="A3595" s="1">
        <v>46202</v>
      </c>
      <c r="B3595" t="s">
        <v>24</v>
      </c>
      <c r="C3595" t="s">
        <v>19</v>
      </c>
      <c r="D3595" t="str">
        <f>_xlfn.XLOOKUP(tblSales[[#This Row],[Store ID]],tblStores[Store ID],tblStores[Store Name])</f>
        <v>George</v>
      </c>
      <c r="E3595" t="str">
        <f>_xlfn.XLOOKUP(tblSales[[#This Row],[Store ID]],tblStores[Store ID],tblStores[Province])</f>
        <v>Western Cape</v>
      </c>
      <c r="F3595" t="str">
        <f>_xlfn.XLOOKUP(tblSales[[#This Row],[Store ID]],tblStores[Store ID],tblStores[Manager])</f>
        <v>Chloe Hill</v>
      </c>
      <c r="G3595" t="str">
        <f>_xlfn.XLOOKUP(tblSales[[#This Row],[Category ID]],tblCategories[Category ID],tblCategories[Category])</f>
        <v>Accessories</v>
      </c>
      <c r="H3595">
        <v>33150</v>
      </c>
      <c r="I3595">
        <v>36848</v>
      </c>
      <c r="J3595">
        <v>75</v>
      </c>
      <c r="K3595">
        <f>tblSales[[#This Row],[Sales]]-tblSales[[#This Row],[Budget]]</f>
        <v>-3698</v>
      </c>
      <c r="L3595" s="3">
        <f>(tblSales[[#This Row],[Sales]]-tblSales[[#This Row],[Budget]])/tblSales[[#This Row],[Budget]]</f>
        <v>-0.10035822839774207</v>
      </c>
      <c r="M3595" s="2">
        <f>tblSales[[#This Row],[Sales]]/tblSales[[#This Row],[Transactions]]</f>
        <v>442</v>
      </c>
    </row>
    <row r="3596" spans="1:13" x14ac:dyDescent="0.25">
      <c r="A3596" s="1">
        <v>46202</v>
      </c>
      <c r="B3596" t="s">
        <v>25</v>
      </c>
      <c r="C3596" t="s">
        <v>7</v>
      </c>
      <c r="D3596" t="str">
        <f>_xlfn.XLOOKUP(tblSales[[#This Row],[Store ID]],tblStores[Store ID],tblStores[Store Name])</f>
        <v>Paarl</v>
      </c>
      <c r="E3596" t="str">
        <f>_xlfn.XLOOKUP(tblSales[[#This Row],[Store ID]],tblStores[Store ID],tblStores[Province])</f>
        <v>Western Cape</v>
      </c>
      <c r="F3596" t="str">
        <f>_xlfn.XLOOKUP(tblSales[[#This Row],[Store ID]],tblStores[Store ID],tblStores[Manager])</f>
        <v>Andrew Lee</v>
      </c>
      <c r="G3596" t="str">
        <f>_xlfn.XLOOKUP(tblSales[[#This Row],[Category ID]],tblCategories[Category ID],tblCategories[Category])</f>
        <v>Menswear</v>
      </c>
      <c r="H3596">
        <v>75839</v>
      </c>
      <c r="I3596">
        <v>79821</v>
      </c>
      <c r="J3596">
        <v>181</v>
      </c>
      <c r="K3596">
        <f>tblSales[[#This Row],[Sales]]-tblSales[[#This Row],[Budget]]</f>
        <v>-3982</v>
      </c>
      <c r="L3596" s="3">
        <f>(tblSales[[#This Row],[Sales]]-tblSales[[#This Row],[Budget]])/tblSales[[#This Row],[Budget]]</f>
        <v>-4.9886621315192746E-2</v>
      </c>
      <c r="M3596" s="2">
        <f>tblSales[[#This Row],[Sales]]/tblSales[[#This Row],[Transactions]]</f>
        <v>419</v>
      </c>
    </row>
    <row r="3597" spans="1:13" x14ac:dyDescent="0.25">
      <c r="A3597" s="1">
        <v>46202</v>
      </c>
      <c r="B3597" t="s">
        <v>26</v>
      </c>
      <c r="C3597" t="s">
        <v>9</v>
      </c>
      <c r="D3597" t="str">
        <f>_xlfn.XLOOKUP(tblSales[[#This Row],[Store ID]],tblStores[Store ID],tblStores[Store Name])</f>
        <v>Gqeberha</v>
      </c>
      <c r="E3597" t="str">
        <f>_xlfn.XLOOKUP(tblSales[[#This Row],[Store ID]],tblStores[Store ID],tblStores[Province])</f>
        <v>Eastern Cape</v>
      </c>
      <c r="F3597" t="str">
        <f>_xlfn.XLOOKUP(tblSales[[#This Row],[Store ID]],tblStores[Store ID],tblStores[Manager])</f>
        <v>Emma Baker</v>
      </c>
      <c r="G3597" t="str">
        <f>_xlfn.XLOOKUP(tblSales[[#This Row],[Category ID]],tblCategories[Category ID],tblCategories[Category])</f>
        <v>Ladieswear</v>
      </c>
      <c r="H3597">
        <v>21200</v>
      </c>
      <c r="I3597">
        <v>23414</v>
      </c>
      <c r="J3597">
        <v>53</v>
      </c>
      <c r="K3597">
        <f>tblSales[[#This Row],[Sales]]-tblSales[[#This Row],[Budget]]</f>
        <v>-2214</v>
      </c>
      <c r="L3597" s="3">
        <f>(tblSales[[#This Row],[Sales]]-tblSales[[#This Row],[Budget]])/tblSales[[#This Row],[Budget]]</f>
        <v>-9.4558810967797044E-2</v>
      </c>
      <c r="M3597" s="2">
        <f>tblSales[[#This Row],[Sales]]/tblSales[[#This Row],[Transactions]]</f>
        <v>400</v>
      </c>
    </row>
    <row r="3598" spans="1:13" x14ac:dyDescent="0.25">
      <c r="A3598" s="1">
        <v>46202</v>
      </c>
      <c r="B3598" t="s">
        <v>27</v>
      </c>
      <c r="C3598" t="s">
        <v>11</v>
      </c>
      <c r="D3598" t="str">
        <f>_xlfn.XLOOKUP(tblSales[[#This Row],[Store ID]],tblStores[Store ID],tblStores[Store Name])</f>
        <v>East London</v>
      </c>
      <c r="E3598" t="str">
        <f>_xlfn.XLOOKUP(tblSales[[#This Row],[Store ID]],tblStores[Store ID],tblStores[Province])</f>
        <v>Eastern Cape</v>
      </c>
      <c r="F3598" t="str">
        <f>_xlfn.XLOOKUP(tblSales[[#This Row],[Store ID]],tblStores[Store ID],tblStores[Manager])</f>
        <v>Daniel Evans</v>
      </c>
      <c r="G3598" t="str">
        <f>_xlfn.XLOOKUP(tblSales[[#This Row],[Category ID]],tblCategories[Category ID],tblCategories[Category])</f>
        <v>Footwear</v>
      </c>
      <c r="H3598">
        <v>38550</v>
      </c>
      <c r="I3598">
        <v>40963</v>
      </c>
      <c r="J3598">
        <v>150</v>
      </c>
      <c r="K3598">
        <f>tblSales[[#This Row],[Sales]]-tblSales[[#This Row],[Budget]]</f>
        <v>-2413</v>
      </c>
      <c r="L3598" s="3">
        <f>(tblSales[[#This Row],[Sales]]-tblSales[[#This Row],[Budget]])/tblSales[[#This Row],[Budget]]</f>
        <v>-5.8906818348265506E-2</v>
      </c>
      <c r="M3598" s="2">
        <f>tblSales[[#This Row],[Sales]]/tblSales[[#This Row],[Transactions]]</f>
        <v>257</v>
      </c>
    </row>
    <row r="3599" spans="1:13" x14ac:dyDescent="0.25">
      <c r="A3599" s="1">
        <v>46202</v>
      </c>
      <c r="B3599" t="s">
        <v>28</v>
      </c>
      <c r="C3599" t="s">
        <v>7</v>
      </c>
      <c r="D3599" t="str">
        <f>_xlfn.XLOOKUP(tblSales[[#This Row],[Store ID]],tblStores[Store ID],tblStores[Store Name])</f>
        <v>Bloemfontein</v>
      </c>
      <c r="E3599" t="str">
        <f>_xlfn.XLOOKUP(tblSales[[#This Row],[Store ID]],tblStores[Store ID],tblStores[Province])</f>
        <v>Free State</v>
      </c>
      <c r="F3599" t="str">
        <f>_xlfn.XLOOKUP(tblSales[[#This Row],[Store ID]],tblStores[Store ID],tblStores[Manager])</f>
        <v>Rachel Moore</v>
      </c>
      <c r="G3599" t="str">
        <f>_xlfn.XLOOKUP(tblSales[[#This Row],[Category ID]],tblCategories[Category ID],tblCategories[Category])</f>
        <v>Menswear</v>
      </c>
      <c r="H3599">
        <v>41391</v>
      </c>
      <c r="I3599">
        <v>43204</v>
      </c>
      <c r="J3599">
        <v>81</v>
      </c>
      <c r="K3599">
        <f>tblSales[[#This Row],[Sales]]-tblSales[[#This Row],[Budget]]</f>
        <v>-1813</v>
      </c>
      <c r="L3599" s="3">
        <f>(tblSales[[#This Row],[Sales]]-tblSales[[#This Row],[Budget]])/tblSales[[#This Row],[Budget]]</f>
        <v>-4.1963707064160728E-2</v>
      </c>
      <c r="M3599" s="2">
        <f>tblSales[[#This Row],[Sales]]/tblSales[[#This Row],[Transactions]]</f>
        <v>511</v>
      </c>
    </row>
    <row r="3600" spans="1:13" x14ac:dyDescent="0.25">
      <c r="A3600" s="1">
        <v>46202</v>
      </c>
      <c r="B3600" t="s">
        <v>29</v>
      </c>
      <c r="C3600" t="s">
        <v>11</v>
      </c>
      <c r="D3600" t="str">
        <f>_xlfn.XLOOKUP(tblSales[[#This Row],[Store ID]],tblStores[Store ID],tblStores[Store Name])</f>
        <v>Polokwane</v>
      </c>
      <c r="E3600" t="str">
        <f>_xlfn.XLOOKUP(tblSales[[#This Row],[Store ID]],tblStores[Store ID],tblStores[Province])</f>
        <v>Limpopo</v>
      </c>
      <c r="F3600" t="str">
        <f>_xlfn.XLOOKUP(tblSales[[#This Row],[Store ID]],tblStores[Store ID],tblStores[Manager])</f>
        <v>Kevin Harris</v>
      </c>
      <c r="G3600" t="str">
        <f>_xlfn.XLOOKUP(tblSales[[#This Row],[Category ID]],tblCategories[Category ID],tblCategories[Category])</f>
        <v>Footwear</v>
      </c>
      <c r="H3600">
        <v>68170</v>
      </c>
      <c r="I3600">
        <v>76510</v>
      </c>
      <c r="J3600">
        <v>170</v>
      </c>
      <c r="K3600">
        <f>tblSales[[#This Row],[Sales]]-tblSales[[#This Row],[Budget]]</f>
        <v>-8340</v>
      </c>
      <c r="L3600" s="3">
        <f>(tblSales[[#This Row],[Sales]]-tblSales[[#This Row],[Budget]])/tblSales[[#This Row],[Budget]]</f>
        <v>-0.10900535877663051</v>
      </c>
      <c r="M3600" s="2">
        <f>tblSales[[#This Row],[Sales]]/tblSales[[#This Row],[Transactions]]</f>
        <v>401</v>
      </c>
    </row>
    <row r="3601" spans="1:13" x14ac:dyDescent="0.25">
      <c r="A3601" s="1">
        <v>46202</v>
      </c>
      <c r="B3601" t="s">
        <v>30</v>
      </c>
      <c r="C3601" t="s">
        <v>11</v>
      </c>
      <c r="D3601" t="str">
        <f>_xlfn.XLOOKUP(tblSales[[#This Row],[Store ID]],tblStores[Store ID],tblStores[Store Name])</f>
        <v>Nelspruit</v>
      </c>
      <c r="E3601" t="str">
        <f>_xlfn.XLOOKUP(tblSales[[#This Row],[Store ID]],tblStores[Store ID],tblStores[Province])</f>
        <v>Mpumalanga</v>
      </c>
      <c r="F3601" t="str">
        <f>_xlfn.XLOOKUP(tblSales[[#This Row],[Store ID]],tblStores[Store ID],tblStores[Manager])</f>
        <v>Olivia Turner</v>
      </c>
      <c r="G3601" t="str">
        <f>_xlfn.XLOOKUP(tblSales[[#This Row],[Category ID]],tblCategories[Category ID],tblCategories[Category])</f>
        <v>Footwear</v>
      </c>
      <c r="H3601">
        <v>60060</v>
      </c>
      <c r="I3601">
        <v>54149</v>
      </c>
      <c r="J3601">
        <v>182</v>
      </c>
      <c r="K3601">
        <f>tblSales[[#This Row],[Sales]]-tblSales[[#This Row],[Budget]]</f>
        <v>5911</v>
      </c>
      <c r="L3601" s="3">
        <f>(tblSales[[#This Row],[Sales]]-tblSales[[#This Row],[Budget]])/tblSales[[#This Row],[Budget]]</f>
        <v>0.10916175737317402</v>
      </c>
      <c r="M3601" s="2">
        <f>tblSales[[#This Row],[Sales]]/tblSales[[#This Row],[Transactions]]</f>
        <v>330</v>
      </c>
    </row>
  </sheetData>
  <phoneticPr fontId="1"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C3B5D-6AF5-489A-A771-ECB1D87312E1}">
  <dimension ref="A3:B10"/>
  <sheetViews>
    <sheetView workbookViewId="0">
      <selection activeCell="B6" sqref="B6"/>
    </sheetView>
  </sheetViews>
  <sheetFormatPr defaultRowHeight="15" x14ac:dyDescent="0.25"/>
  <cols>
    <col min="1" max="1" width="11.28515625" bestFit="1" customWidth="1"/>
    <col min="2" max="2" width="12.140625" bestFit="1" customWidth="1"/>
  </cols>
  <sheetData>
    <row r="3" spans="1:2" x14ac:dyDescent="0.25">
      <c r="A3" s="4" t="s">
        <v>100</v>
      </c>
      <c r="B3" t="s">
        <v>91</v>
      </c>
    </row>
    <row r="4" spans="1:2" x14ac:dyDescent="0.25">
      <c r="A4" s="5" t="s">
        <v>94</v>
      </c>
      <c r="B4" s="8">
        <v>27912773</v>
      </c>
    </row>
    <row r="5" spans="1:2" x14ac:dyDescent="0.25">
      <c r="A5" s="5" t="s">
        <v>95</v>
      </c>
      <c r="B5" s="8">
        <v>24093911</v>
      </c>
    </row>
    <row r="6" spans="1:2" x14ac:dyDescent="0.25">
      <c r="A6" s="5" t="s">
        <v>96</v>
      </c>
      <c r="B6" s="8">
        <v>27913538</v>
      </c>
    </row>
    <row r="7" spans="1:2" x14ac:dyDescent="0.25">
      <c r="A7" s="5" t="s">
        <v>97</v>
      </c>
      <c r="B7" s="8">
        <v>26611663</v>
      </c>
    </row>
    <row r="8" spans="1:2" x14ac:dyDescent="0.25">
      <c r="A8" s="5" t="s">
        <v>98</v>
      </c>
      <c r="B8" s="8">
        <v>27039204</v>
      </c>
    </row>
    <row r="9" spans="1:2" x14ac:dyDescent="0.25">
      <c r="A9" s="5" t="s">
        <v>99</v>
      </c>
      <c r="B9" s="8">
        <v>25818599</v>
      </c>
    </row>
    <row r="10" spans="1:2" x14ac:dyDescent="0.25">
      <c r="A10" s="5" t="s">
        <v>90</v>
      </c>
      <c r="B10" s="8">
        <v>159389688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C917A-971E-4ABA-BE91-B66BEC845F2A}">
  <dimension ref="A3:M22"/>
  <sheetViews>
    <sheetView workbookViewId="0">
      <selection activeCell="R8" sqref="R8"/>
    </sheetView>
  </sheetViews>
  <sheetFormatPr defaultRowHeight="15" x14ac:dyDescent="0.25"/>
  <cols>
    <col min="1" max="1" width="11.28515625" bestFit="1" customWidth="1"/>
    <col min="2" max="2" width="12.5703125" bestFit="1" customWidth="1"/>
    <col min="3" max="3" width="14" bestFit="1" customWidth="1"/>
    <col min="4" max="4" width="22.5703125" bestFit="1" customWidth="1"/>
  </cols>
  <sheetData>
    <row r="3" spans="1:3" x14ac:dyDescent="0.25">
      <c r="A3" s="4" t="s">
        <v>81</v>
      </c>
      <c r="B3" t="s">
        <v>91</v>
      </c>
      <c r="C3" t="s">
        <v>92</v>
      </c>
    </row>
    <row r="4" spans="1:3" x14ac:dyDescent="0.25">
      <c r="A4" s="5" t="s">
        <v>85</v>
      </c>
      <c r="B4" s="2">
        <v>33549469</v>
      </c>
      <c r="C4" s="8">
        <v>34391957</v>
      </c>
    </row>
    <row r="5" spans="1:3" x14ac:dyDescent="0.25">
      <c r="A5" s="5" t="s">
        <v>83</v>
      </c>
      <c r="B5" s="2">
        <v>32550908</v>
      </c>
      <c r="C5" s="8">
        <v>33387028</v>
      </c>
    </row>
    <row r="6" spans="1:3" x14ac:dyDescent="0.25">
      <c r="A6" s="5" t="s">
        <v>86</v>
      </c>
      <c r="B6" s="2">
        <v>31389367</v>
      </c>
      <c r="C6" s="8">
        <v>32088459</v>
      </c>
    </row>
    <row r="7" spans="1:3" x14ac:dyDescent="0.25">
      <c r="A7" s="5" t="s">
        <v>84</v>
      </c>
      <c r="B7" s="2">
        <v>30951573</v>
      </c>
      <c r="C7" s="8">
        <v>31739581</v>
      </c>
    </row>
    <row r="8" spans="1:3" x14ac:dyDescent="0.25">
      <c r="A8" s="5" t="s">
        <v>82</v>
      </c>
      <c r="B8" s="2">
        <v>30948371</v>
      </c>
      <c r="C8" s="8">
        <v>31785521</v>
      </c>
    </row>
    <row r="9" spans="1:3" x14ac:dyDescent="0.25">
      <c r="A9" s="5" t="s">
        <v>90</v>
      </c>
      <c r="B9" s="2">
        <v>159389688</v>
      </c>
      <c r="C9" s="8">
        <v>163392546</v>
      </c>
    </row>
    <row r="22" spans="13:13" x14ac:dyDescent="0.25">
      <c r="M22" t="s">
        <v>106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A04C6-024A-4636-86F3-5B52792571C2}">
  <dimension ref="A3:D14"/>
  <sheetViews>
    <sheetView workbookViewId="0">
      <selection activeCell="D20" sqref="D20"/>
    </sheetView>
  </sheetViews>
  <sheetFormatPr defaultRowHeight="15" x14ac:dyDescent="0.25"/>
  <cols>
    <col min="1" max="1" width="16.140625" bestFit="1" customWidth="1"/>
    <col min="2" max="2" width="12.140625" bestFit="1" customWidth="1"/>
    <col min="3" max="3" width="14" bestFit="1" customWidth="1"/>
    <col min="4" max="4" width="15.42578125" bestFit="1" customWidth="1"/>
  </cols>
  <sheetData>
    <row r="3" spans="1:4" x14ac:dyDescent="0.25">
      <c r="A3" s="4" t="s">
        <v>102</v>
      </c>
      <c r="B3" t="s">
        <v>91</v>
      </c>
      <c r="C3" t="s">
        <v>92</v>
      </c>
      <c r="D3" t="s">
        <v>93</v>
      </c>
    </row>
    <row r="4" spans="1:4" x14ac:dyDescent="0.25">
      <c r="A4" s="5" t="s">
        <v>41</v>
      </c>
      <c r="B4" s="8">
        <v>8538139</v>
      </c>
      <c r="C4" s="8">
        <v>8692594</v>
      </c>
      <c r="D4" s="8">
        <v>-154455</v>
      </c>
    </row>
    <row r="5" spans="1:4" x14ac:dyDescent="0.25">
      <c r="A5" s="5" t="s">
        <v>67</v>
      </c>
      <c r="B5" s="8">
        <v>8526484</v>
      </c>
      <c r="C5" s="8">
        <v>8764114</v>
      </c>
      <c r="D5" s="8">
        <v>-237630</v>
      </c>
    </row>
    <row r="6" spans="1:4" x14ac:dyDescent="0.25">
      <c r="A6" s="5" t="s">
        <v>65</v>
      </c>
      <c r="B6" s="8">
        <v>8506367</v>
      </c>
      <c r="C6" s="8">
        <v>8713382</v>
      </c>
      <c r="D6" s="8">
        <v>-207015</v>
      </c>
    </row>
    <row r="7" spans="1:4" x14ac:dyDescent="0.25">
      <c r="A7" s="5" t="s">
        <v>56</v>
      </c>
      <c r="B7" s="8">
        <v>8340156</v>
      </c>
      <c r="C7" s="8">
        <v>8472009</v>
      </c>
      <c r="D7" s="8">
        <v>-131853</v>
      </c>
    </row>
    <row r="8" spans="1:4" x14ac:dyDescent="0.25">
      <c r="A8" s="5" t="s">
        <v>70</v>
      </c>
      <c r="B8" s="8">
        <v>8263922</v>
      </c>
      <c r="C8" s="8">
        <v>8410553</v>
      </c>
      <c r="D8" s="8">
        <v>-146631</v>
      </c>
    </row>
    <row r="9" spans="1:4" x14ac:dyDescent="0.25">
      <c r="A9" s="5" t="s">
        <v>45</v>
      </c>
      <c r="B9" s="8">
        <v>8192705</v>
      </c>
      <c r="C9" s="8">
        <v>8382502</v>
      </c>
      <c r="D9" s="8">
        <v>-189797</v>
      </c>
    </row>
    <row r="10" spans="1:4" x14ac:dyDescent="0.25">
      <c r="A10" s="5" t="s">
        <v>61</v>
      </c>
      <c r="B10" s="8">
        <v>8133664</v>
      </c>
      <c r="C10" s="8">
        <v>8274506</v>
      </c>
      <c r="D10" s="8">
        <v>-140842</v>
      </c>
    </row>
    <row r="11" spans="1:4" x14ac:dyDescent="0.25">
      <c r="A11" s="5" t="s">
        <v>39</v>
      </c>
      <c r="B11" s="8">
        <v>8019541</v>
      </c>
      <c r="C11" s="8">
        <v>8254479</v>
      </c>
      <c r="D11" s="8">
        <v>-234938</v>
      </c>
    </row>
    <row r="12" spans="1:4" x14ac:dyDescent="0.25">
      <c r="A12" s="5" t="s">
        <v>78</v>
      </c>
      <c r="B12" s="8">
        <v>7948554</v>
      </c>
      <c r="C12" s="8">
        <v>8177748</v>
      </c>
      <c r="D12" s="8">
        <v>-229194</v>
      </c>
    </row>
    <row r="13" spans="1:4" x14ac:dyDescent="0.25">
      <c r="A13" s="5" t="s">
        <v>63</v>
      </c>
      <c r="B13" s="8">
        <v>7935171</v>
      </c>
      <c r="C13" s="8">
        <v>8074123</v>
      </c>
      <c r="D13" s="8">
        <v>-138952</v>
      </c>
    </row>
    <row r="14" spans="1:4" x14ac:dyDescent="0.25">
      <c r="A14" s="5" t="s">
        <v>90</v>
      </c>
      <c r="B14" s="8">
        <v>82404703</v>
      </c>
      <c r="C14" s="8">
        <v>84216010</v>
      </c>
      <c r="D14" s="8">
        <v>-1811307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287E3-5D40-4E09-A5C2-5BDE866B1994}">
  <dimension ref="A3:D24"/>
  <sheetViews>
    <sheetView workbookViewId="0">
      <selection activeCell="D22" sqref="D22"/>
    </sheetView>
  </sheetViews>
  <sheetFormatPr defaultRowHeight="15" x14ac:dyDescent="0.25"/>
  <cols>
    <col min="1" max="1" width="15.85546875" bestFit="1" customWidth="1"/>
    <col min="2" max="2" width="12.5703125" bestFit="1" customWidth="1"/>
    <col min="3" max="3" width="14" bestFit="1" customWidth="1"/>
    <col min="4" max="4" width="15.42578125" bestFit="1" customWidth="1"/>
  </cols>
  <sheetData>
    <row r="3" spans="1:4" x14ac:dyDescent="0.25">
      <c r="A3" s="4" t="s">
        <v>103</v>
      </c>
      <c r="B3" t="s">
        <v>91</v>
      </c>
      <c r="C3" t="s">
        <v>92</v>
      </c>
      <c r="D3" t="s">
        <v>93</v>
      </c>
    </row>
    <row r="4" spans="1:4" x14ac:dyDescent="0.25">
      <c r="A4" s="5" t="s">
        <v>42</v>
      </c>
      <c r="B4" s="2">
        <v>8538139</v>
      </c>
      <c r="C4" s="2">
        <v>8692594</v>
      </c>
      <c r="D4" s="8">
        <v>-154455</v>
      </c>
    </row>
    <row r="5" spans="1:4" x14ac:dyDescent="0.25">
      <c r="A5" s="5" t="s">
        <v>69</v>
      </c>
      <c r="B5" s="2">
        <v>8526484</v>
      </c>
      <c r="C5" s="2">
        <v>8764114</v>
      </c>
      <c r="D5" s="8">
        <v>-237630</v>
      </c>
    </row>
    <row r="6" spans="1:4" x14ac:dyDescent="0.25">
      <c r="A6" s="5" t="s">
        <v>66</v>
      </c>
      <c r="B6" s="2">
        <v>8506367</v>
      </c>
      <c r="C6" s="2">
        <v>8713382</v>
      </c>
      <c r="D6" s="8">
        <v>-207015</v>
      </c>
    </row>
    <row r="7" spans="1:4" x14ac:dyDescent="0.25">
      <c r="A7" s="5" t="s">
        <v>58</v>
      </c>
      <c r="B7" s="2">
        <v>8340156</v>
      </c>
      <c r="C7" s="2">
        <v>8472009</v>
      </c>
      <c r="D7" s="8">
        <v>-131853</v>
      </c>
    </row>
    <row r="8" spans="1:4" x14ac:dyDescent="0.25">
      <c r="A8" s="5" t="s">
        <v>71</v>
      </c>
      <c r="B8" s="2">
        <v>8263922</v>
      </c>
      <c r="C8" s="2">
        <v>8410553</v>
      </c>
      <c r="D8" s="8">
        <v>-146631</v>
      </c>
    </row>
    <row r="9" spans="1:4" x14ac:dyDescent="0.25">
      <c r="A9" s="5" t="s">
        <v>47</v>
      </c>
      <c r="B9" s="2">
        <v>8192705</v>
      </c>
      <c r="C9" s="2">
        <v>8382502</v>
      </c>
      <c r="D9" s="8">
        <v>-189797</v>
      </c>
    </row>
    <row r="10" spans="1:4" x14ac:dyDescent="0.25">
      <c r="A10" s="5" t="s">
        <v>62</v>
      </c>
      <c r="B10" s="2">
        <v>8133664</v>
      </c>
      <c r="C10" s="2">
        <v>8274506</v>
      </c>
      <c r="D10" s="8">
        <v>-140842</v>
      </c>
    </row>
    <row r="11" spans="1:4" x14ac:dyDescent="0.25">
      <c r="A11" s="5" t="s">
        <v>40</v>
      </c>
      <c r="B11" s="2">
        <v>8019541</v>
      </c>
      <c r="C11" s="2">
        <v>8254479</v>
      </c>
      <c r="D11" s="8">
        <v>-234938</v>
      </c>
    </row>
    <row r="12" spans="1:4" x14ac:dyDescent="0.25">
      <c r="A12" s="5" t="s">
        <v>80</v>
      </c>
      <c r="B12" s="2">
        <v>7948554</v>
      </c>
      <c r="C12" s="2">
        <v>8177748</v>
      </c>
      <c r="D12" s="8">
        <v>-229194</v>
      </c>
    </row>
    <row r="13" spans="1:4" x14ac:dyDescent="0.25">
      <c r="A13" s="5" t="s">
        <v>64</v>
      </c>
      <c r="B13" s="2">
        <v>7935171</v>
      </c>
      <c r="C13" s="2">
        <v>8074123</v>
      </c>
      <c r="D13" s="8">
        <v>-138952</v>
      </c>
    </row>
    <row r="14" spans="1:4" x14ac:dyDescent="0.25">
      <c r="A14" s="5" t="s">
        <v>53</v>
      </c>
      <c r="B14" s="2">
        <v>7877716</v>
      </c>
      <c r="C14" s="2">
        <v>8081402</v>
      </c>
      <c r="D14" s="8">
        <v>-203686</v>
      </c>
    </row>
    <row r="15" spans="1:4" x14ac:dyDescent="0.25">
      <c r="A15" s="5" t="s">
        <v>51</v>
      </c>
      <c r="B15" s="2">
        <v>7851650</v>
      </c>
      <c r="C15" s="2">
        <v>8035233</v>
      </c>
      <c r="D15" s="8">
        <v>-183583</v>
      </c>
    </row>
    <row r="16" spans="1:4" x14ac:dyDescent="0.25">
      <c r="A16" s="5" t="s">
        <v>44</v>
      </c>
      <c r="B16" s="2">
        <v>7808825</v>
      </c>
      <c r="C16" s="2">
        <v>8023754</v>
      </c>
      <c r="D16" s="8">
        <v>-214929</v>
      </c>
    </row>
    <row r="17" spans="1:4" x14ac:dyDescent="0.25">
      <c r="A17" s="5" t="s">
        <v>60</v>
      </c>
      <c r="B17" s="2">
        <v>7804486</v>
      </c>
      <c r="C17" s="2">
        <v>8154015</v>
      </c>
      <c r="D17" s="8">
        <v>-349529</v>
      </c>
    </row>
    <row r="18" spans="1:4" x14ac:dyDescent="0.25">
      <c r="A18" s="5" t="s">
        <v>49</v>
      </c>
      <c r="B18" s="2">
        <v>7751244</v>
      </c>
      <c r="C18" s="2">
        <v>8005993</v>
      </c>
      <c r="D18" s="8">
        <v>-254749</v>
      </c>
    </row>
    <row r="19" spans="1:4" x14ac:dyDescent="0.25">
      <c r="A19" s="5" t="s">
        <v>74</v>
      </c>
      <c r="B19" s="2">
        <v>7672890</v>
      </c>
      <c r="C19" s="2">
        <v>7847444</v>
      </c>
      <c r="D19" s="8">
        <v>-174554</v>
      </c>
    </row>
    <row r="20" spans="1:4" x14ac:dyDescent="0.25">
      <c r="A20" s="5" t="s">
        <v>36</v>
      </c>
      <c r="B20" s="2">
        <v>7635877</v>
      </c>
      <c r="C20" s="2">
        <v>7862525</v>
      </c>
      <c r="D20" s="8">
        <v>-226648</v>
      </c>
    </row>
    <row r="21" spans="1:4" x14ac:dyDescent="0.25">
      <c r="A21" s="5" t="s">
        <v>38</v>
      </c>
      <c r="B21" s="2">
        <v>7597629</v>
      </c>
      <c r="C21" s="2">
        <v>7798219</v>
      </c>
      <c r="D21" s="8">
        <v>-200590</v>
      </c>
    </row>
    <row r="22" spans="1:4" x14ac:dyDescent="0.25">
      <c r="A22" s="5" t="s">
        <v>77</v>
      </c>
      <c r="B22" s="2">
        <v>7507172</v>
      </c>
      <c r="C22" s="2">
        <v>7709468</v>
      </c>
      <c r="D22" s="8">
        <v>-202296</v>
      </c>
    </row>
    <row r="23" spans="1:4" x14ac:dyDescent="0.25">
      <c r="A23" s="5" t="s">
        <v>55</v>
      </c>
      <c r="B23" s="2">
        <v>7477496</v>
      </c>
      <c r="C23" s="2">
        <v>7658483</v>
      </c>
      <c r="D23" s="8">
        <v>-180987</v>
      </c>
    </row>
    <row r="24" spans="1:4" x14ac:dyDescent="0.25">
      <c r="A24" s="5" t="s">
        <v>90</v>
      </c>
      <c r="B24" s="2">
        <v>159389688</v>
      </c>
      <c r="C24" s="2">
        <v>163392546</v>
      </c>
      <c r="D24" s="8">
        <v>-4002858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workbookViewId="0">
      <selection activeCell="D28" sqref="D28"/>
    </sheetView>
  </sheetViews>
  <sheetFormatPr defaultColWidth="12.7109375" defaultRowHeight="15" x14ac:dyDescent="0.25"/>
  <sheetData>
    <row r="1" spans="1:4" x14ac:dyDescent="0.25">
      <c r="A1" t="s">
        <v>1</v>
      </c>
      <c r="B1" t="s">
        <v>31</v>
      </c>
      <c r="C1" t="s">
        <v>32</v>
      </c>
      <c r="D1" t="s">
        <v>33</v>
      </c>
    </row>
    <row r="2" spans="1:4" x14ac:dyDescent="0.25">
      <c r="A2" t="s">
        <v>6</v>
      </c>
      <c r="B2" t="s">
        <v>34</v>
      </c>
      <c r="C2" t="s">
        <v>35</v>
      </c>
      <c r="D2" t="s">
        <v>36</v>
      </c>
    </row>
    <row r="3" spans="1:4" x14ac:dyDescent="0.25">
      <c r="A3" t="s">
        <v>8</v>
      </c>
      <c r="B3" t="s">
        <v>37</v>
      </c>
      <c r="C3" t="s">
        <v>35</v>
      </c>
      <c r="D3" t="s">
        <v>38</v>
      </c>
    </row>
    <row r="4" spans="1:4" x14ac:dyDescent="0.25">
      <c r="A4" t="s">
        <v>10</v>
      </c>
      <c r="B4" t="s">
        <v>39</v>
      </c>
      <c r="C4" t="s">
        <v>35</v>
      </c>
      <c r="D4" t="s">
        <v>40</v>
      </c>
    </row>
    <row r="5" spans="1:4" x14ac:dyDescent="0.25">
      <c r="A5" t="s">
        <v>12</v>
      </c>
      <c r="B5" t="s">
        <v>41</v>
      </c>
      <c r="C5" t="s">
        <v>35</v>
      </c>
      <c r="D5" t="s">
        <v>42</v>
      </c>
    </row>
    <row r="6" spans="1:4" x14ac:dyDescent="0.25">
      <c r="A6" t="s">
        <v>13</v>
      </c>
      <c r="B6" t="s">
        <v>43</v>
      </c>
      <c r="C6" t="s">
        <v>35</v>
      </c>
      <c r="D6" t="s">
        <v>44</v>
      </c>
    </row>
    <row r="7" spans="1:4" x14ac:dyDescent="0.25">
      <c r="A7" t="s">
        <v>14</v>
      </c>
      <c r="B7" t="s">
        <v>45</v>
      </c>
      <c r="C7" t="s">
        <v>46</v>
      </c>
      <c r="D7" t="s">
        <v>47</v>
      </c>
    </row>
    <row r="8" spans="1:4" x14ac:dyDescent="0.25">
      <c r="A8" t="s">
        <v>15</v>
      </c>
      <c r="B8" t="s">
        <v>48</v>
      </c>
      <c r="C8" t="s">
        <v>46</v>
      </c>
      <c r="D8" t="s">
        <v>49</v>
      </c>
    </row>
    <row r="9" spans="1:4" x14ac:dyDescent="0.25">
      <c r="A9" t="s">
        <v>16</v>
      </c>
      <c r="B9" t="s">
        <v>50</v>
      </c>
      <c r="C9" t="s">
        <v>46</v>
      </c>
      <c r="D9" t="s">
        <v>51</v>
      </c>
    </row>
    <row r="10" spans="1:4" x14ac:dyDescent="0.25">
      <c r="A10" t="s">
        <v>17</v>
      </c>
      <c r="B10" t="s">
        <v>52</v>
      </c>
      <c r="C10" t="s">
        <v>46</v>
      </c>
      <c r="D10" t="s">
        <v>53</v>
      </c>
    </row>
    <row r="11" spans="1:4" x14ac:dyDescent="0.25">
      <c r="A11" t="s">
        <v>18</v>
      </c>
      <c r="B11" t="s">
        <v>54</v>
      </c>
      <c r="C11" t="s">
        <v>46</v>
      </c>
      <c r="D11" t="s">
        <v>55</v>
      </c>
    </row>
    <row r="12" spans="1:4" x14ac:dyDescent="0.25">
      <c r="A12" t="s">
        <v>20</v>
      </c>
      <c r="B12" t="s">
        <v>56</v>
      </c>
      <c r="C12" t="s">
        <v>57</v>
      </c>
      <c r="D12" t="s">
        <v>58</v>
      </c>
    </row>
    <row r="13" spans="1:4" x14ac:dyDescent="0.25">
      <c r="A13" t="s">
        <v>21</v>
      </c>
      <c r="B13" t="s">
        <v>59</v>
      </c>
      <c r="C13" t="s">
        <v>57</v>
      </c>
      <c r="D13" t="s">
        <v>60</v>
      </c>
    </row>
    <row r="14" spans="1:4" x14ac:dyDescent="0.25">
      <c r="A14" t="s">
        <v>23</v>
      </c>
      <c r="B14" t="s">
        <v>61</v>
      </c>
      <c r="C14" t="s">
        <v>57</v>
      </c>
      <c r="D14" t="s">
        <v>62</v>
      </c>
    </row>
    <row r="15" spans="1:4" x14ac:dyDescent="0.25">
      <c r="A15" t="s">
        <v>24</v>
      </c>
      <c r="B15" t="s">
        <v>63</v>
      </c>
      <c r="C15" t="s">
        <v>57</v>
      </c>
      <c r="D15" t="s">
        <v>64</v>
      </c>
    </row>
    <row r="16" spans="1:4" x14ac:dyDescent="0.25">
      <c r="A16" t="s">
        <v>25</v>
      </c>
      <c r="B16" t="s">
        <v>65</v>
      </c>
      <c r="C16" t="s">
        <v>57</v>
      </c>
      <c r="D16" t="s">
        <v>66</v>
      </c>
    </row>
    <row r="17" spans="1:4" x14ac:dyDescent="0.25">
      <c r="A17" t="s">
        <v>26</v>
      </c>
      <c r="B17" t="s">
        <v>67</v>
      </c>
      <c r="C17" t="s">
        <v>68</v>
      </c>
      <c r="D17" t="s">
        <v>69</v>
      </c>
    </row>
    <row r="18" spans="1:4" x14ac:dyDescent="0.25">
      <c r="A18" t="s">
        <v>27</v>
      </c>
      <c r="B18" t="s">
        <v>70</v>
      </c>
      <c r="C18" t="s">
        <v>68</v>
      </c>
      <c r="D18" t="s">
        <v>71</v>
      </c>
    </row>
    <row r="19" spans="1:4" x14ac:dyDescent="0.25">
      <c r="A19" t="s">
        <v>28</v>
      </c>
      <c r="B19" t="s">
        <v>72</v>
      </c>
      <c r="C19" t="s">
        <v>73</v>
      </c>
      <c r="D19" t="s">
        <v>74</v>
      </c>
    </row>
    <row r="20" spans="1:4" x14ac:dyDescent="0.25">
      <c r="A20" t="s">
        <v>29</v>
      </c>
      <c r="B20" t="s">
        <v>75</v>
      </c>
      <c r="C20" t="s">
        <v>76</v>
      </c>
      <c r="D20" t="s">
        <v>77</v>
      </c>
    </row>
    <row r="21" spans="1:4" x14ac:dyDescent="0.25">
      <c r="A21" t="s">
        <v>30</v>
      </c>
      <c r="B21" t="s">
        <v>78</v>
      </c>
      <c r="C21" t="s">
        <v>79</v>
      </c>
      <c r="D21" t="s">
        <v>80</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election activeCell="C12" sqref="C12"/>
    </sheetView>
  </sheetViews>
  <sheetFormatPr defaultColWidth="12.28515625" defaultRowHeight="15" x14ac:dyDescent="0.25"/>
  <sheetData>
    <row r="1" spans="1:2" x14ac:dyDescent="0.25">
      <c r="A1" t="s">
        <v>2</v>
      </c>
      <c r="B1" t="s">
        <v>81</v>
      </c>
    </row>
    <row r="2" spans="1:2" x14ac:dyDescent="0.25">
      <c r="A2" t="s">
        <v>7</v>
      </c>
      <c r="B2" t="s">
        <v>82</v>
      </c>
    </row>
    <row r="3" spans="1:2" x14ac:dyDescent="0.25">
      <c r="A3" t="s">
        <v>9</v>
      </c>
      <c r="B3" t="s">
        <v>83</v>
      </c>
    </row>
    <row r="4" spans="1:2" x14ac:dyDescent="0.25">
      <c r="A4" t="s">
        <v>22</v>
      </c>
      <c r="B4" t="s">
        <v>84</v>
      </c>
    </row>
    <row r="5" spans="1:2" x14ac:dyDescent="0.25">
      <c r="A5" t="s">
        <v>11</v>
      </c>
      <c r="B5" t="s">
        <v>85</v>
      </c>
    </row>
    <row r="6" spans="1:2" x14ac:dyDescent="0.25">
      <c r="A6" t="s">
        <v>19</v>
      </c>
      <c r="B6" t="s">
        <v>86</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D11"/>
  <sheetViews>
    <sheetView workbookViewId="0">
      <selection activeCell="A11" sqref="A11"/>
    </sheetView>
  </sheetViews>
  <sheetFormatPr defaultRowHeight="15" x14ac:dyDescent="0.25"/>
  <cols>
    <col min="1" max="1" width="13.5703125" bestFit="1" customWidth="1"/>
    <col min="2" max="2" width="12.5703125" bestFit="1" customWidth="1"/>
    <col min="3" max="3" width="14" bestFit="1" customWidth="1"/>
    <col min="4" max="4" width="15.42578125" bestFit="1" customWidth="1"/>
  </cols>
  <sheetData>
    <row r="3" spans="1:4" x14ac:dyDescent="0.25">
      <c r="A3" s="4" t="s">
        <v>101</v>
      </c>
      <c r="B3" t="s">
        <v>91</v>
      </c>
      <c r="C3" t="s">
        <v>92</v>
      </c>
      <c r="D3" t="s">
        <v>93</v>
      </c>
    </row>
    <row r="4" spans="1:4" x14ac:dyDescent="0.25">
      <c r="A4" s="5" t="s">
        <v>57</v>
      </c>
      <c r="B4" s="2">
        <v>40719844</v>
      </c>
      <c r="C4" s="2">
        <v>41688035</v>
      </c>
      <c r="D4" s="2">
        <v>-968191</v>
      </c>
    </row>
    <row r="5" spans="1:4" x14ac:dyDescent="0.25">
      <c r="A5" s="5" t="s">
        <v>35</v>
      </c>
      <c r="B5" s="2">
        <v>39600011</v>
      </c>
      <c r="C5" s="2">
        <v>40631571</v>
      </c>
      <c r="D5" s="2">
        <v>-1031560</v>
      </c>
    </row>
    <row r="6" spans="1:4" x14ac:dyDescent="0.25">
      <c r="A6" s="5" t="s">
        <v>46</v>
      </c>
      <c r="B6" s="2">
        <v>39150811</v>
      </c>
      <c r="C6" s="2">
        <v>40163613</v>
      </c>
      <c r="D6" s="2">
        <v>-1012802</v>
      </c>
    </row>
    <row r="7" spans="1:4" x14ac:dyDescent="0.25">
      <c r="A7" s="5" t="s">
        <v>68</v>
      </c>
      <c r="B7" s="2">
        <v>16790406</v>
      </c>
      <c r="C7" s="2">
        <v>17174667</v>
      </c>
      <c r="D7" s="2">
        <v>-384261</v>
      </c>
    </row>
    <row r="8" spans="1:4" x14ac:dyDescent="0.25">
      <c r="A8" s="5" t="s">
        <v>79</v>
      </c>
      <c r="B8" s="2">
        <v>7948554</v>
      </c>
      <c r="C8" s="2">
        <v>8177748</v>
      </c>
      <c r="D8" s="2">
        <v>-229194</v>
      </c>
    </row>
    <row r="9" spans="1:4" x14ac:dyDescent="0.25">
      <c r="A9" s="5" t="s">
        <v>73</v>
      </c>
      <c r="B9" s="2">
        <v>7672890</v>
      </c>
      <c r="C9" s="2">
        <v>7847444</v>
      </c>
      <c r="D9" s="2">
        <v>-174554</v>
      </c>
    </row>
    <row r="10" spans="1:4" x14ac:dyDescent="0.25">
      <c r="A10" s="5" t="s">
        <v>76</v>
      </c>
      <c r="B10" s="2">
        <v>7507172</v>
      </c>
      <c r="C10" s="2">
        <v>7709468</v>
      </c>
      <c r="D10" s="2">
        <v>-202296</v>
      </c>
    </row>
    <row r="11" spans="1:4" x14ac:dyDescent="0.25">
      <c r="A11" s="5" t="s">
        <v>90</v>
      </c>
      <c r="B11" s="2">
        <v>159389688</v>
      </c>
      <c r="C11" s="2">
        <v>163392546</v>
      </c>
      <c r="D11" s="2">
        <v>-4002858</v>
      </c>
    </row>
  </sheetData>
  <pageMargins left="0.75" right="0.75" top="1" bottom="1" header="0.5" footer="0.5"/>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Sales_Data</vt:lpstr>
      <vt:lpstr>Monthly Sales Trend</vt:lpstr>
      <vt:lpstr>Category Performance</vt:lpstr>
      <vt:lpstr>Stores Performance</vt:lpstr>
      <vt:lpstr>Area Manager Performance</vt:lpstr>
      <vt:lpstr>Stores</vt:lpstr>
      <vt:lpstr>Categories</vt:lpstr>
      <vt:lpstr>Sales Performance by Province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Johan Swanepoel</cp:lastModifiedBy>
  <dcterms:created xsi:type="dcterms:W3CDTF">2026-06-30T09:20:53Z</dcterms:created>
  <dcterms:modified xsi:type="dcterms:W3CDTF">2026-07-02T19:54:35Z</dcterms:modified>
</cp:coreProperties>
</file>